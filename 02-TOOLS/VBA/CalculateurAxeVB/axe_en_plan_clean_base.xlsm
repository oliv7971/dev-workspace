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-DEVELOPPEMENT\VBA\CalculateurAxeVB\"/>
    </mc:Choice>
  </mc:AlternateContent>
  <xr:revisionPtr revIDLastSave="0" documentId="13_ncr:1_{9B38047C-5691-441F-882F-0D33B40F79AD}" xr6:coauthVersionLast="47" xr6:coauthVersionMax="47" xr10:uidLastSave="{00000000-0000-0000-0000-000000000000}"/>
  <bookViews>
    <workbookView xWindow="-28920" yWindow="2280" windowWidth="29040" windowHeight="15840" tabRatio="920" activeTab="9" xr2:uid="{C061FEAE-F82E-4F69-9DFD-7480B8063404}"/>
  </bookViews>
  <sheets>
    <sheet name="INFOS-PARAM" sheetId="16" r:id="rId1"/>
    <sheet name="Entrée" sheetId="2" r:id="rId2"/>
    <sheet name="Projet vers Absolues" sheetId="14" r:id="rId3"/>
    <sheet name="Tabulation" sheetId="11" r:id="rId4"/>
    <sheet name="Ecarts" sheetId="13" r:id="rId5"/>
    <sheet name="Rabattement" sheetId="3" r:id="rId6"/>
    <sheet name="Calcul XY du rabattement" sheetId="4" r:id="rId7"/>
    <sheet name="Calcul Z du rabattement" sheetId="5" r:id="rId8"/>
    <sheet name="définition axe en plan" sheetId="6" r:id="rId9"/>
    <sheet name="axe_en_plan" sheetId="17" r:id="rId10"/>
    <sheet name="définition profil en long" sheetId="7" r:id="rId11"/>
    <sheet name="Calcul XY" sheetId="8" r:id="rId12"/>
    <sheet name="Calcul Z" sheetId="9" r:id="rId13"/>
    <sheet name="Fonctions" sheetId="10" state="veryHidden" r:id=""/>
  </sheets>
  <functionGroups builtInGroupCount="19"/>
  <externalReferences>
    <externalReference r:id="rId14"/>
  </externalReferences>
  <definedNames>
    <definedName name="_PL1">'définition profil en long'!$E$11</definedName>
    <definedName name="_PL10">'définition profil en long'!$E$20</definedName>
    <definedName name="_PL11">'définition profil en long'!$E$21</definedName>
    <definedName name="_PL12">'définition profil en long'!$E$22</definedName>
    <definedName name="_PL13">'définition profil en long'!$E$23</definedName>
    <definedName name="_PL14">'définition profil en long'!$E$24</definedName>
    <definedName name="_PL15">'définition profil en long'!$E$25</definedName>
    <definedName name="_PL16">'définition profil en long'!$E$26</definedName>
    <definedName name="_PL17">'définition profil en long'!$E$27</definedName>
    <definedName name="_PL18">'définition profil en long'!$E$28</definedName>
    <definedName name="_PL19">'définition profil en long'!$E$29</definedName>
    <definedName name="_PL2">'définition profil en long'!$E$12</definedName>
    <definedName name="_PL20">'définition profil en long'!$E$30</definedName>
    <definedName name="_PL21">'définition profil en long'!$E$31</definedName>
    <definedName name="_PL22">'définition profil en long'!$E$32</definedName>
    <definedName name="_PL23">'définition profil en long'!$E$33</definedName>
    <definedName name="_PL24">'définition profil en long'!$E$34</definedName>
    <definedName name="_PL25">'définition profil en long'!$E$35</definedName>
    <definedName name="_PL26">'définition profil en long'!$E$36</definedName>
    <definedName name="_PL3">'définition profil en long'!$E$13</definedName>
    <definedName name="_PL4">'définition profil en long'!$E$14</definedName>
    <definedName name="_PL5">'définition profil en long'!$E$15</definedName>
    <definedName name="_PL6">'définition profil en long'!$E$16</definedName>
    <definedName name="_PL7">'définition profil en long'!$E$17</definedName>
    <definedName name="_PL8">'définition profil en long'!$E$18</definedName>
    <definedName name="_PL9">'définition profil en long'!$E$19</definedName>
    <definedName name="_PM1">'définition axe en plan'!$E$11</definedName>
    <definedName name="_PM10">'définition axe en plan'!$E$20</definedName>
    <definedName name="_PM11">'définition axe en plan'!$E$21</definedName>
    <definedName name="_PM12">'définition axe en plan'!$E$22</definedName>
    <definedName name="_PM13">'définition axe en plan'!$E$23</definedName>
    <definedName name="_PM14">'définition axe en plan'!$E$24</definedName>
    <definedName name="_PM15">'définition axe en plan'!$E$25</definedName>
    <definedName name="_PM16">'définition axe en plan'!$E$26</definedName>
    <definedName name="_PM17">'définition axe en plan'!$E$27</definedName>
    <definedName name="_PM18">'définition axe en plan'!$E$28</definedName>
    <definedName name="_PM19">'définition axe en plan'!$E$29</definedName>
    <definedName name="_PM2">'définition axe en plan'!$E$12</definedName>
    <definedName name="_PM20">'définition axe en plan'!$E$30</definedName>
    <definedName name="_PM21">'définition axe en plan'!$E$31</definedName>
    <definedName name="_PM22">'définition axe en plan'!$E$32</definedName>
    <definedName name="_PM23">'définition axe en plan'!$E$33</definedName>
    <definedName name="_PM24">'définition axe en plan'!$E$34</definedName>
    <definedName name="_PM25">'définition axe en plan'!$E$35</definedName>
    <definedName name="_PM26">'définition axe en plan'!$E$36</definedName>
    <definedName name="_PM27">'définition axe en plan'!$E$37</definedName>
    <definedName name="_PM28">'définition axe en plan'!$E$38</definedName>
    <definedName name="_PM3">'définition axe en plan'!$E$13</definedName>
    <definedName name="_PM4">'définition axe en plan'!$E$14</definedName>
    <definedName name="_PM5">'définition axe en plan'!$E$15</definedName>
    <definedName name="_PM6">'définition axe en plan'!$E$16</definedName>
    <definedName name="_PM7">'définition axe en plan'!$E$17</definedName>
    <definedName name="_PM8">'définition axe en plan'!$E$18</definedName>
    <definedName name="_PM9">'définition axe en plan'!$E$19</definedName>
    <definedName name="_R" localSheetId="7">'Calcul Z du rabattement'!$H$35</definedName>
    <definedName name="_R">'Calcul Z'!$H$37</definedName>
    <definedName name="_Za1" localSheetId="10">'définition profil en long'!$F$11</definedName>
    <definedName name="_Za10">'définition profil en long'!$F$20</definedName>
    <definedName name="_Za11">'définition profil en long'!$F$21</definedName>
    <definedName name="_Za12">'définition profil en long'!$F$22</definedName>
    <definedName name="_Za13">'définition profil en long'!$F$23</definedName>
    <definedName name="_Za14">'définition profil en long'!$F$24</definedName>
    <definedName name="_Za15">'définition profil en long'!$F$25</definedName>
    <definedName name="_Za16">'définition profil en long'!$F$26</definedName>
    <definedName name="_Za17">'définition profil en long'!$F$27</definedName>
    <definedName name="_Za18">'définition profil en long'!$F$28</definedName>
    <definedName name="_Za19">'définition profil en long'!$F$29</definedName>
    <definedName name="_Za2" localSheetId="10">'définition profil en long'!$F$12</definedName>
    <definedName name="_Za20">'définition profil en long'!$F$30</definedName>
    <definedName name="_Za21">'définition profil en long'!$F$31</definedName>
    <definedName name="_Za3" localSheetId="10">'définition profil en long'!$F$13</definedName>
    <definedName name="_Za4" localSheetId="10">'définition profil en long'!$F$14</definedName>
    <definedName name="_Za5" localSheetId="10">'définition profil en long'!$F$15</definedName>
    <definedName name="_Za6">'définition profil en long'!$F$16</definedName>
    <definedName name="_Za7">'définition profil en long'!$F$17</definedName>
    <definedName name="_Za8">'définition profil en long'!$F$18</definedName>
    <definedName name="_Za9">'définition profil en long'!$F$19</definedName>
    <definedName name="D" localSheetId="6">'Calcul XY du rabattement'!$D$44</definedName>
    <definedName name="D">'Calcul XY'!$D$46</definedName>
    <definedName name="Dévers">'Calcul XY'!$L$44</definedName>
    <definedName name="Déversrabat">Rabattement!$L$42</definedName>
    <definedName name="Dr">Rabattement!$D$44</definedName>
    <definedName name="Dx" localSheetId="6">'Calcul XY du rabattement'!$L$52</definedName>
    <definedName name="Dx">'Calcul XY'!$L$54</definedName>
    <definedName name="Dy" localSheetId="6">'Calcul XY du rabattement'!$M$52</definedName>
    <definedName name="Dy">'Calcul XY'!$M$54</definedName>
    <definedName name="EcartHdonné">Entrée!$B$4</definedName>
    <definedName name="EcartVdonné">Entrée!$C$4</definedName>
    <definedName name="entrevoie">'définition axe en plan'!$N$13</definedName>
    <definedName name="Gise" localSheetId="6">'Calcul XY du rabattement'!$H$42</definedName>
    <definedName name="Gise">'Calcul XY'!$H$44</definedName>
    <definedName name="Gisr">Rabattement!$H$42</definedName>
    <definedName name="Hormigon">'définition profil en long'!$M$10</definedName>
    <definedName name="_xlnm.Print_Titles" localSheetId="8">'définition axe en plan'!$9:$10</definedName>
    <definedName name="_xlnm.Print_Titles" localSheetId="4">Ecarts!$4:$4</definedName>
    <definedName name="_xlnm.Print_Titles" localSheetId="2">'Projet vers Absolues'!$9:$9</definedName>
    <definedName name="_xlnm.Print_Titles" localSheetId="3">Tabulation!$9:$9</definedName>
    <definedName name="L_ano" localSheetId="2">'Projet vers Absolues'!#REF!</definedName>
    <definedName name="L_ano" localSheetId="3">Tabulation!#REF!</definedName>
    <definedName name="lever_regulier" localSheetId="4">Ecarts!#REF!</definedName>
    <definedName name="M" localSheetId="6">'Calcul XY du rabattement'!$K$52</definedName>
    <definedName name="M">'Calcul XY'!$K$54</definedName>
    <definedName name="non">Rabattement!$B$11:$B$27</definedName>
    <definedName name="param" localSheetId="6">'Calcul XY du rabattement'!$J$42</definedName>
    <definedName name="param">'Calcul XY'!$J$44</definedName>
    <definedName name="paramr">Rabattement!$J$42</definedName>
    <definedName name="pente" localSheetId="7">'Calcul Z du rabattement'!$G$35</definedName>
    <definedName name="pente">'Calcul Z'!$G$37</definedName>
    <definedName name="PM" localSheetId="6">'Calcul XY du rabattement'!$E$42</definedName>
    <definedName name="PM">'Calcul XY'!$E$44</definedName>
    <definedName name="PMdonné">Entrée!$A$4</definedName>
    <definedName name="PMdonnér">Rabattement!$C$4</definedName>
    <definedName name="pmr">Rabattement!$E$42</definedName>
    <definedName name="PMrabat">Entrée!$D$10</definedName>
    <definedName name="PMz" localSheetId="7">'Calcul Z du rabattement'!$E$35</definedName>
    <definedName name="PMz">'Calcul Z'!$E$37</definedName>
    <definedName name="Rail">'définition profil en long'!$M$14</definedName>
    <definedName name="Ray" localSheetId="6">'Calcul XY du rabattement'!$I$42</definedName>
    <definedName name="Ray">'Calcul XY'!$I$44</definedName>
    <definedName name="Rayr">Rabattement!$I$42</definedName>
    <definedName name="resultats" localSheetId="4">Ecarts!$F$5:$I$5</definedName>
    <definedName name="Sens" localSheetId="6">'Calcul XY du rabattement'!$K$42</definedName>
    <definedName name="Sens">'Calcul XY'!$K$44</definedName>
    <definedName name="sensr">Rabattement!$K$42</definedName>
    <definedName name="SensZ" localSheetId="7">'Calcul Z du rabattement'!$I$35</definedName>
    <definedName name="SensZ">'Calcul Z'!$I$37</definedName>
    <definedName name="test" localSheetId="6">'Calcul XY du rabattement'!$C$11:$C$38</definedName>
    <definedName name="test">'Calcul XY'!$C$11:$C$40</definedName>
    <definedName name="test_dist">Rabattement!$B$11:$B$40</definedName>
    <definedName name="test_gis">Rabattement!$C$11:$C$41</definedName>
    <definedName name="testZ" localSheetId="7">'Calcul Z du rabattement'!$C$11:$C$33</definedName>
    <definedName name="testZ">'Calcul Z'!$C$11:$C$42</definedName>
    <definedName name="Type" localSheetId="6">'Calcul XY du rabattement'!$D$42</definedName>
    <definedName name="Type">'Calcul XY'!$D$44</definedName>
    <definedName name="typer">Rabattement!$D$42</definedName>
    <definedName name="typeZ" localSheetId="7">'Calcul Z du rabattement'!$D$35</definedName>
    <definedName name="typeZ">'Calcul Z'!$D$37</definedName>
    <definedName name="uiuiu" localSheetId="4">'[1]définition profil en long'!#REF!</definedName>
    <definedName name="uiuiu" localSheetId="2">'[1]définition profil en long'!#REF!</definedName>
    <definedName name="uiuiu" localSheetId="3">'[1]définition profil en long'!#REF!</definedName>
    <definedName name="Xc" localSheetId="6">'Calcul XY du rabattement'!$H$50</definedName>
    <definedName name="Xc">'Calcul XY'!$H$52</definedName>
    <definedName name="Xdonné">Entrée!$A$10</definedName>
    <definedName name="Xe" localSheetId="6">'Calcul XY du rabattement'!$F$42</definedName>
    <definedName name="Xe">'Calcul XY'!$F$44</definedName>
    <definedName name="Xr">Rabattement!$F$42</definedName>
    <definedName name="Yc" localSheetId="6">'Calcul XY du rabattement'!$I$50</definedName>
    <definedName name="Yc">'Calcul XY'!$I$52</definedName>
    <definedName name="Ydonné">Entrée!$B$10</definedName>
    <definedName name="Ye" localSheetId="6">'Calcul XY du rabattement'!$G$42</definedName>
    <definedName name="Ye">'Calcul XY'!$G$44</definedName>
    <definedName name="Yr">Rabattement!$G$42</definedName>
    <definedName name="Z_7E34E800_94BB_11D6_B2C6_0002A57730F5_.wvu.Cols" localSheetId="8" hidden="1">'définition axe en plan'!$A:$B</definedName>
    <definedName name="Z_7E34E800_94BB_11D6_B2C6_0002A57730F5_.wvu.PrintArea" localSheetId="11" hidden="1">'Calcul XY'!$G$1:$O$4</definedName>
    <definedName name="Z_7E34E800_94BB_11D6_B2C6_0002A57730F5_.wvu.PrintArea" localSheetId="6" hidden="1">'Calcul XY du rabattement'!$D$29</definedName>
    <definedName name="Z_7E34E800_94BB_11D6_B2C6_0002A57730F5_.wvu.PrintArea" localSheetId="8" hidden="1">'définition axe en plan'!$D$14</definedName>
    <definedName name="Z_7E34E800_94BB_11D6_B2C6_0002A57730F5_.wvu.PrintArea" localSheetId="1" hidden="1">Entrée!$A$1:$I$5</definedName>
    <definedName name="Z_7E34E800_94BB_11D6_B2C6_0002A57730F5_.wvu.Rows" localSheetId="8" hidden="1">'définition axe en plan'!$3:$8</definedName>
    <definedName name="Z_7E34E800_94BB_11D6_B2C6_0002A57730F5_.wvu.Rows" localSheetId="10" hidden="1">'définition profil en long'!$3:$8</definedName>
    <definedName name="Zdonné">Entrée!$C$10</definedName>
    <definedName name="Ze" localSheetId="7">'Calcul Z du rabattement'!$F$35</definedName>
    <definedName name="Ze">'Calcul Z'!$F$37</definedName>
    <definedName name="_xlnm.Print_Area" localSheetId="11">'Calcul XY'!$G$1:$O$4</definedName>
    <definedName name="_xlnm.Print_Area" localSheetId="6">'Calcul XY du rabattement'!$D$29</definedName>
    <definedName name="_xlnm.Print_Area" localSheetId="8">'définition axe en plan'!$C$1:$L$15</definedName>
    <definedName name="_xlnm.Print_Area" localSheetId="10">'définition profil en long'!$B$1:$I$13</definedName>
    <definedName name="_xlnm.Print_Area" localSheetId="4">Ecarts!$A$1:$I$21</definedName>
    <definedName name="_xlnm.Print_Area" localSheetId="1">Entrée!$A$1:$I$5</definedName>
    <definedName name="_xlnm.Print_Area" localSheetId="2">'Projet vers Absolues'!$A$9:$H$24</definedName>
    <definedName name="_xlnm.Print_Area" localSheetId="3">Tabulation!$E$9:$H$40</definedName>
  </definedNames>
  <calcPr calcId="191029"/>
  <customWorkbookViews>
    <customWorkbookView name="SOGEA - Affichage personnalisé" guid="{7E34E800-94BB-11D6-B2C6-0002A57730F5}" mergeInterval="0" personalView="1" maximized="1" windowWidth="1020" windowHeight="582" tabRatio="926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11" l="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10" i="11"/>
  <c r="O16" i="3"/>
  <c r="T14" i="3"/>
  <c r="T13" i="3"/>
  <c r="F6" i="13"/>
  <c r="P15" i="14"/>
  <c r="L15" i="14"/>
  <c r="L16" i="14" s="1"/>
  <c r="L26" i="14"/>
  <c r="L27" i="14" s="1"/>
  <c r="L28" i="14" s="1"/>
  <c r="L29" i="14" s="1"/>
  <c r="L30" i="14" s="1"/>
  <c r="L31" i="14" s="1"/>
  <c r="L32" i="14" s="1"/>
  <c r="L33" i="14" s="1"/>
  <c r="L34" i="14" s="1"/>
  <c r="L35" i="14" s="1"/>
  <c r="L36" i="14" s="1"/>
  <c r="L37" i="14" s="1"/>
  <c r="L38" i="14" s="1"/>
  <c r="L39" i="14" s="1"/>
  <c r="A39" i="14" s="1"/>
  <c r="E39" i="14" s="1"/>
  <c r="P39" i="14" s="1"/>
  <c r="L43" i="14"/>
  <c r="L44" i="14" s="1"/>
  <c r="L45" i="14" s="1"/>
  <c r="A45" i="14" s="1"/>
  <c r="E45" i="14" s="1"/>
  <c r="P45" i="14" s="1"/>
  <c r="L53" i="14"/>
  <c r="L54" i="14" s="1"/>
  <c r="L55" i="14" s="1"/>
  <c r="Q11" i="14"/>
  <c r="R11" i="14"/>
  <c r="S11" i="14"/>
  <c r="Q12" i="14"/>
  <c r="R12" i="14"/>
  <c r="S12" i="14"/>
  <c r="Q13" i="14"/>
  <c r="R13" i="14"/>
  <c r="S13" i="14"/>
  <c r="Q14" i="14"/>
  <c r="R14" i="14"/>
  <c r="S14" i="14"/>
  <c r="Q15" i="14"/>
  <c r="R15" i="14"/>
  <c r="S15" i="14"/>
  <c r="Q16" i="14"/>
  <c r="R16" i="14"/>
  <c r="S16" i="14"/>
  <c r="Q17" i="14"/>
  <c r="R17" i="14"/>
  <c r="S17" i="14"/>
  <c r="Q18" i="14"/>
  <c r="R18" i="14"/>
  <c r="S18" i="14"/>
  <c r="Q19" i="14"/>
  <c r="R19" i="14"/>
  <c r="S19" i="14"/>
  <c r="Q20" i="14"/>
  <c r="R20" i="14"/>
  <c r="S20" i="14"/>
  <c r="Q21" i="14"/>
  <c r="R21" i="14"/>
  <c r="S21" i="14"/>
  <c r="Q22" i="14"/>
  <c r="R22" i="14"/>
  <c r="S22" i="14"/>
  <c r="Q23" i="14"/>
  <c r="R23" i="14"/>
  <c r="S23" i="14"/>
  <c r="Q24" i="14"/>
  <c r="R24" i="14"/>
  <c r="S24" i="14"/>
  <c r="Q25" i="14"/>
  <c r="R25" i="14"/>
  <c r="S25" i="14"/>
  <c r="Q26" i="14"/>
  <c r="R26" i="14"/>
  <c r="S26" i="14"/>
  <c r="Q27" i="14"/>
  <c r="R27" i="14"/>
  <c r="S27" i="14"/>
  <c r="Q28" i="14"/>
  <c r="R28" i="14"/>
  <c r="S28" i="14"/>
  <c r="Q29" i="14"/>
  <c r="R29" i="14"/>
  <c r="S29" i="14"/>
  <c r="Q30" i="14"/>
  <c r="R30" i="14"/>
  <c r="S30" i="14"/>
  <c r="Q31" i="14"/>
  <c r="R31" i="14"/>
  <c r="S31" i="14"/>
  <c r="Q32" i="14"/>
  <c r="R32" i="14"/>
  <c r="S32" i="14"/>
  <c r="Q33" i="14"/>
  <c r="R33" i="14"/>
  <c r="S33" i="14"/>
  <c r="Q34" i="14"/>
  <c r="R34" i="14"/>
  <c r="S34" i="14"/>
  <c r="Q35" i="14"/>
  <c r="R35" i="14"/>
  <c r="S35" i="14"/>
  <c r="Q36" i="14"/>
  <c r="R36" i="14"/>
  <c r="S36" i="14"/>
  <c r="Q37" i="14"/>
  <c r="R37" i="14"/>
  <c r="S37" i="14"/>
  <c r="Q38" i="14"/>
  <c r="R38" i="14"/>
  <c r="S38" i="14"/>
  <c r="Q39" i="14"/>
  <c r="R39" i="14"/>
  <c r="S39" i="14"/>
  <c r="Q40" i="14"/>
  <c r="R40" i="14"/>
  <c r="S40" i="14"/>
  <c r="Q41" i="14"/>
  <c r="R41" i="14"/>
  <c r="S41" i="14"/>
  <c r="Q42" i="14"/>
  <c r="R42" i="14"/>
  <c r="S42" i="14"/>
  <c r="Q43" i="14"/>
  <c r="R43" i="14"/>
  <c r="S43" i="14"/>
  <c r="Q44" i="14"/>
  <c r="R44" i="14"/>
  <c r="S44" i="14"/>
  <c r="Q45" i="14"/>
  <c r="R45" i="14"/>
  <c r="S45" i="14"/>
  <c r="Q46" i="14"/>
  <c r="R46" i="14"/>
  <c r="S46" i="14"/>
  <c r="Q47" i="14"/>
  <c r="R47" i="14"/>
  <c r="S47" i="14"/>
  <c r="Q48" i="14"/>
  <c r="R48" i="14"/>
  <c r="S48" i="14"/>
  <c r="Q49" i="14"/>
  <c r="R49" i="14"/>
  <c r="S49" i="14"/>
  <c r="Q50" i="14"/>
  <c r="R50" i="14"/>
  <c r="S50" i="14"/>
  <c r="Q51" i="14"/>
  <c r="R51" i="14"/>
  <c r="S51" i="14"/>
  <c r="Q52" i="14"/>
  <c r="R52" i="14"/>
  <c r="S52" i="14"/>
  <c r="Q53" i="14"/>
  <c r="R53" i="14"/>
  <c r="S53" i="14"/>
  <c r="Q54" i="14"/>
  <c r="R54" i="14"/>
  <c r="S54" i="14"/>
  <c r="Q55" i="14"/>
  <c r="R55" i="14"/>
  <c r="S55" i="14"/>
  <c r="Q56" i="14"/>
  <c r="R56" i="14"/>
  <c r="S56" i="14"/>
  <c r="Q57" i="14"/>
  <c r="R57" i="14"/>
  <c r="S57" i="14"/>
  <c r="Q58" i="14"/>
  <c r="R58" i="14"/>
  <c r="S58" i="14"/>
  <c r="Q59" i="14"/>
  <c r="R59" i="14"/>
  <c r="S59" i="14"/>
  <c r="Q60" i="14"/>
  <c r="R60" i="14"/>
  <c r="S60" i="14"/>
  <c r="Q61" i="14"/>
  <c r="R61" i="14"/>
  <c r="S61" i="14"/>
  <c r="Q62" i="14"/>
  <c r="R62" i="14"/>
  <c r="S62" i="14"/>
  <c r="Q63" i="14"/>
  <c r="R63" i="14"/>
  <c r="S63" i="14"/>
  <c r="Q64" i="14"/>
  <c r="R64" i="14"/>
  <c r="S64" i="14"/>
  <c r="Q65" i="14"/>
  <c r="R65" i="14"/>
  <c r="S65" i="14"/>
  <c r="Q66" i="14"/>
  <c r="R66" i="14"/>
  <c r="S66" i="14"/>
  <c r="Q67" i="14"/>
  <c r="R67" i="14"/>
  <c r="S67" i="14"/>
  <c r="Q68" i="14"/>
  <c r="R68" i="14"/>
  <c r="S68" i="14"/>
  <c r="Q69" i="14"/>
  <c r="R69" i="14"/>
  <c r="S69" i="14"/>
  <c r="Q70" i="14"/>
  <c r="R70" i="14"/>
  <c r="S70" i="14"/>
  <c r="Q71" i="14"/>
  <c r="R71" i="14"/>
  <c r="S71" i="14"/>
  <c r="Q72" i="14"/>
  <c r="R72" i="14"/>
  <c r="S72" i="14"/>
  <c r="Q73" i="14"/>
  <c r="R73" i="14"/>
  <c r="S73" i="14"/>
  <c r="Q74" i="14"/>
  <c r="R74" i="14"/>
  <c r="S74" i="14"/>
  <c r="Q75" i="14"/>
  <c r="R75" i="14"/>
  <c r="S75" i="14"/>
  <c r="Q76" i="14"/>
  <c r="R76" i="14"/>
  <c r="S76" i="14"/>
  <c r="Q77" i="14"/>
  <c r="R77" i="14"/>
  <c r="S77" i="14"/>
  <c r="Q78" i="14"/>
  <c r="R78" i="14"/>
  <c r="S78" i="14"/>
  <c r="Q79" i="14"/>
  <c r="R79" i="14"/>
  <c r="S79" i="14"/>
  <c r="Q80" i="14"/>
  <c r="R80" i="14"/>
  <c r="S80" i="14"/>
  <c r="Q81" i="14"/>
  <c r="R81" i="14"/>
  <c r="S81" i="14"/>
  <c r="Q82" i="14"/>
  <c r="R82" i="14"/>
  <c r="S82" i="14"/>
  <c r="Q83" i="14"/>
  <c r="R83" i="14"/>
  <c r="S83" i="14"/>
  <c r="Q84" i="14"/>
  <c r="R84" i="14"/>
  <c r="S84" i="14"/>
  <c r="Q85" i="14"/>
  <c r="R85" i="14"/>
  <c r="S85" i="14"/>
  <c r="Q86" i="14"/>
  <c r="R86" i="14"/>
  <c r="S86" i="14"/>
  <c r="Q87" i="14"/>
  <c r="R87" i="14"/>
  <c r="S87" i="14"/>
  <c r="Q88" i="14"/>
  <c r="R88" i="14"/>
  <c r="S88" i="14"/>
  <c r="Q89" i="14"/>
  <c r="R89" i="14"/>
  <c r="S89" i="14"/>
  <c r="Q90" i="14"/>
  <c r="R90" i="14"/>
  <c r="S90" i="14"/>
  <c r="Q91" i="14"/>
  <c r="R91" i="14"/>
  <c r="S91" i="14"/>
  <c r="Q92" i="14"/>
  <c r="R92" i="14"/>
  <c r="S92" i="14"/>
  <c r="Q93" i="14"/>
  <c r="R93" i="14"/>
  <c r="S93" i="14"/>
  <c r="Q94" i="14"/>
  <c r="R94" i="14"/>
  <c r="S94" i="14"/>
  <c r="Q95" i="14"/>
  <c r="R95" i="14"/>
  <c r="S95" i="14"/>
  <c r="Q96" i="14"/>
  <c r="R96" i="14"/>
  <c r="S96" i="14"/>
  <c r="Q97" i="14"/>
  <c r="R97" i="14"/>
  <c r="S97" i="14"/>
  <c r="Q98" i="14"/>
  <c r="R98" i="14"/>
  <c r="S98" i="14"/>
  <c r="Q99" i="14"/>
  <c r="R99" i="14"/>
  <c r="S99" i="14"/>
  <c r="Q100" i="14"/>
  <c r="R100" i="14"/>
  <c r="S100" i="14"/>
  <c r="Q101" i="14"/>
  <c r="R101" i="14"/>
  <c r="S101" i="14"/>
  <c r="Q102" i="14"/>
  <c r="R102" i="14"/>
  <c r="S102" i="14"/>
  <c r="Q103" i="14"/>
  <c r="R103" i="14"/>
  <c r="S103" i="14"/>
  <c r="Q104" i="14"/>
  <c r="R104" i="14"/>
  <c r="S104" i="14"/>
  <c r="Q105" i="14"/>
  <c r="R105" i="14"/>
  <c r="S105" i="14"/>
  <c r="Q106" i="14"/>
  <c r="R106" i="14"/>
  <c r="S106" i="14"/>
  <c r="Q107" i="14"/>
  <c r="R107" i="14"/>
  <c r="S107" i="14"/>
  <c r="Q108" i="14"/>
  <c r="R108" i="14"/>
  <c r="S108" i="14"/>
  <c r="Q109" i="14"/>
  <c r="R109" i="14"/>
  <c r="S109" i="14"/>
  <c r="Q110" i="14"/>
  <c r="R110" i="14"/>
  <c r="S110" i="14"/>
  <c r="Q111" i="14"/>
  <c r="R111" i="14"/>
  <c r="S111" i="14"/>
  <c r="Q112" i="14"/>
  <c r="R112" i="14"/>
  <c r="S112" i="14"/>
  <c r="Q113" i="14"/>
  <c r="R113" i="14"/>
  <c r="S113" i="14"/>
  <c r="Q114" i="14"/>
  <c r="R114" i="14"/>
  <c r="S114" i="14"/>
  <c r="Q115" i="14"/>
  <c r="R115" i="14"/>
  <c r="S115" i="14"/>
  <c r="Q116" i="14"/>
  <c r="R116" i="14"/>
  <c r="S116" i="14"/>
  <c r="Q117" i="14"/>
  <c r="R117" i="14"/>
  <c r="S117" i="14"/>
  <c r="Q118" i="14"/>
  <c r="R118" i="14"/>
  <c r="S118" i="14"/>
  <c r="Q119" i="14"/>
  <c r="R119" i="14"/>
  <c r="S119" i="14"/>
  <c r="Q120" i="14"/>
  <c r="R120" i="14"/>
  <c r="S120" i="14"/>
  <c r="Q121" i="14"/>
  <c r="R121" i="14"/>
  <c r="S121" i="14"/>
  <c r="Q122" i="14"/>
  <c r="R122" i="14"/>
  <c r="S122" i="14"/>
  <c r="Q123" i="14"/>
  <c r="R123" i="14"/>
  <c r="S123" i="14"/>
  <c r="Q124" i="14"/>
  <c r="R124" i="14"/>
  <c r="S124" i="14"/>
  <c r="Q125" i="14"/>
  <c r="R125" i="14"/>
  <c r="S125" i="14"/>
  <c r="Q126" i="14"/>
  <c r="R126" i="14"/>
  <c r="S126" i="14"/>
  <c r="Q127" i="14"/>
  <c r="R127" i="14"/>
  <c r="S127" i="14"/>
  <c r="Q128" i="14"/>
  <c r="R128" i="14"/>
  <c r="S128" i="14"/>
  <c r="Q129" i="14"/>
  <c r="R129" i="14"/>
  <c r="S129" i="14"/>
  <c r="Q130" i="14"/>
  <c r="R130" i="14"/>
  <c r="S130" i="14"/>
  <c r="Q131" i="14"/>
  <c r="R131" i="14"/>
  <c r="S131" i="14"/>
  <c r="Q132" i="14"/>
  <c r="R132" i="14"/>
  <c r="S132" i="14"/>
  <c r="Q133" i="14"/>
  <c r="R133" i="14"/>
  <c r="S133" i="14"/>
  <c r="Q134" i="14"/>
  <c r="R134" i="14"/>
  <c r="S134" i="14"/>
  <c r="Q135" i="14"/>
  <c r="R135" i="14"/>
  <c r="S135" i="14"/>
  <c r="Q136" i="14"/>
  <c r="R136" i="14"/>
  <c r="S136" i="14"/>
  <c r="Q137" i="14"/>
  <c r="R137" i="14"/>
  <c r="S137" i="14"/>
  <c r="Q138" i="14"/>
  <c r="R138" i="14"/>
  <c r="S138" i="14"/>
  <c r="Q139" i="14"/>
  <c r="R139" i="14"/>
  <c r="S139" i="14"/>
  <c r="Q140" i="14"/>
  <c r="R140" i="14"/>
  <c r="S140" i="14"/>
  <c r="Q141" i="14"/>
  <c r="R141" i="14"/>
  <c r="S141" i="14"/>
  <c r="Q142" i="14"/>
  <c r="R142" i="14"/>
  <c r="S142" i="14"/>
  <c r="Q143" i="14"/>
  <c r="R143" i="14"/>
  <c r="S143" i="14"/>
  <c r="Q144" i="14"/>
  <c r="R144" i="14"/>
  <c r="S144" i="14"/>
  <c r="Q145" i="14"/>
  <c r="R145" i="14"/>
  <c r="S145" i="14"/>
  <c r="Q146" i="14"/>
  <c r="R146" i="14"/>
  <c r="S146" i="14"/>
  <c r="Q147" i="14"/>
  <c r="R147" i="14"/>
  <c r="S147" i="14"/>
  <c r="Q148" i="14"/>
  <c r="R148" i="14"/>
  <c r="S148" i="14"/>
  <c r="Q149" i="14"/>
  <c r="R149" i="14"/>
  <c r="S149" i="14"/>
  <c r="Q150" i="14"/>
  <c r="R150" i="14"/>
  <c r="S150" i="14"/>
  <c r="Q151" i="14"/>
  <c r="R151" i="14"/>
  <c r="S151" i="14"/>
  <c r="Q152" i="14"/>
  <c r="R152" i="14"/>
  <c r="S152" i="14"/>
  <c r="Q153" i="14"/>
  <c r="R153" i="14"/>
  <c r="S153" i="14"/>
  <c r="Q154" i="14"/>
  <c r="R154" i="14"/>
  <c r="S154" i="14"/>
  <c r="Q155" i="14"/>
  <c r="R155" i="14"/>
  <c r="S155" i="14"/>
  <c r="Q156" i="14"/>
  <c r="R156" i="14"/>
  <c r="S156" i="14"/>
  <c r="Q157" i="14"/>
  <c r="R157" i="14"/>
  <c r="S157" i="14"/>
  <c r="Q158" i="14"/>
  <c r="R158" i="14"/>
  <c r="S158" i="14"/>
  <c r="Q159" i="14"/>
  <c r="R159" i="14"/>
  <c r="S159" i="14"/>
  <c r="Q160" i="14"/>
  <c r="R160" i="14"/>
  <c r="S160" i="14"/>
  <c r="Q161" i="14"/>
  <c r="R161" i="14"/>
  <c r="S161" i="14"/>
  <c r="Q162" i="14"/>
  <c r="R162" i="14"/>
  <c r="S162" i="14"/>
  <c r="Q163" i="14"/>
  <c r="R163" i="14"/>
  <c r="S163" i="14"/>
  <c r="Q164" i="14"/>
  <c r="R164" i="14"/>
  <c r="S164" i="14"/>
  <c r="Q165" i="14"/>
  <c r="R165" i="14"/>
  <c r="S165" i="14"/>
  <c r="Q166" i="14"/>
  <c r="R166" i="14"/>
  <c r="S166" i="14"/>
  <c r="Q167" i="14"/>
  <c r="R167" i="14"/>
  <c r="S167" i="14"/>
  <c r="Q168" i="14"/>
  <c r="R168" i="14"/>
  <c r="S168" i="14"/>
  <c r="Q169" i="14"/>
  <c r="R169" i="14"/>
  <c r="S169" i="14"/>
  <c r="Q170" i="14"/>
  <c r="R170" i="14"/>
  <c r="S170" i="14"/>
  <c r="Q171" i="14"/>
  <c r="R171" i="14"/>
  <c r="S171" i="14"/>
  <c r="Q172" i="14"/>
  <c r="R172" i="14"/>
  <c r="S172" i="14"/>
  <c r="Q173" i="14"/>
  <c r="R173" i="14"/>
  <c r="S173" i="14"/>
  <c r="Q174" i="14"/>
  <c r="R174" i="14"/>
  <c r="S174" i="14"/>
  <c r="Q175" i="14"/>
  <c r="R175" i="14"/>
  <c r="S175" i="14"/>
  <c r="Q176" i="14"/>
  <c r="R176" i="14"/>
  <c r="S176" i="14"/>
  <c r="Q177" i="14"/>
  <c r="R177" i="14"/>
  <c r="S177" i="14"/>
  <c r="Q178" i="14"/>
  <c r="R178" i="14"/>
  <c r="S178" i="14"/>
  <c r="Q179" i="14"/>
  <c r="R179" i="14"/>
  <c r="S179" i="14"/>
  <c r="Q180" i="14"/>
  <c r="R180" i="14"/>
  <c r="S180" i="14"/>
  <c r="Q181" i="14"/>
  <c r="R181" i="14"/>
  <c r="S181" i="14"/>
  <c r="Q182" i="14"/>
  <c r="R182" i="14"/>
  <c r="S182" i="14"/>
  <c r="Q183" i="14"/>
  <c r="R183" i="14"/>
  <c r="S183" i="14"/>
  <c r="Q184" i="14"/>
  <c r="R184" i="14"/>
  <c r="S184" i="14"/>
  <c r="Q185" i="14"/>
  <c r="R185" i="14"/>
  <c r="S185" i="14"/>
  <c r="Q186" i="14"/>
  <c r="R186" i="14"/>
  <c r="S186" i="14"/>
  <c r="Q187" i="14"/>
  <c r="R187" i="14"/>
  <c r="S187" i="14"/>
  <c r="Q188" i="14"/>
  <c r="R188" i="14"/>
  <c r="S188" i="14"/>
  <c r="Q189" i="14"/>
  <c r="R189" i="14"/>
  <c r="S189" i="14"/>
  <c r="Q190" i="14"/>
  <c r="R190" i="14"/>
  <c r="S190" i="14"/>
  <c r="Q191" i="14"/>
  <c r="R191" i="14"/>
  <c r="S191" i="14"/>
  <c r="Q192" i="14"/>
  <c r="R192" i="14"/>
  <c r="S192" i="14"/>
  <c r="Q193" i="14"/>
  <c r="R193" i="14"/>
  <c r="S193" i="14"/>
  <c r="Q194" i="14"/>
  <c r="R194" i="14"/>
  <c r="S194" i="14"/>
  <c r="Q195" i="14"/>
  <c r="R195" i="14"/>
  <c r="S195" i="14"/>
  <c r="Q196" i="14"/>
  <c r="R196" i="14"/>
  <c r="S196" i="14"/>
  <c r="Q197" i="14"/>
  <c r="R197" i="14"/>
  <c r="S197" i="14"/>
  <c r="Q198" i="14"/>
  <c r="R198" i="14"/>
  <c r="S198" i="14"/>
  <c r="Q199" i="14"/>
  <c r="R199" i="14"/>
  <c r="S199" i="14"/>
  <c r="Q200" i="14"/>
  <c r="R200" i="14"/>
  <c r="S200" i="14"/>
  <c r="Q201" i="14"/>
  <c r="R201" i="14"/>
  <c r="S201" i="14"/>
  <c r="Q202" i="14"/>
  <c r="R202" i="14"/>
  <c r="S202" i="14"/>
  <c r="Q203" i="14"/>
  <c r="R203" i="14"/>
  <c r="S203" i="14"/>
  <c r="Q204" i="14"/>
  <c r="R204" i="14"/>
  <c r="S204" i="14"/>
  <c r="Q205" i="14"/>
  <c r="R205" i="14"/>
  <c r="S205" i="14"/>
  <c r="Q206" i="14"/>
  <c r="R206" i="14"/>
  <c r="S206" i="14"/>
  <c r="Q207" i="14"/>
  <c r="R207" i="14"/>
  <c r="S207" i="14"/>
  <c r="Q208" i="14"/>
  <c r="R208" i="14"/>
  <c r="S208" i="14"/>
  <c r="Q209" i="14"/>
  <c r="R209" i="14"/>
  <c r="S209" i="14"/>
  <c r="Q210" i="14"/>
  <c r="R210" i="14"/>
  <c r="S210" i="14"/>
  <c r="Q211" i="14"/>
  <c r="R211" i="14"/>
  <c r="S211" i="14"/>
  <c r="Q212" i="14"/>
  <c r="R212" i="14"/>
  <c r="S212" i="14"/>
  <c r="Q213" i="14"/>
  <c r="R213" i="14"/>
  <c r="S213" i="14"/>
  <c r="Q214" i="14"/>
  <c r="R214" i="14"/>
  <c r="S214" i="14"/>
  <c r="Q215" i="14"/>
  <c r="R215" i="14"/>
  <c r="S215" i="14"/>
  <c r="Q216" i="14"/>
  <c r="R216" i="14"/>
  <c r="S216" i="14"/>
  <c r="Q217" i="14"/>
  <c r="R217" i="14"/>
  <c r="S217" i="14"/>
  <c r="Q218" i="14"/>
  <c r="R218" i="14"/>
  <c r="S218" i="14"/>
  <c r="Q219" i="14"/>
  <c r="R219" i="14"/>
  <c r="S219" i="14"/>
  <c r="Q220" i="14"/>
  <c r="R220" i="14"/>
  <c r="S220" i="14"/>
  <c r="Q221" i="14"/>
  <c r="R221" i="14"/>
  <c r="S221" i="14"/>
  <c r="Q222" i="14"/>
  <c r="R222" i="14"/>
  <c r="S222" i="14"/>
  <c r="Q223" i="14"/>
  <c r="R223" i="14"/>
  <c r="S223" i="14"/>
  <c r="Q224" i="14"/>
  <c r="R224" i="14"/>
  <c r="S224" i="14"/>
  <c r="Q225" i="14"/>
  <c r="R225" i="14"/>
  <c r="S225" i="14"/>
  <c r="Q226" i="14"/>
  <c r="R226" i="14"/>
  <c r="S226" i="14"/>
  <c r="Q227" i="14"/>
  <c r="R227" i="14"/>
  <c r="S227" i="14"/>
  <c r="Q228" i="14"/>
  <c r="R228" i="14"/>
  <c r="S228" i="14"/>
  <c r="Q229" i="14"/>
  <c r="R229" i="14"/>
  <c r="S229" i="14"/>
  <c r="Q230" i="14"/>
  <c r="R230" i="14"/>
  <c r="S230" i="14"/>
  <c r="Q231" i="14"/>
  <c r="R231" i="14"/>
  <c r="S231" i="14"/>
  <c r="Q232" i="14"/>
  <c r="R232" i="14"/>
  <c r="S232" i="14"/>
  <c r="Q233" i="14"/>
  <c r="R233" i="14"/>
  <c r="S233" i="14"/>
  <c r="Q234" i="14"/>
  <c r="R234" i="14"/>
  <c r="S234" i="14"/>
  <c r="Q235" i="14"/>
  <c r="R235" i="14"/>
  <c r="S235" i="14"/>
  <c r="Q236" i="14"/>
  <c r="R236" i="14"/>
  <c r="S236" i="14"/>
  <c r="Q237" i="14"/>
  <c r="R237" i="14"/>
  <c r="S237" i="14"/>
  <c r="Q238" i="14"/>
  <c r="R238" i="14"/>
  <c r="S238" i="14"/>
  <c r="Q239" i="14"/>
  <c r="R239" i="14"/>
  <c r="S239" i="14"/>
  <c r="Q240" i="14"/>
  <c r="R240" i="14"/>
  <c r="S240" i="14"/>
  <c r="Q241" i="14"/>
  <c r="R241" i="14"/>
  <c r="S241" i="14"/>
  <c r="Q242" i="14"/>
  <c r="R242" i="14"/>
  <c r="S242" i="14"/>
  <c r="Q243" i="14"/>
  <c r="R243" i="14"/>
  <c r="S243" i="14"/>
  <c r="Q244" i="14"/>
  <c r="R244" i="14"/>
  <c r="S244" i="14"/>
  <c r="Q245" i="14"/>
  <c r="R245" i="14"/>
  <c r="S245" i="14"/>
  <c r="Q246" i="14"/>
  <c r="R246" i="14"/>
  <c r="S246" i="14"/>
  <c r="Q247" i="14"/>
  <c r="R247" i="14"/>
  <c r="S247" i="14"/>
  <c r="Q248" i="14"/>
  <c r="R248" i="14"/>
  <c r="S248" i="14"/>
  <c r="Q249" i="14"/>
  <c r="R249" i="14"/>
  <c r="S249" i="14"/>
  <c r="Q250" i="14"/>
  <c r="R250" i="14"/>
  <c r="S250" i="14"/>
  <c r="Q251" i="14"/>
  <c r="R251" i="14"/>
  <c r="S251" i="14"/>
  <c r="Q252" i="14"/>
  <c r="R252" i="14"/>
  <c r="S252" i="14"/>
  <c r="Q253" i="14"/>
  <c r="R253" i="14"/>
  <c r="S253" i="14"/>
  <c r="Q254" i="14"/>
  <c r="R254" i="14"/>
  <c r="S254" i="14"/>
  <c r="Q255" i="14"/>
  <c r="R255" i="14"/>
  <c r="S255" i="14"/>
  <c r="Q256" i="14"/>
  <c r="R256" i="14"/>
  <c r="S256" i="14"/>
  <c r="Q257" i="14"/>
  <c r="R257" i="14"/>
  <c r="S257" i="14"/>
  <c r="Q258" i="14"/>
  <c r="R258" i="14"/>
  <c r="S258" i="14"/>
  <c r="Q259" i="14"/>
  <c r="R259" i="14"/>
  <c r="S259" i="14"/>
  <c r="Q260" i="14"/>
  <c r="R260" i="14"/>
  <c r="S260" i="14"/>
  <c r="Q261" i="14"/>
  <c r="R261" i="14"/>
  <c r="S261" i="14"/>
  <c r="Q262" i="14"/>
  <c r="R262" i="14"/>
  <c r="S262" i="14"/>
  <c r="Q263" i="14"/>
  <c r="R263" i="14"/>
  <c r="S263" i="14"/>
  <c r="Q264" i="14"/>
  <c r="R264" i="14"/>
  <c r="S264" i="14"/>
  <c r="Q265" i="14"/>
  <c r="R265" i="14"/>
  <c r="S265" i="14"/>
  <c r="Q266" i="14"/>
  <c r="R266" i="14"/>
  <c r="S266" i="14"/>
  <c r="Q267" i="14"/>
  <c r="R267" i="14"/>
  <c r="S267" i="14"/>
  <c r="Q268" i="14"/>
  <c r="R268" i="14"/>
  <c r="S268" i="14"/>
  <c r="Q269" i="14"/>
  <c r="R269" i="14"/>
  <c r="S269" i="14"/>
  <c r="Q270" i="14"/>
  <c r="R270" i="14"/>
  <c r="S270" i="14"/>
  <c r="Q271" i="14"/>
  <c r="R271" i="14"/>
  <c r="S271" i="14"/>
  <c r="Q272" i="14"/>
  <c r="R272" i="14"/>
  <c r="S272" i="14"/>
  <c r="Q273" i="14"/>
  <c r="R273" i="14"/>
  <c r="S273" i="14"/>
  <c r="Q274" i="14"/>
  <c r="R274" i="14"/>
  <c r="S274" i="14"/>
  <c r="Q275" i="14"/>
  <c r="R275" i="14"/>
  <c r="S275" i="14"/>
  <c r="Q276" i="14"/>
  <c r="R276" i="14"/>
  <c r="S276" i="14"/>
  <c r="Q277" i="14"/>
  <c r="R277" i="14"/>
  <c r="S277" i="14"/>
  <c r="Q278" i="14"/>
  <c r="R278" i="14"/>
  <c r="S278" i="14"/>
  <c r="Q279" i="14"/>
  <c r="R279" i="14"/>
  <c r="S279" i="14"/>
  <c r="Q280" i="14"/>
  <c r="R280" i="14"/>
  <c r="S280" i="14"/>
  <c r="Q281" i="14"/>
  <c r="R281" i="14"/>
  <c r="S281" i="14"/>
  <c r="Q282" i="14"/>
  <c r="R282" i="14"/>
  <c r="S282" i="14"/>
  <c r="Q283" i="14"/>
  <c r="R283" i="14"/>
  <c r="S283" i="14"/>
  <c r="Q284" i="14"/>
  <c r="R284" i="14"/>
  <c r="S284" i="14"/>
  <c r="Q285" i="14"/>
  <c r="R285" i="14"/>
  <c r="S285" i="14"/>
  <c r="Q286" i="14"/>
  <c r="R286" i="14"/>
  <c r="S286" i="14"/>
  <c r="Q287" i="14"/>
  <c r="R287" i="14"/>
  <c r="S287" i="14"/>
  <c r="Q288" i="14"/>
  <c r="R288" i="14"/>
  <c r="S288" i="14"/>
  <c r="Q289" i="14"/>
  <c r="R289" i="14"/>
  <c r="S289" i="14"/>
  <c r="Q290" i="14"/>
  <c r="R290" i="14"/>
  <c r="S290" i="14"/>
  <c r="Q291" i="14"/>
  <c r="R291" i="14"/>
  <c r="S291" i="14"/>
  <c r="Q292" i="14"/>
  <c r="R292" i="14"/>
  <c r="S292" i="14"/>
  <c r="Q293" i="14"/>
  <c r="R293" i="14"/>
  <c r="S293" i="14"/>
  <c r="Q294" i="14"/>
  <c r="R294" i="14"/>
  <c r="S294" i="14"/>
  <c r="Q295" i="14"/>
  <c r="R295" i="14"/>
  <c r="S295" i="14"/>
  <c r="Q296" i="14"/>
  <c r="R296" i="14"/>
  <c r="S296" i="14"/>
  <c r="Q297" i="14"/>
  <c r="R297" i="14"/>
  <c r="S297" i="14"/>
  <c r="Q298" i="14"/>
  <c r="R298" i="14"/>
  <c r="S298" i="14"/>
  <c r="Q299" i="14"/>
  <c r="R299" i="14"/>
  <c r="S299" i="14"/>
  <c r="Q300" i="14"/>
  <c r="R300" i="14"/>
  <c r="S300" i="14"/>
  <c r="Q301" i="14"/>
  <c r="R301" i="14"/>
  <c r="S301" i="14"/>
  <c r="Q302" i="14"/>
  <c r="R302" i="14"/>
  <c r="S302" i="14"/>
  <c r="Q303" i="14"/>
  <c r="R303" i="14"/>
  <c r="S303" i="14"/>
  <c r="Q304" i="14"/>
  <c r="R304" i="14"/>
  <c r="S304" i="14"/>
  <c r="Q305" i="14"/>
  <c r="R305" i="14"/>
  <c r="S305" i="14"/>
  <c r="Q306" i="14"/>
  <c r="R306" i="14"/>
  <c r="S306" i="14"/>
  <c r="Q307" i="14"/>
  <c r="R307" i="14"/>
  <c r="S307" i="14"/>
  <c r="Q308" i="14"/>
  <c r="R308" i="14"/>
  <c r="S308" i="14"/>
  <c r="Q309" i="14"/>
  <c r="R309" i="14"/>
  <c r="S309" i="14"/>
  <c r="Q310" i="14"/>
  <c r="R310" i="14"/>
  <c r="S310" i="14"/>
  <c r="Q311" i="14"/>
  <c r="R311" i="14"/>
  <c r="S311" i="14"/>
  <c r="Q312" i="14"/>
  <c r="R312" i="14"/>
  <c r="S312" i="14"/>
  <c r="Q313" i="14"/>
  <c r="R313" i="14"/>
  <c r="S313" i="14"/>
  <c r="Q314" i="14"/>
  <c r="R314" i="14"/>
  <c r="S314" i="14"/>
  <c r="Q315" i="14"/>
  <c r="R315" i="14"/>
  <c r="S315" i="14"/>
  <c r="Q316" i="14"/>
  <c r="R316" i="14"/>
  <c r="S316" i="14"/>
  <c r="Q317" i="14"/>
  <c r="R317" i="14"/>
  <c r="S317" i="14"/>
  <c r="Q318" i="14"/>
  <c r="R318" i="14"/>
  <c r="S318" i="14"/>
  <c r="Q319" i="14"/>
  <c r="R319" i="14"/>
  <c r="S319" i="14"/>
  <c r="Q320" i="14"/>
  <c r="R320" i="14"/>
  <c r="S320" i="14"/>
  <c r="Q321" i="14"/>
  <c r="R321" i="14"/>
  <c r="S321" i="14"/>
  <c r="Q322" i="14"/>
  <c r="R322" i="14"/>
  <c r="S322" i="14"/>
  <c r="Q323" i="14"/>
  <c r="R323" i="14"/>
  <c r="S323" i="14"/>
  <c r="Q324" i="14"/>
  <c r="R324" i="14"/>
  <c r="S324" i="14"/>
  <c r="Q325" i="14"/>
  <c r="R325" i="14"/>
  <c r="S325" i="14"/>
  <c r="Q326" i="14"/>
  <c r="R326" i="14"/>
  <c r="S326" i="14"/>
  <c r="Q327" i="14"/>
  <c r="R327" i="14"/>
  <c r="S327" i="14"/>
  <c r="Q328" i="14"/>
  <c r="R328" i="14"/>
  <c r="S328" i="14"/>
  <c r="Q329" i="14"/>
  <c r="R329" i="14"/>
  <c r="S329" i="14"/>
  <c r="Q330" i="14"/>
  <c r="R330" i="14"/>
  <c r="S330" i="14"/>
  <c r="Q331" i="14"/>
  <c r="R331" i="14"/>
  <c r="S331" i="14"/>
  <c r="Q332" i="14"/>
  <c r="R332" i="14"/>
  <c r="S332" i="14"/>
  <c r="Q333" i="14"/>
  <c r="R333" i="14"/>
  <c r="S333" i="14"/>
  <c r="Q334" i="14"/>
  <c r="R334" i="14"/>
  <c r="S334" i="14"/>
  <c r="Q335" i="14"/>
  <c r="R335" i="14"/>
  <c r="S335" i="14"/>
  <c r="Q336" i="14"/>
  <c r="R336" i="14"/>
  <c r="S336" i="14"/>
  <c r="Q337" i="14"/>
  <c r="R337" i="14"/>
  <c r="S337" i="14"/>
  <c r="Q338" i="14"/>
  <c r="R338" i="14"/>
  <c r="S338" i="14"/>
  <c r="Q339" i="14"/>
  <c r="R339" i="14"/>
  <c r="S339" i="14"/>
  <c r="Q340" i="14"/>
  <c r="R340" i="14"/>
  <c r="S340" i="14"/>
  <c r="Q341" i="14"/>
  <c r="R341" i="14"/>
  <c r="S341" i="14"/>
  <c r="Q342" i="14"/>
  <c r="R342" i="14"/>
  <c r="S342" i="14"/>
  <c r="Q343" i="14"/>
  <c r="R343" i="14"/>
  <c r="S343" i="14"/>
  <c r="Q344" i="14"/>
  <c r="R344" i="14"/>
  <c r="S344" i="14"/>
  <c r="Q345" i="14"/>
  <c r="R345" i="14"/>
  <c r="S345" i="14"/>
  <c r="Q346" i="14"/>
  <c r="R346" i="14"/>
  <c r="S346" i="14"/>
  <c r="Q347" i="14"/>
  <c r="R347" i="14"/>
  <c r="S347" i="14"/>
  <c r="Q348" i="14"/>
  <c r="R348" i="14"/>
  <c r="S348" i="14"/>
  <c r="Q349" i="14"/>
  <c r="R349" i="14"/>
  <c r="S349" i="14"/>
  <c r="Q350" i="14"/>
  <c r="R350" i="14"/>
  <c r="S350" i="14"/>
  <c r="Q351" i="14"/>
  <c r="R351" i="14"/>
  <c r="S351" i="14"/>
  <c r="Q352" i="14"/>
  <c r="R352" i="14"/>
  <c r="S352" i="14"/>
  <c r="Q353" i="14"/>
  <c r="R353" i="14"/>
  <c r="S353" i="14"/>
  <c r="Q354" i="14"/>
  <c r="R354" i="14"/>
  <c r="S354" i="14"/>
  <c r="Q355" i="14"/>
  <c r="R355" i="14"/>
  <c r="S355" i="14"/>
  <c r="Q356" i="14"/>
  <c r="R356" i="14"/>
  <c r="S356" i="14"/>
  <c r="Q357" i="14"/>
  <c r="R357" i="14"/>
  <c r="S357" i="14"/>
  <c r="Q358" i="14"/>
  <c r="R358" i="14"/>
  <c r="S358" i="14"/>
  <c r="Q359" i="14"/>
  <c r="R359" i="14"/>
  <c r="S359" i="14"/>
  <c r="Q360" i="14"/>
  <c r="R360" i="14"/>
  <c r="S360" i="14"/>
  <c r="Q361" i="14"/>
  <c r="R361" i="14"/>
  <c r="S361" i="14"/>
  <c r="Q362" i="14"/>
  <c r="R362" i="14"/>
  <c r="S362" i="14"/>
  <c r="Q363" i="14"/>
  <c r="R363" i="14"/>
  <c r="S363" i="14"/>
  <c r="Q364" i="14"/>
  <c r="R364" i="14"/>
  <c r="S364" i="14"/>
  <c r="Q365" i="14"/>
  <c r="R365" i="14"/>
  <c r="S365" i="14"/>
  <c r="Q366" i="14"/>
  <c r="R366" i="14"/>
  <c r="S366" i="14"/>
  <c r="Q367" i="14"/>
  <c r="R367" i="14"/>
  <c r="S367" i="14"/>
  <c r="Q368" i="14"/>
  <c r="R368" i="14"/>
  <c r="S368" i="14"/>
  <c r="Q369" i="14"/>
  <c r="R369" i="14"/>
  <c r="S369" i="14"/>
  <c r="Q370" i="14"/>
  <c r="R370" i="14"/>
  <c r="S370" i="14"/>
  <c r="Q371" i="14"/>
  <c r="R371" i="14"/>
  <c r="S371" i="14"/>
  <c r="Q372" i="14"/>
  <c r="R372" i="14"/>
  <c r="S372" i="14"/>
  <c r="Q373" i="14"/>
  <c r="R373" i="14"/>
  <c r="S373" i="14"/>
  <c r="Q374" i="14"/>
  <c r="R374" i="14"/>
  <c r="S374" i="14"/>
  <c r="Q375" i="14"/>
  <c r="R375" i="14"/>
  <c r="S375" i="14"/>
  <c r="Q376" i="14"/>
  <c r="R376" i="14"/>
  <c r="S376" i="14"/>
  <c r="Q377" i="14"/>
  <c r="R377" i="14"/>
  <c r="S377" i="14"/>
  <c r="Q378" i="14"/>
  <c r="R378" i="14"/>
  <c r="S378" i="14"/>
  <c r="Q379" i="14"/>
  <c r="R379" i="14"/>
  <c r="S379" i="14"/>
  <c r="Q380" i="14"/>
  <c r="R380" i="14"/>
  <c r="S380" i="14"/>
  <c r="Q381" i="14"/>
  <c r="R381" i="14"/>
  <c r="S381" i="14"/>
  <c r="Q382" i="14"/>
  <c r="R382" i="14"/>
  <c r="S382" i="14"/>
  <c r="Q383" i="14"/>
  <c r="R383" i="14"/>
  <c r="S383" i="14"/>
  <c r="Q384" i="14"/>
  <c r="R384" i="14"/>
  <c r="S384" i="14"/>
  <c r="Q385" i="14"/>
  <c r="R385" i="14"/>
  <c r="S385" i="14"/>
  <c r="Q386" i="14"/>
  <c r="R386" i="14"/>
  <c r="S386" i="14"/>
  <c r="Q387" i="14"/>
  <c r="R387" i="14"/>
  <c r="S387" i="14"/>
  <c r="Q388" i="14"/>
  <c r="R388" i="14"/>
  <c r="S388" i="14"/>
  <c r="Q389" i="14"/>
  <c r="R389" i="14"/>
  <c r="S389" i="14"/>
  <c r="Q390" i="14"/>
  <c r="R390" i="14"/>
  <c r="S390" i="14"/>
  <c r="Q391" i="14"/>
  <c r="R391" i="14"/>
  <c r="S391" i="14"/>
  <c r="Q392" i="14"/>
  <c r="R392" i="14"/>
  <c r="S392" i="14"/>
  <c r="Q393" i="14"/>
  <c r="R393" i="14"/>
  <c r="S393" i="14"/>
  <c r="Q394" i="14"/>
  <c r="R394" i="14"/>
  <c r="S394" i="14"/>
  <c r="Q395" i="14"/>
  <c r="R395" i="14"/>
  <c r="S395" i="14"/>
  <c r="Q396" i="14"/>
  <c r="R396" i="14"/>
  <c r="S396" i="14"/>
  <c r="Q397" i="14"/>
  <c r="R397" i="14"/>
  <c r="S397" i="14"/>
  <c r="Q398" i="14"/>
  <c r="R398" i="14"/>
  <c r="S398" i="14"/>
  <c r="Q399" i="14"/>
  <c r="R399" i="14"/>
  <c r="S399" i="14"/>
  <c r="Q400" i="14"/>
  <c r="R400" i="14"/>
  <c r="S400" i="14"/>
  <c r="Q401" i="14"/>
  <c r="R401" i="14"/>
  <c r="S401" i="14"/>
  <c r="Q402" i="14"/>
  <c r="R402" i="14"/>
  <c r="S402" i="14"/>
  <c r="Q403" i="14"/>
  <c r="R403" i="14"/>
  <c r="S403" i="14"/>
  <c r="Q404" i="14"/>
  <c r="R404" i="14"/>
  <c r="S404" i="14"/>
  <c r="Q405" i="14"/>
  <c r="R405" i="14"/>
  <c r="S405" i="14"/>
  <c r="Q406" i="14"/>
  <c r="R406" i="14"/>
  <c r="S406" i="14"/>
  <c r="Q407" i="14"/>
  <c r="R407" i="14"/>
  <c r="S407" i="14"/>
  <c r="Q408" i="14"/>
  <c r="R408" i="14"/>
  <c r="S408" i="14"/>
  <c r="R10" i="14"/>
  <c r="S10" i="14"/>
  <c r="Q10" i="14"/>
  <c r="A42" i="14"/>
  <c r="E42" i="14" s="1"/>
  <c r="P42" i="14" s="1"/>
  <c r="A11" i="14"/>
  <c r="A12" i="14"/>
  <c r="A13" i="14"/>
  <c r="A14" i="14"/>
  <c r="E14" i="14" s="1"/>
  <c r="P14" i="14" s="1"/>
  <c r="A15" i="14"/>
  <c r="E15" i="14"/>
  <c r="A21" i="14"/>
  <c r="A22" i="14"/>
  <c r="A23" i="14"/>
  <c r="E23" i="14" s="1"/>
  <c r="P23" i="14" s="1"/>
  <c r="A24" i="14"/>
  <c r="A25" i="14"/>
  <c r="E25" i="14"/>
  <c r="P25" i="14" s="1"/>
  <c r="A40" i="14"/>
  <c r="A41" i="14"/>
  <c r="E41" i="14" s="1"/>
  <c r="P41" i="14" s="1"/>
  <c r="A46" i="14"/>
  <c r="E46" i="14"/>
  <c r="P46" i="14" s="1"/>
  <c r="A47" i="14"/>
  <c r="E47" i="14" s="1"/>
  <c r="P47" i="14" s="1"/>
  <c r="A48" i="14"/>
  <c r="A49" i="14"/>
  <c r="A50" i="14"/>
  <c r="A51" i="14"/>
  <c r="A52" i="14"/>
  <c r="E52" i="14" s="1"/>
  <c r="P52" i="14" s="1"/>
  <c r="A10" i="14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0" i="13"/>
  <c r="K6" i="13"/>
  <c r="K7" i="13"/>
  <c r="K8" i="13"/>
  <c r="K9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434" i="13"/>
  <c r="F435" i="13"/>
  <c r="F436" i="13"/>
  <c r="F437" i="13"/>
  <c r="F438" i="13"/>
  <c r="F439" i="13"/>
  <c r="F440" i="13"/>
  <c r="F441" i="13"/>
  <c r="F442" i="13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59" i="13"/>
  <c r="F460" i="13"/>
  <c r="F461" i="13"/>
  <c r="F462" i="13"/>
  <c r="F463" i="13"/>
  <c r="F464" i="13"/>
  <c r="F465" i="13"/>
  <c r="F466" i="13"/>
  <c r="F467" i="13"/>
  <c r="F468" i="13"/>
  <c r="F469" i="13"/>
  <c r="F470" i="13"/>
  <c r="F471" i="13"/>
  <c r="F472" i="13"/>
  <c r="F473" i="13"/>
  <c r="F474" i="13"/>
  <c r="F475" i="13"/>
  <c r="F476" i="13"/>
  <c r="F477" i="13"/>
  <c r="F478" i="13"/>
  <c r="F479" i="13"/>
  <c r="F480" i="13"/>
  <c r="F481" i="13"/>
  <c r="F482" i="13"/>
  <c r="F483" i="13"/>
  <c r="F484" i="13"/>
  <c r="F485" i="13"/>
  <c r="F486" i="13"/>
  <c r="F487" i="13"/>
  <c r="F488" i="13"/>
  <c r="F489" i="13"/>
  <c r="F490" i="13"/>
  <c r="F491" i="13"/>
  <c r="F492" i="13"/>
  <c r="F493" i="13"/>
  <c r="F494" i="13"/>
  <c r="F495" i="13"/>
  <c r="F496" i="13"/>
  <c r="F497" i="13"/>
  <c r="F498" i="13"/>
  <c r="F499" i="13"/>
  <c r="F500" i="13"/>
  <c r="F501" i="13"/>
  <c r="F502" i="13"/>
  <c r="F503" i="13"/>
  <c r="F504" i="13"/>
  <c r="F505" i="13"/>
  <c r="F506" i="13"/>
  <c r="F507" i="13"/>
  <c r="F508" i="13"/>
  <c r="F509" i="13"/>
  <c r="F510" i="13"/>
  <c r="F511" i="13"/>
  <c r="F512" i="13"/>
  <c r="F513" i="13"/>
  <c r="F514" i="13"/>
  <c r="F515" i="13"/>
  <c r="F516" i="13"/>
  <c r="F517" i="13"/>
  <c r="F518" i="13"/>
  <c r="F519" i="13"/>
  <c r="F520" i="13"/>
  <c r="F521" i="13"/>
  <c r="F522" i="13"/>
  <c r="F523" i="13"/>
  <c r="F524" i="13"/>
  <c r="F525" i="13"/>
  <c r="F526" i="13"/>
  <c r="F527" i="13"/>
  <c r="F528" i="13"/>
  <c r="F529" i="13"/>
  <c r="F530" i="13"/>
  <c r="F531" i="13"/>
  <c r="F532" i="13"/>
  <c r="F533" i="13"/>
  <c r="F534" i="13"/>
  <c r="F535" i="13"/>
  <c r="F536" i="13"/>
  <c r="F537" i="13"/>
  <c r="F538" i="13"/>
  <c r="F539" i="13"/>
  <c r="F540" i="13"/>
  <c r="F541" i="13"/>
  <c r="F542" i="13"/>
  <c r="F543" i="13"/>
  <c r="F544" i="13"/>
  <c r="F545" i="13"/>
  <c r="F546" i="13"/>
  <c r="F547" i="13"/>
  <c r="F548" i="13"/>
  <c r="F549" i="13"/>
  <c r="F550" i="13"/>
  <c r="F551" i="13"/>
  <c r="F552" i="13"/>
  <c r="F553" i="13"/>
  <c r="F554" i="13"/>
  <c r="F555" i="13"/>
  <c r="F556" i="13"/>
  <c r="F557" i="13"/>
  <c r="F558" i="13"/>
  <c r="F559" i="13"/>
  <c r="F560" i="13"/>
  <c r="F561" i="13"/>
  <c r="F562" i="13"/>
  <c r="F563" i="13"/>
  <c r="F564" i="13"/>
  <c r="F565" i="13"/>
  <c r="F566" i="13"/>
  <c r="F567" i="13"/>
  <c r="F568" i="13"/>
  <c r="F569" i="13"/>
  <c r="F570" i="13"/>
  <c r="F571" i="13"/>
  <c r="F572" i="13"/>
  <c r="F573" i="13"/>
  <c r="F574" i="13"/>
  <c r="F575" i="13"/>
  <c r="F576" i="13"/>
  <c r="F577" i="13"/>
  <c r="F578" i="13"/>
  <c r="F579" i="13"/>
  <c r="F580" i="13"/>
  <c r="F581" i="13"/>
  <c r="F582" i="13"/>
  <c r="F583" i="13"/>
  <c r="F584" i="13"/>
  <c r="F585" i="13"/>
  <c r="F586" i="13"/>
  <c r="F587" i="13"/>
  <c r="F588" i="13"/>
  <c r="F589" i="13"/>
  <c r="F590" i="13"/>
  <c r="F591" i="13"/>
  <c r="F592" i="13"/>
  <c r="F593" i="13"/>
  <c r="F594" i="13"/>
  <c r="F595" i="13"/>
  <c r="F596" i="13"/>
  <c r="F597" i="13"/>
  <c r="F598" i="13"/>
  <c r="F599" i="13"/>
  <c r="F600" i="13"/>
  <c r="F601" i="13"/>
  <c r="F602" i="13"/>
  <c r="F603" i="13"/>
  <c r="F604" i="13"/>
  <c r="F605" i="13"/>
  <c r="F606" i="13"/>
  <c r="F607" i="13"/>
  <c r="F608" i="13"/>
  <c r="F609" i="13"/>
  <c r="F610" i="13"/>
  <c r="F611" i="13"/>
  <c r="F612" i="13"/>
  <c r="F613" i="13"/>
  <c r="F614" i="13"/>
  <c r="F615" i="13"/>
  <c r="F616" i="13"/>
  <c r="F617" i="13"/>
  <c r="F618" i="13"/>
  <c r="F619" i="13"/>
  <c r="F620" i="13"/>
  <c r="F621" i="13"/>
  <c r="F622" i="13"/>
  <c r="F623" i="13"/>
  <c r="F624" i="13"/>
  <c r="F625" i="13"/>
  <c r="F626" i="13"/>
  <c r="F627" i="13"/>
  <c r="F628" i="13"/>
  <c r="F629" i="13"/>
  <c r="F630" i="13"/>
  <c r="F631" i="13"/>
  <c r="F632" i="13"/>
  <c r="F633" i="13"/>
  <c r="F634" i="13"/>
  <c r="F635" i="13"/>
  <c r="F636" i="13"/>
  <c r="F637" i="13"/>
  <c r="F638" i="13"/>
  <c r="F639" i="13"/>
  <c r="F640" i="13"/>
  <c r="F641" i="13"/>
  <c r="F642" i="13"/>
  <c r="F643" i="13"/>
  <c r="F644" i="13"/>
  <c r="F645" i="13"/>
  <c r="F646" i="13"/>
  <c r="F647" i="13"/>
  <c r="F648" i="13"/>
  <c r="F649" i="13"/>
  <c r="F650" i="13"/>
  <c r="F651" i="13"/>
  <c r="F652" i="13"/>
  <c r="F653" i="13"/>
  <c r="F654" i="13"/>
  <c r="F655" i="13"/>
  <c r="F656" i="13"/>
  <c r="F657" i="13"/>
  <c r="F658" i="13"/>
  <c r="F659" i="13"/>
  <c r="F660" i="13"/>
  <c r="F661" i="13"/>
  <c r="F662" i="13"/>
  <c r="F663" i="13"/>
  <c r="F664" i="13"/>
  <c r="F665" i="13"/>
  <c r="F666" i="13"/>
  <c r="F667" i="13"/>
  <c r="F668" i="13"/>
  <c r="F669" i="13"/>
  <c r="F670" i="13"/>
  <c r="F671" i="13"/>
  <c r="F672" i="13"/>
  <c r="F673" i="13"/>
  <c r="F674" i="13"/>
  <c r="F675" i="13"/>
  <c r="F676" i="13"/>
  <c r="F677" i="13"/>
  <c r="F678" i="13"/>
  <c r="F679" i="13"/>
  <c r="F680" i="13"/>
  <c r="F681" i="13"/>
  <c r="F682" i="13"/>
  <c r="F683" i="13"/>
  <c r="F684" i="13"/>
  <c r="F685" i="13"/>
  <c r="F686" i="13"/>
  <c r="F687" i="13"/>
  <c r="F688" i="13"/>
  <c r="F689" i="13"/>
  <c r="F690" i="13"/>
  <c r="F691" i="13"/>
  <c r="F692" i="13"/>
  <c r="F693" i="13"/>
  <c r="F694" i="13"/>
  <c r="F695" i="13"/>
  <c r="F696" i="13"/>
  <c r="F697" i="13"/>
  <c r="F698" i="13"/>
  <c r="F699" i="13"/>
  <c r="F700" i="13"/>
  <c r="F701" i="13"/>
  <c r="F702" i="13"/>
  <c r="F703" i="13"/>
  <c r="F704" i="13"/>
  <c r="F705" i="13"/>
  <c r="F706" i="13"/>
  <c r="F707" i="13"/>
  <c r="F708" i="13"/>
  <c r="F709" i="13"/>
  <c r="F710" i="13"/>
  <c r="F711" i="13"/>
  <c r="F712" i="13"/>
  <c r="F713" i="13"/>
  <c r="F714" i="13"/>
  <c r="F715" i="13"/>
  <c r="F716" i="13"/>
  <c r="F717" i="13"/>
  <c r="F718" i="13"/>
  <c r="F719" i="13"/>
  <c r="F720" i="13"/>
  <c r="F721" i="13"/>
  <c r="F722" i="13"/>
  <c r="F723" i="13"/>
  <c r="F724" i="13"/>
  <c r="F725" i="13"/>
  <c r="F726" i="13"/>
  <c r="F727" i="13"/>
  <c r="F728" i="13"/>
  <c r="F729" i="13"/>
  <c r="F730" i="13"/>
  <c r="F731" i="13"/>
  <c r="F732" i="13"/>
  <c r="F733" i="13"/>
  <c r="F734" i="13"/>
  <c r="F735" i="13"/>
  <c r="F736" i="13"/>
  <c r="F737" i="13"/>
  <c r="F738" i="13"/>
  <c r="F739" i="13"/>
  <c r="F740" i="13"/>
  <c r="F741" i="13"/>
  <c r="F742" i="13"/>
  <c r="F743" i="13"/>
  <c r="F744" i="13"/>
  <c r="F745" i="13"/>
  <c r="F746" i="13"/>
  <c r="F747" i="13"/>
  <c r="F748" i="13"/>
  <c r="F749" i="13"/>
  <c r="F750" i="13"/>
  <c r="F751" i="13"/>
  <c r="F752" i="13"/>
  <c r="F753" i="13"/>
  <c r="F754" i="13"/>
  <c r="F755" i="13"/>
  <c r="F756" i="13"/>
  <c r="F757" i="13"/>
  <c r="F758" i="13"/>
  <c r="F759" i="13"/>
  <c r="F760" i="13"/>
  <c r="F761" i="13"/>
  <c r="F762" i="13"/>
  <c r="F763" i="13"/>
  <c r="F764" i="13"/>
  <c r="F765" i="13"/>
  <c r="F766" i="13"/>
  <c r="F767" i="13"/>
  <c r="F768" i="13"/>
  <c r="F769" i="13"/>
  <c r="F770" i="13"/>
  <c r="F771" i="13"/>
  <c r="F772" i="13"/>
  <c r="F773" i="13"/>
  <c r="F774" i="13"/>
  <c r="F775" i="13"/>
  <c r="F776" i="13"/>
  <c r="F777" i="13"/>
  <c r="F778" i="13"/>
  <c r="F779" i="13"/>
  <c r="F780" i="13"/>
  <c r="F781" i="13"/>
  <c r="F782" i="13"/>
  <c r="F783" i="13"/>
  <c r="F784" i="13"/>
  <c r="F785" i="13"/>
  <c r="F786" i="13"/>
  <c r="F787" i="13"/>
  <c r="F788" i="13"/>
  <c r="F789" i="13"/>
  <c r="F790" i="13"/>
  <c r="F791" i="13"/>
  <c r="F792" i="13"/>
  <c r="F793" i="13"/>
  <c r="F794" i="13"/>
  <c r="F795" i="13"/>
  <c r="F796" i="13"/>
  <c r="F797" i="13"/>
  <c r="F798" i="13"/>
  <c r="F799" i="13"/>
  <c r="F800" i="13"/>
  <c r="F801" i="13"/>
  <c r="F802" i="13"/>
  <c r="F803" i="13"/>
  <c r="F804" i="13"/>
  <c r="F805" i="13"/>
  <c r="F806" i="13"/>
  <c r="F807" i="13"/>
  <c r="F808" i="13"/>
  <c r="F809" i="13"/>
  <c r="F810" i="13"/>
  <c r="F811" i="13"/>
  <c r="F812" i="13"/>
  <c r="F813" i="13"/>
  <c r="F814" i="13"/>
  <c r="F815" i="13"/>
  <c r="F816" i="13"/>
  <c r="F817" i="13"/>
  <c r="F818" i="13"/>
  <c r="F819" i="13"/>
  <c r="F820" i="13"/>
  <c r="F821" i="13"/>
  <c r="F822" i="13"/>
  <c r="F823" i="13"/>
  <c r="F824" i="13"/>
  <c r="F825" i="13"/>
  <c r="F826" i="13"/>
  <c r="F827" i="13"/>
  <c r="F828" i="13"/>
  <c r="F829" i="13"/>
  <c r="F830" i="13"/>
  <c r="F831" i="13"/>
  <c r="F832" i="13"/>
  <c r="F833" i="13"/>
  <c r="F834" i="13"/>
  <c r="F835" i="13"/>
  <c r="F836" i="13"/>
  <c r="F837" i="13"/>
  <c r="F838" i="13"/>
  <c r="F839" i="13"/>
  <c r="F840" i="13"/>
  <c r="F841" i="13"/>
  <c r="F842" i="13"/>
  <c r="F843" i="13"/>
  <c r="F844" i="13"/>
  <c r="F845" i="13"/>
  <c r="F846" i="13"/>
  <c r="F847" i="13"/>
  <c r="F848" i="13"/>
  <c r="F849" i="13"/>
  <c r="F850" i="13"/>
  <c r="F851" i="13"/>
  <c r="F852" i="13"/>
  <c r="F853" i="13"/>
  <c r="F854" i="13"/>
  <c r="F855" i="13"/>
  <c r="F856" i="13"/>
  <c r="F857" i="13"/>
  <c r="F858" i="13"/>
  <c r="F859" i="13"/>
  <c r="F860" i="13"/>
  <c r="F861" i="13"/>
  <c r="F862" i="13"/>
  <c r="F863" i="13"/>
  <c r="F864" i="13"/>
  <c r="F865" i="13"/>
  <c r="F866" i="13"/>
  <c r="F867" i="13"/>
  <c r="F868" i="13"/>
  <c r="F869" i="13"/>
  <c r="F870" i="13"/>
  <c r="F871" i="13"/>
  <c r="F872" i="13"/>
  <c r="F873" i="13"/>
  <c r="F874" i="13"/>
  <c r="F875" i="13"/>
  <c r="F876" i="13"/>
  <c r="F877" i="13"/>
  <c r="F878" i="13"/>
  <c r="F879" i="13"/>
  <c r="F880" i="13"/>
  <c r="F881" i="13"/>
  <c r="F882" i="13"/>
  <c r="F883" i="13"/>
  <c r="F884" i="13"/>
  <c r="F885" i="13"/>
  <c r="F886" i="13"/>
  <c r="F887" i="13"/>
  <c r="F888" i="13"/>
  <c r="F889" i="13"/>
  <c r="F890" i="13"/>
  <c r="F891" i="13"/>
  <c r="F892" i="13"/>
  <c r="F893" i="13"/>
  <c r="F894" i="13"/>
  <c r="F895" i="13"/>
  <c r="F896" i="13"/>
  <c r="F897" i="13"/>
  <c r="F898" i="13"/>
  <c r="F899" i="13"/>
  <c r="F900" i="13"/>
  <c r="F901" i="13"/>
  <c r="F902" i="13"/>
  <c r="F903" i="13"/>
  <c r="F904" i="13"/>
  <c r="F905" i="13"/>
  <c r="F906" i="13"/>
  <c r="F907" i="13"/>
  <c r="F908" i="13"/>
  <c r="F909" i="13"/>
  <c r="F910" i="13"/>
  <c r="F911" i="13"/>
  <c r="F912" i="13"/>
  <c r="F913" i="13"/>
  <c r="F914" i="13"/>
  <c r="F915" i="13"/>
  <c r="F916" i="13"/>
  <c r="F917" i="13"/>
  <c r="F918" i="13"/>
  <c r="F919" i="13"/>
  <c r="F920" i="13"/>
  <c r="F921" i="13"/>
  <c r="F922" i="13"/>
  <c r="F923" i="13"/>
  <c r="F924" i="13"/>
  <c r="F925" i="13"/>
  <c r="F926" i="13"/>
  <c r="F927" i="13"/>
  <c r="F928" i="13"/>
  <c r="F929" i="13"/>
  <c r="F930" i="13"/>
  <c r="F931" i="13"/>
  <c r="F932" i="13"/>
  <c r="F933" i="13"/>
  <c r="F934" i="13"/>
  <c r="F935" i="13"/>
  <c r="F936" i="13"/>
  <c r="F937" i="13"/>
  <c r="F938" i="13"/>
  <c r="F939" i="13"/>
  <c r="F940" i="13"/>
  <c r="F941" i="13"/>
  <c r="F942" i="13"/>
  <c r="F943" i="13"/>
  <c r="F944" i="13"/>
  <c r="F945" i="13"/>
  <c r="F946" i="13"/>
  <c r="F947" i="13"/>
  <c r="F948" i="13"/>
  <c r="F949" i="13"/>
  <c r="F950" i="13"/>
  <c r="F951" i="13"/>
  <c r="F952" i="13"/>
  <c r="F953" i="13"/>
  <c r="F954" i="13"/>
  <c r="F955" i="13"/>
  <c r="F956" i="13"/>
  <c r="F957" i="13"/>
  <c r="F958" i="13"/>
  <c r="F959" i="13"/>
  <c r="F960" i="13"/>
  <c r="F961" i="13"/>
  <c r="F962" i="13"/>
  <c r="F963" i="13"/>
  <c r="F964" i="13"/>
  <c r="F965" i="13"/>
  <c r="F966" i="13"/>
  <c r="F967" i="13"/>
  <c r="F968" i="13"/>
  <c r="F969" i="13"/>
  <c r="F970" i="13"/>
  <c r="F971" i="13"/>
  <c r="F972" i="13"/>
  <c r="F973" i="13"/>
  <c r="F974" i="13"/>
  <c r="F975" i="13"/>
  <c r="F976" i="13"/>
  <c r="F977" i="13"/>
  <c r="F978" i="13"/>
  <c r="F979" i="13"/>
  <c r="F980" i="13"/>
  <c r="F981" i="13"/>
  <c r="F982" i="13"/>
  <c r="F983" i="13"/>
  <c r="F984" i="13"/>
  <c r="F985" i="13"/>
  <c r="F986" i="13"/>
  <c r="F987" i="13"/>
  <c r="F988" i="13"/>
  <c r="F989" i="13"/>
  <c r="F990" i="13"/>
  <c r="F991" i="13"/>
  <c r="F992" i="13"/>
  <c r="F993" i="13"/>
  <c r="F994" i="13"/>
  <c r="F995" i="13"/>
  <c r="F996" i="13"/>
  <c r="F997" i="13"/>
  <c r="F998" i="13"/>
  <c r="F999" i="13"/>
  <c r="F1000" i="13"/>
  <c r="F1001" i="13"/>
  <c r="F1002" i="13"/>
  <c r="F1003" i="13"/>
  <c r="F1004" i="13"/>
  <c r="F1005" i="13"/>
  <c r="F1006" i="13"/>
  <c r="F1007" i="13"/>
  <c r="F1008" i="13"/>
  <c r="F1009" i="13"/>
  <c r="F1010" i="13"/>
  <c r="F1011" i="13"/>
  <c r="F1012" i="13"/>
  <c r="F1013" i="13"/>
  <c r="F1014" i="13"/>
  <c r="F1015" i="13"/>
  <c r="F1016" i="13"/>
  <c r="F1017" i="13"/>
  <c r="F1018" i="13"/>
  <c r="F1019" i="13"/>
  <c r="F1020" i="13"/>
  <c r="F1021" i="13"/>
  <c r="F1022" i="13"/>
  <c r="F1023" i="13"/>
  <c r="F1024" i="13"/>
  <c r="F1025" i="13"/>
  <c r="F1026" i="13"/>
  <c r="F1027" i="13"/>
  <c r="F1028" i="13"/>
  <c r="F1029" i="13"/>
  <c r="F1030" i="13"/>
  <c r="F1031" i="13"/>
  <c r="F1032" i="13"/>
  <c r="F1033" i="13"/>
  <c r="F1034" i="13"/>
  <c r="F1035" i="13"/>
  <c r="F1036" i="13"/>
  <c r="F1037" i="13"/>
  <c r="F1038" i="13"/>
  <c r="F1039" i="13"/>
  <c r="F1040" i="13"/>
  <c r="F1041" i="13"/>
  <c r="F1042" i="13"/>
  <c r="F1043" i="13"/>
  <c r="F1044" i="13"/>
  <c r="F1045" i="13"/>
  <c r="F1046" i="13"/>
  <c r="F1047" i="13"/>
  <c r="F1048" i="13"/>
  <c r="F1049" i="13"/>
  <c r="F1050" i="13"/>
  <c r="F1051" i="13"/>
  <c r="F1052" i="13"/>
  <c r="F1053" i="13"/>
  <c r="F1054" i="13"/>
  <c r="F1055" i="13"/>
  <c r="F1056" i="13"/>
  <c r="F1057" i="13"/>
  <c r="F1058" i="13"/>
  <c r="F1059" i="13"/>
  <c r="F1060" i="13"/>
  <c r="F1061" i="13"/>
  <c r="F1062" i="13"/>
  <c r="F1063" i="13"/>
  <c r="F1064" i="13"/>
  <c r="F1065" i="13"/>
  <c r="F1066" i="13"/>
  <c r="F1067" i="13"/>
  <c r="F1068" i="13"/>
  <c r="F1069" i="13"/>
  <c r="F1070" i="13"/>
  <c r="F1071" i="13"/>
  <c r="F1072" i="13"/>
  <c r="F1073" i="13"/>
  <c r="F1074" i="13"/>
  <c r="F1075" i="13"/>
  <c r="F1076" i="13"/>
  <c r="F1077" i="13"/>
  <c r="F1078" i="13"/>
  <c r="F1079" i="13"/>
  <c r="F1080" i="13"/>
  <c r="F1081" i="13"/>
  <c r="F1082" i="13"/>
  <c r="F1083" i="13"/>
  <c r="F1084" i="13"/>
  <c r="F1085" i="13"/>
  <c r="F1086" i="13"/>
  <c r="F1087" i="13"/>
  <c r="F1088" i="13"/>
  <c r="F1089" i="13"/>
  <c r="F1090" i="13"/>
  <c r="F1091" i="13"/>
  <c r="F1092" i="13"/>
  <c r="F1093" i="13"/>
  <c r="F1094" i="13"/>
  <c r="F1095" i="13"/>
  <c r="F1096" i="13"/>
  <c r="F1097" i="13"/>
  <c r="F1098" i="13"/>
  <c r="F1099" i="13"/>
  <c r="F1100" i="13"/>
  <c r="F1101" i="13"/>
  <c r="F1102" i="13"/>
  <c r="F1103" i="13"/>
  <c r="F1104" i="13"/>
  <c r="F1105" i="13"/>
  <c r="F1106" i="13"/>
  <c r="F1107" i="13"/>
  <c r="F1108" i="13"/>
  <c r="F1109" i="13"/>
  <c r="F1110" i="13"/>
  <c r="F1111" i="13"/>
  <c r="F1112" i="13"/>
  <c r="F1113" i="13"/>
  <c r="F1114" i="13"/>
  <c r="F1115" i="13"/>
  <c r="F1116" i="13"/>
  <c r="F1117" i="13"/>
  <c r="F1118" i="13"/>
  <c r="F1119" i="13"/>
  <c r="F1120" i="13"/>
  <c r="F1121" i="13"/>
  <c r="F1122" i="13"/>
  <c r="F1123" i="13"/>
  <c r="F1124" i="13"/>
  <c r="F1125" i="13"/>
  <c r="F1126" i="13"/>
  <c r="F1127" i="13"/>
  <c r="F1128" i="13"/>
  <c r="F1129" i="13"/>
  <c r="F1130" i="13"/>
  <c r="F1131" i="13"/>
  <c r="F1132" i="13"/>
  <c r="F1133" i="13"/>
  <c r="F1134" i="13"/>
  <c r="F1135" i="13"/>
  <c r="F1136" i="13"/>
  <c r="F1137" i="13"/>
  <c r="F1138" i="13"/>
  <c r="F1139" i="13"/>
  <c r="F1140" i="13"/>
  <c r="F1141" i="13"/>
  <c r="F1142" i="13"/>
  <c r="F1143" i="13"/>
  <c r="F1144" i="13"/>
  <c r="F1145" i="13"/>
  <c r="F1146" i="13"/>
  <c r="F1147" i="13"/>
  <c r="F1148" i="13"/>
  <c r="F1149" i="13"/>
  <c r="F1150" i="13"/>
  <c r="F1151" i="13"/>
  <c r="F1152" i="13"/>
  <c r="F1153" i="13"/>
  <c r="F1154" i="13"/>
  <c r="F1155" i="13"/>
  <c r="F1156" i="13"/>
  <c r="F1157" i="13"/>
  <c r="F1158" i="13"/>
  <c r="F1159" i="13"/>
  <c r="F1160" i="13"/>
  <c r="F1161" i="13"/>
  <c r="F1162" i="13"/>
  <c r="F1163" i="13"/>
  <c r="F1164" i="13"/>
  <c r="F1165" i="13"/>
  <c r="F1166" i="13"/>
  <c r="F1167" i="13"/>
  <c r="F1168" i="13"/>
  <c r="F1169" i="13"/>
  <c r="F1170" i="13"/>
  <c r="F1171" i="13"/>
  <c r="F1172" i="13"/>
  <c r="F1173" i="13"/>
  <c r="F1174" i="13"/>
  <c r="F1175" i="13"/>
  <c r="F1176" i="13"/>
  <c r="F1177" i="13"/>
  <c r="F1178" i="13"/>
  <c r="F1179" i="13"/>
  <c r="F1180" i="13"/>
  <c r="F1181" i="13"/>
  <c r="F1182" i="13"/>
  <c r="F1183" i="13"/>
  <c r="F1184" i="13"/>
  <c r="F1185" i="13"/>
  <c r="F1186" i="13"/>
  <c r="F1187" i="13"/>
  <c r="F1188" i="13"/>
  <c r="F1189" i="13"/>
  <c r="F1190" i="13"/>
  <c r="F1191" i="13"/>
  <c r="F1192" i="13"/>
  <c r="F1193" i="13"/>
  <c r="F1194" i="13"/>
  <c r="F1195" i="13"/>
  <c r="F1196" i="13"/>
  <c r="F1197" i="13"/>
  <c r="F1198" i="13"/>
  <c r="F1199" i="13"/>
  <c r="F1200" i="13"/>
  <c r="F1201" i="13"/>
  <c r="F1202" i="13"/>
  <c r="F1203" i="13"/>
  <c r="F1204" i="13"/>
  <c r="F1205" i="13"/>
  <c r="F1206" i="13"/>
  <c r="F1207" i="13"/>
  <c r="F1208" i="13"/>
  <c r="F1209" i="13"/>
  <c r="F1210" i="13"/>
  <c r="F1211" i="13"/>
  <c r="F1212" i="13"/>
  <c r="F1213" i="13"/>
  <c r="F1214" i="13"/>
  <c r="F1215" i="13"/>
  <c r="F1216" i="13"/>
  <c r="F1217" i="13"/>
  <c r="F1218" i="13"/>
  <c r="F1219" i="13"/>
  <c r="F1220" i="13"/>
  <c r="F1221" i="13"/>
  <c r="F1222" i="13"/>
  <c r="F1223" i="13"/>
  <c r="F1224" i="13"/>
  <c r="F1225" i="13"/>
  <c r="F1226" i="13"/>
  <c r="F1227" i="13"/>
  <c r="F1228" i="13"/>
  <c r="F1229" i="13"/>
  <c r="F1230" i="13"/>
  <c r="F1231" i="13"/>
  <c r="F1232" i="13"/>
  <c r="F1233" i="13"/>
  <c r="F1234" i="13"/>
  <c r="F1235" i="13"/>
  <c r="F1236" i="13"/>
  <c r="F1237" i="13"/>
  <c r="F1238" i="13"/>
  <c r="F1239" i="13"/>
  <c r="F1240" i="13"/>
  <c r="F1241" i="13"/>
  <c r="F1242" i="13"/>
  <c r="F1243" i="13"/>
  <c r="F1244" i="13"/>
  <c r="F1245" i="13"/>
  <c r="F1246" i="13"/>
  <c r="F1247" i="13"/>
  <c r="F1248" i="13"/>
  <c r="F1249" i="13"/>
  <c r="F1250" i="13"/>
  <c r="F1251" i="13"/>
  <c r="F1252" i="13"/>
  <c r="F1253" i="13"/>
  <c r="F1254" i="13"/>
  <c r="F1255" i="13"/>
  <c r="F1256" i="13"/>
  <c r="F1257" i="13"/>
  <c r="F1258" i="13"/>
  <c r="F1259" i="13"/>
  <c r="F1260" i="13"/>
  <c r="F1261" i="13"/>
  <c r="F1262" i="13"/>
  <c r="F1263" i="13"/>
  <c r="F1264" i="13"/>
  <c r="F1265" i="13"/>
  <c r="F1266" i="13"/>
  <c r="F1267" i="13"/>
  <c r="F1268" i="13"/>
  <c r="F1269" i="13"/>
  <c r="F1270" i="13"/>
  <c r="F1271" i="13"/>
  <c r="F1272" i="13"/>
  <c r="F1273" i="13"/>
  <c r="F1274" i="13"/>
  <c r="F1275" i="13"/>
  <c r="F1276" i="13"/>
  <c r="F1277" i="13"/>
  <c r="F1278" i="13"/>
  <c r="F1279" i="13"/>
  <c r="F1280" i="13"/>
  <c r="F1281" i="13"/>
  <c r="F1282" i="13"/>
  <c r="F1283" i="13"/>
  <c r="F1284" i="13"/>
  <c r="F1285" i="13"/>
  <c r="F1286" i="13"/>
  <c r="F1287" i="13"/>
  <c r="F1288" i="13"/>
  <c r="F1289" i="13"/>
  <c r="F1290" i="13"/>
  <c r="F1291" i="13"/>
  <c r="F1292" i="13"/>
  <c r="F1293" i="13"/>
  <c r="F1294" i="13"/>
  <c r="F1295" i="13"/>
  <c r="F1296" i="13"/>
  <c r="F1297" i="13"/>
  <c r="F1298" i="13"/>
  <c r="F1299" i="13"/>
  <c r="F1300" i="13"/>
  <c r="F1301" i="13"/>
  <c r="F1302" i="13"/>
  <c r="F1303" i="13"/>
  <c r="F1304" i="13"/>
  <c r="F1305" i="13"/>
  <c r="F1306" i="13"/>
  <c r="F1307" i="13"/>
  <c r="F1308" i="13"/>
  <c r="F1309" i="13"/>
  <c r="F1310" i="13"/>
  <c r="F1311" i="13"/>
  <c r="F1312" i="13"/>
  <c r="F1313" i="13"/>
  <c r="F1314" i="13"/>
  <c r="F1315" i="13"/>
  <c r="F1316" i="13"/>
  <c r="F1317" i="13"/>
  <c r="F1318" i="13"/>
  <c r="F1319" i="13"/>
  <c r="F1320" i="13"/>
  <c r="F1321" i="13"/>
  <c r="F1322" i="13"/>
  <c r="F1323" i="13"/>
  <c r="F1324" i="13"/>
  <c r="F1325" i="13"/>
  <c r="F1326" i="13"/>
  <c r="F1327" i="13"/>
  <c r="F1328" i="13"/>
  <c r="F1329" i="13"/>
  <c r="F1330" i="13"/>
  <c r="F1331" i="13"/>
  <c r="F1332" i="13"/>
  <c r="F1333" i="13"/>
  <c r="F1334" i="13"/>
  <c r="F1335" i="13"/>
  <c r="F1336" i="13"/>
  <c r="F1337" i="13"/>
  <c r="F1338" i="13"/>
  <c r="F1339" i="13"/>
  <c r="F1340" i="13"/>
  <c r="F1341" i="13"/>
  <c r="F1342" i="13"/>
  <c r="F1343" i="13"/>
  <c r="F1344" i="13"/>
  <c r="F1345" i="13"/>
  <c r="F1346" i="13"/>
  <c r="F1347" i="13"/>
  <c r="F1348" i="13"/>
  <c r="F1349" i="13"/>
  <c r="F1350" i="13"/>
  <c r="F1351" i="13"/>
  <c r="F1352" i="13"/>
  <c r="F1353" i="13"/>
  <c r="F1354" i="13"/>
  <c r="F1355" i="13"/>
  <c r="F1356" i="13"/>
  <c r="F1357" i="13"/>
  <c r="F1358" i="13"/>
  <c r="F1359" i="13"/>
  <c r="F1360" i="13"/>
  <c r="F1361" i="13"/>
  <c r="F1362" i="13"/>
  <c r="F1363" i="13"/>
  <c r="F1364" i="13"/>
  <c r="F1365" i="13"/>
  <c r="F1366" i="13"/>
  <c r="F1367" i="13"/>
  <c r="F1368" i="13"/>
  <c r="F1369" i="13"/>
  <c r="F1370" i="13"/>
  <c r="F1371" i="13"/>
  <c r="F1372" i="13"/>
  <c r="F1373" i="13"/>
  <c r="F1374" i="13"/>
  <c r="F1375" i="13"/>
  <c r="F1376" i="13"/>
  <c r="F1377" i="13"/>
  <c r="F1378" i="13"/>
  <c r="F1379" i="13"/>
  <c r="F1380" i="13"/>
  <c r="F1381" i="13"/>
  <c r="F1382" i="13"/>
  <c r="F1383" i="13"/>
  <c r="F1384" i="13"/>
  <c r="F1385" i="13"/>
  <c r="F1386" i="13"/>
  <c r="F1387" i="13"/>
  <c r="F1388" i="13"/>
  <c r="F1389" i="13"/>
  <c r="F1390" i="13"/>
  <c r="F1391" i="13"/>
  <c r="F1392" i="13"/>
  <c r="F1393" i="13"/>
  <c r="F1394" i="13"/>
  <c r="F1395" i="13"/>
  <c r="F1396" i="13"/>
  <c r="F1397" i="13"/>
  <c r="F1398" i="13"/>
  <c r="F1399" i="13"/>
  <c r="F1400" i="13"/>
  <c r="F1401" i="13"/>
  <c r="F1402" i="13"/>
  <c r="F1403" i="13"/>
  <c r="F1404" i="13"/>
  <c r="F1405" i="13"/>
  <c r="F1406" i="13"/>
  <c r="F1407" i="13"/>
  <c r="F1408" i="13"/>
  <c r="F1409" i="13"/>
  <c r="F1410" i="13"/>
  <c r="F1411" i="13"/>
  <c r="F1412" i="13"/>
  <c r="F1413" i="13"/>
  <c r="F1414" i="13"/>
  <c r="F1415" i="13"/>
  <c r="F1416" i="13"/>
  <c r="F1417" i="13"/>
  <c r="F1418" i="13"/>
  <c r="F1419" i="13"/>
  <c r="F1420" i="13"/>
  <c r="F1421" i="13"/>
  <c r="F1422" i="13"/>
  <c r="F1423" i="13"/>
  <c r="F1424" i="13"/>
  <c r="F1425" i="13"/>
  <c r="F1426" i="13"/>
  <c r="F1427" i="13"/>
  <c r="F1428" i="13"/>
  <c r="F1429" i="13"/>
  <c r="F1430" i="13"/>
  <c r="F1431" i="13"/>
  <c r="F1432" i="13"/>
  <c r="F1433" i="13"/>
  <c r="F1434" i="13"/>
  <c r="F1435" i="13"/>
  <c r="F1436" i="13"/>
  <c r="F1437" i="13"/>
  <c r="F1438" i="13"/>
  <c r="F1439" i="13"/>
  <c r="F1440" i="13"/>
  <c r="F1441" i="13"/>
  <c r="F1442" i="13"/>
  <c r="F1443" i="13"/>
  <c r="F1444" i="13"/>
  <c r="F1445" i="13"/>
  <c r="F1446" i="13"/>
  <c r="F1447" i="13"/>
  <c r="F1448" i="13"/>
  <c r="F1449" i="13"/>
  <c r="F1450" i="13"/>
  <c r="F1451" i="13"/>
  <c r="F1452" i="13"/>
  <c r="F1453" i="13"/>
  <c r="F1454" i="13"/>
  <c r="F1455" i="13"/>
  <c r="F1456" i="13"/>
  <c r="F1457" i="13"/>
  <c r="F1458" i="13"/>
  <c r="F1459" i="13"/>
  <c r="F1460" i="13"/>
  <c r="F1461" i="13"/>
  <c r="F1462" i="13"/>
  <c r="F1463" i="13"/>
  <c r="F1464" i="13"/>
  <c r="F1465" i="13"/>
  <c r="F1466" i="13"/>
  <c r="F1467" i="13"/>
  <c r="F1468" i="13"/>
  <c r="F1469" i="13"/>
  <c r="F1470" i="13"/>
  <c r="F1471" i="13"/>
  <c r="F1472" i="13"/>
  <c r="F1473" i="13"/>
  <c r="F1474" i="13"/>
  <c r="F1475" i="13"/>
  <c r="F1476" i="13"/>
  <c r="F1477" i="13"/>
  <c r="F1478" i="13"/>
  <c r="F1479" i="13"/>
  <c r="F1480" i="13"/>
  <c r="F1481" i="13"/>
  <c r="F1482" i="13"/>
  <c r="F1483" i="13"/>
  <c r="F1484" i="13"/>
  <c r="F1485" i="13"/>
  <c r="F1486" i="13"/>
  <c r="F1487" i="13"/>
  <c r="F1488" i="13"/>
  <c r="F1489" i="13"/>
  <c r="F1490" i="13"/>
  <c r="F1491" i="13"/>
  <c r="F1492" i="13"/>
  <c r="F1493" i="13"/>
  <c r="F1494" i="13"/>
  <c r="F1495" i="13"/>
  <c r="F1496" i="13"/>
  <c r="F1497" i="13"/>
  <c r="F1498" i="13"/>
  <c r="F1499" i="13"/>
  <c r="F1500" i="13"/>
  <c r="F1501" i="13"/>
  <c r="F1502" i="13"/>
  <c r="F1503" i="13"/>
  <c r="F1504" i="13"/>
  <c r="F1505" i="13"/>
  <c r="F1506" i="13"/>
  <c r="F1507" i="13"/>
  <c r="F1508" i="13"/>
  <c r="F1509" i="13"/>
  <c r="F1510" i="13"/>
  <c r="F1511" i="13"/>
  <c r="F1512" i="13"/>
  <c r="F1513" i="13"/>
  <c r="F1514" i="13"/>
  <c r="F1515" i="13"/>
  <c r="F1516" i="13"/>
  <c r="F1517" i="13"/>
  <c r="F1518" i="13"/>
  <c r="F1519" i="13"/>
  <c r="F1520" i="13"/>
  <c r="F1521" i="13"/>
  <c r="F1522" i="13"/>
  <c r="F1523" i="13"/>
  <c r="F1524" i="13"/>
  <c r="F1525" i="13"/>
  <c r="F1526" i="13"/>
  <c r="F1527" i="13"/>
  <c r="F1528" i="13"/>
  <c r="F1529" i="13"/>
  <c r="F1530" i="13"/>
  <c r="F1531" i="13"/>
  <c r="F1532" i="13"/>
  <c r="F1533" i="13"/>
  <c r="F1534" i="13"/>
  <c r="F1535" i="13"/>
  <c r="F1536" i="13"/>
  <c r="F1537" i="13"/>
  <c r="F1538" i="13"/>
  <c r="F1539" i="13"/>
  <c r="F1540" i="13"/>
  <c r="F1541" i="13"/>
  <c r="F1542" i="13"/>
  <c r="F1543" i="13"/>
  <c r="F1544" i="13"/>
  <c r="F1545" i="13"/>
  <c r="F1546" i="13"/>
  <c r="F1547" i="13"/>
  <c r="F1548" i="13"/>
  <c r="F1549" i="13"/>
  <c r="F1550" i="13"/>
  <c r="F1551" i="13"/>
  <c r="F1552" i="13"/>
  <c r="F1553" i="13"/>
  <c r="F1554" i="13"/>
  <c r="F1555" i="13"/>
  <c r="F1556" i="13"/>
  <c r="F1557" i="13"/>
  <c r="F1558" i="13"/>
  <c r="F1559" i="13"/>
  <c r="F1560" i="13"/>
  <c r="F1561" i="13"/>
  <c r="F1562" i="13"/>
  <c r="F1563" i="13"/>
  <c r="F1564" i="13"/>
  <c r="F1565" i="13"/>
  <c r="F1566" i="13"/>
  <c r="F1567" i="13"/>
  <c r="F1568" i="13"/>
  <c r="F1569" i="13"/>
  <c r="F1570" i="13"/>
  <c r="F1571" i="13"/>
  <c r="F1572" i="13"/>
  <c r="F1573" i="13"/>
  <c r="F1574" i="13"/>
  <c r="F1575" i="13"/>
  <c r="F1576" i="13"/>
  <c r="F1577" i="13"/>
  <c r="F1578" i="13"/>
  <c r="F1579" i="13"/>
  <c r="F1580" i="13"/>
  <c r="F1581" i="13"/>
  <c r="F1582" i="13"/>
  <c r="F1583" i="13"/>
  <c r="F1584" i="13"/>
  <c r="F1585" i="13"/>
  <c r="F1586" i="13"/>
  <c r="F1587" i="13"/>
  <c r="F1588" i="13"/>
  <c r="F1589" i="13"/>
  <c r="F1590" i="13"/>
  <c r="F1591" i="13"/>
  <c r="F1592" i="13"/>
  <c r="F1593" i="13"/>
  <c r="F1594" i="13"/>
  <c r="F1595" i="13"/>
  <c r="F1596" i="13"/>
  <c r="F1597" i="13"/>
  <c r="F1598" i="13"/>
  <c r="F1599" i="13"/>
  <c r="F1600" i="13"/>
  <c r="F1601" i="13"/>
  <c r="F1602" i="13"/>
  <c r="F1603" i="13"/>
  <c r="F1604" i="13"/>
  <c r="F1605" i="13"/>
  <c r="F1606" i="13"/>
  <c r="F1607" i="13"/>
  <c r="F1608" i="13"/>
  <c r="F1609" i="13"/>
  <c r="F1610" i="13"/>
  <c r="F1611" i="13"/>
  <c r="F1612" i="13"/>
  <c r="F1613" i="13"/>
  <c r="F1614" i="13"/>
  <c r="F1615" i="13"/>
  <c r="F1616" i="13"/>
  <c r="F1617" i="13"/>
  <c r="F1618" i="13"/>
  <c r="F1619" i="13"/>
  <c r="F1620" i="13"/>
  <c r="F1621" i="13"/>
  <c r="F1622" i="13"/>
  <c r="F1623" i="13"/>
  <c r="F1624" i="13"/>
  <c r="F1625" i="13"/>
  <c r="F1626" i="13"/>
  <c r="F1627" i="13"/>
  <c r="F1628" i="13"/>
  <c r="F1629" i="13"/>
  <c r="F1630" i="13"/>
  <c r="F1631" i="13"/>
  <c r="F1632" i="13"/>
  <c r="F1633" i="13"/>
  <c r="F1634" i="13"/>
  <c r="F1635" i="13"/>
  <c r="F1636" i="13"/>
  <c r="F1637" i="13"/>
  <c r="F1638" i="13"/>
  <c r="F1639" i="13"/>
  <c r="F1640" i="13"/>
  <c r="F1641" i="13"/>
  <c r="F1642" i="13"/>
  <c r="F1643" i="13"/>
  <c r="F1644" i="13"/>
  <c r="F1645" i="13"/>
  <c r="F1646" i="13"/>
  <c r="F1647" i="13"/>
  <c r="F1648" i="13"/>
  <c r="F1649" i="13"/>
  <c r="F1650" i="13"/>
  <c r="F1651" i="13"/>
  <c r="F1652" i="13"/>
  <c r="F1653" i="13"/>
  <c r="F1654" i="13"/>
  <c r="F1655" i="13"/>
  <c r="F1656" i="13"/>
  <c r="F1657" i="13"/>
  <c r="F1658" i="13"/>
  <c r="F1659" i="13"/>
  <c r="F1660" i="13"/>
  <c r="F1661" i="13"/>
  <c r="F1662" i="13"/>
  <c r="F1663" i="13"/>
  <c r="F1664" i="13"/>
  <c r="F1665" i="13"/>
  <c r="F1666" i="13"/>
  <c r="F1667" i="13"/>
  <c r="F1668" i="13"/>
  <c r="F1669" i="13"/>
  <c r="F1670" i="13"/>
  <c r="F1671" i="13"/>
  <c r="F1672" i="13"/>
  <c r="F1673" i="13"/>
  <c r="F1674" i="13"/>
  <c r="F1675" i="13"/>
  <c r="F1676" i="13"/>
  <c r="F1677" i="13"/>
  <c r="F1678" i="13"/>
  <c r="F1679" i="13"/>
  <c r="F1680" i="13"/>
  <c r="F1681" i="13"/>
  <c r="F1682" i="13"/>
  <c r="F1683" i="13"/>
  <c r="F1684" i="13"/>
  <c r="F1685" i="13"/>
  <c r="F1686" i="13"/>
  <c r="F1687" i="13"/>
  <c r="F1688" i="13"/>
  <c r="F1689" i="13"/>
  <c r="F1690" i="13"/>
  <c r="F1691" i="13"/>
  <c r="F1692" i="13"/>
  <c r="F1693" i="13"/>
  <c r="F1694" i="13"/>
  <c r="F1695" i="13"/>
  <c r="F1696" i="13"/>
  <c r="F1697" i="13"/>
  <c r="F1698" i="13"/>
  <c r="F1699" i="13"/>
  <c r="F1700" i="13"/>
  <c r="F1701" i="13"/>
  <c r="F1702" i="13"/>
  <c r="F1703" i="13"/>
  <c r="F1704" i="13"/>
  <c r="F1705" i="13"/>
  <c r="F1706" i="13"/>
  <c r="F1707" i="13"/>
  <c r="F1708" i="13"/>
  <c r="F1709" i="13"/>
  <c r="F1710" i="13"/>
  <c r="F1711" i="13"/>
  <c r="F1712" i="13"/>
  <c r="F1713" i="13"/>
  <c r="F1714" i="13"/>
  <c r="F1715" i="13"/>
  <c r="F1716" i="13"/>
  <c r="F1717" i="13"/>
  <c r="F1718" i="13"/>
  <c r="F1719" i="13"/>
  <c r="F1720" i="13"/>
  <c r="F1721" i="13"/>
  <c r="F1722" i="13"/>
  <c r="F1723" i="13"/>
  <c r="F1724" i="13"/>
  <c r="F1725" i="13"/>
  <c r="F1726" i="13"/>
  <c r="F1727" i="13"/>
  <c r="F1728" i="13"/>
  <c r="F1729" i="13"/>
  <c r="F1730" i="13"/>
  <c r="F1731" i="13"/>
  <c r="F1732" i="13"/>
  <c r="F1733" i="13"/>
  <c r="F1734" i="13"/>
  <c r="F1735" i="13"/>
  <c r="F1736" i="13"/>
  <c r="F1737" i="13"/>
  <c r="F1738" i="13"/>
  <c r="F1739" i="13"/>
  <c r="F1740" i="13"/>
  <c r="F1741" i="13"/>
  <c r="F1742" i="13"/>
  <c r="F1743" i="13"/>
  <c r="F1744" i="13"/>
  <c r="F1745" i="13"/>
  <c r="F1746" i="13"/>
  <c r="F1747" i="13"/>
  <c r="F1748" i="13"/>
  <c r="F1749" i="13"/>
  <c r="F1750" i="13"/>
  <c r="F1751" i="13"/>
  <c r="F1752" i="13"/>
  <c r="F1753" i="13"/>
  <c r="F1754" i="13"/>
  <c r="F1755" i="13"/>
  <c r="F1756" i="13"/>
  <c r="F1757" i="13"/>
  <c r="F1758" i="13"/>
  <c r="F1759" i="13"/>
  <c r="F1760" i="13"/>
  <c r="F1761" i="13"/>
  <c r="F1762" i="13"/>
  <c r="F1763" i="13"/>
  <c r="F1764" i="13"/>
  <c r="F1765" i="13"/>
  <c r="F1766" i="13"/>
  <c r="F1767" i="13"/>
  <c r="F1768" i="13"/>
  <c r="F1769" i="13"/>
  <c r="F1770" i="13"/>
  <c r="F1771" i="13"/>
  <c r="F1772" i="13"/>
  <c r="F1773" i="13"/>
  <c r="F1774" i="13"/>
  <c r="F1775" i="13"/>
  <c r="F1776" i="13"/>
  <c r="F1777" i="13"/>
  <c r="F1778" i="13"/>
  <c r="F1779" i="13"/>
  <c r="F1780" i="13"/>
  <c r="F1781" i="13"/>
  <c r="F1782" i="13"/>
  <c r="F1783" i="13"/>
  <c r="F1784" i="13"/>
  <c r="F1785" i="13"/>
  <c r="F1786" i="13"/>
  <c r="F1787" i="13"/>
  <c r="F1788" i="13"/>
  <c r="F1789" i="13"/>
  <c r="F1790" i="13"/>
  <c r="F1791" i="13"/>
  <c r="F1792" i="13"/>
  <c r="F1793" i="13"/>
  <c r="F1794" i="13"/>
  <c r="F1795" i="13"/>
  <c r="F1796" i="13"/>
  <c r="F1797" i="13"/>
  <c r="F1798" i="13"/>
  <c r="F1799" i="13"/>
  <c r="F1800" i="13"/>
  <c r="F1801" i="13"/>
  <c r="F1802" i="13"/>
  <c r="F1803" i="13"/>
  <c r="F1804" i="13"/>
  <c r="F1805" i="13"/>
  <c r="F1806" i="13"/>
  <c r="F1807" i="13"/>
  <c r="F1808" i="13"/>
  <c r="F1809" i="13"/>
  <c r="F1810" i="13"/>
  <c r="F1811" i="13"/>
  <c r="F1812" i="13"/>
  <c r="F1813" i="13"/>
  <c r="F1814" i="13"/>
  <c r="F1815" i="13"/>
  <c r="F1816" i="13"/>
  <c r="F1817" i="13"/>
  <c r="F1818" i="13"/>
  <c r="F1819" i="13"/>
  <c r="F1820" i="13"/>
  <c r="F1821" i="13"/>
  <c r="F1822" i="13"/>
  <c r="F1823" i="13"/>
  <c r="F1824" i="13"/>
  <c r="F1825" i="13"/>
  <c r="F1826" i="13"/>
  <c r="F1827" i="13"/>
  <c r="F1828" i="13"/>
  <c r="F1829" i="13"/>
  <c r="F1830" i="13"/>
  <c r="F1831" i="13"/>
  <c r="F1832" i="13"/>
  <c r="F1833" i="13"/>
  <c r="F1834" i="13"/>
  <c r="F1835" i="13"/>
  <c r="F1836" i="13"/>
  <c r="F1837" i="13"/>
  <c r="F1838" i="13"/>
  <c r="F1839" i="13"/>
  <c r="F1840" i="13"/>
  <c r="F1841" i="13"/>
  <c r="F1842" i="13"/>
  <c r="F1843" i="13"/>
  <c r="F1844" i="13"/>
  <c r="F1845" i="13"/>
  <c r="F1846" i="13"/>
  <c r="F1847" i="13"/>
  <c r="F1848" i="13"/>
  <c r="F1849" i="13"/>
  <c r="F1850" i="13"/>
  <c r="F1851" i="13"/>
  <c r="F1852" i="13"/>
  <c r="F1853" i="13"/>
  <c r="F1854" i="13"/>
  <c r="F1855" i="13"/>
  <c r="F1856" i="13"/>
  <c r="F1857" i="13"/>
  <c r="F1858" i="13"/>
  <c r="F1859" i="13"/>
  <c r="F1860" i="13"/>
  <c r="F1861" i="13"/>
  <c r="F1862" i="13"/>
  <c r="F1863" i="13"/>
  <c r="F1864" i="13"/>
  <c r="F1865" i="13"/>
  <c r="F1866" i="13"/>
  <c r="F1867" i="13"/>
  <c r="F1868" i="13"/>
  <c r="F1869" i="13"/>
  <c r="F1870" i="13"/>
  <c r="F1871" i="13"/>
  <c r="F1872" i="13"/>
  <c r="F1873" i="13"/>
  <c r="F1874" i="13"/>
  <c r="F1875" i="13"/>
  <c r="F1876" i="13"/>
  <c r="F1877" i="13"/>
  <c r="F1878" i="13"/>
  <c r="F1879" i="13"/>
  <c r="F1880" i="13"/>
  <c r="F1881" i="13"/>
  <c r="F1882" i="13"/>
  <c r="F1883" i="13"/>
  <c r="F1884" i="13"/>
  <c r="F1885" i="13"/>
  <c r="F1886" i="13"/>
  <c r="F1887" i="13"/>
  <c r="F1888" i="13"/>
  <c r="F1889" i="13"/>
  <c r="F1890" i="13"/>
  <c r="F1891" i="13"/>
  <c r="F1892" i="13"/>
  <c r="F1893" i="13"/>
  <c r="F1894" i="13"/>
  <c r="F1895" i="13"/>
  <c r="F1896" i="13"/>
  <c r="F1897" i="13"/>
  <c r="F1898" i="13"/>
  <c r="F1899" i="13"/>
  <c r="F1900" i="13"/>
  <c r="F1901" i="13"/>
  <c r="F1902" i="13"/>
  <c r="F1903" i="13"/>
  <c r="F1904" i="13"/>
  <c r="F1905" i="13"/>
  <c r="F1906" i="13"/>
  <c r="F1907" i="13"/>
  <c r="F1908" i="13"/>
  <c r="F1909" i="13"/>
  <c r="F1910" i="13"/>
  <c r="F1911" i="13"/>
  <c r="F1912" i="13"/>
  <c r="F1913" i="13"/>
  <c r="F1914" i="13"/>
  <c r="F1915" i="13"/>
  <c r="F1916" i="13"/>
  <c r="F1917" i="13"/>
  <c r="F1918" i="13"/>
  <c r="F1919" i="13"/>
  <c r="F1920" i="13"/>
  <c r="F1921" i="13"/>
  <c r="F1922" i="13"/>
  <c r="F1923" i="13"/>
  <c r="F1924" i="13"/>
  <c r="F1925" i="13"/>
  <c r="F1926" i="13"/>
  <c r="F1927" i="13"/>
  <c r="F1928" i="13"/>
  <c r="F1929" i="13"/>
  <c r="F1930" i="13"/>
  <c r="F1931" i="13"/>
  <c r="F1932" i="13"/>
  <c r="F1933" i="13"/>
  <c r="F1934" i="13"/>
  <c r="F1935" i="13"/>
  <c r="F1936" i="13"/>
  <c r="F1937" i="13"/>
  <c r="F1938" i="13"/>
  <c r="F1939" i="13"/>
  <c r="F1940" i="13"/>
  <c r="F1941" i="13"/>
  <c r="F1942" i="13"/>
  <c r="F1943" i="13"/>
  <c r="F1944" i="13"/>
  <c r="F1945" i="13"/>
  <c r="F1946" i="13"/>
  <c r="F1947" i="13"/>
  <c r="F1948" i="13"/>
  <c r="F1949" i="13"/>
  <c r="F1950" i="13"/>
  <c r="F1951" i="13"/>
  <c r="F1952" i="13"/>
  <c r="F1953" i="13"/>
  <c r="F1954" i="13"/>
  <c r="F1955" i="13"/>
  <c r="F1956" i="13"/>
  <c r="F1957" i="13"/>
  <c r="F1958" i="13"/>
  <c r="F1959" i="13"/>
  <c r="F1960" i="13"/>
  <c r="F1961" i="13"/>
  <c r="F1962" i="13"/>
  <c r="F1963" i="13"/>
  <c r="F1964" i="13"/>
  <c r="F1965" i="13"/>
  <c r="F1966" i="13"/>
  <c r="F1967" i="13"/>
  <c r="F1968" i="13"/>
  <c r="F1969" i="13"/>
  <c r="F1970" i="13"/>
  <c r="F1971" i="13"/>
  <c r="F1972" i="13"/>
  <c r="F1973" i="13"/>
  <c r="F1974" i="13"/>
  <c r="F1975" i="13"/>
  <c r="F1976" i="13"/>
  <c r="F1977" i="13"/>
  <c r="F1978" i="13"/>
  <c r="F1979" i="13"/>
  <c r="F1980" i="13"/>
  <c r="F1981" i="13"/>
  <c r="F1982" i="13"/>
  <c r="F1983" i="13"/>
  <c r="F1984" i="13"/>
  <c r="F1985" i="13"/>
  <c r="F1986" i="13"/>
  <c r="F1987" i="13"/>
  <c r="F1988" i="13"/>
  <c r="F1989" i="13"/>
  <c r="F1990" i="13"/>
  <c r="F1991" i="13"/>
  <c r="F1992" i="13"/>
  <c r="F1993" i="13"/>
  <c r="F1994" i="13"/>
  <c r="F1995" i="13"/>
  <c r="F1996" i="13"/>
  <c r="F1997" i="13"/>
  <c r="F1998" i="13"/>
  <c r="F1999" i="13"/>
  <c r="F2000" i="13"/>
  <c r="F2001" i="13"/>
  <c r="F2002" i="13"/>
  <c r="F2003" i="13"/>
  <c r="F2004" i="13"/>
  <c r="F2005" i="13"/>
  <c r="F2006" i="13"/>
  <c r="F2007" i="13"/>
  <c r="F2008" i="13"/>
  <c r="F2009" i="13"/>
  <c r="F2010" i="13"/>
  <c r="F2011" i="13"/>
  <c r="F2012" i="13"/>
  <c r="F2013" i="13"/>
  <c r="F2014" i="13"/>
  <c r="F2015" i="13"/>
  <c r="F2016" i="13"/>
  <c r="F2017" i="13"/>
  <c r="F2018" i="13"/>
  <c r="F2019" i="13"/>
  <c r="F2020" i="13"/>
  <c r="F2021" i="13"/>
  <c r="F2022" i="13"/>
  <c r="F2023" i="13"/>
  <c r="F2024" i="13"/>
  <c r="F2025" i="13"/>
  <c r="F2026" i="13"/>
  <c r="F2027" i="13"/>
  <c r="F2028" i="13"/>
  <c r="F2029" i="13"/>
  <c r="F2030" i="13"/>
  <c r="F2031" i="13"/>
  <c r="F2032" i="13"/>
  <c r="F2033" i="13"/>
  <c r="F2034" i="13"/>
  <c r="F2035" i="13"/>
  <c r="F2036" i="13"/>
  <c r="F2037" i="13"/>
  <c r="F2038" i="13"/>
  <c r="F2039" i="13"/>
  <c r="F2040" i="13"/>
  <c r="F2041" i="13"/>
  <c r="F2042" i="13"/>
  <c r="F2043" i="13"/>
  <c r="F2044" i="13"/>
  <c r="F2045" i="13"/>
  <c r="F2046" i="13"/>
  <c r="F2047" i="13"/>
  <c r="F2048" i="13"/>
  <c r="F2049" i="13"/>
  <c r="F2050" i="13"/>
  <c r="F2051" i="13"/>
  <c r="F2052" i="13"/>
  <c r="F2053" i="13"/>
  <c r="F2054" i="13"/>
  <c r="F2055" i="13"/>
  <c r="F2056" i="13"/>
  <c r="F2057" i="13"/>
  <c r="F2058" i="13"/>
  <c r="F2059" i="13"/>
  <c r="F2060" i="13"/>
  <c r="F2061" i="13"/>
  <c r="F2062" i="13"/>
  <c r="F2063" i="13"/>
  <c r="F2064" i="13"/>
  <c r="F2065" i="13"/>
  <c r="F2066" i="13"/>
  <c r="F2067" i="13"/>
  <c r="F2068" i="13"/>
  <c r="F2069" i="13"/>
  <c r="F2070" i="13"/>
  <c r="F2071" i="13"/>
  <c r="F2072" i="13"/>
  <c r="F2073" i="13"/>
  <c r="F2074" i="13"/>
  <c r="F2075" i="13"/>
  <c r="F2076" i="13"/>
  <c r="F2077" i="13"/>
  <c r="F2078" i="13"/>
  <c r="F2079" i="13"/>
  <c r="F2080" i="13"/>
  <c r="F2081" i="13"/>
  <c r="F2082" i="13"/>
  <c r="F2083" i="13"/>
  <c r="F2084" i="13"/>
  <c r="F2085" i="13"/>
  <c r="F2086" i="13"/>
  <c r="F2087" i="13"/>
  <c r="F2088" i="13"/>
  <c r="F2089" i="13"/>
  <c r="F2090" i="13"/>
  <c r="F2091" i="13"/>
  <c r="F2092" i="13"/>
  <c r="F2093" i="13"/>
  <c r="F2094" i="13"/>
  <c r="F2095" i="13"/>
  <c r="F2096" i="13"/>
  <c r="F2097" i="13"/>
  <c r="F2098" i="13"/>
  <c r="F2099" i="13"/>
  <c r="F2100" i="13"/>
  <c r="F2101" i="13"/>
  <c r="F2102" i="13"/>
  <c r="F2103" i="13"/>
  <c r="F2104" i="13"/>
  <c r="F2105" i="13"/>
  <c r="F2106" i="13"/>
  <c r="F2107" i="13"/>
  <c r="F2108" i="13"/>
  <c r="F2109" i="13"/>
  <c r="F2110" i="13"/>
  <c r="F2111" i="13"/>
  <c r="F2112" i="13"/>
  <c r="F2113" i="13"/>
  <c r="F2114" i="13"/>
  <c r="F2115" i="13"/>
  <c r="F2116" i="13"/>
  <c r="F2117" i="13"/>
  <c r="F2118" i="13"/>
  <c r="F2119" i="13"/>
  <c r="F2120" i="13"/>
  <c r="F2121" i="13"/>
  <c r="F2122" i="13"/>
  <c r="F2123" i="13"/>
  <c r="F2124" i="13"/>
  <c r="F2125" i="13"/>
  <c r="F2126" i="13"/>
  <c r="F2127" i="13"/>
  <c r="F2128" i="13"/>
  <c r="F2129" i="13"/>
  <c r="F2130" i="13"/>
  <c r="F2131" i="13"/>
  <c r="F2132" i="13"/>
  <c r="F2133" i="13"/>
  <c r="F2134" i="13"/>
  <c r="F2135" i="13"/>
  <c r="F2136" i="13"/>
  <c r="F2137" i="13"/>
  <c r="F2138" i="13"/>
  <c r="F2139" i="13"/>
  <c r="F2140" i="13"/>
  <c r="F2141" i="13"/>
  <c r="F2142" i="13"/>
  <c r="F2143" i="13"/>
  <c r="F2144" i="13"/>
  <c r="F2145" i="13"/>
  <c r="F2146" i="13"/>
  <c r="F2147" i="13"/>
  <c r="F2148" i="13"/>
  <c r="F2149" i="13"/>
  <c r="F2150" i="13"/>
  <c r="F2151" i="13"/>
  <c r="F2152" i="13"/>
  <c r="F2153" i="13"/>
  <c r="F2154" i="13"/>
  <c r="F2155" i="13"/>
  <c r="F2156" i="13"/>
  <c r="F2157" i="13"/>
  <c r="F2158" i="13"/>
  <c r="F2159" i="13"/>
  <c r="F2160" i="13"/>
  <c r="F2161" i="13"/>
  <c r="F2162" i="13"/>
  <c r="F2163" i="13"/>
  <c r="F2164" i="13"/>
  <c r="F2165" i="13"/>
  <c r="F2166" i="13"/>
  <c r="F2167" i="13"/>
  <c r="F2168" i="13"/>
  <c r="F2169" i="13"/>
  <c r="F2170" i="13"/>
  <c r="F2171" i="13"/>
  <c r="F2172" i="13"/>
  <c r="F2173" i="13"/>
  <c r="F2174" i="13"/>
  <c r="F2175" i="13"/>
  <c r="F2176" i="13"/>
  <c r="F2177" i="13"/>
  <c r="F2178" i="13"/>
  <c r="F2179" i="13"/>
  <c r="F2180" i="13"/>
  <c r="F2181" i="13"/>
  <c r="F2182" i="13"/>
  <c r="F2183" i="13"/>
  <c r="F2184" i="13"/>
  <c r="F2185" i="13"/>
  <c r="F2186" i="13"/>
  <c r="F2187" i="13"/>
  <c r="F2188" i="13"/>
  <c r="F2189" i="13"/>
  <c r="F2190" i="13"/>
  <c r="F2191" i="13"/>
  <c r="F2192" i="13"/>
  <c r="F2193" i="13"/>
  <c r="F2194" i="13"/>
  <c r="F2195" i="13"/>
  <c r="F2196" i="13"/>
  <c r="F2197" i="13"/>
  <c r="F2198" i="13"/>
  <c r="F2199" i="13"/>
  <c r="F2200" i="13"/>
  <c r="F2201" i="13"/>
  <c r="F2202" i="13"/>
  <c r="F2203" i="13"/>
  <c r="F2204" i="13"/>
  <c r="F2205" i="13"/>
  <c r="F2206" i="13"/>
  <c r="F2207" i="13"/>
  <c r="F2208" i="13"/>
  <c r="F2209" i="13"/>
  <c r="F2210" i="13"/>
  <c r="F2211" i="13"/>
  <c r="F2212" i="13"/>
  <c r="F2213" i="13"/>
  <c r="F2214" i="13"/>
  <c r="F2215" i="13"/>
  <c r="F2216" i="13"/>
  <c r="F2217" i="13"/>
  <c r="F2218" i="13"/>
  <c r="F2219" i="13"/>
  <c r="F2220" i="13"/>
  <c r="F2221" i="13"/>
  <c r="F2222" i="13"/>
  <c r="F2223" i="13"/>
  <c r="F2224" i="13"/>
  <c r="F2225" i="13"/>
  <c r="F2226" i="13"/>
  <c r="F2227" i="13"/>
  <c r="F2228" i="13"/>
  <c r="F2229" i="13"/>
  <c r="F2230" i="13"/>
  <c r="F2231" i="13"/>
  <c r="F2232" i="13"/>
  <c r="F2233" i="13"/>
  <c r="F2234" i="13"/>
  <c r="F2235" i="13"/>
  <c r="F2236" i="13"/>
  <c r="F2237" i="13"/>
  <c r="F2238" i="13"/>
  <c r="F2239" i="13"/>
  <c r="F2240" i="13"/>
  <c r="F2241" i="13"/>
  <c r="F2242" i="13"/>
  <c r="F2243" i="13"/>
  <c r="F2244" i="13"/>
  <c r="F2245" i="13"/>
  <c r="F2246" i="13"/>
  <c r="F2247" i="13"/>
  <c r="F2248" i="13"/>
  <c r="F2249" i="13"/>
  <c r="F2250" i="13"/>
  <c r="F2251" i="13"/>
  <c r="F2252" i="13"/>
  <c r="F2253" i="13"/>
  <c r="F2254" i="13"/>
  <c r="F2255" i="13"/>
  <c r="F2256" i="13"/>
  <c r="F2257" i="13"/>
  <c r="F2258" i="13"/>
  <c r="F2259" i="13"/>
  <c r="F2260" i="13"/>
  <c r="F2261" i="13"/>
  <c r="F2262" i="13"/>
  <c r="F2263" i="13"/>
  <c r="F2264" i="13"/>
  <c r="F2265" i="13"/>
  <c r="F2266" i="13"/>
  <c r="F2267" i="13"/>
  <c r="F2268" i="13"/>
  <c r="F2269" i="13"/>
  <c r="F2270" i="13"/>
  <c r="F2271" i="13"/>
  <c r="F2272" i="13"/>
  <c r="F2273" i="13"/>
  <c r="F2274" i="13"/>
  <c r="F2275" i="13"/>
  <c r="F2276" i="13"/>
  <c r="F2277" i="13"/>
  <c r="F2278" i="13"/>
  <c r="F2279" i="13"/>
  <c r="F2280" i="13"/>
  <c r="F2281" i="13"/>
  <c r="F2282" i="13"/>
  <c r="F2283" i="13"/>
  <c r="F2284" i="13"/>
  <c r="F2285" i="13"/>
  <c r="F2286" i="13"/>
  <c r="F2287" i="13"/>
  <c r="F2288" i="13"/>
  <c r="F2289" i="13"/>
  <c r="F2290" i="13"/>
  <c r="F2291" i="13"/>
  <c r="F2292" i="13"/>
  <c r="F2293" i="13"/>
  <c r="F2294" i="13"/>
  <c r="F2295" i="13"/>
  <c r="F2296" i="13"/>
  <c r="F2297" i="13"/>
  <c r="F2298" i="13"/>
  <c r="F2299" i="13"/>
  <c r="F2300" i="13"/>
  <c r="F2301" i="13"/>
  <c r="F2302" i="13"/>
  <c r="F2303" i="13"/>
  <c r="F2304" i="13"/>
  <c r="F2305" i="13"/>
  <c r="F2306" i="13"/>
  <c r="F2307" i="13"/>
  <c r="F2308" i="13"/>
  <c r="F2309" i="13"/>
  <c r="F2310" i="13"/>
  <c r="F2311" i="13"/>
  <c r="F2312" i="13"/>
  <c r="F2313" i="13"/>
  <c r="F2314" i="13"/>
  <c r="F2315" i="13"/>
  <c r="F2316" i="13"/>
  <c r="F2317" i="13"/>
  <c r="F2318" i="13"/>
  <c r="F2319" i="13"/>
  <c r="F2320" i="13"/>
  <c r="F2321" i="13"/>
  <c r="F2322" i="13"/>
  <c r="F2323" i="13"/>
  <c r="F2324" i="13"/>
  <c r="F2325" i="13"/>
  <c r="F2326" i="13"/>
  <c r="F2327" i="13"/>
  <c r="F2328" i="13"/>
  <c r="F2329" i="13"/>
  <c r="F2330" i="13"/>
  <c r="F2331" i="13"/>
  <c r="F2332" i="13"/>
  <c r="F2333" i="13"/>
  <c r="F2334" i="13"/>
  <c r="F2335" i="13"/>
  <c r="F2336" i="13"/>
  <c r="F2337" i="13"/>
  <c r="F2338" i="13"/>
  <c r="F2339" i="13"/>
  <c r="F2340" i="13"/>
  <c r="F2341" i="13"/>
  <c r="F2342" i="13"/>
  <c r="F2343" i="13"/>
  <c r="F2344" i="13"/>
  <c r="F2345" i="13"/>
  <c r="F2346" i="13"/>
  <c r="F2347" i="13"/>
  <c r="F2348" i="13"/>
  <c r="F2349" i="13"/>
  <c r="F2350" i="13"/>
  <c r="F2351" i="13"/>
  <c r="F2352" i="13"/>
  <c r="F2353" i="13"/>
  <c r="F2354" i="13"/>
  <c r="F2355" i="13"/>
  <c r="F2356" i="13"/>
  <c r="F2357" i="13"/>
  <c r="F2358" i="13"/>
  <c r="F2359" i="13"/>
  <c r="F2360" i="13"/>
  <c r="F2361" i="13"/>
  <c r="F2362" i="13"/>
  <c r="F2363" i="13"/>
  <c r="F2364" i="13"/>
  <c r="F2365" i="13"/>
  <c r="F2366" i="13"/>
  <c r="F2367" i="13"/>
  <c r="F2368" i="13"/>
  <c r="F2369" i="13"/>
  <c r="F2370" i="13"/>
  <c r="F2371" i="13"/>
  <c r="F2372" i="13"/>
  <c r="F2373" i="13"/>
  <c r="F2374" i="13"/>
  <c r="F2375" i="13"/>
  <c r="F2376" i="13"/>
  <c r="F2377" i="13"/>
  <c r="F2378" i="13"/>
  <c r="F2379" i="13"/>
  <c r="F2380" i="13"/>
  <c r="F2381" i="13"/>
  <c r="F2382" i="13"/>
  <c r="F2383" i="13"/>
  <c r="F2384" i="13"/>
  <c r="F2385" i="13"/>
  <c r="F2386" i="13"/>
  <c r="F2387" i="13"/>
  <c r="F2388" i="13"/>
  <c r="F2389" i="13"/>
  <c r="F2390" i="13"/>
  <c r="F2391" i="13"/>
  <c r="F2392" i="13"/>
  <c r="F2393" i="13"/>
  <c r="F2394" i="13"/>
  <c r="F2395" i="13"/>
  <c r="F2396" i="13"/>
  <c r="F2397" i="13"/>
  <c r="F2398" i="13"/>
  <c r="F2399" i="13"/>
  <c r="F2400" i="13"/>
  <c r="F2401" i="13"/>
  <c r="F2402" i="13"/>
  <c r="F2403" i="13"/>
  <c r="F2404" i="13"/>
  <c r="F2405" i="13"/>
  <c r="F2406" i="13"/>
  <c r="F2407" i="13"/>
  <c r="F2408" i="13"/>
  <c r="F2409" i="13"/>
  <c r="F2410" i="13"/>
  <c r="F2411" i="13"/>
  <c r="F2412" i="13"/>
  <c r="F2413" i="13"/>
  <c r="F2414" i="13"/>
  <c r="F2415" i="13"/>
  <c r="F2416" i="13"/>
  <c r="F2417" i="13"/>
  <c r="F2418" i="13"/>
  <c r="F2419" i="13"/>
  <c r="F2420" i="13"/>
  <c r="F2421" i="13"/>
  <c r="F2422" i="13"/>
  <c r="F2423" i="13"/>
  <c r="F2424" i="13"/>
  <c r="F2425" i="13"/>
  <c r="F2426" i="13"/>
  <c r="F2427" i="13"/>
  <c r="F2428" i="13"/>
  <c r="F2429" i="13"/>
  <c r="F2430" i="13"/>
  <c r="F2431" i="13"/>
  <c r="F2432" i="13"/>
  <c r="F2433" i="13"/>
  <c r="F2434" i="13"/>
  <c r="F2435" i="13"/>
  <c r="F2436" i="13"/>
  <c r="F2437" i="13"/>
  <c r="F2438" i="13"/>
  <c r="F2439" i="13"/>
  <c r="F2440" i="13"/>
  <c r="F2441" i="13"/>
  <c r="F2442" i="13"/>
  <c r="F2443" i="13"/>
  <c r="F2444" i="13"/>
  <c r="F2445" i="13"/>
  <c r="F2446" i="13"/>
  <c r="F2447" i="13"/>
  <c r="F2448" i="13"/>
  <c r="F2449" i="13"/>
  <c r="F2450" i="13"/>
  <c r="F2451" i="13"/>
  <c r="F2452" i="13"/>
  <c r="F2453" i="13"/>
  <c r="F2454" i="13"/>
  <c r="F2455" i="13"/>
  <c r="F2456" i="13"/>
  <c r="F2457" i="13"/>
  <c r="F2458" i="13"/>
  <c r="F2459" i="13"/>
  <c r="F2460" i="13"/>
  <c r="F2461" i="13"/>
  <c r="F2462" i="13"/>
  <c r="F2463" i="13"/>
  <c r="F2464" i="13"/>
  <c r="F2465" i="13"/>
  <c r="F2466" i="13"/>
  <c r="F2467" i="13"/>
  <c r="F2468" i="13"/>
  <c r="F2469" i="13"/>
  <c r="F2470" i="13"/>
  <c r="F2471" i="13"/>
  <c r="F2472" i="13"/>
  <c r="F2473" i="13"/>
  <c r="F2474" i="13"/>
  <c r="F2475" i="13"/>
  <c r="F2476" i="13"/>
  <c r="F2477" i="13"/>
  <c r="F2478" i="13"/>
  <c r="F2479" i="13"/>
  <c r="F2480" i="13"/>
  <c r="F2481" i="13"/>
  <c r="F2482" i="13"/>
  <c r="F2483" i="13"/>
  <c r="F2484" i="13"/>
  <c r="F2485" i="13"/>
  <c r="F2486" i="13"/>
  <c r="F2487" i="13"/>
  <c r="F2488" i="13"/>
  <c r="F2489" i="13"/>
  <c r="F2490" i="13"/>
  <c r="F2491" i="13"/>
  <c r="F2492" i="13"/>
  <c r="F2493" i="13"/>
  <c r="F2494" i="13"/>
  <c r="F2495" i="13"/>
  <c r="F2496" i="13"/>
  <c r="F2497" i="13"/>
  <c r="F2498" i="13"/>
  <c r="F2499" i="13"/>
  <c r="F2500" i="13"/>
  <c r="F2501" i="13"/>
  <c r="F2502" i="13"/>
  <c r="F2503" i="13"/>
  <c r="F2504" i="13"/>
  <c r="F2505" i="13"/>
  <c r="F2506" i="13"/>
  <c r="F2507" i="13"/>
  <c r="F2508" i="13"/>
  <c r="F2509" i="13"/>
  <c r="F2510" i="13"/>
  <c r="F2511" i="13"/>
  <c r="F2512" i="13"/>
  <c r="F2513" i="13"/>
  <c r="F2514" i="13"/>
  <c r="F2515" i="13"/>
  <c r="F2516" i="13"/>
  <c r="F2517" i="13"/>
  <c r="F2518" i="13"/>
  <c r="F2519" i="13"/>
  <c r="F2520" i="13"/>
  <c r="F2521" i="13"/>
  <c r="F2522" i="13"/>
  <c r="F2523" i="13"/>
  <c r="F2524" i="13"/>
  <c r="F2525" i="13"/>
  <c r="F2526" i="13"/>
  <c r="F2527" i="13"/>
  <c r="F2528" i="13"/>
  <c r="F2529" i="13"/>
  <c r="F2530" i="13"/>
  <c r="F2531" i="13"/>
  <c r="F2532" i="13"/>
  <c r="F2533" i="13"/>
  <c r="F2534" i="13"/>
  <c r="F2535" i="13"/>
  <c r="F2536" i="13"/>
  <c r="F2537" i="13"/>
  <c r="F2538" i="13"/>
  <c r="F2539" i="13"/>
  <c r="F2540" i="13"/>
  <c r="F2541" i="13"/>
  <c r="F2542" i="13"/>
  <c r="F2543" i="13"/>
  <c r="F2544" i="13"/>
  <c r="F2545" i="13"/>
  <c r="F2546" i="13"/>
  <c r="F2547" i="13"/>
  <c r="F2548" i="13"/>
  <c r="F2549" i="13"/>
  <c r="F2550" i="13"/>
  <c r="F2551" i="13"/>
  <c r="F2552" i="13"/>
  <c r="F2553" i="13"/>
  <c r="F2554" i="13"/>
  <c r="F2555" i="13"/>
  <c r="F2556" i="13"/>
  <c r="F2557" i="13"/>
  <c r="F2558" i="13"/>
  <c r="F2559" i="13"/>
  <c r="F2560" i="13"/>
  <c r="F2561" i="13"/>
  <c r="F2562" i="13"/>
  <c r="F2563" i="13"/>
  <c r="F2564" i="13"/>
  <c r="F2565" i="13"/>
  <c r="F2566" i="13"/>
  <c r="F2567" i="13"/>
  <c r="F2568" i="13"/>
  <c r="F2569" i="13"/>
  <c r="F2570" i="13"/>
  <c r="F2571" i="13"/>
  <c r="F2572" i="13"/>
  <c r="F2573" i="13"/>
  <c r="F2574" i="13"/>
  <c r="F2575" i="13"/>
  <c r="F2576" i="13"/>
  <c r="F2577" i="13"/>
  <c r="F2578" i="13"/>
  <c r="F2579" i="13"/>
  <c r="F2580" i="13"/>
  <c r="F2581" i="13"/>
  <c r="F2582" i="13"/>
  <c r="F2583" i="13"/>
  <c r="F2584" i="13"/>
  <c r="F2585" i="13"/>
  <c r="F2586" i="13"/>
  <c r="F2587" i="13"/>
  <c r="F2588" i="13"/>
  <c r="F2589" i="13"/>
  <c r="F2590" i="13"/>
  <c r="F2591" i="13"/>
  <c r="F2592" i="13"/>
  <c r="F2593" i="13"/>
  <c r="F2594" i="13"/>
  <c r="F2595" i="13"/>
  <c r="F2596" i="13"/>
  <c r="F2597" i="13"/>
  <c r="F2598" i="13"/>
  <c r="F2599" i="13"/>
  <c r="F2600" i="13"/>
  <c r="F2601" i="13"/>
  <c r="F2602" i="13"/>
  <c r="F2603" i="13"/>
  <c r="F2604" i="13"/>
  <c r="F2605" i="13"/>
  <c r="F2606" i="13"/>
  <c r="F2607" i="13"/>
  <c r="F2608" i="13"/>
  <c r="F2609" i="13"/>
  <c r="F2610" i="13"/>
  <c r="F2611" i="13"/>
  <c r="F2612" i="13"/>
  <c r="F2613" i="13"/>
  <c r="F2614" i="13"/>
  <c r="F2615" i="13"/>
  <c r="F2616" i="13"/>
  <c r="F2617" i="13"/>
  <c r="F2618" i="13"/>
  <c r="F2619" i="13"/>
  <c r="F2620" i="13"/>
  <c r="F2621" i="13"/>
  <c r="F2622" i="13"/>
  <c r="F2623" i="13"/>
  <c r="F2624" i="13"/>
  <c r="F2625" i="13"/>
  <c r="F2626" i="13"/>
  <c r="F2627" i="13"/>
  <c r="F2628" i="13"/>
  <c r="F2629" i="13"/>
  <c r="F2630" i="13"/>
  <c r="F2631" i="13"/>
  <c r="F2632" i="13"/>
  <c r="F2633" i="13"/>
  <c r="F2634" i="13"/>
  <c r="F2635" i="13"/>
  <c r="F2636" i="13"/>
  <c r="F2637" i="13"/>
  <c r="F2638" i="13"/>
  <c r="F2639" i="13"/>
  <c r="F2640" i="13"/>
  <c r="F2641" i="13"/>
  <c r="F2642" i="13"/>
  <c r="F2643" i="13"/>
  <c r="F2644" i="13"/>
  <c r="F2645" i="13"/>
  <c r="F2646" i="13"/>
  <c r="F2647" i="13"/>
  <c r="F2648" i="13"/>
  <c r="F2649" i="13"/>
  <c r="F2650" i="13"/>
  <c r="F2651" i="13"/>
  <c r="F2652" i="13"/>
  <c r="F2653" i="13"/>
  <c r="F2654" i="13"/>
  <c r="F2655" i="13"/>
  <c r="F2656" i="13"/>
  <c r="F2657" i="13"/>
  <c r="F2658" i="13"/>
  <c r="F2659" i="13"/>
  <c r="F2660" i="13"/>
  <c r="F2661" i="13"/>
  <c r="F2662" i="13"/>
  <c r="F2663" i="13"/>
  <c r="F2664" i="13"/>
  <c r="F2665" i="13"/>
  <c r="F2666" i="13"/>
  <c r="F2667" i="13"/>
  <c r="F2668" i="13"/>
  <c r="F2669" i="13"/>
  <c r="F2670" i="13"/>
  <c r="F2671" i="13"/>
  <c r="F2672" i="13"/>
  <c r="F2673" i="13"/>
  <c r="F2674" i="13"/>
  <c r="F2675" i="13"/>
  <c r="F2676" i="13"/>
  <c r="F2677" i="13"/>
  <c r="F2678" i="13"/>
  <c r="F2679" i="13"/>
  <c r="F2680" i="13"/>
  <c r="F2681" i="13"/>
  <c r="F2682" i="13"/>
  <c r="F2683" i="13"/>
  <c r="F2684" i="13"/>
  <c r="F2685" i="13"/>
  <c r="F2686" i="13"/>
  <c r="F2687" i="13"/>
  <c r="F2688" i="13"/>
  <c r="F2689" i="13"/>
  <c r="F2690" i="13"/>
  <c r="F2691" i="13"/>
  <c r="F2692" i="13"/>
  <c r="F2693" i="13"/>
  <c r="F2694" i="13"/>
  <c r="F2695" i="13"/>
  <c r="F2696" i="13"/>
  <c r="F2697" i="13"/>
  <c r="F2698" i="13"/>
  <c r="F2699" i="13"/>
  <c r="F2700" i="13"/>
  <c r="F2701" i="13"/>
  <c r="F2702" i="13"/>
  <c r="F2703" i="13"/>
  <c r="F2704" i="13"/>
  <c r="F2705" i="13"/>
  <c r="F2706" i="13"/>
  <c r="F2707" i="13"/>
  <c r="F2708" i="13"/>
  <c r="F2709" i="13"/>
  <c r="F2710" i="13"/>
  <c r="F2711" i="13"/>
  <c r="F2712" i="13"/>
  <c r="F2713" i="13"/>
  <c r="F2714" i="13"/>
  <c r="F2715" i="13"/>
  <c r="F2716" i="13"/>
  <c r="F2717" i="13"/>
  <c r="F2718" i="13"/>
  <c r="F2719" i="13"/>
  <c r="F2720" i="13"/>
  <c r="F2721" i="13"/>
  <c r="F2722" i="13"/>
  <c r="F2723" i="13"/>
  <c r="F2724" i="13"/>
  <c r="F2725" i="13"/>
  <c r="F2726" i="13"/>
  <c r="F2727" i="13"/>
  <c r="F2728" i="13"/>
  <c r="F2729" i="13"/>
  <c r="F2730" i="13"/>
  <c r="F2731" i="13"/>
  <c r="F2732" i="13"/>
  <c r="F2733" i="13"/>
  <c r="F2734" i="13"/>
  <c r="F2735" i="13"/>
  <c r="F2736" i="13"/>
  <c r="F2737" i="13"/>
  <c r="F2738" i="13"/>
  <c r="F2739" i="13"/>
  <c r="F2740" i="13"/>
  <c r="F2741" i="13"/>
  <c r="F2742" i="13"/>
  <c r="F2743" i="13"/>
  <c r="F2744" i="13"/>
  <c r="F2745" i="13"/>
  <c r="F2746" i="13"/>
  <c r="F2747" i="13"/>
  <c r="F2748" i="13"/>
  <c r="F2749" i="13"/>
  <c r="F2750" i="13"/>
  <c r="F2751" i="13"/>
  <c r="F2752" i="13"/>
  <c r="F2753" i="13"/>
  <c r="F2754" i="13"/>
  <c r="F2755" i="13"/>
  <c r="F2756" i="13"/>
  <c r="F2757" i="13"/>
  <c r="F2758" i="13"/>
  <c r="F2759" i="13"/>
  <c r="F2760" i="13"/>
  <c r="F2761" i="13"/>
  <c r="F2762" i="13"/>
  <c r="F2763" i="13"/>
  <c r="F2764" i="13"/>
  <c r="F2765" i="13"/>
  <c r="F2766" i="13"/>
  <c r="F2767" i="13"/>
  <c r="F2768" i="13"/>
  <c r="F2769" i="13"/>
  <c r="F2770" i="13"/>
  <c r="F2771" i="13"/>
  <c r="F2772" i="13"/>
  <c r="F2773" i="13"/>
  <c r="F2774" i="13"/>
  <c r="F2775" i="13"/>
  <c r="F2776" i="13"/>
  <c r="F2777" i="13"/>
  <c r="F2778" i="13"/>
  <c r="F2779" i="13"/>
  <c r="F2780" i="13"/>
  <c r="F2781" i="13"/>
  <c r="F2782" i="13"/>
  <c r="F2783" i="13"/>
  <c r="F2784" i="13"/>
  <c r="F2785" i="13"/>
  <c r="F2786" i="13"/>
  <c r="F2787" i="13"/>
  <c r="F2788" i="13"/>
  <c r="F2789" i="13"/>
  <c r="F2790" i="13"/>
  <c r="F2791" i="13"/>
  <c r="F2792" i="13"/>
  <c r="F2793" i="13"/>
  <c r="F2794" i="13"/>
  <c r="F2795" i="13"/>
  <c r="F2796" i="13"/>
  <c r="F2797" i="13"/>
  <c r="F2798" i="13"/>
  <c r="F2799" i="13"/>
  <c r="F2800" i="13"/>
  <c r="F2801" i="13"/>
  <c r="F2802" i="13"/>
  <c r="F2803" i="13"/>
  <c r="F2804" i="13"/>
  <c r="F2805" i="13"/>
  <c r="F2806" i="13"/>
  <c r="F2807" i="13"/>
  <c r="F2808" i="13"/>
  <c r="F2809" i="13"/>
  <c r="F2810" i="13"/>
  <c r="F2811" i="13"/>
  <c r="F2812" i="13"/>
  <c r="F2813" i="13"/>
  <c r="F2814" i="13"/>
  <c r="F2815" i="13"/>
  <c r="F2816" i="13"/>
  <c r="F2817" i="13"/>
  <c r="F2818" i="13"/>
  <c r="F2819" i="13"/>
  <c r="F2820" i="13"/>
  <c r="F2821" i="13"/>
  <c r="F2822" i="13"/>
  <c r="F2823" i="13"/>
  <c r="F2824" i="13"/>
  <c r="F2825" i="13"/>
  <c r="F2826" i="13"/>
  <c r="F2827" i="13"/>
  <c r="F2828" i="13"/>
  <c r="F2829" i="13"/>
  <c r="F2830" i="13"/>
  <c r="F2831" i="13"/>
  <c r="F2832" i="13"/>
  <c r="F2833" i="13"/>
  <c r="F2834" i="13"/>
  <c r="F2835" i="13"/>
  <c r="F2836" i="13"/>
  <c r="F2837" i="13"/>
  <c r="F2838" i="13"/>
  <c r="F2839" i="13"/>
  <c r="F2840" i="13"/>
  <c r="F2841" i="13"/>
  <c r="F2842" i="13"/>
  <c r="F2843" i="13"/>
  <c r="F2844" i="13"/>
  <c r="F2845" i="13"/>
  <c r="F2846" i="13"/>
  <c r="F2847" i="13"/>
  <c r="F2848" i="13"/>
  <c r="F2849" i="13"/>
  <c r="F2850" i="13"/>
  <c r="F2851" i="13"/>
  <c r="F2852" i="13"/>
  <c r="F2853" i="13"/>
  <c r="F2854" i="13"/>
  <c r="F2855" i="13"/>
  <c r="F2856" i="13"/>
  <c r="F2857" i="13"/>
  <c r="F2858" i="13"/>
  <c r="F2859" i="13"/>
  <c r="F2860" i="13"/>
  <c r="F2861" i="13"/>
  <c r="F2862" i="13"/>
  <c r="F2863" i="13"/>
  <c r="F2864" i="13"/>
  <c r="F2865" i="13"/>
  <c r="F2866" i="13"/>
  <c r="F2867" i="13"/>
  <c r="F2868" i="13"/>
  <c r="F2869" i="13"/>
  <c r="F2870" i="13"/>
  <c r="F2871" i="13"/>
  <c r="F2872" i="13"/>
  <c r="F2873" i="13"/>
  <c r="F2874" i="13"/>
  <c r="F2875" i="13"/>
  <c r="F2876" i="13"/>
  <c r="F2877" i="13"/>
  <c r="F2878" i="13"/>
  <c r="F2879" i="13"/>
  <c r="F2880" i="13"/>
  <c r="F2881" i="13"/>
  <c r="F2882" i="13"/>
  <c r="F2883" i="13"/>
  <c r="F2884" i="13"/>
  <c r="F2885" i="13"/>
  <c r="F2886" i="13"/>
  <c r="F2887" i="13"/>
  <c r="F2888" i="13"/>
  <c r="F2889" i="13"/>
  <c r="F2890" i="13"/>
  <c r="F2891" i="13"/>
  <c r="F2892" i="13"/>
  <c r="F2893" i="13"/>
  <c r="F2894" i="13"/>
  <c r="F2895" i="13"/>
  <c r="F2896" i="13"/>
  <c r="F2897" i="13"/>
  <c r="F2898" i="13"/>
  <c r="F2899" i="13"/>
  <c r="F2900" i="13"/>
  <c r="F2901" i="13"/>
  <c r="F2902" i="13"/>
  <c r="F2903" i="13"/>
  <c r="F2904" i="13"/>
  <c r="F2905" i="13"/>
  <c r="F2906" i="13"/>
  <c r="F2907" i="13"/>
  <c r="F2908" i="13"/>
  <c r="F2909" i="13"/>
  <c r="F2910" i="13"/>
  <c r="F2911" i="13"/>
  <c r="F2912" i="13"/>
  <c r="F2913" i="13"/>
  <c r="F2914" i="13"/>
  <c r="F2915" i="13"/>
  <c r="F2916" i="13"/>
  <c r="F2917" i="13"/>
  <c r="F2918" i="13"/>
  <c r="F2919" i="13"/>
  <c r="F2920" i="13"/>
  <c r="F2921" i="13"/>
  <c r="F2922" i="13"/>
  <c r="F2923" i="13"/>
  <c r="F2924" i="13"/>
  <c r="F2925" i="13"/>
  <c r="F2926" i="13"/>
  <c r="F2927" i="13"/>
  <c r="F2928" i="13"/>
  <c r="F2929" i="13"/>
  <c r="F2930" i="13"/>
  <c r="F2931" i="13"/>
  <c r="F2932" i="13"/>
  <c r="F2933" i="13"/>
  <c r="F2934" i="13"/>
  <c r="F2935" i="13"/>
  <c r="F2936" i="13"/>
  <c r="F2937" i="13"/>
  <c r="F2938" i="13"/>
  <c r="F2939" i="13"/>
  <c r="F2940" i="13"/>
  <c r="F2941" i="13"/>
  <c r="F2942" i="13"/>
  <c r="F2943" i="13"/>
  <c r="F2944" i="13"/>
  <c r="F2945" i="13"/>
  <c r="F2946" i="13"/>
  <c r="F2947" i="13"/>
  <c r="F2948" i="13"/>
  <c r="F2949" i="13"/>
  <c r="F2950" i="13"/>
  <c r="F2951" i="13"/>
  <c r="F2952" i="13"/>
  <c r="F2953" i="13"/>
  <c r="F2954" i="13"/>
  <c r="F2955" i="13"/>
  <c r="F2956" i="13"/>
  <c r="F2957" i="13"/>
  <c r="F2958" i="13"/>
  <c r="F2959" i="13"/>
  <c r="F2960" i="13"/>
  <c r="F2961" i="13"/>
  <c r="F2962" i="13"/>
  <c r="F2963" i="13"/>
  <c r="F2964" i="13"/>
  <c r="F2965" i="13"/>
  <c r="F2966" i="13"/>
  <c r="F2967" i="13"/>
  <c r="F2968" i="13"/>
  <c r="F2969" i="13"/>
  <c r="F2970" i="13"/>
  <c r="F2971" i="13"/>
  <c r="F2972" i="13"/>
  <c r="F2973" i="13"/>
  <c r="F2974" i="13"/>
  <c r="F2975" i="13"/>
  <c r="F2976" i="13"/>
  <c r="F2977" i="13"/>
  <c r="F2978" i="13"/>
  <c r="F2979" i="13"/>
  <c r="F2980" i="13"/>
  <c r="F2981" i="13"/>
  <c r="F2982" i="13"/>
  <c r="F2983" i="13"/>
  <c r="F2984" i="13"/>
  <c r="F2985" i="13"/>
  <c r="F2986" i="13"/>
  <c r="F2987" i="13"/>
  <c r="F2988" i="13"/>
  <c r="F2989" i="13"/>
  <c r="F2990" i="13"/>
  <c r="F2991" i="13"/>
  <c r="F2992" i="13"/>
  <c r="F2993" i="13"/>
  <c r="F2994" i="13"/>
  <c r="F2995" i="13"/>
  <c r="F2996" i="13"/>
  <c r="F2997" i="13"/>
  <c r="F2998" i="13"/>
  <c r="F2999" i="13"/>
  <c r="F3000" i="13"/>
  <c r="F3001" i="13"/>
  <c r="F3002" i="13"/>
  <c r="F3003" i="13"/>
  <c r="F3004" i="13"/>
  <c r="F3005" i="13"/>
  <c r="F3006" i="13"/>
  <c r="F3007" i="13"/>
  <c r="F3008" i="13"/>
  <c r="F3009" i="13"/>
  <c r="F3010" i="13"/>
  <c r="F3011" i="13"/>
  <c r="F3012" i="13"/>
  <c r="F3013" i="13"/>
  <c r="F3014" i="13"/>
  <c r="F3015" i="13"/>
  <c r="F3016" i="13"/>
  <c r="F3017" i="13"/>
  <c r="F3018" i="13"/>
  <c r="F3019" i="13"/>
  <c r="F3020" i="13"/>
  <c r="F3021" i="13"/>
  <c r="F3022" i="13"/>
  <c r="F3023" i="13"/>
  <c r="F3024" i="13"/>
  <c r="F3025" i="13"/>
  <c r="F3026" i="13"/>
  <c r="F3027" i="13"/>
  <c r="F3028" i="13"/>
  <c r="F3029" i="13"/>
  <c r="F3030" i="13"/>
  <c r="F3031" i="13"/>
  <c r="F3032" i="13"/>
  <c r="F3033" i="13"/>
  <c r="F3034" i="13"/>
  <c r="F3035" i="13"/>
  <c r="F3036" i="13"/>
  <c r="F3037" i="13"/>
  <c r="F3038" i="13"/>
  <c r="F3039" i="13"/>
  <c r="F3040" i="13"/>
  <c r="F3041" i="13"/>
  <c r="F3042" i="13"/>
  <c r="F3043" i="13"/>
  <c r="F3044" i="13"/>
  <c r="F3045" i="13"/>
  <c r="F3046" i="13"/>
  <c r="F3047" i="13"/>
  <c r="F3048" i="13"/>
  <c r="F3049" i="13"/>
  <c r="F3050" i="13"/>
  <c r="F3051" i="13"/>
  <c r="F3052" i="13"/>
  <c r="F3053" i="13"/>
  <c r="F3054" i="13"/>
  <c r="F3055" i="13"/>
  <c r="F3056" i="13"/>
  <c r="F3057" i="13"/>
  <c r="F3058" i="13"/>
  <c r="F3059" i="13"/>
  <c r="F3060" i="13"/>
  <c r="F3061" i="13"/>
  <c r="F3062" i="13"/>
  <c r="F3063" i="13"/>
  <c r="F3064" i="13"/>
  <c r="F3065" i="13"/>
  <c r="F3066" i="13"/>
  <c r="F3067" i="13"/>
  <c r="F3068" i="13"/>
  <c r="F3069" i="13"/>
  <c r="F3070" i="13"/>
  <c r="F3071" i="13"/>
  <c r="F3072" i="13"/>
  <c r="F3073" i="13"/>
  <c r="F3074" i="13"/>
  <c r="F3075" i="13"/>
  <c r="F3076" i="13"/>
  <c r="F3077" i="13"/>
  <c r="F3078" i="13"/>
  <c r="F3079" i="13"/>
  <c r="F3080" i="13"/>
  <c r="F3081" i="13"/>
  <c r="F3082" i="13"/>
  <c r="F3083" i="13"/>
  <c r="F3084" i="13"/>
  <c r="F3085" i="13"/>
  <c r="F3086" i="13"/>
  <c r="F3087" i="13"/>
  <c r="F3088" i="13"/>
  <c r="F3089" i="13"/>
  <c r="F3090" i="13"/>
  <c r="F3091" i="13"/>
  <c r="F3092" i="13"/>
  <c r="F3093" i="13"/>
  <c r="F3094" i="13"/>
  <c r="F3095" i="13"/>
  <c r="F3096" i="13"/>
  <c r="F3097" i="13"/>
  <c r="F3098" i="13"/>
  <c r="F3099" i="13"/>
  <c r="F3100" i="13"/>
  <c r="F3101" i="13"/>
  <c r="F3102" i="13"/>
  <c r="F3103" i="13"/>
  <c r="F3104" i="13"/>
  <c r="F3105" i="13"/>
  <c r="F3106" i="13"/>
  <c r="F3107" i="13"/>
  <c r="F3108" i="13"/>
  <c r="F3109" i="13"/>
  <c r="F3110" i="13"/>
  <c r="F3111" i="13"/>
  <c r="F3112" i="13"/>
  <c r="F3113" i="13"/>
  <c r="F3114" i="13"/>
  <c r="F3115" i="13"/>
  <c r="F3116" i="13"/>
  <c r="F3117" i="13"/>
  <c r="F3118" i="13"/>
  <c r="F3119" i="13"/>
  <c r="F3120" i="13"/>
  <c r="F3121" i="13"/>
  <c r="F3122" i="13"/>
  <c r="F3123" i="13"/>
  <c r="F3124" i="13"/>
  <c r="F3125" i="13"/>
  <c r="F3126" i="13"/>
  <c r="F3127" i="13"/>
  <c r="F3128" i="13"/>
  <c r="F3129" i="13"/>
  <c r="F3130" i="13"/>
  <c r="F3131" i="13"/>
  <c r="F3132" i="13"/>
  <c r="F3133" i="13"/>
  <c r="F3134" i="13"/>
  <c r="F3135" i="13"/>
  <c r="F3136" i="13"/>
  <c r="F3137" i="13"/>
  <c r="F3138" i="13"/>
  <c r="F3139" i="13"/>
  <c r="F3140" i="13"/>
  <c r="F3141" i="13"/>
  <c r="F3142" i="13"/>
  <c r="F3143" i="13"/>
  <c r="F3144" i="13"/>
  <c r="F3145" i="13"/>
  <c r="F3146" i="13"/>
  <c r="F3147" i="13"/>
  <c r="F3148" i="13"/>
  <c r="F3149" i="13"/>
  <c r="F3150" i="13"/>
  <c r="F3151" i="13"/>
  <c r="F3152" i="13"/>
  <c r="F3153" i="13"/>
  <c r="F3154" i="13"/>
  <c r="F3155" i="13"/>
  <c r="F3156" i="13"/>
  <c r="F3157" i="13"/>
  <c r="F3158" i="13"/>
  <c r="F3159" i="13"/>
  <c r="F3160" i="13"/>
  <c r="F3161" i="13"/>
  <c r="F3162" i="13"/>
  <c r="F3163" i="13"/>
  <c r="F3164" i="13"/>
  <c r="F3165" i="13"/>
  <c r="F3166" i="13"/>
  <c r="F3167" i="13"/>
  <c r="F3168" i="13"/>
  <c r="F3169" i="13"/>
  <c r="F3170" i="13"/>
  <c r="F3171" i="13"/>
  <c r="F3172" i="13"/>
  <c r="F3173" i="13"/>
  <c r="F3174" i="13"/>
  <c r="F3175" i="13"/>
  <c r="F3176" i="13"/>
  <c r="F3177" i="13"/>
  <c r="F3178" i="13"/>
  <c r="F3179" i="13"/>
  <c r="F3180" i="13"/>
  <c r="F3181" i="13"/>
  <c r="F3182" i="13"/>
  <c r="F3183" i="13"/>
  <c r="F3184" i="13"/>
  <c r="F3185" i="13"/>
  <c r="F3186" i="13"/>
  <c r="F3187" i="13"/>
  <c r="F3188" i="13"/>
  <c r="F3189" i="13"/>
  <c r="F3190" i="13"/>
  <c r="F3191" i="13"/>
  <c r="F3192" i="13"/>
  <c r="F3193" i="13"/>
  <c r="F3194" i="13"/>
  <c r="F3195" i="13"/>
  <c r="F3196" i="13"/>
  <c r="F3197" i="13"/>
  <c r="F3198" i="13"/>
  <c r="F3199" i="13"/>
  <c r="F3200" i="13"/>
  <c r="F3201" i="13"/>
  <c r="F3202" i="13"/>
  <c r="F3203" i="13"/>
  <c r="F3204" i="13"/>
  <c r="F3205" i="13"/>
  <c r="F3206" i="13"/>
  <c r="F3207" i="13"/>
  <c r="F3208" i="13"/>
  <c r="F3209" i="13"/>
  <c r="F3210" i="13"/>
  <c r="F3211" i="13"/>
  <c r="F3212" i="13"/>
  <c r="F3213" i="13"/>
  <c r="F3214" i="13"/>
  <c r="F3215" i="13"/>
  <c r="F3216" i="13"/>
  <c r="F3217" i="13"/>
  <c r="F3218" i="13"/>
  <c r="F3219" i="13"/>
  <c r="F3220" i="13"/>
  <c r="F3221" i="13"/>
  <c r="F3222" i="13"/>
  <c r="F3223" i="13"/>
  <c r="F3224" i="13"/>
  <c r="F3225" i="13"/>
  <c r="F3226" i="13"/>
  <c r="F3227" i="13"/>
  <c r="F3228" i="13"/>
  <c r="F3229" i="13"/>
  <c r="F3230" i="13"/>
  <c r="F3231" i="13"/>
  <c r="F3232" i="13"/>
  <c r="F3233" i="13"/>
  <c r="F3234" i="13"/>
  <c r="F3235" i="13"/>
  <c r="F3236" i="13"/>
  <c r="F3237" i="13"/>
  <c r="F3238" i="13"/>
  <c r="F3239" i="13"/>
  <c r="F3240" i="13"/>
  <c r="F3241" i="13"/>
  <c r="F3242" i="13"/>
  <c r="F3243" i="13"/>
  <c r="F3244" i="13"/>
  <c r="F3245" i="13"/>
  <c r="F3246" i="13"/>
  <c r="F3247" i="13"/>
  <c r="F3248" i="13"/>
  <c r="F3249" i="13"/>
  <c r="F3250" i="13"/>
  <c r="F3251" i="13"/>
  <c r="F3252" i="13"/>
  <c r="F3253" i="13"/>
  <c r="F3254" i="13"/>
  <c r="F3255" i="13"/>
  <c r="F3256" i="13"/>
  <c r="F3257" i="13"/>
  <c r="F3258" i="13"/>
  <c r="F3259" i="13"/>
  <c r="F3260" i="13"/>
  <c r="F3261" i="13"/>
  <c r="F3262" i="13"/>
  <c r="F3263" i="13"/>
  <c r="F3264" i="13"/>
  <c r="F3265" i="13"/>
  <c r="F3266" i="13"/>
  <c r="F3267" i="13"/>
  <c r="F3268" i="13"/>
  <c r="F3269" i="13"/>
  <c r="F3270" i="13"/>
  <c r="F3271" i="13"/>
  <c r="F3272" i="13"/>
  <c r="F3273" i="13"/>
  <c r="F3274" i="13"/>
  <c r="F3275" i="13"/>
  <c r="F3276" i="13"/>
  <c r="F3277" i="13"/>
  <c r="F3278" i="13"/>
  <c r="F3279" i="13"/>
  <c r="F3280" i="13"/>
  <c r="F3281" i="13"/>
  <c r="F3282" i="13"/>
  <c r="F3283" i="13"/>
  <c r="F3284" i="13"/>
  <c r="F3285" i="13"/>
  <c r="F3286" i="13"/>
  <c r="F3287" i="13"/>
  <c r="F3288" i="13"/>
  <c r="F3289" i="13"/>
  <c r="F3290" i="13"/>
  <c r="F3291" i="13"/>
  <c r="F3292" i="13"/>
  <c r="F3293" i="13"/>
  <c r="F3294" i="13"/>
  <c r="F3295" i="13"/>
  <c r="F3296" i="13"/>
  <c r="F3297" i="13"/>
  <c r="F3298" i="13"/>
  <c r="F3299" i="13"/>
  <c r="F3300" i="13"/>
  <c r="F3301" i="13"/>
  <c r="F3302" i="13"/>
  <c r="F3303" i="13"/>
  <c r="F3304" i="13"/>
  <c r="F3305" i="13"/>
  <c r="F3306" i="13"/>
  <c r="F3307" i="13"/>
  <c r="F3308" i="13"/>
  <c r="F3309" i="13"/>
  <c r="F3310" i="13"/>
  <c r="F3311" i="13"/>
  <c r="F3312" i="13"/>
  <c r="F3313" i="13"/>
  <c r="F3314" i="13"/>
  <c r="F3315" i="13"/>
  <c r="F3316" i="13"/>
  <c r="F3317" i="13"/>
  <c r="F3318" i="13"/>
  <c r="F3319" i="13"/>
  <c r="F3320" i="13"/>
  <c r="F3321" i="13"/>
  <c r="F3322" i="13"/>
  <c r="F3323" i="13"/>
  <c r="F3324" i="13"/>
  <c r="F3325" i="13"/>
  <c r="F3326" i="13"/>
  <c r="F3327" i="13"/>
  <c r="F3328" i="13"/>
  <c r="F3329" i="13"/>
  <c r="F3330" i="13"/>
  <c r="F3331" i="13"/>
  <c r="F3332" i="13"/>
  <c r="F3333" i="13"/>
  <c r="F3334" i="13"/>
  <c r="F3335" i="13"/>
  <c r="F3336" i="13"/>
  <c r="F3337" i="13"/>
  <c r="F3338" i="13"/>
  <c r="F3339" i="13"/>
  <c r="F3340" i="13"/>
  <c r="F3341" i="13"/>
  <c r="F3342" i="13"/>
  <c r="F3343" i="13"/>
  <c r="F3344" i="13"/>
  <c r="F3345" i="13"/>
  <c r="F3346" i="13"/>
  <c r="F3347" i="13"/>
  <c r="F3348" i="13"/>
  <c r="F3349" i="13"/>
  <c r="F3350" i="13"/>
  <c r="F3351" i="13"/>
  <c r="F3352" i="13"/>
  <c r="F3353" i="13"/>
  <c r="F3354" i="13"/>
  <c r="F3355" i="13"/>
  <c r="F3356" i="13"/>
  <c r="F3357" i="13"/>
  <c r="F3358" i="13"/>
  <c r="F3359" i="13"/>
  <c r="F3360" i="13"/>
  <c r="F3361" i="13"/>
  <c r="F3362" i="13"/>
  <c r="F3363" i="13"/>
  <c r="F3364" i="13"/>
  <c r="F3365" i="13"/>
  <c r="F3366" i="13"/>
  <c r="F3367" i="13"/>
  <c r="F3368" i="13"/>
  <c r="F3369" i="13"/>
  <c r="F3370" i="13"/>
  <c r="F3371" i="13"/>
  <c r="F3372" i="13"/>
  <c r="F3373" i="13"/>
  <c r="F3374" i="13"/>
  <c r="F3375" i="13"/>
  <c r="F3376" i="13"/>
  <c r="F3377" i="13"/>
  <c r="F3378" i="13"/>
  <c r="F3379" i="13"/>
  <c r="F3380" i="13"/>
  <c r="F3381" i="13"/>
  <c r="F3382" i="13"/>
  <c r="F3383" i="13"/>
  <c r="F3384" i="13"/>
  <c r="F3385" i="13"/>
  <c r="F3386" i="13"/>
  <c r="F3387" i="13"/>
  <c r="F3388" i="13"/>
  <c r="F3389" i="13"/>
  <c r="F3390" i="13"/>
  <c r="F3391" i="13"/>
  <c r="F3392" i="13"/>
  <c r="F3393" i="13"/>
  <c r="F3394" i="13"/>
  <c r="F3395" i="13"/>
  <c r="F3396" i="13"/>
  <c r="F3397" i="13"/>
  <c r="F3398" i="13"/>
  <c r="F3399" i="13"/>
  <c r="F3400" i="13"/>
  <c r="F3401" i="13"/>
  <c r="F3402" i="13"/>
  <c r="F3403" i="13"/>
  <c r="F3404" i="13"/>
  <c r="F3405" i="13"/>
  <c r="F3406" i="13"/>
  <c r="F3407" i="13"/>
  <c r="F3408" i="13"/>
  <c r="F3409" i="13"/>
  <c r="F3410" i="13"/>
  <c r="F3411" i="13"/>
  <c r="F3412" i="13"/>
  <c r="F3413" i="13"/>
  <c r="F3414" i="13"/>
  <c r="F3415" i="13"/>
  <c r="F3416" i="13"/>
  <c r="F3417" i="13"/>
  <c r="F3418" i="13"/>
  <c r="F3419" i="13"/>
  <c r="F3420" i="13"/>
  <c r="F3421" i="13"/>
  <c r="F3422" i="13"/>
  <c r="F3423" i="13"/>
  <c r="F3424" i="13"/>
  <c r="F3425" i="13"/>
  <c r="F3426" i="13"/>
  <c r="F3427" i="13"/>
  <c r="F3428" i="13"/>
  <c r="F3429" i="13"/>
  <c r="F3430" i="13"/>
  <c r="F3431" i="13"/>
  <c r="F3432" i="13"/>
  <c r="F3433" i="13"/>
  <c r="F3434" i="13"/>
  <c r="F3435" i="13"/>
  <c r="F3436" i="13"/>
  <c r="F3437" i="13"/>
  <c r="F3438" i="13"/>
  <c r="F3439" i="13"/>
  <c r="F3440" i="13"/>
  <c r="F3441" i="13"/>
  <c r="F3442" i="13"/>
  <c r="F3443" i="13"/>
  <c r="F3444" i="13"/>
  <c r="F3445" i="13"/>
  <c r="F3446" i="13"/>
  <c r="F3447" i="13"/>
  <c r="F3448" i="13"/>
  <c r="F3449" i="13"/>
  <c r="F3450" i="13"/>
  <c r="F3451" i="13"/>
  <c r="F3452" i="13"/>
  <c r="F3453" i="13"/>
  <c r="F3454" i="13"/>
  <c r="F3455" i="13"/>
  <c r="F3456" i="13"/>
  <c r="F3457" i="13"/>
  <c r="F3458" i="13"/>
  <c r="F3459" i="13"/>
  <c r="F3460" i="13"/>
  <c r="F3461" i="13"/>
  <c r="F3462" i="13"/>
  <c r="F3463" i="13"/>
  <c r="F3464" i="13"/>
  <c r="F3465" i="13"/>
  <c r="F3466" i="13"/>
  <c r="F3467" i="13"/>
  <c r="F3468" i="13"/>
  <c r="F3469" i="13"/>
  <c r="F3470" i="13"/>
  <c r="F3471" i="13"/>
  <c r="F3472" i="13"/>
  <c r="F3473" i="13"/>
  <c r="F3474" i="13"/>
  <c r="F3475" i="13"/>
  <c r="F3476" i="13"/>
  <c r="F3477" i="13"/>
  <c r="F3478" i="13"/>
  <c r="F3479" i="13"/>
  <c r="F3480" i="13"/>
  <c r="F3481" i="13"/>
  <c r="F3482" i="13"/>
  <c r="F3483" i="13"/>
  <c r="F3484" i="13"/>
  <c r="F3485" i="13"/>
  <c r="F3486" i="13"/>
  <c r="F3487" i="13"/>
  <c r="F3488" i="13"/>
  <c r="F3489" i="13"/>
  <c r="F3490" i="13"/>
  <c r="F3491" i="13"/>
  <c r="F3492" i="13"/>
  <c r="F3493" i="13"/>
  <c r="F3494" i="13"/>
  <c r="F3495" i="13"/>
  <c r="F3496" i="13"/>
  <c r="F3497" i="13"/>
  <c r="F3498" i="13"/>
  <c r="F3499" i="13"/>
  <c r="F3500" i="13"/>
  <c r="F3501" i="13"/>
  <c r="F3502" i="13"/>
  <c r="F3503" i="13"/>
  <c r="F3504" i="13"/>
  <c r="F3505" i="13"/>
  <c r="F3506" i="13"/>
  <c r="F3507" i="13"/>
  <c r="F3508" i="13"/>
  <c r="F3509" i="13"/>
  <c r="F3510" i="13"/>
  <c r="F3511" i="13"/>
  <c r="F3512" i="13"/>
  <c r="F3513" i="13"/>
  <c r="F3514" i="13"/>
  <c r="F3515" i="13"/>
  <c r="F3516" i="13"/>
  <c r="F3517" i="13"/>
  <c r="F3518" i="13"/>
  <c r="F3519" i="13"/>
  <c r="F3520" i="13"/>
  <c r="F3521" i="13"/>
  <c r="F3522" i="13"/>
  <c r="F3523" i="13"/>
  <c r="F3524" i="13"/>
  <c r="F3525" i="13"/>
  <c r="F3526" i="13"/>
  <c r="F3527" i="13"/>
  <c r="F3528" i="13"/>
  <c r="F3529" i="13"/>
  <c r="F3530" i="13"/>
  <c r="F3531" i="13"/>
  <c r="F3532" i="13"/>
  <c r="F3533" i="13"/>
  <c r="F3534" i="13"/>
  <c r="F3535" i="13"/>
  <c r="F3536" i="13"/>
  <c r="F3537" i="13"/>
  <c r="F3538" i="13"/>
  <c r="F3539" i="13"/>
  <c r="F3540" i="13"/>
  <c r="F3541" i="13"/>
  <c r="F3542" i="13"/>
  <c r="F3543" i="13"/>
  <c r="F3544" i="13"/>
  <c r="F3545" i="13"/>
  <c r="F3546" i="13"/>
  <c r="F3547" i="13"/>
  <c r="F3548" i="13"/>
  <c r="F3549" i="13"/>
  <c r="F3550" i="13"/>
  <c r="F3551" i="13"/>
  <c r="F3552" i="13"/>
  <c r="F3553" i="13"/>
  <c r="F3554" i="13"/>
  <c r="F3555" i="13"/>
  <c r="F3556" i="13"/>
  <c r="F3557" i="13"/>
  <c r="F3558" i="13"/>
  <c r="F3559" i="13"/>
  <c r="F3560" i="13"/>
  <c r="F3561" i="13"/>
  <c r="F3562" i="13"/>
  <c r="F3563" i="13"/>
  <c r="F3564" i="13"/>
  <c r="F3565" i="13"/>
  <c r="F3566" i="13"/>
  <c r="F3567" i="13"/>
  <c r="F3568" i="13"/>
  <c r="F3569" i="13"/>
  <c r="F3570" i="13"/>
  <c r="F3571" i="13"/>
  <c r="F3572" i="13"/>
  <c r="F3573" i="13"/>
  <c r="F3574" i="13"/>
  <c r="F3575" i="13"/>
  <c r="F3576" i="13"/>
  <c r="F3577" i="13"/>
  <c r="F3578" i="13"/>
  <c r="F3579" i="13"/>
  <c r="F3580" i="13"/>
  <c r="F3581" i="13"/>
  <c r="F3582" i="13"/>
  <c r="F3583" i="13"/>
  <c r="F3584" i="13"/>
  <c r="F3585" i="13"/>
  <c r="F3586" i="13"/>
  <c r="F3587" i="13"/>
  <c r="F3588" i="13"/>
  <c r="F3589" i="13"/>
  <c r="F3590" i="13"/>
  <c r="F3591" i="13"/>
  <c r="F3592" i="13"/>
  <c r="F3593" i="13"/>
  <c r="F3594" i="13"/>
  <c r="F3595" i="13"/>
  <c r="F3596" i="13"/>
  <c r="F3597" i="13"/>
  <c r="F3598" i="13"/>
  <c r="F3599" i="13"/>
  <c r="F3600" i="13"/>
  <c r="F3601" i="13"/>
  <c r="F3602" i="13"/>
  <c r="F3603" i="13"/>
  <c r="F3604" i="13"/>
  <c r="F3605" i="13"/>
  <c r="F3606" i="13"/>
  <c r="F3607" i="13"/>
  <c r="F3608" i="13"/>
  <c r="F3609" i="13"/>
  <c r="F3610" i="13"/>
  <c r="F3611" i="13"/>
  <c r="F3612" i="13"/>
  <c r="F3613" i="13"/>
  <c r="F3614" i="13"/>
  <c r="F3615" i="13"/>
  <c r="F3616" i="13"/>
  <c r="F3617" i="13"/>
  <c r="F3618" i="13"/>
  <c r="F3619" i="13"/>
  <c r="F3620" i="13"/>
  <c r="F3621" i="13"/>
  <c r="F3622" i="13"/>
  <c r="F3623" i="13"/>
  <c r="F3624" i="13"/>
  <c r="F3625" i="13"/>
  <c r="F3626" i="13"/>
  <c r="F3627" i="13"/>
  <c r="F3628" i="13"/>
  <c r="F3629" i="13"/>
  <c r="F3630" i="13"/>
  <c r="F3631" i="13"/>
  <c r="F3632" i="13"/>
  <c r="F3633" i="13"/>
  <c r="F3634" i="13"/>
  <c r="F3635" i="13"/>
  <c r="F3636" i="13"/>
  <c r="F3637" i="13"/>
  <c r="F3638" i="13"/>
  <c r="F3639" i="13"/>
  <c r="F3640" i="13"/>
  <c r="F3641" i="13"/>
  <c r="F3642" i="13"/>
  <c r="F3643" i="13"/>
  <c r="F3644" i="13"/>
  <c r="F3645" i="13"/>
  <c r="F3646" i="13"/>
  <c r="F3647" i="13"/>
  <c r="F3648" i="13"/>
  <c r="F3649" i="13"/>
  <c r="F3650" i="13"/>
  <c r="F3651" i="13"/>
  <c r="F3652" i="13"/>
  <c r="F3653" i="13"/>
  <c r="F3654" i="13"/>
  <c r="F3655" i="13"/>
  <c r="F3656" i="13"/>
  <c r="F3657" i="13"/>
  <c r="F3658" i="13"/>
  <c r="F3659" i="13"/>
  <c r="F3660" i="13"/>
  <c r="F3661" i="13"/>
  <c r="F3662" i="13"/>
  <c r="F3663" i="13"/>
  <c r="F3664" i="13"/>
  <c r="F3665" i="13"/>
  <c r="F3666" i="13"/>
  <c r="F3667" i="13"/>
  <c r="F3668" i="13"/>
  <c r="F3669" i="13"/>
  <c r="F3670" i="13"/>
  <c r="F3671" i="13"/>
  <c r="F3672" i="13"/>
  <c r="F3673" i="13"/>
  <c r="F3674" i="13"/>
  <c r="F3675" i="13"/>
  <c r="F3676" i="13"/>
  <c r="F3677" i="13"/>
  <c r="F3678" i="13"/>
  <c r="F3679" i="13"/>
  <c r="F3680" i="13"/>
  <c r="F3681" i="13"/>
  <c r="F3682" i="13"/>
  <c r="F3683" i="13"/>
  <c r="F3684" i="13"/>
  <c r="F3685" i="13"/>
  <c r="F3686" i="13"/>
  <c r="F3687" i="13"/>
  <c r="F3688" i="13"/>
  <c r="F3689" i="13"/>
  <c r="F3690" i="13"/>
  <c r="F3691" i="13"/>
  <c r="F3692" i="13"/>
  <c r="F3693" i="13"/>
  <c r="F3694" i="13"/>
  <c r="F3695" i="13"/>
  <c r="F3696" i="13"/>
  <c r="F3697" i="13"/>
  <c r="F3698" i="13"/>
  <c r="F3699" i="13"/>
  <c r="F3700" i="13"/>
  <c r="F3701" i="13"/>
  <c r="F3702" i="13"/>
  <c r="F3703" i="13"/>
  <c r="F3704" i="13"/>
  <c r="F3705" i="13"/>
  <c r="F3706" i="13"/>
  <c r="F3707" i="13"/>
  <c r="F3708" i="13"/>
  <c r="F3709" i="13"/>
  <c r="F3710" i="13"/>
  <c r="F3711" i="13"/>
  <c r="F3712" i="13"/>
  <c r="F3713" i="13"/>
  <c r="F3714" i="13"/>
  <c r="F3715" i="13"/>
  <c r="F3716" i="13"/>
  <c r="F3717" i="13"/>
  <c r="F3718" i="13"/>
  <c r="F3719" i="13"/>
  <c r="F3720" i="13"/>
  <c r="F3721" i="13"/>
  <c r="F3722" i="13"/>
  <c r="F3723" i="13"/>
  <c r="F3724" i="13"/>
  <c r="F3725" i="13"/>
  <c r="F3726" i="13"/>
  <c r="F3727" i="13"/>
  <c r="F3728" i="13"/>
  <c r="F3729" i="13"/>
  <c r="F3730" i="13"/>
  <c r="F3731" i="13"/>
  <c r="F3732" i="13"/>
  <c r="F3733" i="13"/>
  <c r="F3734" i="13"/>
  <c r="F3735" i="13"/>
  <c r="F3736" i="13"/>
  <c r="F3737" i="13"/>
  <c r="F3738" i="13"/>
  <c r="F3739" i="13"/>
  <c r="F3740" i="13"/>
  <c r="F3741" i="13"/>
  <c r="F3742" i="13"/>
  <c r="F3743" i="13"/>
  <c r="F3744" i="13"/>
  <c r="F3745" i="13"/>
  <c r="F3746" i="13"/>
  <c r="F3747" i="13"/>
  <c r="F3748" i="13"/>
  <c r="F3749" i="13"/>
  <c r="F3750" i="13"/>
  <c r="F3751" i="13"/>
  <c r="F3752" i="13"/>
  <c r="F3753" i="13"/>
  <c r="F3754" i="13"/>
  <c r="F3755" i="13"/>
  <c r="F3756" i="13"/>
  <c r="F3757" i="13"/>
  <c r="F3758" i="13"/>
  <c r="F3759" i="13"/>
  <c r="F3760" i="13"/>
  <c r="F3761" i="13"/>
  <c r="F3762" i="13"/>
  <c r="F3763" i="13"/>
  <c r="F3764" i="13"/>
  <c r="F3765" i="13"/>
  <c r="F3766" i="13"/>
  <c r="F3767" i="13"/>
  <c r="F3768" i="13"/>
  <c r="F3769" i="13"/>
  <c r="F3770" i="13"/>
  <c r="F3771" i="13"/>
  <c r="F3772" i="13"/>
  <c r="F3773" i="13"/>
  <c r="F3774" i="13"/>
  <c r="F3775" i="13"/>
  <c r="F3776" i="13"/>
  <c r="F3777" i="13"/>
  <c r="F3778" i="13"/>
  <c r="F3779" i="13"/>
  <c r="F3780" i="13"/>
  <c r="F3781" i="13"/>
  <c r="F3782" i="13"/>
  <c r="F3783" i="13"/>
  <c r="F3784" i="13"/>
  <c r="F3785" i="13"/>
  <c r="F3786" i="13"/>
  <c r="F3787" i="13"/>
  <c r="F3788" i="13"/>
  <c r="F3789" i="13"/>
  <c r="F3790" i="13"/>
  <c r="F3791" i="13"/>
  <c r="F3792" i="13"/>
  <c r="F3793" i="13"/>
  <c r="F3794" i="13"/>
  <c r="F3795" i="13"/>
  <c r="F3796" i="13"/>
  <c r="F3797" i="13"/>
  <c r="F3798" i="13"/>
  <c r="F3799" i="13"/>
  <c r="F3800" i="13"/>
  <c r="F3801" i="13"/>
  <c r="F3802" i="13"/>
  <c r="F3803" i="13"/>
  <c r="F3804" i="13"/>
  <c r="F3805" i="13"/>
  <c r="F3806" i="13"/>
  <c r="F3807" i="13"/>
  <c r="F3808" i="13"/>
  <c r="F3809" i="13"/>
  <c r="F3810" i="13"/>
  <c r="F3811" i="13"/>
  <c r="F3812" i="13"/>
  <c r="F3813" i="13"/>
  <c r="F3814" i="13"/>
  <c r="F3815" i="13"/>
  <c r="F3816" i="13"/>
  <c r="F3817" i="13"/>
  <c r="F3818" i="13"/>
  <c r="F3819" i="13"/>
  <c r="F3820" i="13"/>
  <c r="F3821" i="13"/>
  <c r="F3822" i="13"/>
  <c r="F3823" i="13"/>
  <c r="F3824" i="13"/>
  <c r="F3825" i="13"/>
  <c r="F3826" i="13"/>
  <c r="F3827" i="13"/>
  <c r="F3828" i="13"/>
  <c r="F3829" i="13"/>
  <c r="F3830" i="13"/>
  <c r="F3831" i="13"/>
  <c r="F3832" i="13"/>
  <c r="F3833" i="13"/>
  <c r="F3834" i="13"/>
  <c r="F3835" i="13"/>
  <c r="F3836" i="13"/>
  <c r="F3837" i="13"/>
  <c r="F3838" i="13"/>
  <c r="F3839" i="13"/>
  <c r="F3840" i="13"/>
  <c r="F3841" i="13"/>
  <c r="F3842" i="13"/>
  <c r="F3843" i="13"/>
  <c r="F3844" i="13"/>
  <c r="F3845" i="13"/>
  <c r="F3846" i="13"/>
  <c r="F3847" i="13"/>
  <c r="F3848" i="13"/>
  <c r="F3849" i="13"/>
  <c r="F3850" i="13"/>
  <c r="F3851" i="13"/>
  <c r="F3852" i="13"/>
  <c r="F3853" i="13"/>
  <c r="F3854" i="13"/>
  <c r="F3855" i="13"/>
  <c r="F3856" i="13"/>
  <c r="F3857" i="13"/>
  <c r="F3858" i="13"/>
  <c r="F3859" i="13"/>
  <c r="F3860" i="13"/>
  <c r="F3861" i="13"/>
  <c r="F3862" i="13"/>
  <c r="F3863" i="13"/>
  <c r="F3864" i="13"/>
  <c r="F3865" i="13"/>
  <c r="F3866" i="13"/>
  <c r="F3867" i="13"/>
  <c r="F3868" i="13"/>
  <c r="F3869" i="13"/>
  <c r="F3870" i="13"/>
  <c r="F3871" i="13"/>
  <c r="F3872" i="13"/>
  <c r="F3873" i="13"/>
  <c r="F3874" i="13"/>
  <c r="F3875" i="13"/>
  <c r="F3876" i="13"/>
  <c r="F3877" i="13"/>
  <c r="F3878" i="13"/>
  <c r="F3879" i="13"/>
  <c r="F3880" i="13"/>
  <c r="F3881" i="13"/>
  <c r="F3882" i="13"/>
  <c r="F3883" i="13"/>
  <c r="F3884" i="13"/>
  <c r="F3885" i="13"/>
  <c r="F3886" i="13"/>
  <c r="F3887" i="13"/>
  <c r="F3888" i="13"/>
  <c r="F3889" i="13"/>
  <c r="F3890" i="13"/>
  <c r="F3891" i="13"/>
  <c r="F3892" i="13"/>
  <c r="F3893" i="13"/>
  <c r="F3894" i="13"/>
  <c r="F3895" i="13"/>
  <c r="F3896" i="13"/>
  <c r="F3897" i="13"/>
  <c r="F3898" i="13"/>
  <c r="F3899" i="13"/>
  <c r="F3900" i="13"/>
  <c r="F3901" i="13"/>
  <c r="F3902" i="13"/>
  <c r="F3903" i="13"/>
  <c r="F3904" i="13"/>
  <c r="F3905" i="13"/>
  <c r="F3906" i="13"/>
  <c r="F3907" i="13"/>
  <c r="F3908" i="13"/>
  <c r="F3909" i="13"/>
  <c r="F3910" i="13"/>
  <c r="F3911" i="13"/>
  <c r="F3912" i="13"/>
  <c r="F3913" i="13"/>
  <c r="F3914" i="13"/>
  <c r="F3915" i="13"/>
  <c r="F3916" i="13"/>
  <c r="F3917" i="13"/>
  <c r="F3918" i="13"/>
  <c r="F3919" i="13"/>
  <c r="F3920" i="13"/>
  <c r="F3921" i="13"/>
  <c r="F3922" i="13"/>
  <c r="F3923" i="13"/>
  <c r="F3924" i="13"/>
  <c r="F3925" i="13"/>
  <c r="F3926" i="13"/>
  <c r="F3927" i="13"/>
  <c r="F3928" i="13"/>
  <c r="F3929" i="13"/>
  <c r="F3930" i="13"/>
  <c r="F3931" i="13"/>
  <c r="F3932" i="13"/>
  <c r="F3933" i="13"/>
  <c r="F3934" i="13"/>
  <c r="F3935" i="13"/>
  <c r="F3936" i="13"/>
  <c r="F3937" i="13"/>
  <c r="F3938" i="13"/>
  <c r="F3939" i="13"/>
  <c r="F3940" i="13"/>
  <c r="F3941" i="13"/>
  <c r="F3942" i="13"/>
  <c r="F3943" i="13"/>
  <c r="F3944" i="13"/>
  <c r="F3945" i="13"/>
  <c r="F3946" i="13"/>
  <c r="F3947" i="13"/>
  <c r="F3948" i="13"/>
  <c r="F3949" i="13"/>
  <c r="F3950" i="13"/>
  <c r="F3951" i="13"/>
  <c r="F3952" i="13"/>
  <c r="F3953" i="13"/>
  <c r="F3954" i="13"/>
  <c r="F3955" i="13"/>
  <c r="F3956" i="13"/>
  <c r="F3957" i="13"/>
  <c r="F3958" i="13"/>
  <c r="F3959" i="13"/>
  <c r="F3960" i="13"/>
  <c r="F3961" i="13"/>
  <c r="F3962" i="13"/>
  <c r="F3963" i="13"/>
  <c r="F3964" i="13"/>
  <c r="F3965" i="13"/>
  <c r="F3966" i="13"/>
  <c r="F3967" i="13"/>
  <c r="F3968" i="13"/>
  <c r="F3969" i="13"/>
  <c r="F3970" i="13"/>
  <c r="F3971" i="13"/>
  <c r="F3972" i="13"/>
  <c r="F3973" i="13"/>
  <c r="F3974" i="13"/>
  <c r="F3975" i="13"/>
  <c r="F3976" i="13"/>
  <c r="F3977" i="13"/>
  <c r="F3978" i="13"/>
  <c r="F3979" i="13"/>
  <c r="F3980" i="13"/>
  <c r="F3981" i="13"/>
  <c r="F3982" i="13"/>
  <c r="F3983" i="13"/>
  <c r="F3984" i="13"/>
  <c r="F3985" i="13"/>
  <c r="F3986" i="13"/>
  <c r="F3987" i="13"/>
  <c r="F3988" i="13"/>
  <c r="F3989" i="13"/>
  <c r="F3990" i="13"/>
  <c r="F3991" i="13"/>
  <c r="F3992" i="13"/>
  <c r="F3993" i="13"/>
  <c r="F3994" i="13"/>
  <c r="F3995" i="13"/>
  <c r="F3996" i="13"/>
  <c r="F3997" i="13"/>
  <c r="F3998" i="13"/>
  <c r="F3999" i="13"/>
  <c r="F4000" i="13"/>
  <c r="F4001" i="13"/>
  <c r="F4002" i="13"/>
  <c r="F4003" i="13"/>
  <c r="F4004" i="13"/>
  <c r="F4005" i="13"/>
  <c r="F4006" i="13"/>
  <c r="F4007" i="13"/>
  <c r="F4008" i="13"/>
  <c r="F4009" i="13"/>
  <c r="F4010" i="13"/>
  <c r="F4011" i="13"/>
  <c r="F4012" i="13"/>
  <c r="F4013" i="13"/>
  <c r="F4014" i="13"/>
  <c r="F4015" i="13"/>
  <c r="F4016" i="13"/>
  <c r="F4017" i="13"/>
  <c r="F4018" i="13"/>
  <c r="F4019" i="13"/>
  <c r="F4020" i="13"/>
  <c r="F4021" i="13"/>
  <c r="F4022" i="13"/>
  <c r="F4023" i="13"/>
  <c r="F4024" i="13"/>
  <c r="F4025" i="13"/>
  <c r="F4026" i="13"/>
  <c r="F4027" i="13"/>
  <c r="F4028" i="13"/>
  <c r="F4029" i="13"/>
  <c r="F4030" i="13"/>
  <c r="F4031" i="13"/>
  <c r="F4032" i="13"/>
  <c r="F4033" i="13"/>
  <c r="F4034" i="13"/>
  <c r="F4035" i="13"/>
  <c r="F4036" i="13"/>
  <c r="F4037" i="13"/>
  <c r="F4038" i="13"/>
  <c r="F4039" i="13"/>
  <c r="F4040" i="13"/>
  <c r="F4041" i="13"/>
  <c r="F4042" i="13"/>
  <c r="F4043" i="13"/>
  <c r="F4044" i="13"/>
  <c r="F4045" i="13"/>
  <c r="F4046" i="13"/>
  <c r="F4047" i="13"/>
  <c r="F4048" i="13"/>
  <c r="F4049" i="13"/>
  <c r="F4050" i="13"/>
  <c r="F4051" i="13"/>
  <c r="F4052" i="13"/>
  <c r="F4053" i="13"/>
  <c r="F4054" i="13"/>
  <c r="F4055" i="13"/>
  <c r="F4056" i="13"/>
  <c r="F4057" i="13"/>
  <c r="F4058" i="13"/>
  <c r="F4059" i="13"/>
  <c r="F4060" i="13"/>
  <c r="F4061" i="13"/>
  <c r="F4062" i="13"/>
  <c r="F4063" i="13"/>
  <c r="F4064" i="13"/>
  <c r="F4065" i="13"/>
  <c r="F4066" i="13"/>
  <c r="F4067" i="13"/>
  <c r="F4068" i="13"/>
  <c r="F4069" i="13"/>
  <c r="F4070" i="13"/>
  <c r="F4071" i="13"/>
  <c r="F4072" i="13"/>
  <c r="F4073" i="13"/>
  <c r="F4074" i="13"/>
  <c r="F4075" i="13"/>
  <c r="F4076" i="13"/>
  <c r="F4077" i="13"/>
  <c r="F4078" i="13"/>
  <c r="F4079" i="13"/>
  <c r="F4080" i="13"/>
  <c r="F4081" i="13"/>
  <c r="F4082" i="13"/>
  <c r="F4083" i="13"/>
  <c r="F4084" i="13"/>
  <c r="F4085" i="13"/>
  <c r="F4086" i="13"/>
  <c r="F4087" i="13"/>
  <c r="F4088" i="13"/>
  <c r="F4089" i="13"/>
  <c r="F4090" i="13"/>
  <c r="F4091" i="13"/>
  <c r="F4092" i="13"/>
  <c r="F4093" i="13"/>
  <c r="F4094" i="13"/>
  <c r="F4095" i="13"/>
  <c r="F4096" i="13"/>
  <c r="F4097" i="13"/>
  <c r="F4098" i="13"/>
  <c r="F4099" i="13"/>
  <c r="F4100" i="13"/>
  <c r="F4101" i="13"/>
  <c r="F4102" i="13"/>
  <c r="F4103" i="13"/>
  <c r="F4104" i="13"/>
  <c r="F4105" i="13"/>
  <c r="F4106" i="13"/>
  <c r="F4107" i="13"/>
  <c r="F4108" i="13"/>
  <c r="F4109" i="13"/>
  <c r="F4110" i="13"/>
  <c r="F4111" i="13"/>
  <c r="F4112" i="13"/>
  <c r="F4113" i="13"/>
  <c r="F4114" i="13"/>
  <c r="F4115" i="13"/>
  <c r="F4116" i="13"/>
  <c r="F4117" i="13"/>
  <c r="F4118" i="13"/>
  <c r="F4119" i="13"/>
  <c r="F4120" i="13"/>
  <c r="F4121" i="13"/>
  <c r="F4122" i="13"/>
  <c r="F4123" i="13"/>
  <c r="F4124" i="13"/>
  <c r="F4125" i="13"/>
  <c r="F4126" i="13"/>
  <c r="F4127" i="13"/>
  <c r="F4128" i="13"/>
  <c r="F4129" i="13"/>
  <c r="F4130" i="13"/>
  <c r="F4131" i="13"/>
  <c r="F4132" i="13"/>
  <c r="F4133" i="13"/>
  <c r="F4134" i="13"/>
  <c r="F4135" i="13"/>
  <c r="F4136" i="13"/>
  <c r="F4137" i="13"/>
  <c r="F4138" i="13"/>
  <c r="F4139" i="13"/>
  <c r="F4140" i="13"/>
  <c r="F4141" i="13"/>
  <c r="F4142" i="13"/>
  <c r="F4143" i="13"/>
  <c r="F4144" i="13"/>
  <c r="F4145" i="13"/>
  <c r="F4146" i="13"/>
  <c r="F4147" i="13"/>
  <c r="F4148" i="13"/>
  <c r="F4149" i="13"/>
  <c r="F4150" i="13"/>
  <c r="F4151" i="13"/>
  <c r="F4152" i="13"/>
  <c r="F4153" i="13"/>
  <c r="F4154" i="13"/>
  <c r="F4155" i="13"/>
  <c r="F4156" i="13"/>
  <c r="F4157" i="13"/>
  <c r="F4158" i="13"/>
  <c r="F4159" i="13"/>
  <c r="F4160" i="13"/>
  <c r="F4161" i="13"/>
  <c r="F4162" i="13"/>
  <c r="F4163" i="13"/>
  <c r="F4164" i="13"/>
  <c r="F4165" i="13"/>
  <c r="F4166" i="13"/>
  <c r="F4167" i="13"/>
  <c r="F4168" i="13"/>
  <c r="F4169" i="13"/>
  <c r="F4170" i="13"/>
  <c r="F4171" i="13"/>
  <c r="F4172" i="13"/>
  <c r="F4173" i="13"/>
  <c r="F4174" i="13"/>
  <c r="F4175" i="13"/>
  <c r="F4176" i="13"/>
  <c r="F4177" i="13"/>
  <c r="F4178" i="13"/>
  <c r="F4179" i="13"/>
  <c r="F4180" i="13"/>
  <c r="F4181" i="13"/>
  <c r="F4182" i="13"/>
  <c r="F4183" i="13"/>
  <c r="F4184" i="13"/>
  <c r="F4185" i="13"/>
  <c r="F4186" i="13"/>
  <c r="F4187" i="13"/>
  <c r="F4188" i="13"/>
  <c r="F4189" i="13"/>
  <c r="F4190" i="13"/>
  <c r="F4191" i="13"/>
  <c r="F4192" i="13"/>
  <c r="F4193" i="13"/>
  <c r="F4194" i="13"/>
  <c r="F4195" i="13"/>
  <c r="F4196" i="13"/>
  <c r="F4197" i="13"/>
  <c r="F4198" i="13"/>
  <c r="F4199" i="13"/>
  <c r="F4200" i="13"/>
  <c r="F4201" i="13"/>
  <c r="F4202" i="13"/>
  <c r="F4203" i="13"/>
  <c r="F4204" i="13"/>
  <c r="F4205" i="13"/>
  <c r="F4206" i="13"/>
  <c r="F4207" i="13"/>
  <c r="F4208" i="13"/>
  <c r="F4209" i="13"/>
  <c r="F4210" i="13"/>
  <c r="F4211" i="13"/>
  <c r="F4212" i="13"/>
  <c r="F4213" i="13"/>
  <c r="F4214" i="13"/>
  <c r="F4215" i="13"/>
  <c r="F4216" i="13"/>
  <c r="F4217" i="13"/>
  <c r="F4218" i="13"/>
  <c r="F4219" i="13"/>
  <c r="F4220" i="13"/>
  <c r="F4221" i="13"/>
  <c r="F4222" i="13"/>
  <c r="F4223" i="13"/>
  <c r="F4224" i="13"/>
  <c r="F4225" i="13"/>
  <c r="F4226" i="13"/>
  <c r="F4227" i="13"/>
  <c r="F4228" i="13"/>
  <c r="F4229" i="13"/>
  <c r="F4230" i="13"/>
  <c r="F4231" i="13"/>
  <c r="F4232" i="13"/>
  <c r="F4233" i="13"/>
  <c r="F4234" i="13"/>
  <c r="F4235" i="13"/>
  <c r="F4236" i="13"/>
  <c r="F4237" i="13"/>
  <c r="F4238" i="13"/>
  <c r="F4239" i="13"/>
  <c r="F4240" i="13"/>
  <c r="F4241" i="13"/>
  <c r="F4242" i="13"/>
  <c r="F4243" i="13"/>
  <c r="F4244" i="13"/>
  <c r="F4245" i="13"/>
  <c r="F4246" i="13"/>
  <c r="F4247" i="13"/>
  <c r="F4248" i="13"/>
  <c r="F4249" i="13"/>
  <c r="F4250" i="13"/>
  <c r="F4251" i="13"/>
  <c r="F4252" i="13"/>
  <c r="F4253" i="13"/>
  <c r="F4254" i="13"/>
  <c r="F4255" i="13"/>
  <c r="F4256" i="13"/>
  <c r="F4257" i="13"/>
  <c r="F4258" i="13"/>
  <c r="F4259" i="13"/>
  <c r="F4260" i="13"/>
  <c r="F4261" i="13"/>
  <c r="F4262" i="13"/>
  <c r="F4263" i="13"/>
  <c r="F4264" i="13"/>
  <c r="F4265" i="13"/>
  <c r="F4266" i="13"/>
  <c r="F4267" i="13"/>
  <c r="F4268" i="13"/>
  <c r="F4269" i="13"/>
  <c r="F4270" i="13"/>
  <c r="F4271" i="13"/>
  <c r="F4272" i="13"/>
  <c r="F4273" i="13"/>
  <c r="F4274" i="13"/>
  <c r="F4275" i="13"/>
  <c r="F4276" i="13"/>
  <c r="F4277" i="13"/>
  <c r="F4278" i="13"/>
  <c r="F4279" i="13"/>
  <c r="F4280" i="13"/>
  <c r="F4281" i="13"/>
  <c r="F4282" i="13"/>
  <c r="F4283" i="13"/>
  <c r="F4284" i="13"/>
  <c r="F4285" i="13"/>
  <c r="F4286" i="13"/>
  <c r="F4287" i="13"/>
  <c r="F4288" i="13"/>
  <c r="F4289" i="13"/>
  <c r="F4290" i="13"/>
  <c r="F4291" i="13"/>
  <c r="F4292" i="13"/>
  <c r="F4293" i="13"/>
  <c r="F4294" i="13"/>
  <c r="F4295" i="13"/>
  <c r="F4296" i="13"/>
  <c r="F4297" i="13"/>
  <c r="F4298" i="13"/>
  <c r="F4299" i="13"/>
  <c r="F4300" i="13"/>
  <c r="F4301" i="13"/>
  <c r="F4302" i="13"/>
  <c r="F4303" i="13"/>
  <c r="F4304" i="13"/>
  <c r="F4305" i="13"/>
  <c r="F4306" i="13"/>
  <c r="F4307" i="13"/>
  <c r="F4308" i="13"/>
  <c r="F4309" i="13"/>
  <c r="F4310" i="13"/>
  <c r="F4311" i="13"/>
  <c r="F4312" i="13"/>
  <c r="F4313" i="13"/>
  <c r="F4314" i="13"/>
  <c r="F4315" i="13"/>
  <c r="F4316" i="13"/>
  <c r="F4317" i="13"/>
  <c r="F4318" i="13"/>
  <c r="F4319" i="13"/>
  <c r="F4320" i="13"/>
  <c r="F4321" i="13"/>
  <c r="F4322" i="13"/>
  <c r="F4323" i="13"/>
  <c r="F4324" i="13"/>
  <c r="F4325" i="13"/>
  <c r="F4326" i="13"/>
  <c r="F4327" i="13"/>
  <c r="F4328" i="13"/>
  <c r="F4329" i="13"/>
  <c r="F4330" i="13"/>
  <c r="F4331" i="13"/>
  <c r="F4332" i="13"/>
  <c r="F4333" i="13"/>
  <c r="F4334" i="13"/>
  <c r="F4335" i="13"/>
  <c r="F4336" i="13"/>
  <c r="F4337" i="13"/>
  <c r="F4338" i="13"/>
  <c r="F4339" i="13"/>
  <c r="F4340" i="13"/>
  <c r="F4341" i="13"/>
  <c r="F4342" i="13"/>
  <c r="F4343" i="13"/>
  <c r="F4344" i="13"/>
  <c r="F4345" i="13"/>
  <c r="F4346" i="13"/>
  <c r="F4347" i="13"/>
  <c r="F4348" i="13"/>
  <c r="F4349" i="13"/>
  <c r="F4350" i="13"/>
  <c r="F4351" i="13"/>
  <c r="F4352" i="13"/>
  <c r="F4353" i="13"/>
  <c r="F4354" i="13"/>
  <c r="F4355" i="13"/>
  <c r="F4356" i="13"/>
  <c r="F4357" i="13"/>
  <c r="F4358" i="13"/>
  <c r="F4359" i="13"/>
  <c r="F4360" i="13"/>
  <c r="F4361" i="13"/>
  <c r="F4362" i="13"/>
  <c r="F4363" i="13"/>
  <c r="F4364" i="13"/>
  <c r="F4365" i="13"/>
  <c r="F4366" i="13"/>
  <c r="F4367" i="13"/>
  <c r="F4368" i="13"/>
  <c r="F4369" i="13"/>
  <c r="F4370" i="13"/>
  <c r="F4371" i="13"/>
  <c r="F4372" i="13"/>
  <c r="F4373" i="13"/>
  <c r="F4374" i="13"/>
  <c r="F4375" i="13"/>
  <c r="F4376" i="13"/>
  <c r="F4377" i="13"/>
  <c r="F4378" i="13"/>
  <c r="F4379" i="13"/>
  <c r="F4380" i="13"/>
  <c r="F4381" i="13"/>
  <c r="F4382" i="13"/>
  <c r="F4383" i="13"/>
  <c r="F4384" i="13"/>
  <c r="F4385" i="13"/>
  <c r="F4386" i="13"/>
  <c r="F4387" i="13"/>
  <c r="F4388" i="13"/>
  <c r="F4389" i="13"/>
  <c r="F4390" i="13"/>
  <c r="F4391" i="13"/>
  <c r="F4392" i="13"/>
  <c r="F4393" i="13"/>
  <c r="F4394" i="13"/>
  <c r="F4395" i="13"/>
  <c r="F4396" i="13"/>
  <c r="F4397" i="13"/>
  <c r="F4398" i="13"/>
  <c r="F4399" i="13"/>
  <c r="F4400" i="13"/>
  <c r="F4401" i="13"/>
  <c r="F4402" i="13"/>
  <c r="F4403" i="13"/>
  <c r="F4404" i="13"/>
  <c r="F4405" i="13"/>
  <c r="F4406" i="13"/>
  <c r="F4407" i="13"/>
  <c r="F4408" i="13"/>
  <c r="F4409" i="13"/>
  <c r="F4410" i="13"/>
  <c r="F4411" i="13"/>
  <c r="F4412" i="13"/>
  <c r="F4413" i="13"/>
  <c r="F4414" i="13"/>
  <c r="F4415" i="13"/>
  <c r="F4416" i="13"/>
  <c r="F4417" i="13"/>
  <c r="F4418" i="13"/>
  <c r="F4419" i="13"/>
  <c r="F4420" i="13"/>
  <c r="F4421" i="13"/>
  <c r="F4422" i="13"/>
  <c r="F4423" i="13"/>
  <c r="F4424" i="13"/>
  <c r="F4425" i="13"/>
  <c r="F4426" i="13"/>
  <c r="F4427" i="13"/>
  <c r="F4428" i="13"/>
  <c r="F4429" i="13"/>
  <c r="F4430" i="13"/>
  <c r="F4431" i="13"/>
  <c r="F4432" i="13"/>
  <c r="F4433" i="13"/>
  <c r="F4434" i="13"/>
  <c r="F4435" i="13"/>
  <c r="F4436" i="13"/>
  <c r="F4437" i="13"/>
  <c r="F4438" i="13"/>
  <c r="F4439" i="13"/>
  <c r="F4440" i="13"/>
  <c r="F4441" i="13"/>
  <c r="F4442" i="13"/>
  <c r="F4443" i="13"/>
  <c r="F4444" i="13"/>
  <c r="F4445" i="13"/>
  <c r="F4446" i="13"/>
  <c r="F4447" i="13"/>
  <c r="F4448" i="13"/>
  <c r="F4449" i="13"/>
  <c r="F4450" i="13"/>
  <c r="F4451" i="13"/>
  <c r="F4452" i="13"/>
  <c r="F4453" i="13"/>
  <c r="F4454" i="13"/>
  <c r="F4455" i="13"/>
  <c r="F4456" i="13"/>
  <c r="F4457" i="13"/>
  <c r="F4458" i="13"/>
  <c r="F4459" i="13"/>
  <c r="F4460" i="13"/>
  <c r="F4461" i="13"/>
  <c r="F4462" i="13"/>
  <c r="F4463" i="13"/>
  <c r="F4464" i="13"/>
  <c r="F4465" i="13"/>
  <c r="F4466" i="13"/>
  <c r="F4467" i="13"/>
  <c r="F4468" i="13"/>
  <c r="F4469" i="13"/>
  <c r="F4470" i="13"/>
  <c r="F4471" i="13"/>
  <c r="F4472" i="13"/>
  <c r="F4473" i="13"/>
  <c r="F4474" i="13"/>
  <c r="F4475" i="13"/>
  <c r="F4476" i="13"/>
  <c r="F4477" i="13"/>
  <c r="F4478" i="13"/>
  <c r="F4479" i="13"/>
  <c r="F4480" i="13"/>
  <c r="F4481" i="13"/>
  <c r="F4482" i="13"/>
  <c r="F4483" i="13"/>
  <c r="F4484" i="13"/>
  <c r="F4485" i="13"/>
  <c r="F4486" i="13"/>
  <c r="F4487" i="13"/>
  <c r="F4488" i="13"/>
  <c r="F4489" i="13"/>
  <c r="F4490" i="13"/>
  <c r="F4491" i="13"/>
  <c r="F4492" i="13"/>
  <c r="F4493" i="13"/>
  <c r="F4494" i="13"/>
  <c r="F4495" i="13"/>
  <c r="F4496" i="13"/>
  <c r="F4497" i="13"/>
  <c r="F4498" i="13"/>
  <c r="F4499" i="13"/>
  <c r="F4500" i="13"/>
  <c r="F4501" i="13"/>
  <c r="F4502" i="13"/>
  <c r="F4503" i="13"/>
  <c r="F4504" i="13"/>
  <c r="F4505" i="13"/>
  <c r="F4506" i="13"/>
  <c r="F4507" i="13"/>
  <c r="F4508" i="13"/>
  <c r="F4509" i="13"/>
  <c r="F4510" i="13"/>
  <c r="F4511" i="13"/>
  <c r="F4512" i="13"/>
  <c r="F4513" i="13"/>
  <c r="F4514" i="13"/>
  <c r="F4515" i="13"/>
  <c r="F4516" i="13"/>
  <c r="F4517" i="13"/>
  <c r="F4518" i="13"/>
  <c r="F4519" i="13"/>
  <c r="F4520" i="13"/>
  <c r="F4521" i="13"/>
  <c r="F4522" i="13"/>
  <c r="F4523" i="13"/>
  <c r="F4524" i="13"/>
  <c r="F4525" i="13"/>
  <c r="F4526" i="13"/>
  <c r="F4527" i="13"/>
  <c r="F4528" i="13"/>
  <c r="F4529" i="13"/>
  <c r="F4530" i="13"/>
  <c r="F4531" i="13"/>
  <c r="F4532" i="13"/>
  <c r="F4533" i="13"/>
  <c r="F4534" i="13"/>
  <c r="F4535" i="13"/>
  <c r="F4536" i="13"/>
  <c r="F4537" i="13"/>
  <c r="F4538" i="13"/>
  <c r="F4539" i="13"/>
  <c r="F4540" i="13"/>
  <c r="F4541" i="13"/>
  <c r="F4542" i="13"/>
  <c r="F4543" i="13"/>
  <c r="F4544" i="13"/>
  <c r="F4545" i="13"/>
  <c r="F4546" i="13"/>
  <c r="F4547" i="13"/>
  <c r="F4548" i="13"/>
  <c r="F4549" i="13"/>
  <c r="F4550" i="13"/>
  <c r="F4551" i="13"/>
  <c r="F4552" i="13"/>
  <c r="F4553" i="13"/>
  <c r="F4554" i="13"/>
  <c r="F4555" i="13"/>
  <c r="F4556" i="13"/>
  <c r="F4557" i="13"/>
  <c r="F4558" i="13"/>
  <c r="F4559" i="13"/>
  <c r="F4560" i="13"/>
  <c r="F4561" i="13"/>
  <c r="F4562" i="13"/>
  <c r="F4563" i="13"/>
  <c r="F4564" i="13"/>
  <c r="F4565" i="13"/>
  <c r="F4566" i="13"/>
  <c r="F4567" i="13"/>
  <c r="F4568" i="13"/>
  <c r="F4569" i="13"/>
  <c r="F4570" i="13"/>
  <c r="F4571" i="13"/>
  <c r="F4572" i="13"/>
  <c r="F4573" i="13"/>
  <c r="F4574" i="13"/>
  <c r="F4575" i="13"/>
  <c r="F4576" i="13"/>
  <c r="F4577" i="13"/>
  <c r="F4578" i="13"/>
  <c r="F4579" i="13"/>
  <c r="F4580" i="13"/>
  <c r="F4581" i="13"/>
  <c r="F4582" i="13"/>
  <c r="F4583" i="13"/>
  <c r="F4584" i="13"/>
  <c r="F4585" i="13"/>
  <c r="F4586" i="13"/>
  <c r="F4587" i="13"/>
  <c r="F4588" i="13"/>
  <c r="F4589" i="13"/>
  <c r="F4590" i="13"/>
  <c r="F4591" i="13"/>
  <c r="F4592" i="13"/>
  <c r="F4593" i="13"/>
  <c r="F4594" i="13"/>
  <c r="F4595" i="13"/>
  <c r="F4596" i="13"/>
  <c r="F4597" i="13"/>
  <c r="F4598" i="13"/>
  <c r="F4599" i="13"/>
  <c r="F4600" i="13"/>
  <c r="F4601" i="13"/>
  <c r="F4602" i="13"/>
  <c r="F4603" i="13"/>
  <c r="F4604" i="13"/>
  <c r="F4605" i="13"/>
  <c r="F4606" i="13"/>
  <c r="F4607" i="13"/>
  <c r="F4608" i="13"/>
  <c r="F4609" i="13"/>
  <c r="F4610" i="13"/>
  <c r="F4611" i="13"/>
  <c r="F4612" i="13"/>
  <c r="F4613" i="13"/>
  <c r="F4614" i="13"/>
  <c r="F4615" i="13"/>
  <c r="F4616" i="13"/>
  <c r="F4617" i="13"/>
  <c r="F4618" i="13"/>
  <c r="F4619" i="13"/>
  <c r="F4620" i="13"/>
  <c r="F4621" i="13"/>
  <c r="F4622" i="13"/>
  <c r="F4623" i="13"/>
  <c r="F4624" i="13"/>
  <c r="F4625" i="13"/>
  <c r="F4626" i="13"/>
  <c r="F4627" i="13"/>
  <c r="F4628" i="13"/>
  <c r="F4629" i="13"/>
  <c r="F4630" i="13"/>
  <c r="F4631" i="13"/>
  <c r="F4632" i="13"/>
  <c r="F4633" i="13"/>
  <c r="F4634" i="13"/>
  <c r="F4635" i="13"/>
  <c r="F4636" i="13"/>
  <c r="F4637" i="13"/>
  <c r="F4638" i="13"/>
  <c r="F4639" i="13"/>
  <c r="F4640" i="13"/>
  <c r="F4641" i="13"/>
  <c r="F4642" i="13"/>
  <c r="F4643" i="13"/>
  <c r="F4644" i="13"/>
  <c r="F4645" i="13"/>
  <c r="F4646" i="13"/>
  <c r="F4647" i="13"/>
  <c r="F4648" i="13"/>
  <c r="F4649" i="13"/>
  <c r="F4650" i="13"/>
  <c r="F4651" i="13"/>
  <c r="F4652" i="13"/>
  <c r="F4653" i="13"/>
  <c r="F4654" i="13"/>
  <c r="F4655" i="13"/>
  <c r="F4656" i="13"/>
  <c r="F4657" i="13"/>
  <c r="F4658" i="13"/>
  <c r="F4659" i="13"/>
  <c r="F4660" i="13"/>
  <c r="F4661" i="13"/>
  <c r="F4662" i="13"/>
  <c r="F4663" i="13"/>
  <c r="F4664" i="13"/>
  <c r="F4665" i="13"/>
  <c r="F4666" i="13"/>
  <c r="F4667" i="13"/>
  <c r="F4668" i="13"/>
  <c r="F4669" i="13"/>
  <c r="F4670" i="13"/>
  <c r="F4671" i="13"/>
  <c r="F4672" i="13"/>
  <c r="F4673" i="13"/>
  <c r="F4674" i="13"/>
  <c r="F4675" i="13"/>
  <c r="F4676" i="13"/>
  <c r="F4677" i="13"/>
  <c r="F4678" i="13"/>
  <c r="F4679" i="13"/>
  <c r="F4680" i="13"/>
  <c r="F4681" i="13"/>
  <c r="F4682" i="13"/>
  <c r="F4683" i="13"/>
  <c r="F4684" i="13"/>
  <c r="F4685" i="13"/>
  <c r="F4686" i="13"/>
  <c r="F4687" i="13"/>
  <c r="F4688" i="13"/>
  <c r="F4689" i="13"/>
  <c r="F4690" i="13"/>
  <c r="F4691" i="13"/>
  <c r="F4692" i="13"/>
  <c r="F4693" i="13"/>
  <c r="F4694" i="13"/>
  <c r="F4695" i="13"/>
  <c r="F4696" i="13"/>
  <c r="F4697" i="13"/>
  <c r="F4698" i="13"/>
  <c r="F4699" i="13"/>
  <c r="F4700" i="13"/>
  <c r="F4701" i="13"/>
  <c r="F4702" i="13"/>
  <c r="F4703" i="13"/>
  <c r="F4704" i="13"/>
  <c r="F4705" i="13"/>
  <c r="F4706" i="13"/>
  <c r="F4707" i="13"/>
  <c r="F4708" i="13"/>
  <c r="F4709" i="13"/>
  <c r="F4710" i="13"/>
  <c r="F4711" i="13"/>
  <c r="F4712" i="13"/>
  <c r="F4713" i="13"/>
  <c r="F4714" i="13"/>
  <c r="F4715" i="13"/>
  <c r="F4716" i="13"/>
  <c r="F4717" i="13"/>
  <c r="F4718" i="13"/>
  <c r="F4719" i="13"/>
  <c r="F4720" i="13"/>
  <c r="F4721" i="13"/>
  <c r="F4722" i="13"/>
  <c r="F4723" i="13"/>
  <c r="F4724" i="13"/>
  <c r="F4725" i="13"/>
  <c r="F4726" i="13"/>
  <c r="F4727" i="13"/>
  <c r="F4728" i="13"/>
  <c r="F4729" i="13"/>
  <c r="F4730" i="13"/>
  <c r="F4731" i="13"/>
  <c r="F4732" i="13"/>
  <c r="F4733" i="13"/>
  <c r="F4734" i="13"/>
  <c r="F4735" i="13"/>
  <c r="F4736" i="13"/>
  <c r="F4737" i="13"/>
  <c r="F4738" i="13"/>
  <c r="F4739" i="13"/>
  <c r="F4740" i="13"/>
  <c r="F4741" i="13"/>
  <c r="F4742" i="13"/>
  <c r="F4743" i="13"/>
  <c r="F4744" i="13"/>
  <c r="F4745" i="13"/>
  <c r="F4746" i="13"/>
  <c r="F4747" i="13"/>
  <c r="F4748" i="13"/>
  <c r="F4749" i="13"/>
  <c r="F4750" i="13"/>
  <c r="F4751" i="13"/>
  <c r="F4752" i="13"/>
  <c r="F4753" i="13"/>
  <c r="F4754" i="13"/>
  <c r="F4755" i="13"/>
  <c r="F4756" i="13"/>
  <c r="F4757" i="13"/>
  <c r="F4758" i="13"/>
  <c r="F4759" i="13"/>
  <c r="F4760" i="13"/>
  <c r="F4761" i="13"/>
  <c r="F4762" i="13"/>
  <c r="F4763" i="13"/>
  <c r="F4764" i="13"/>
  <c r="F4765" i="13"/>
  <c r="F4766" i="13"/>
  <c r="F4767" i="13"/>
  <c r="F4768" i="13"/>
  <c r="F4769" i="13"/>
  <c r="F4770" i="13"/>
  <c r="F4771" i="13"/>
  <c r="F4772" i="13"/>
  <c r="F4773" i="13"/>
  <c r="F4774" i="13"/>
  <c r="F4775" i="13"/>
  <c r="F4776" i="13"/>
  <c r="F4777" i="13"/>
  <c r="F4778" i="13"/>
  <c r="F4779" i="13"/>
  <c r="F4780" i="13"/>
  <c r="F4781" i="13"/>
  <c r="F4782" i="13"/>
  <c r="F4783" i="13"/>
  <c r="F4784" i="13"/>
  <c r="F4785" i="13"/>
  <c r="F4786" i="13"/>
  <c r="F4787" i="13"/>
  <c r="F4788" i="13"/>
  <c r="F4789" i="13"/>
  <c r="F4790" i="13"/>
  <c r="F4791" i="13"/>
  <c r="F4792" i="13"/>
  <c r="F4793" i="13"/>
  <c r="F4794" i="13"/>
  <c r="F4795" i="13"/>
  <c r="F4796" i="13"/>
  <c r="F4797" i="13"/>
  <c r="F4798" i="13"/>
  <c r="F4799" i="13"/>
  <c r="F4800" i="13"/>
  <c r="F4801" i="13"/>
  <c r="F4802" i="13"/>
  <c r="F4803" i="13"/>
  <c r="F4804" i="13"/>
  <c r="F4805" i="13"/>
  <c r="F4806" i="13"/>
  <c r="F4807" i="13"/>
  <c r="F4808" i="13"/>
  <c r="F4809" i="13"/>
  <c r="F4810" i="13"/>
  <c r="F4811" i="13"/>
  <c r="F4812" i="13"/>
  <c r="F4813" i="13"/>
  <c r="F4814" i="13"/>
  <c r="F4815" i="13"/>
  <c r="F4816" i="13"/>
  <c r="F4817" i="13"/>
  <c r="F4818" i="13"/>
  <c r="F4819" i="13"/>
  <c r="F4820" i="13"/>
  <c r="F4821" i="13"/>
  <c r="F4822" i="13"/>
  <c r="F4823" i="13"/>
  <c r="F4824" i="13"/>
  <c r="F4825" i="13"/>
  <c r="F4826" i="13"/>
  <c r="F4827" i="13"/>
  <c r="F4828" i="13"/>
  <c r="F4829" i="13"/>
  <c r="F4830" i="13"/>
  <c r="F4831" i="13"/>
  <c r="F4832" i="13"/>
  <c r="F4833" i="13"/>
  <c r="F4834" i="13"/>
  <c r="F4835" i="13"/>
  <c r="F4836" i="13"/>
  <c r="F4837" i="13"/>
  <c r="F4838" i="13"/>
  <c r="F4839" i="13"/>
  <c r="F4840" i="13"/>
  <c r="F4841" i="13"/>
  <c r="F4842" i="13"/>
  <c r="F4843" i="13"/>
  <c r="F4844" i="13"/>
  <c r="F4845" i="13"/>
  <c r="F4846" i="13"/>
  <c r="F4847" i="13"/>
  <c r="F4848" i="13"/>
  <c r="F4849" i="13"/>
  <c r="F4850" i="13"/>
  <c r="F4851" i="13"/>
  <c r="F4852" i="13"/>
  <c r="F4853" i="13"/>
  <c r="F4854" i="13"/>
  <c r="F4855" i="13"/>
  <c r="F4856" i="13"/>
  <c r="F4857" i="13"/>
  <c r="F4858" i="13"/>
  <c r="F4859" i="13"/>
  <c r="F4860" i="13"/>
  <c r="F4861" i="13"/>
  <c r="F4862" i="13"/>
  <c r="F4863" i="13"/>
  <c r="F4864" i="13"/>
  <c r="F4865" i="13"/>
  <c r="F4866" i="13"/>
  <c r="F4867" i="13"/>
  <c r="F4868" i="13"/>
  <c r="F4869" i="13"/>
  <c r="F4870" i="13"/>
  <c r="F4871" i="13"/>
  <c r="F4872" i="13"/>
  <c r="F4873" i="13"/>
  <c r="F4874" i="13"/>
  <c r="F4875" i="13"/>
  <c r="F4876" i="13"/>
  <c r="F4877" i="13"/>
  <c r="F4878" i="13"/>
  <c r="F4879" i="13"/>
  <c r="F4880" i="13"/>
  <c r="F4881" i="13"/>
  <c r="F4882" i="13"/>
  <c r="F4883" i="13"/>
  <c r="F4884" i="13"/>
  <c r="F4885" i="13"/>
  <c r="F4886" i="13"/>
  <c r="F4887" i="13"/>
  <c r="F4888" i="13"/>
  <c r="F4889" i="13"/>
  <c r="F4890" i="13"/>
  <c r="F4891" i="13"/>
  <c r="F4892" i="13"/>
  <c r="F4893" i="13"/>
  <c r="F4894" i="13"/>
  <c r="F4895" i="13"/>
  <c r="F4896" i="13"/>
  <c r="F4897" i="13"/>
  <c r="F4898" i="13"/>
  <c r="F4899" i="13"/>
  <c r="F4900" i="13"/>
  <c r="F4901" i="13"/>
  <c r="F4902" i="13"/>
  <c r="F4903" i="13"/>
  <c r="F4904" i="13"/>
  <c r="F4905" i="13"/>
  <c r="F4906" i="13"/>
  <c r="F4907" i="13"/>
  <c r="F4908" i="13"/>
  <c r="F4909" i="13"/>
  <c r="F4910" i="13"/>
  <c r="F4911" i="13"/>
  <c r="F4912" i="13"/>
  <c r="F4913" i="13"/>
  <c r="F4914" i="13"/>
  <c r="F4915" i="13"/>
  <c r="F4916" i="13"/>
  <c r="F4917" i="13"/>
  <c r="F4918" i="13"/>
  <c r="F4919" i="13"/>
  <c r="F4920" i="13"/>
  <c r="F4921" i="13"/>
  <c r="F4922" i="13"/>
  <c r="F4923" i="13"/>
  <c r="F4924" i="13"/>
  <c r="F4925" i="13"/>
  <c r="F4926" i="13"/>
  <c r="F4927" i="13"/>
  <c r="F4928" i="13"/>
  <c r="F4929" i="13"/>
  <c r="F4930" i="13"/>
  <c r="F4931" i="13"/>
  <c r="F4932" i="13"/>
  <c r="F4933" i="13"/>
  <c r="F4934" i="13"/>
  <c r="F4935" i="13"/>
  <c r="F4936" i="13"/>
  <c r="F4937" i="13"/>
  <c r="F4938" i="13"/>
  <c r="F4939" i="13"/>
  <c r="F4940" i="13"/>
  <c r="F4941" i="13"/>
  <c r="F4942" i="13"/>
  <c r="F4943" i="13"/>
  <c r="F4944" i="13"/>
  <c r="F4945" i="13"/>
  <c r="F4946" i="13"/>
  <c r="F4947" i="13"/>
  <c r="F4948" i="13"/>
  <c r="F4949" i="13"/>
  <c r="F4950" i="13"/>
  <c r="F4951" i="13"/>
  <c r="F4952" i="13"/>
  <c r="F4953" i="13"/>
  <c r="F4954" i="13"/>
  <c r="F4955" i="13"/>
  <c r="F4956" i="13"/>
  <c r="F4957" i="13"/>
  <c r="F4958" i="13"/>
  <c r="F4959" i="13"/>
  <c r="F4960" i="13"/>
  <c r="F4961" i="13"/>
  <c r="F4962" i="13"/>
  <c r="F4963" i="13"/>
  <c r="F4964" i="13"/>
  <c r="F4965" i="13"/>
  <c r="F4966" i="13"/>
  <c r="F4967" i="13"/>
  <c r="F4968" i="13"/>
  <c r="F4969" i="13"/>
  <c r="F4970" i="13"/>
  <c r="F4971" i="13"/>
  <c r="F4972" i="13"/>
  <c r="F4973" i="13"/>
  <c r="F4974" i="13"/>
  <c r="F4975" i="13"/>
  <c r="F4976" i="13"/>
  <c r="F4977" i="13"/>
  <c r="F4978" i="13"/>
  <c r="F4979" i="13"/>
  <c r="F4980" i="13"/>
  <c r="F4981" i="13"/>
  <c r="F4982" i="13"/>
  <c r="F4983" i="13"/>
  <c r="F4984" i="13"/>
  <c r="F4985" i="13"/>
  <c r="F4986" i="13"/>
  <c r="F4987" i="13"/>
  <c r="F4988" i="13"/>
  <c r="F4989" i="13"/>
  <c r="F4990" i="13"/>
  <c r="F4991" i="13"/>
  <c r="F4992" i="13"/>
  <c r="F4993" i="13"/>
  <c r="F4994" i="13"/>
  <c r="F4995" i="13"/>
  <c r="F4996" i="13"/>
  <c r="F4997" i="13"/>
  <c r="F4998" i="13"/>
  <c r="F4999" i="13"/>
  <c r="F5000" i="13"/>
  <c r="F5001" i="13"/>
  <c r="F5002" i="13"/>
  <c r="F5003" i="13"/>
  <c r="F5004" i="13"/>
  <c r="F5005" i="13"/>
  <c r="F5006" i="13"/>
  <c r="F5007" i="13"/>
  <c r="F5008" i="13"/>
  <c r="F5009" i="13"/>
  <c r="F5010" i="13"/>
  <c r="F5011" i="13"/>
  <c r="F5012" i="13"/>
  <c r="F5013" i="13"/>
  <c r="F5014" i="13"/>
  <c r="F5015" i="13"/>
  <c r="F5016" i="13"/>
  <c r="F5017" i="13"/>
  <c r="F5018" i="13"/>
  <c r="F5019" i="13"/>
  <c r="F5020" i="13"/>
  <c r="F5021" i="13"/>
  <c r="F5022" i="13"/>
  <c r="F5023" i="13"/>
  <c r="F5024" i="13"/>
  <c r="F5025" i="13"/>
  <c r="F5026" i="13"/>
  <c r="F5027" i="13"/>
  <c r="F5028" i="13"/>
  <c r="F5029" i="13"/>
  <c r="F5030" i="13"/>
  <c r="F5031" i="13"/>
  <c r="F5032" i="13"/>
  <c r="F5033" i="13"/>
  <c r="F5034" i="13"/>
  <c r="F5035" i="13"/>
  <c r="F5036" i="13"/>
  <c r="F5037" i="13"/>
  <c r="F5038" i="13"/>
  <c r="F5039" i="13"/>
  <c r="F5040" i="13"/>
  <c r="F5041" i="13"/>
  <c r="F5042" i="13"/>
  <c r="F5043" i="13"/>
  <c r="F5044" i="13"/>
  <c r="F5045" i="13"/>
  <c r="F5046" i="13"/>
  <c r="F5047" i="13"/>
  <c r="F5048" i="13"/>
  <c r="F5049" i="13"/>
  <c r="F5050" i="13"/>
  <c r="F5051" i="13"/>
  <c r="F5052" i="13"/>
  <c r="F5053" i="13"/>
  <c r="F5054" i="13"/>
  <c r="F5055" i="13"/>
  <c r="F5056" i="13"/>
  <c r="F5057" i="13"/>
  <c r="F5058" i="13"/>
  <c r="F5059" i="13"/>
  <c r="F5060" i="13"/>
  <c r="F5061" i="13"/>
  <c r="F5062" i="13"/>
  <c r="F5063" i="13"/>
  <c r="F5064" i="13"/>
  <c r="F5065" i="13"/>
  <c r="F5066" i="13"/>
  <c r="F5067" i="13"/>
  <c r="F5068" i="13"/>
  <c r="F5069" i="13"/>
  <c r="F5070" i="13"/>
  <c r="F5071" i="13"/>
  <c r="F5072" i="13"/>
  <c r="F5073" i="13"/>
  <c r="F5074" i="13"/>
  <c r="F5075" i="13"/>
  <c r="F5076" i="13"/>
  <c r="F5077" i="13"/>
  <c r="F5078" i="13"/>
  <c r="F5079" i="13"/>
  <c r="F5080" i="13"/>
  <c r="F5081" i="13"/>
  <c r="F5082" i="13"/>
  <c r="F5083" i="13"/>
  <c r="F5084" i="13"/>
  <c r="F5085" i="13"/>
  <c r="F5086" i="13"/>
  <c r="F5087" i="13"/>
  <c r="F5088" i="13"/>
  <c r="F5089" i="13"/>
  <c r="F5090" i="13"/>
  <c r="F5091" i="13"/>
  <c r="F5092" i="13"/>
  <c r="F5093" i="13"/>
  <c r="F5094" i="13"/>
  <c r="F5095" i="13"/>
  <c r="F5096" i="13"/>
  <c r="F5097" i="13"/>
  <c r="F5098" i="13"/>
  <c r="F5099" i="13"/>
  <c r="F5100" i="13"/>
  <c r="F5101" i="13"/>
  <c r="F5102" i="13"/>
  <c r="F5103" i="13"/>
  <c r="F5104" i="13"/>
  <c r="F5105" i="13"/>
  <c r="F5106" i="13"/>
  <c r="F5107" i="13"/>
  <c r="F5108" i="13"/>
  <c r="F5109" i="13"/>
  <c r="F5110" i="13"/>
  <c r="F5111" i="13"/>
  <c r="F5112" i="13"/>
  <c r="F5113" i="13"/>
  <c r="F5114" i="13"/>
  <c r="F5115" i="13"/>
  <c r="F5116" i="13"/>
  <c r="F5117" i="13"/>
  <c r="F5118" i="13"/>
  <c r="F5119" i="13"/>
  <c r="F5120" i="13"/>
  <c r="F5121" i="13"/>
  <c r="F5122" i="13"/>
  <c r="F5123" i="13"/>
  <c r="F5124" i="13"/>
  <c r="F5125" i="13"/>
  <c r="F5126" i="13"/>
  <c r="F5127" i="13"/>
  <c r="F5128" i="13"/>
  <c r="F5129" i="13"/>
  <c r="F5130" i="13"/>
  <c r="F5131" i="13"/>
  <c r="F5132" i="13"/>
  <c r="F5133" i="13"/>
  <c r="F5134" i="13"/>
  <c r="F5135" i="13"/>
  <c r="F5136" i="13"/>
  <c r="F5137" i="13"/>
  <c r="F5138" i="13"/>
  <c r="F5139" i="13"/>
  <c r="F5140" i="13"/>
  <c r="F5141" i="13"/>
  <c r="F5142" i="13"/>
  <c r="F5143" i="13"/>
  <c r="F5144" i="13"/>
  <c r="F5145" i="13"/>
  <c r="F5146" i="13"/>
  <c r="F5147" i="13"/>
  <c r="F5148" i="13"/>
  <c r="F5149" i="13"/>
  <c r="F5150" i="13"/>
  <c r="F5151" i="13"/>
  <c r="F5152" i="13"/>
  <c r="F5153" i="13"/>
  <c r="F5154" i="13"/>
  <c r="F5155" i="13"/>
  <c r="F5156" i="13"/>
  <c r="F5157" i="13"/>
  <c r="F5158" i="13"/>
  <c r="F5159" i="13"/>
  <c r="F5160" i="13"/>
  <c r="F5161" i="13"/>
  <c r="F5162" i="13"/>
  <c r="F5163" i="13"/>
  <c r="F5164" i="13"/>
  <c r="F5165" i="13"/>
  <c r="F5166" i="13"/>
  <c r="F5167" i="13"/>
  <c r="F5168" i="13"/>
  <c r="F5169" i="13"/>
  <c r="F5170" i="13"/>
  <c r="F5171" i="13"/>
  <c r="F5172" i="13"/>
  <c r="F5173" i="13"/>
  <c r="F5174" i="13"/>
  <c r="F5175" i="13"/>
  <c r="F5176" i="13"/>
  <c r="F5177" i="13"/>
  <c r="F5178" i="13"/>
  <c r="F5179" i="13"/>
  <c r="F5180" i="13"/>
  <c r="F5181" i="13"/>
  <c r="F5182" i="13"/>
  <c r="F5183" i="13"/>
  <c r="F5184" i="13"/>
  <c r="F5185" i="13"/>
  <c r="F5186" i="13"/>
  <c r="F5187" i="13"/>
  <c r="F5188" i="13"/>
  <c r="F5189" i="13"/>
  <c r="F5190" i="13"/>
  <c r="F5191" i="13"/>
  <c r="F5192" i="13"/>
  <c r="F5193" i="13"/>
  <c r="F5194" i="13"/>
  <c r="F5195" i="13"/>
  <c r="F5196" i="13"/>
  <c r="F5197" i="13"/>
  <c r="F5198" i="13"/>
  <c r="F5199" i="13"/>
  <c r="F5200" i="13"/>
  <c r="F5201" i="13"/>
  <c r="F5202" i="13"/>
  <c r="F5203" i="13"/>
  <c r="F5204" i="13"/>
  <c r="F5205" i="13"/>
  <c r="F5206" i="13"/>
  <c r="F5207" i="13"/>
  <c r="F5208" i="13"/>
  <c r="F5209" i="13"/>
  <c r="F5210" i="13"/>
  <c r="F5211" i="13"/>
  <c r="F5212" i="13"/>
  <c r="F5213" i="13"/>
  <c r="F5214" i="13"/>
  <c r="F5215" i="13"/>
  <c r="F5216" i="13"/>
  <c r="F5217" i="13"/>
  <c r="F5218" i="13"/>
  <c r="F5219" i="13"/>
  <c r="F5220" i="13"/>
  <c r="F5221" i="13"/>
  <c r="F5222" i="13"/>
  <c r="F5223" i="13"/>
  <c r="F5224" i="13"/>
  <c r="F5225" i="13"/>
  <c r="F5226" i="13"/>
  <c r="F5227" i="13"/>
  <c r="F5228" i="13"/>
  <c r="F5229" i="13"/>
  <c r="F5230" i="13"/>
  <c r="F5231" i="13"/>
  <c r="F5232" i="13"/>
  <c r="F5233" i="13"/>
  <c r="F5234" i="13"/>
  <c r="F5235" i="13"/>
  <c r="F5236" i="13"/>
  <c r="F5237" i="13"/>
  <c r="F5238" i="13"/>
  <c r="F5239" i="13"/>
  <c r="F5240" i="13"/>
  <c r="F5241" i="13"/>
  <c r="F5242" i="13"/>
  <c r="F5243" i="13"/>
  <c r="F5244" i="13"/>
  <c r="F5245" i="13"/>
  <c r="F5246" i="13"/>
  <c r="F5247" i="13"/>
  <c r="F5248" i="13"/>
  <c r="F5249" i="13"/>
  <c r="F5250" i="13"/>
  <c r="F5251" i="13"/>
  <c r="F5252" i="13"/>
  <c r="F5253" i="13"/>
  <c r="F5254" i="13"/>
  <c r="F5255" i="13"/>
  <c r="F5256" i="13"/>
  <c r="F5257" i="13"/>
  <c r="F5258" i="13"/>
  <c r="F5259" i="13"/>
  <c r="F5260" i="13"/>
  <c r="F5261" i="13"/>
  <c r="F5262" i="13"/>
  <c r="F5263" i="13"/>
  <c r="F5264" i="13"/>
  <c r="F5265" i="13"/>
  <c r="F5266" i="13"/>
  <c r="F5267" i="13"/>
  <c r="F5268" i="13"/>
  <c r="F5269" i="13"/>
  <c r="F5270" i="13"/>
  <c r="F5271" i="13"/>
  <c r="F5272" i="13"/>
  <c r="F5273" i="13"/>
  <c r="F5274" i="13"/>
  <c r="F5275" i="13"/>
  <c r="F5276" i="13"/>
  <c r="F5277" i="13"/>
  <c r="F5278" i="13"/>
  <c r="F5279" i="13"/>
  <c r="F5280" i="13"/>
  <c r="F5281" i="13"/>
  <c r="F5282" i="13"/>
  <c r="F5283" i="13"/>
  <c r="F5284" i="13"/>
  <c r="F5285" i="13"/>
  <c r="F5286" i="13"/>
  <c r="F5287" i="13"/>
  <c r="F5288" i="13"/>
  <c r="F5289" i="13"/>
  <c r="F5290" i="13"/>
  <c r="F5291" i="13"/>
  <c r="F5292" i="13"/>
  <c r="F5293" i="13"/>
  <c r="F5294" i="13"/>
  <c r="F5295" i="13"/>
  <c r="F5296" i="13"/>
  <c r="F5297" i="13"/>
  <c r="F5298" i="13"/>
  <c r="F5299" i="13"/>
  <c r="F5300" i="13"/>
  <c r="F5301" i="13"/>
  <c r="F5302" i="13"/>
  <c r="F5303" i="13"/>
  <c r="F5304" i="13"/>
  <c r="F5305" i="13"/>
  <c r="F5306" i="13"/>
  <c r="F5307" i="13"/>
  <c r="F5308" i="13"/>
  <c r="F5309" i="13"/>
  <c r="F5310" i="13"/>
  <c r="F5311" i="13"/>
  <c r="F5312" i="13"/>
  <c r="F5313" i="13"/>
  <c r="F5314" i="13"/>
  <c r="F5315" i="13"/>
  <c r="F5316" i="13"/>
  <c r="F5317" i="13"/>
  <c r="F5318" i="13"/>
  <c r="F5319" i="13"/>
  <c r="F5320" i="13"/>
  <c r="F5321" i="13"/>
  <c r="F5322" i="13"/>
  <c r="F5323" i="13"/>
  <c r="F5324" i="13"/>
  <c r="F5325" i="13"/>
  <c r="F5326" i="13"/>
  <c r="F5327" i="13"/>
  <c r="F5328" i="13"/>
  <c r="F5329" i="13"/>
  <c r="F5330" i="13"/>
  <c r="F5331" i="13"/>
  <c r="F5332" i="13"/>
  <c r="F5333" i="13"/>
  <c r="F5334" i="13"/>
  <c r="F5335" i="13"/>
  <c r="F5336" i="13"/>
  <c r="F5337" i="13"/>
  <c r="F5338" i="13"/>
  <c r="F5339" i="13"/>
  <c r="F5340" i="13"/>
  <c r="F5341" i="13"/>
  <c r="F5342" i="13"/>
  <c r="F5343" i="13"/>
  <c r="F5344" i="13"/>
  <c r="F5345" i="13"/>
  <c r="F5346" i="13"/>
  <c r="F5347" i="13"/>
  <c r="F5348" i="13"/>
  <c r="F5349" i="13"/>
  <c r="F5350" i="13"/>
  <c r="F5351" i="13"/>
  <c r="F5352" i="13"/>
  <c r="F5353" i="13"/>
  <c r="F5354" i="13"/>
  <c r="F5355" i="13"/>
  <c r="F5356" i="13"/>
  <c r="F5357" i="13"/>
  <c r="F5358" i="13"/>
  <c r="F5359" i="13"/>
  <c r="F5360" i="13"/>
  <c r="F5361" i="13"/>
  <c r="F5362" i="13"/>
  <c r="F5363" i="13"/>
  <c r="F5364" i="13"/>
  <c r="F5365" i="13"/>
  <c r="F5366" i="13"/>
  <c r="F5367" i="13"/>
  <c r="F5368" i="13"/>
  <c r="F5369" i="13"/>
  <c r="F5370" i="13"/>
  <c r="F5371" i="13"/>
  <c r="F5372" i="13"/>
  <c r="F5373" i="13"/>
  <c r="F5374" i="13"/>
  <c r="F5375" i="13"/>
  <c r="F5376" i="13"/>
  <c r="F5377" i="13"/>
  <c r="F5378" i="13"/>
  <c r="F5379" i="13"/>
  <c r="F5380" i="13"/>
  <c r="F5381" i="13"/>
  <c r="F5382" i="13"/>
  <c r="F5383" i="13"/>
  <c r="F5384" i="13"/>
  <c r="F5385" i="13"/>
  <c r="F5386" i="13"/>
  <c r="F5387" i="13"/>
  <c r="F5388" i="13"/>
  <c r="F5389" i="13"/>
  <c r="F5390" i="13"/>
  <c r="F5391" i="13"/>
  <c r="F5392" i="13"/>
  <c r="F5393" i="13"/>
  <c r="F5394" i="13"/>
  <c r="F5395" i="13"/>
  <c r="F5396" i="13"/>
  <c r="F5397" i="13"/>
  <c r="F5398" i="13"/>
  <c r="F5399" i="13"/>
  <c r="F5400" i="13"/>
  <c r="F5401" i="13"/>
  <c r="F5402" i="13"/>
  <c r="F5403" i="13"/>
  <c r="F5404" i="13"/>
  <c r="F5405" i="13"/>
  <c r="F5406" i="13"/>
  <c r="F5407" i="13"/>
  <c r="F5408" i="13"/>
  <c r="F5409" i="13"/>
  <c r="F5410" i="13"/>
  <c r="F5411" i="13"/>
  <c r="F5412" i="13"/>
  <c r="F5413" i="13"/>
  <c r="F5414" i="13"/>
  <c r="F5415" i="13"/>
  <c r="F5416" i="13"/>
  <c r="F5417" i="13"/>
  <c r="F5418" i="13"/>
  <c r="F5419" i="13"/>
  <c r="F5420" i="13"/>
  <c r="F5421" i="13"/>
  <c r="F5422" i="13"/>
  <c r="F5423" i="13"/>
  <c r="F5424" i="13"/>
  <c r="F5425" i="13"/>
  <c r="F5426" i="13"/>
  <c r="F5427" i="13"/>
  <c r="F5428" i="13"/>
  <c r="F5429" i="13"/>
  <c r="F5430" i="13"/>
  <c r="F5431" i="13"/>
  <c r="F5432" i="13"/>
  <c r="F5433" i="13"/>
  <c r="F5434" i="13"/>
  <c r="F5435" i="13"/>
  <c r="F5436" i="13"/>
  <c r="F5437" i="13"/>
  <c r="F5438" i="13"/>
  <c r="F5439" i="13"/>
  <c r="F5440" i="13"/>
  <c r="F5441" i="13"/>
  <c r="F5442" i="13"/>
  <c r="F5443" i="13"/>
  <c r="F5444" i="13"/>
  <c r="F5445" i="13"/>
  <c r="F5446" i="13"/>
  <c r="F5447" i="13"/>
  <c r="F5448" i="13"/>
  <c r="F5449" i="13"/>
  <c r="F5450" i="13"/>
  <c r="F5451" i="13"/>
  <c r="F5452" i="13"/>
  <c r="F5453" i="13"/>
  <c r="F5454" i="13"/>
  <c r="F5455" i="13"/>
  <c r="F5456" i="13"/>
  <c r="F5457" i="13"/>
  <c r="F5458" i="13"/>
  <c r="F5459" i="13"/>
  <c r="F5460" i="13"/>
  <c r="F5461" i="13"/>
  <c r="F5462" i="13"/>
  <c r="F5463" i="13"/>
  <c r="F5464" i="13"/>
  <c r="F5465" i="13"/>
  <c r="F5466" i="13"/>
  <c r="F5467" i="13"/>
  <c r="F5468" i="13"/>
  <c r="F5469" i="13"/>
  <c r="F5470" i="13"/>
  <c r="F5471" i="13"/>
  <c r="F5472" i="13"/>
  <c r="F5473" i="13"/>
  <c r="F5474" i="13"/>
  <c r="F5475" i="13"/>
  <c r="F5476" i="13"/>
  <c r="F5477" i="13"/>
  <c r="F5478" i="13"/>
  <c r="F5479" i="13"/>
  <c r="F5480" i="13"/>
  <c r="F5481" i="13"/>
  <c r="F5482" i="13"/>
  <c r="F5483" i="13"/>
  <c r="F5484" i="13"/>
  <c r="F5485" i="13"/>
  <c r="F5486" i="13"/>
  <c r="F5487" i="13"/>
  <c r="F5488" i="13"/>
  <c r="F5489" i="13"/>
  <c r="F5490" i="13"/>
  <c r="F5491" i="13"/>
  <c r="F5492" i="13"/>
  <c r="F5493" i="13"/>
  <c r="F5494" i="13"/>
  <c r="F5495" i="13"/>
  <c r="F5496" i="13"/>
  <c r="F5497" i="13"/>
  <c r="F5498" i="13"/>
  <c r="F5499" i="13"/>
  <c r="F5500" i="13"/>
  <c r="F5501" i="13"/>
  <c r="F5502" i="13"/>
  <c r="F5503" i="13"/>
  <c r="F5504" i="13"/>
  <c r="F5505" i="13"/>
  <c r="F5506" i="13"/>
  <c r="F5507" i="13"/>
  <c r="F5508" i="13"/>
  <c r="F5509" i="13"/>
  <c r="F5510" i="13"/>
  <c r="F5511" i="13"/>
  <c r="F5512" i="13"/>
  <c r="F5513" i="13"/>
  <c r="F5514" i="13"/>
  <c r="F5515" i="13"/>
  <c r="F5516" i="13"/>
  <c r="F5517" i="13"/>
  <c r="F5518" i="13"/>
  <c r="F5519" i="13"/>
  <c r="F5520" i="13"/>
  <c r="F5521" i="13"/>
  <c r="F5522" i="13"/>
  <c r="F5523" i="13"/>
  <c r="F5524" i="13"/>
  <c r="F5525" i="13"/>
  <c r="F5526" i="13"/>
  <c r="F5527" i="13"/>
  <c r="F5528" i="13"/>
  <c r="F5529" i="13"/>
  <c r="F5530" i="13"/>
  <c r="F5531" i="13"/>
  <c r="F5532" i="13"/>
  <c r="F5533" i="13"/>
  <c r="F5534" i="13"/>
  <c r="F5535" i="13"/>
  <c r="F5536" i="13"/>
  <c r="F5537" i="13"/>
  <c r="F5538" i="13"/>
  <c r="F5539" i="13"/>
  <c r="F5540" i="13"/>
  <c r="F5541" i="13"/>
  <c r="F5542" i="13"/>
  <c r="F5543" i="13"/>
  <c r="F5544" i="13"/>
  <c r="F5545" i="13"/>
  <c r="F5546" i="13"/>
  <c r="F5547" i="13"/>
  <c r="F5548" i="13"/>
  <c r="F5549" i="13"/>
  <c r="F5550" i="13"/>
  <c r="F5551" i="13"/>
  <c r="F5552" i="13"/>
  <c r="F5553" i="13"/>
  <c r="F5554" i="13"/>
  <c r="F5555" i="13"/>
  <c r="F5556" i="13"/>
  <c r="F5557" i="13"/>
  <c r="F5558" i="13"/>
  <c r="F5559" i="13"/>
  <c r="F5560" i="13"/>
  <c r="F5561" i="13"/>
  <c r="F5562" i="13"/>
  <c r="F5563" i="13"/>
  <c r="F5564" i="13"/>
  <c r="F5565" i="13"/>
  <c r="F5566" i="13"/>
  <c r="F5567" i="13"/>
  <c r="F5568" i="13"/>
  <c r="F5569" i="13"/>
  <c r="F5570" i="13"/>
  <c r="F5571" i="13"/>
  <c r="F5572" i="13"/>
  <c r="F5573" i="13"/>
  <c r="F5574" i="13"/>
  <c r="F5575" i="13"/>
  <c r="F5576" i="13"/>
  <c r="F5577" i="13"/>
  <c r="F5578" i="13"/>
  <c r="F5579" i="13"/>
  <c r="F5580" i="13"/>
  <c r="F5581" i="13"/>
  <c r="F5582" i="13"/>
  <c r="F5583" i="13"/>
  <c r="F5584" i="13"/>
  <c r="F5585" i="13"/>
  <c r="F5586" i="13"/>
  <c r="F5587" i="13"/>
  <c r="F5588" i="13"/>
  <c r="F5589" i="13"/>
  <c r="F5590" i="13"/>
  <c r="F5591" i="13"/>
  <c r="F5592" i="13"/>
  <c r="F5593" i="13"/>
  <c r="F5594" i="13"/>
  <c r="F5595" i="13"/>
  <c r="F5596" i="13"/>
  <c r="F5597" i="13"/>
  <c r="F5598" i="13"/>
  <c r="F5599" i="13"/>
  <c r="F5600" i="13"/>
  <c r="F5601" i="13"/>
  <c r="F5602" i="13"/>
  <c r="F5603" i="13"/>
  <c r="F5604" i="13"/>
  <c r="F5605" i="13"/>
  <c r="F5606" i="13"/>
  <c r="F5607" i="13"/>
  <c r="F5608" i="13"/>
  <c r="F5609" i="13"/>
  <c r="F5610" i="13"/>
  <c r="F5611" i="13"/>
  <c r="F5612" i="13"/>
  <c r="F5613" i="13"/>
  <c r="F5614" i="13"/>
  <c r="F5615" i="13"/>
  <c r="F5616" i="13"/>
  <c r="F5617" i="13"/>
  <c r="F5618" i="13"/>
  <c r="F5619" i="13"/>
  <c r="F5620" i="13"/>
  <c r="F5621" i="13"/>
  <c r="F5622" i="13"/>
  <c r="F5623" i="13"/>
  <c r="F5624" i="13"/>
  <c r="F5625" i="13"/>
  <c r="F5626" i="13"/>
  <c r="F5627" i="13"/>
  <c r="F5628" i="13"/>
  <c r="F5629" i="13"/>
  <c r="F5630" i="13"/>
  <c r="F5631" i="13"/>
  <c r="F5632" i="13"/>
  <c r="F5633" i="13"/>
  <c r="F5634" i="13"/>
  <c r="F5635" i="13"/>
  <c r="F5636" i="13"/>
  <c r="F5637" i="13"/>
  <c r="F5638" i="13"/>
  <c r="F5639" i="13"/>
  <c r="F5640" i="13"/>
  <c r="F5641" i="13"/>
  <c r="F5642" i="13"/>
  <c r="F5643" i="13"/>
  <c r="F5644" i="13"/>
  <c r="F5645" i="13"/>
  <c r="F5646" i="13"/>
  <c r="F5647" i="13"/>
  <c r="F5648" i="13"/>
  <c r="F5649" i="13"/>
  <c r="F5650" i="13"/>
  <c r="F5651" i="13"/>
  <c r="F5652" i="13"/>
  <c r="F5653" i="13"/>
  <c r="F5654" i="13"/>
  <c r="F5655" i="13"/>
  <c r="F5656" i="13"/>
  <c r="F5657" i="13"/>
  <c r="F5658" i="13"/>
  <c r="F5659" i="13"/>
  <c r="F5660" i="13"/>
  <c r="F5661" i="13"/>
  <c r="F5662" i="13"/>
  <c r="F5663" i="13"/>
  <c r="F5664" i="13"/>
  <c r="F5665" i="13"/>
  <c r="F5666" i="13"/>
  <c r="F5667" i="13"/>
  <c r="F5668" i="13"/>
  <c r="F5669" i="13"/>
  <c r="F5670" i="13"/>
  <c r="F5671" i="13"/>
  <c r="F5672" i="13"/>
  <c r="F5673" i="13"/>
  <c r="F5674" i="13"/>
  <c r="F5675" i="13"/>
  <c r="F5676" i="13"/>
  <c r="F5677" i="13"/>
  <c r="F5678" i="13"/>
  <c r="F5679" i="13"/>
  <c r="F5680" i="13"/>
  <c r="F5681" i="13"/>
  <c r="F5682" i="13"/>
  <c r="F5683" i="13"/>
  <c r="F5684" i="13"/>
  <c r="F5685" i="13"/>
  <c r="F5686" i="13"/>
  <c r="F5687" i="13"/>
  <c r="F5688" i="13"/>
  <c r="F5689" i="13"/>
  <c r="F5690" i="13"/>
  <c r="F5691" i="13"/>
  <c r="F5692" i="13"/>
  <c r="F5693" i="13"/>
  <c r="F5694" i="13"/>
  <c r="F5695" i="13"/>
  <c r="F5696" i="13"/>
  <c r="F5697" i="13"/>
  <c r="F5698" i="13"/>
  <c r="F5699" i="13"/>
  <c r="F5700" i="13"/>
  <c r="F5701" i="13"/>
  <c r="F5702" i="13"/>
  <c r="F5703" i="13"/>
  <c r="F5704" i="13"/>
  <c r="F5705" i="13"/>
  <c r="F5706" i="13"/>
  <c r="F5707" i="13"/>
  <c r="F5708" i="13"/>
  <c r="F5709" i="13"/>
  <c r="F5710" i="13"/>
  <c r="F5711" i="13"/>
  <c r="F5712" i="13"/>
  <c r="F5713" i="13"/>
  <c r="F5714" i="13"/>
  <c r="F5715" i="13"/>
  <c r="F5716" i="13"/>
  <c r="F5717" i="13"/>
  <c r="F5718" i="13"/>
  <c r="F5719" i="13"/>
  <c r="F5720" i="13"/>
  <c r="F5721" i="13"/>
  <c r="F5722" i="13"/>
  <c r="F5723" i="13"/>
  <c r="F5724" i="13"/>
  <c r="F5725" i="13"/>
  <c r="F5726" i="13"/>
  <c r="F5727" i="13"/>
  <c r="F5728" i="13"/>
  <c r="F5729" i="13"/>
  <c r="F5730" i="13"/>
  <c r="F5731" i="13"/>
  <c r="F5732" i="13"/>
  <c r="F5733" i="13"/>
  <c r="F5734" i="13"/>
  <c r="F5735" i="13"/>
  <c r="F5736" i="13"/>
  <c r="F5737" i="13"/>
  <c r="F5738" i="13"/>
  <c r="F5739" i="13"/>
  <c r="F5740" i="13"/>
  <c r="F5741" i="13"/>
  <c r="F5742" i="13"/>
  <c r="F5743" i="13"/>
  <c r="F5744" i="13"/>
  <c r="F5745" i="13"/>
  <c r="F5746" i="13"/>
  <c r="F5747" i="13"/>
  <c r="F5748" i="13"/>
  <c r="F5749" i="13"/>
  <c r="F5750" i="13"/>
  <c r="F5751" i="13"/>
  <c r="F5752" i="13"/>
  <c r="F5753" i="13"/>
  <c r="F5754" i="13"/>
  <c r="F5755" i="13"/>
  <c r="F5756" i="13"/>
  <c r="F5757" i="13"/>
  <c r="F5758" i="13"/>
  <c r="F5759" i="13"/>
  <c r="F5760" i="13"/>
  <c r="F5761" i="13"/>
  <c r="F5762" i="13"/>
  <c r="F5763" i="13"/>
  <c r="F5764" i="13"/>
  <c r="F5765" i="13"/>
  <c r="F5766" i="13"/>
  <c r="F5767" i="13"/>
  <c r="F5768" i="13"/>
  <c r="F5769" i="13"/>
  <c r="F5770" i="13"/>
  <c r="F5771" i="13"/>
  <c r="F5772" i="13"/>
  <c r="F5773" i="13"/>
  <c r="F5774" i="13"/>
  <c r="F5775" i="13"/>
  <c r="F5776" i="13"/>
  <c r="F5777" i="13"/>
  <c r="F5778" i="13"/>
  <c r="F5779" i="13"/>
  <c r="F5780" i="13"/>
  <c r="F5781" i="13"/>
  <c r="F5782" i="13"/>
  <c r="F5783" i="13"/>
  <c r="F5784" i="13"/>
  <c r="F5785" i="13"/>
  <c r="F5786" i="13"/>
  <c r="F5787" i="13"/>
  <c r="F5788" i="13"/>
  <c r="F5789" i="13"/>
  <c r="F5790" i="13"/>
  <c r="F5791" i="13"/>
  <c r="F5792" i="13"/>
  <c r="F5793" i="13"/>
  <c r="F5794" i="13"/>
  <c r="F5795" i="13"/>
  <c r="F5796" i="13"/>
  <c r="F5797" i="13"/>
  <c r="F5798" i="13"/>
  <c r="F5799" i="13"/>
  <c r="F5800" i="13"/>
  <c r="F5801" i="13"/>
  <c r="F5802" i="13"/>
  <c r="F5803" i="13"/>
  <c r="F5804" i="13"/>
  <c r="F5805" i="13"/>
  <c r="F5806" i="13"/>
  <c r="F5807" i="13"/>
  <c r="F5808" i="13"/>
  <c r="F5809" i="13"/>
  <c r="F5810" i="13"/>
  <c r="F5811" i="13"/>
  <c r="F5812" i="13"/>
  <c r="F5813" i="13"/>
  <c r="F5814" i="13"/>
  <c r="F5815" i="13"/>
  <c r="F5816" i="13"/>
  <c r="F5817" i="13"/>
  <c r="F5818" i="13"/>
  <c r="F5819" i="13"/>
  <c r="F5820" i="13"/>
  <c r="F5821" i="13"/>
  <c r="F5822" i="13"/>
  <c r="F5823" i="13"/>
  <c r="F5824" i="13"/>
  <c r="F5825" i="13"/>
  <c r="F5826" i="13"/>
  <c r="F5827" i="13"/>
  <c r="F5828" i="13"/>
  <c r="F5829" i="13"/>
  <c r="F5830" i="13"/>
  <c r="F5831" i="13"/>
  <c r="F5832" i="13"/>
  <c r="F5833" i="13"/>
  <c r="F5834" i="13"/>
  <c r="F5835" i="13"/>
  <c r="F5836" i="13"/>
  <c r="F5837" i="13"/>
  <c r="F5838" i="13"/>
  <c r="F5839" i="13"/>
  <c r="F5840" i="13"/>
  <c r="F5841" i="13"/>
  <c r="F5842" i="13"/>
  <c r="F5843" i="13"/>
  <c r="F5844" i="13"/>
  <c r="F5845" i="13"/>
  <c r="F5846" i="13"/>
  <c r="F5847" i="13"/>
  <c r="F5848" i="13"/>
  <c r="F5849" i="13"/>
  <c r="F5850" i="13"/>
  <c r="F5851" i="13"/>
  <c r="F5852" i="13"/>
  <c r="F5853" i="13"/>
  <c r="F5854" i="13"/>
  <c r="F5855" i="13"/>
  <c r="F5856" i="13"/>
  <c r="F5857" i="13"/>
  <c r="F5858" i="13"/>
  <c r="F5859" i="13"/>
  <c r="F5860" i="13"/>
  <c r="F5861" i="13"/>
  <c r="F5862" i="13"/>
  <c r="F5863" i="13"/>
  <c r="F5864" i="13"/>
  <c r="F5865" i="13"/>
  <c r="F5866" i="13"/>
  <c r="F5867" i="13"/>
  <c r="F5868" i="13"/>
  <c r="F5869" i="13"/>
  <c r="F5870" i="13"/>
  <c r="F5871" i="13"/>
  <c r="F5872" i="13"/>
  <c r="F5873" i="13"/>
  <c r="F5874" i="13"/>
  <c r="F5875" i="13"/>
  <c r="F5876" i="13"/>
  <c r="F5877" i="13"/>
  <c r="F5878" i="13"/>
  <c r="F5879" i="13"/>
  <c r="F5880" i="13"/>
  <c r="F5881" i="13"/>
  <c r="F5882" i="13"/>
  <c r="F5883" i="13"/>
  <c r="F5884" i="13"/>
  <c r="F5885" i="13"/>
  <c r="F5886" i="13"/>
  <c r="F5887" i="13"/>
  <c r="F5888" i="13"/>
  <c r="F5889" i="13"/>
  <c r="F5890" i="13"/>
  <c r="F5891" i="13"/>
  <c r="F5892" i="13"/>
  <c r="F5893" i="13"/>
  <c r="F5894" i="13"/>
  <c r="F5895" i="13"/>
  <c r="F5896" i="13"/>
  <c r="F5897" i="13"/>
  <c r="F5898" i="13"/>
  <c r="F5899" i="13"/>
  <c r="F5900" i="13"/>
  <c r="F5901" i="13"/>
  <c r="F5902" i="13"/>
  <c r="F5903" i="13"/>
  <c r="F5904" i="13"/>
  <c r="F5905" i="13"/>
  <c r="F5906" i="13"/>
  <c r="F5907" i="13"/>
  <c r="F5908" i="13"/>
  <c r="F5909" i="13"/>
  <c r="F5910" i="13"/>
  <c r="F5911" i="13"/>
  <c r="F5912" i="13"/>
  <c r="F5913" i="13"/>
  <c r="F5914" i="13"/>
  <c r="F5915" i="13"/>
  <c r="F5916" i="13"/>
  <c r="F5917" i="13"/>
  <c r="F5918" i="13"/>
  <c r="F5919" i="13"/>
  <c r="F5920" i="13"/>
  <c r="F5921" i="13"/>
  <c r="F5922" i="13"/>
  <c r="F5923" i="13"/>
  <c r="F5924" i="13"/>
  <c r="F5925" i="13"/>
  <c r="F5926" i="13"/>
  <c r="F5927" i="13"/>
  <c r="F5928" i="13"/>
  <c r="F5929" i="13"/>
  <c r="F5930" i="13"/>
  <c r="F5931" i="13"/>
  <c r="F5932" i="13"/>
  <c r="F5933" i="13"/>
  <c r="F5934" i="13"/>
  <c r="F5935" i="13"/>
  <c r="F5936" i="13"/>
  <c r="F5937" i="13"/>
  <c r="F5938" i="13"/>
  <c r="F5939" i="13"/>
  <c r="F5940" i="13"/>
  <c r="F5941" i="13"/>
  <c r="F5942" i="13"/>
  <c r="F5943" i="13"/>
  <c r="F5944" i="13"/>
  <c r="F5945" i="13"/>
  <c r="F5946" i="13"/>
  <c r="F5947" i="13"/>
  <c r="F5948" i="13"/>
  <c r="F5949" i="13"/>
  <c r="F5950" i="13"/>
  <c r="F5951" i="13"/>
  <c r="F5952" i="13"/>
  <c r="F5953" i="13"/>
  <c r="F5954" i="13"/>
  <c r="F5955" i="13"/>
  <c r="F5956" i="13"/>
  <c r="F5957" i="13"/>
  <c r="F5958" i="13"/>
  <c r="F5959" i="13"/>
  <c r="F5960" i="13"/>
  <c r="F5961" i="13"/>
  <c r="F5962" i="13"/>
  <c r="F5963" i="13"/>
  <c r="F5964" i="13"/>
  <c r="F5965" i="13"/>
  <c r="F5966" i="13"/>
  <c r="F5967" i="13"/>
  <c r="F5968" i="13"/>
  <c r="F5969" i="13"/>
  <c r="F5970" i="13"/>
  <c r="F5971" i="13"/>
  <c r="F5972" i="13"/>
  <c r="F5973" i="13"/>
  <c r="F5974" i="13"/>
  <c r="F5975" i="13"/>
  <c r="F5976" i="13"/>
  <c r="F5977" i="13"/>
  <c r="F5978" i="13"/>
  <c r="F5979" i="13"/>
  <c r="F5980" i="13"/>
  <c r="F5981" i="13"/>
  <c r="F5982" i="13"/>
  <c r="F5983" i="13"/>
  <c r="F5984" i="13"/>
  <c r="F5985" i="13"/>
  <c r="F5986" i="13"/>
  <c r="F5987" i="13"/>
  <c r="F5988" i="13"/>
  <c r="F5989" i="13"/>
  <c r="F5990" i="13"/>
  <c r="F5991" i="13"/>
  <c r="F5992" i="13"/>
  <c r="F5993" i="13"/>
  <c r="F5994" i="13"/>
  <c r="F5995" i="13"/>
  <c r="F5996" i="13"/>
  <c r="F5997" i="13"/>
  <c r="F5998" i="13"/>
  <c r="F5999" i="13"/>
  <c r="F6000" i="13"/>
  <c r="F6001" i="13"/>
  <c r="F6002" i="13"/>
  <c r="F6003" i="13"/>
  <c r="F6004" i="13"/>
  <c r="F6005" i="13"/>
  <c r="F6006" i="13"/>
  <c r="F6007" i="13"/>
  <c r="F6008" i="13"/>
  <c r="F6009" i="13"/>
  <c r="F6010" i="13"/>
  <c r="F6011" i="13"/>
  <c r="F6012" i="13"/>
  <c r="F6013" i="13"/>
  <c r="F6014" i="13"/>
  <c r="F6015" i="13"/>
  <c r="F6016" i="13"/>
  <c r="F6017" i="13"/>
  <c r="F6018" i="13"/>
  <c r="F6019" i="13"/>
  <c r="F6020" i="13"/>
  <c r="F6021" i="13"/>
  <c r="F6022" i="13"/>
  <c r="F6023" i="13"/>
  <c r="F6024" i="13"/>
  <c r="F6025" i="13"/>
  <c r="F6026" i="13"/>
  <c r="F6027" i="13"/>
  <c r="F6028" i="13"/>
  <c r="F6029" i="13"/>
  <c r="F6030" i="13"/>
  <c r="F6031" i="13"/>
  <c r="F6032" i="13"/>
  <c r="F6033" i="13"/>
  <c r="F6034" i="13"/>
  <c r="F6035" i="13"/>
  <c r="F6036" i="13"/>
  <c r="F6037" i="13"/>
  <c r="F6038" i="13"/>
  <c r="F6039" i="13"/>
  <c r="F6040" i="13"/>
  <c r="F6041" i="13"/>
  <c r="F6042" i="13"/>
  <c r="F6043" i="13"/>
  <c r="F6044" i="13"/>
  <c r="F6045" i="13"/>
  <c r="F6046" i="13"/>
  <c r="F6047" i="13"/>
  <c r="F6048" i="13"/>
  <c r="F6049" i="13"/>
  <c r="F6050" i="13"/>
  <c r="F6051" i="13"/>
  <c r="F6052" i="13"/>
  <c r="F6053" i="13"/>
  <c r="F6054" i="13"/>
  <c r="F6055" i="13"/>
  <c r="F6056" i="13"/>
  <c r="F6057" i="13"/>
  <c r="F6058" i="13"/>
  <c r="F6059" i="13"/>
  <c r="F6060" i="13"/>
  <c r="F6061" i="13"/>
  <c r="F6062" i="13"/>
  <c r="F6063" i="13"/>
  <c r="F6064" i="13"/>
  <c r="F6065" i="13"/>
  <c r="F6066" i="13"/>
  <c r="F6067" i="13"/>
  <c r="F6068" i="13"/>
  <c r="F6069" i="13"/>
  <c r="F6070" i="13"/>
  <c r="F6071" i="13"/>
  <c r="F6072" i="13"/>
  <c r="F6073" i="13"/>
  <c r="F6074" i="13"/>
  <c r="F6075" i="13"/>
  <c r="F6076" i="13"/>
  <c r="F6077" i="13"/>
  <c r="F6078" i="13"/>
  <c r="F6079" i="13"/>
  <c r="F6080" i="13"/>
  <c r="F6081" i="13"/>
  <c r="F6082" i="13"/>
  <c r="F6083" i="13"/>
  <c r="F6084" i="13"/>
  <c r="F6085" i="13"/>
  <c r="F6086" i="13"/>
  <c r="F6087" i="13"/>
  <c r="F6088" i="13"/>
  <c r="F6089" i="13"/>
  <c r="F6090" i="13"/>
  <c r="F6091" i="13"/>
  <c r="F6092" i="13"/>
  <c r="F6093" i="13"/>
  <c r="F6094" i="13"/>
  <c r="F6095" i="13"/>
  <c r="F6096" i="13"/>
  <c r="F6097" i="13"/>
  <c r="F6098" i="13"/>
  <c r="F6099" i="13"/>
  <c r="F6100" i="13"/>
  <c r="F6101" i="13"/>
  <c r="F6102" i="13"/>
  <c r="F6103" i="13"/>
  <c r="F6104" i="13"/>
  <c r="F6105" i="13"/>
  <c r="F6106" i="13"/>
  <c r="F6107" i="13"/>
  <c r="F6108" i="13"/>
  <c r="F6109" i="13"/>
  <c r="F6110" i="13"/>
  <c r="F6111" i="13"/>
  <c r="F6112" i="13"/>
  <c r="F6113" i="13"/>
  <c r="F6114" i="13"/>
  <c r="F6115" i="13"/>
  <c r="F6116" i="13"/>
  <c r="F6117" i="13"/>
  <c r="F6118" i="13"/>
  <c r="F6119" i="13"/>
  <c r="F6120" i="13"/>
  <c r="F6121" i="13"/>
  <c r="F6122" i="13"/>
  <c r="F6123" i="13"/>
  <c r="F6124" i="13"/>
  <c r="F6125" i="13"/>
  <c r="F6126" i="13"/>
  <c r="F6127" i="13"/>
  <c r="F6128" i="13"/>
  <c r="F6129" i="13"/>
  <c r="F6130" i="13"/>
  <c r="F6131" i="13"/>
  <c r="F6132" i="13"/>
  <c r="F6133" i="13"/>
  <c r="F6134" i="13"/>
  <c r="F6135" i="13"/>
  <c r="F6136" i="13"/>
  <c r="F6137" i="13"/>
  <c r="F6138" i="13"/>
  <c r="F6139" i="13"/>
  <c r="F6140" i="13"/>
  <c r="F6141" i="13"/>
  <c r="F6142" i="13"/>
  <c r="F6143" i="13"/>
  <c r="F6144" i="13"/>
  <c r="F6145" i="13"/>
  <c r="F6146" i="13"/>
  <c r="F6147" i="13"/>
  <c r="F6148" i="13"/>
  <c r="F6149" i="13"/>
  <c r="F6150" i="13"/>
  <c r="F6151" i="13"/>
  <c r="F6152" i="13"/>
  <c r="F6153" i="13"/>
  <c r="F6154" i="13"/>
  <c r="F6155" i="13"/>
  <c r="F6156" i="13"/>
  <c r="F6157" i="13"/>
  <c r="F6158" i="13"/>
  <c r="F6159" i="13"/>
  <c r="F6160" i="13"/>
  <c r="F6161" i="13"/>
  <c r="F6162" i="13"/>
  <c r="F6163" i="13"/>
  <c r="F6164" i="13"/>
  <c r="F6165" i="13"/>
  <c r="F6166" i="13"/>
  <c r="F6167" i="13"/>
  <c r="F6168" i="13"/>
  <c r="F6169" i="13"/>
  <c r="F6170" i="13"/>
  <c r="F6171" i="13"/>
  <c r="F6172" i="13"/>
  <c r="F6173" i="13"/>
  <c r="F6174" i="13"/>
  <c r="F6175" i="13"/>
  <c r="F6176" i="13"/>
  <c r="F6177" i="13"/>
  <c r="F6178" i="13"/>
  <c r="F6179" i="13"/>
  <c r="F6180" i="13"/>
  <c r="F6181" i="13"/>
  <c r="F6182" i="13"/>
  <c r="F6183" i="13"/>
  <c r="F6184" i="13"/>
  <c r="F6185" i="13"/>
  <c r="F6186" i="13"/>
  <c r="F6187" i="13"/>
  <c r="F6188" i="13"/>
  <c r="F6189" i="13"/>
  <c r="F6190" i="13"/>
  <c r="F6191" i="13"/>
  <c r="F6192" i="13"/>
  <c r="F6193" i="13"/>
  <c r="F6194" i="13"/>
  <c r="F6195" i="13"/>
  <c r="F6196" i="13"/>
  <c r="F6197" i="13"/>
  <c r="F6198" i="13"/>
  <c r="F6199" i="13"/>
  <c r="F6200" i="13"/>
  <c r="F6201" i="13"/>
  <c r="F6202" i="13"/>
  <c r="F6203" i="13"/>
  <c r="F6204" i="13"/>
  <c r="F6205" i="13"/>
  <c r="F6206" i="13"/>
  <c r="F6207" i="13"/>
  <c r="F6208" i="13"/>
  <c r="F6209" i="13"/>
  <c r="F6210" i="13"/>
  <c r="F6211" i="13"/>
  <c r="F6212" i="13"/>
  <c r="F6213" i="13"/>
  <c r="F6214" i="13"/>
  <c r="F6215" i="13"/>
  <c r="F6216" i="13"/>
  <c r="F6217" i="13"/>
  <c r="F6218" i="13"/>
  <c r="F6219" i="13"/>
  <c r="F6220" i="13"/>
  <c r="F6221" i="13"/>
  <c r="F6222" i="13"/>
  <c r="F6223" i="13"/>
  <c r="F6224" i="13"/>
  <c r="F6225" i="13"/>
  <c r="F6226" i="13"/>
  <c r="F6227" i="13"/>
  <c r="F6228" i="13"/>
  <c r="F6229" i="13"/>
  <c r="F6230" i="13"/>
  <c r="F6231" i="13"/>
  <c r="F6232" i="13"/>
  <c r="F6233" i="13"/>
  <c r="F6234" i="13"/>
  <c r="F6235" i="13"/>
  <c r="F6236" i="13"/>
  <c r="F6237" i="13"/>
  <c r="F6238" i="13"/>
  <c r="F6239" i="13"/>
  <c r="F6240" i="13"/>
  <c r="F6241" i="13"/>
  <c r="F6242" i="13"/>
  <c r="F6243" i="13"/>
  <c r="F6244" i="13"/>
  <c r="F6245" i="13"/>
  <c r="F6246" i="13"/>
  <c r="F6247" i="13"/>
  <c r="F6248" i="13"/>
  <c r="F6249" i="13"/>
  <c r="F6250" i="13"/>
  <c r="F6251" i="13"/>
  <c r="F6252" i="13"/>
  <c r="F6253" i="13"/>
  <c r="F6254" i="13"/>
  <c r="F6255" i="13"/>
  <c r="F6256" i="13"/>
  <c r="F6257" i="13"/>
  <c r="F6258" i="13"/>
  <c r="F6259" i="13"/>
  <c r="F6260" i="13"/>
  <c r="F6261" i="13"/>
  <c r="F6262" i="13"/>
  <c r="F6263" i="13"/>
  <c r="F6264" i="13"/>
  <c r="F6265" i="13"/>
  <c r="F6266" i="13"/>
  <c r="F6267" i="13"/>
  <c r="F6268" i="13"/>
  <c r="F6269" i="13"/>
  <c r="F6270" i="13"/>
  <c r="F6271" i="13"/>
  <c r="F6272" i="13"/>
  <c r="F6273" i="13"/>
  <c r="F6274" i="13"/>
  <c r="F6275" i="13"/>
  <c r="F6276" i="13"/>
  <c r="F6277" i="13"/>
  <c r="F6278" i="13"/>
  <c r="F6279" i="13"/>
  <c r="F6280" i="13"/>
  <c r="F6281" i="13"/>
  <c r="F6282" i="13"/>
  <c r="F6283" i="13"/>
  <c r="F6284" i="13"/>
  <c r="F6285" i="13"/>
  <c r="F6286" i="13"/>
  <c r="F6287" i="13"/>
  <c r="F6288" i="13"/>
  <c r="F6289" i="13"/>
  <c r="F6290" i="13"/>
  <c r="F6291" i="13"/>
  <c r="F6292" i="13"/>
  <c r="F6293" i="13"/>
  <c r="F6294" i="13"/>
  <c r="F6295" i="13"/>
  <c r="F6296" i="13"/>
  <c r="F6297" i="13"/>
  <c r="F6298" i="13"/>
  <c r="F6299" i="13"/>
  <c r="F6300" i="13"/>
  <c r="F6301" i="13"/>
  <c r="F6302" i="13"/>
  <c r="F6303" i="13"/>
  <c r="F6304" i="13"/>
  <c r="F6305" i="13"/>
  <c r="F6306" i="13"/>
  <c r="F6307" i="13"/>
  <c r="F6308" i="13"/>
  <c r="F6309" i="13"/>
  <c r="F6310" i="13"/>
  <c r="F6311" i="13"/>
  <c r="F6312" i="13"/>
  <c r="F6313" i="13"/>
  <c r="F6314" i="13"/>
  <c r="F6315" i="13"/>
  <c r="F6316" i="13"/>
  <c r="F6317" i="13"/>
  <c r="F6318" i="13"/>
  <c r="F6319" i="13"/>
  <c r="F6320" i="13"/>
  <c r="F6321" i="13"/>
  <c r="F6322" i="13"/>
  <c r="F6323" i="13"/>
  <c r="F6324" i="13"/>
  <c r="F6325" i="13"/>
  <c r="F6326" i="13"/>
  <c r="F6327" i="13"/>
  <c r="F6328" i="13"/>
  <c r="F6329" i="13"/>
  <c r="F6330" i="13"/>
  <c r="F6331" i="13"/>
  <c r="F6332" i="13"/>
  <c r="F6333" i="13"/>
  <c r="F6334" i="13"/>
  <c r="F6335" i="13"/>
  <c r="F6336" i="13"/>
  <c r="F6337" i="13"/>
  <c r="F6338" i="13"/>
  <c r="F6339" i="13"/>
  <c r="F6340" i="13"/>
  <c r="F6341" i="13"/>
  <c r="F6342" i="13"/>
  <c r="F6343" i="13"/>
  <c r="F6344" i="13"/>
  <c r="F6345" i="13"/>
  <c r="F6346" i="13"/>
  <c r="F6347" i="13"/>
  <c r="F6348" i="13"/>
  <c r="F6349" i="13"/>
  <c r="F6350" i="13"/>
  <c r="F6351" i="13"/>
  <c r="F6352" i="13"/>
  <c r="F6353" i="13"/>
  <c r="F6354" i="13"/>
  <c r="F6355" i="13"/>
  <c r="F6356" i="13"/>
  <c r="F6357" i="13"/>
  <c r="F6358" i="13"/>
  <c r="F6359" i="13"/>
  <c r="F6360" i="13"/>
  <c r="F6361" i="13"/>
  <c r="F6362" i="13"/>
  <c r="F6363" i="13"/>
  <c r="F6364" i="13"/>
  <c r="F6365" i="13"/>
  <c r="F6366" i="13"/>
  <c r="F6367" i="13"/>
  <c r="F6368" i="13"/>
  <c r="F6369" i="13"/>
  <c r="F6370" i="13"/>
  <c r="F6371" i="13"/>
  <c r="F6372" i="13"/>
  <c r="F6373" i="13"/>
  <c r="F6374" i="13"/>
  <c r="F6375" i="13"/>
  <c r="F6376" i="13"/>
  <c r="F6377" i="13"/>
  <c r="F6378" i="13"/>
  <c r="F6379" i="13"/>
  <c r="F6380" i="13"/>
  <c r="F6381" i="13"/>
  <c r="F6382" i="13"/>
  <c r="F6383" i="13"/>
  <c r="F6384" i="13"/>
  <c r="F6385" i="13"/>
  <c r="F6386" i="13"/>
  <c r="F6387" i="13"/>
  <c r="F6388" i="13"/>
  <c r="F6389" i="13"/>
  <c r="F6390" i="13"/>
  <c r="F6391" i="13"/>
  <c r="F6392" i="13"/>
  <c r="F6393" i="13"/>
  <c r="F6394" i="13"/>
  <c r="F6395" i="13"/>
  <c r="F6396" i="13"/>
  <c r="F6397" i="13"/>
  <c r="F6398" i="13"/>
  <c r="F6399" i="13"/>
  <c r="F6400" i="13"/>
  <c r="F6401" i="13"/>
  <c r="F6402" i="13"/>
  <c r="F6403" i="13"/>
  <c r="F6404" i="13"/>
  <c r="F6405" i="13"/>
  <c r="F6406" i="13"/>
  <c r="F6407" i="13"/>
  <c r="F6408" i="13"/>
  <c r="F6409" i="13"/>
  <c r="F6410" i="13"/>
  <c r="F6411" i="13"/>
  <c r="F6412" i="13"/>
  <c r="F6413" i="13"/>
  <c r="F6414" i="13"/>
  <c r="F6415" i="13"/>
  <c r="F6416" i="13"/>
  <c r="F6417" i="13"/>
  <c r="F6418" i="13"/>
  <c r="F6419" i="13"/>
  <c r="F6420" i="13"/>
  <c r="F6421" i="13"/>
  <c r="F6422" i="13"/>
  <c r="F6423" i="13"/>
  <c r="F6424" i="13"/>
  <c r="F6425" i="13"/>
  <c r="F6426" i="13"/>
  <c r="F6427" i="13"/>
  <c r="F6428" i="13"/>
  <c r="F6429" i="13"/>
  <c r="F6430" i="13"/>
  <c r="F6431" i="13"/>
  <c r="F6432" i="13"/>
  <c r="F6433" i="13"/>
  <c r="F6434" i="13"/>
  <c r="F6435" i="13"/>
  <c r="F6436" i="13"/>
  <c r="F6437" i="13"/>
  <c r="F6438" i="13"/>
  <c r="F6439" i="13"/>
  <c r="F6440" i="13"/>
  <c r="F6441" i="13"/>
  <c r="F6442" i="13"/>
  <c r="F6443" i="13"/>
  <c r="F6444" i="13"/>
  <c r="F6445" i="13"/>
  <c r="F6446" i="13"/>
  <c r="F6447" i="13"/>
  <c r="F6448" i="13"/>
  <c r="F6449" i="13"/>
  <c r="F6450" i="13"/>
  <c r="F6451" i="13"/>
  <c r="F6452" i="13"/>
  <c r="F6453" i="13"/>
  <c r="F6454" i="13"/>
  <c r="F6455" i="13"/>
  <c r="F6456" i="13"/>
  <c r="F6457" i="13"/>
  <c r="F6458" i="13"/>
  <c r="F6459" i="13"/>
  <c r="F6460" i="13"/>
  <c r="F6461" i="13"/>
  <c r="F6462" i="13"/>
  <c r="F6463" i="13"/>
  <c r="F6464" i="13"/>
  <c r="F6465" i="13"/>
  <c r="F6466" i="13"/>
  <c r="F6467" i="13"/>
  <c r="F6468" i="13"/>
  <c r="F6469" i="13"/>
  <c r="F6470" i="13"/>
  <c r="F6471" i="13"/>
  <c r="F6472" i="13"/>
  <c r="F6473" i="13"/>
  <c r="F6474" i="13"/>
  <c r="F6475" i="13"/>
  <c r="F6476" i="13"/>
  <c r="F6477" i="13"/>
  <c r="F6478" i="13"/>
  <c r="F6479" i="13"/>
  <c r="F6480" i="13"/>
  <c r="F6481" i="13"/>
  <c r="F6482" i="13"/>
  <c r="F6483" i="13"/>
  <c r="F6484" i="13"/>
  <c r="F6485" i="13"/>
  <c r="F6486" i="13"/>
  <c r="F6487" i="13"/>
  <c r="F6488" i="13"/>
  <c r="F6489" i="13"/>
  <c r="F6490" i="13"/>
  <c r="F6491" i="13"/>
  <c r="F6492" i="13"/>
  <c r="F6493" i="13"/>
  <c r="F6494" i="13"/>
  <c r="F6495" i="13"/>
  <c r="F6496" i="13"/>
  <c r="F6497" i="13"/>
  <c r="F6498" i="13"/>
  <c r="F6499" i="13"/>
  <c r="F6500" i="13"/>
  <c r="F6501" i="13"/>
  <c r="F6502" i="13"/>
  <c r="F6503" i="13"/>
  <c r="F6504" i="13"/>
  <c r="F6505" i="13"/>
  <c r="F6506" i="13"/>
  <c r="F6507" i="13"/>
  <c r="F6508" i="13"/>
  <c r="F6509" i="13"/>
  <c r="F6510" i="13"/>
  <c r="F6511" i="13"/>
  <c r="F6512" i="13"/>
  <c r="F6513" i="13"/>
  <c r="F6514" i="13"/>
  <c r="F6515" i="13"/>
  <c r="F6516" i="13"/>
  <c r="F6517" i="13"/>
  <c r="F6518" i="13"/>
  <c r="F6519" i="13"/>
  <c r="F6520" i="13"/>
  <c r="F6521" i="13"/>
  <c r="F6522" i="13"/>
  <c r="F6523" i="13"/>
  <c r="F6524" i="13"/>
  <c r="F6525" i="13"/>
  <c r="F6526" i="13"/>
  <c r="F6527" i="13"/>
  <c r="F6528" i="13"/>
  <c r="F6529" i="13"/>
  <c r="F6530" i="13"/>
  <c r="F6531" i="13"/>
  <c r="F6532" i="13"/>
  <c r="F6533" i="13"/>
  <c r="F6534" i="13"/>
  <c r="F6535" i="13"/>
  <c r="F6536" i="13"/>
  <c r="F6537" i="13"/>
  <c r="F6538" i="13"/>
  <c r="F6539" i="13"/>
  <c r="F6540" i="13"/>
  <c r="F6541" i="13"/>
  <c r="F6542" i="13"/>
  <c r="F6543" i="13"/>
  <c r="F6544" i="13"/>
  <c r="F6545" i="13"/>
  <c r="F6546" i="13"/>
  <c r="F6547" i="13"/>
  <c r="F6548" i="13"/>
  <c r="F6549" i="13"/>
  <c r="F6550" i="13"/>
  <c r="F6551" i="13"/>
  <c r="F6552" i="13"/>
  <c r="F6553" i="13"/>
  <c r="F6554" i="13"/>
  <c r="F6555" i="13"/>
  <c r="F6556" i="13"/>
  <c r="F6557" i="13"/>
  <c r="F6558" i="13"/>
  <c r="F6559" i="13"/>
  <c r="F6560" i="13"/>
  <c r="F6561" i="13"/>
  <c r="F6562" i="13"/>
  <c r="F6563" i="13"/>
  <c r="F6564" i="13"/>
  <c r="F6565" i="13"/>
  <c r="F6566" i="13"/>
  <c r="F6567" i="13"/>
  <c r="F6568" i="13"/>
  <c r="F6569" i="13"/>
  <c r="F6570" i="13"/>
  <c r="F6571" i="13"/>
  <c r="F6572" i="13"/>
  <c r="F6573" i="13"/>
  <c r="F6574" i="13"/>
  <c r="F6575" i="13"/>
  <c r="F6576" i="13"/>
  <c r="F6577" i="13"/>
  <c r="F6578" i="13"/>
  <c r="F6579" i="13"/>
  <c r="F6580" i="13"/>
  <c r="F6581" i="13"/>
  <c r="F6582" i="13"/>
  <c r="F6583" i="13"/>
  <c r="F6584" i="13"/>
  <c r="F6585" i="13"/>
  <c r="F6586" i="13"/>
  <c r="F6587" i="13"/>
  <c r="F6588" i="13"/>
  <c r="F6589" i="13"/>
  <c r="F6590" i="13"/>
  <c r="F6591" i="13"/>
  <c r="F6592" i="13"/>
  <c r="F6593" i="13"/>
  <c r="F6594" i="13"/>
  <c r="F6595" i="13"/>
  <c r="F6596" i="13"/>
  <c r="F6597" i="13"/>
  <c r="F6598" i="13"/>
  <c r="F6599" i="13"/>
  <c r="F6600" i="13"/>
  <c r="F6601" i="13"/>
  <c r="F6602" i="13"/>
  <c r="F6603" i="13"/>
  <c r="F6604" i="13"/>
  <c r="F6605" i="13"/>
  <c r="F6606" i="13"/>
  <c r="F6607" i="13"/>
  <c r="F6608" i="13"/>
  <c r="F6609" i="13"/>
  <c r="F6610" i="13"/>
  <c r="F6611" i="13"/>
  <c r="F6612" i="13"/>
  <c r="F6613" i="13"/>
  <c r="F6614" i="13"/>
  <c r="F6615" i="13"/>
  <c r="F6616" i="13"/>
  <c r="F6617" i="13"/>
  <c r="F6618" i="13"/>
  <c r="F6619" i="13"/>
  <c r="F6620" i="13"/>
  <c r="F6621" i="13"/>
  <c r="F6622" i="13"/>
  <c r="F6623" i="13"/>
  <c r="F6624" i="13"/>
  <c r="F6625" i="13"/>
  <c r="F6626" i="13"/>
  <c r="F6627" i="13"/>
  <c r="F6628" i="13"/>
  <c r="F6629" i="13"/>
  <c r="F6630" i="13"/>
  <c r="F6631" i="13"/>
  <c r="F6632" i="13"/>
  <c r="F6633" i="13"/>
  <c r="F6634" i="13"/>
  <c r="F6635" i="13"/>
  <c r="F6636" i="13"/>
  <c r="F6637" i="13"/>
  <c r="F6638" i="13"/>
  <c r="F6639" i="13"/>
  <c r="F6640" i="13"/>
  <c r="F6641" i="13"/>
  <c r="F6642" i="13"/>
  <c r="F6643" i="13"/>
  <c r="F6644" i="13"/>
  <c r="F6645" i="13"/>
  <c r="F6646" i="13"/>
  <c r="F6647" i="13"/>
  <c r="F6648" i="13"/>
  <c r="F6649" i="13"/>
  <c r="F6650" i="13"/>
  <c r="F6651" i="13"/>
  <c r="F6652" i="13"/>
  <c r="F6653" i="13"/>
  <c r="F6654" i="13"/>
  <c r="F6655" i="13"/>
  <c r="F6656" i="13"/>
  <c r="F6657" i="13"/>
  <c r="F6658" i="13"/>
  <c r="F6659" i="13"/>
  <c r="F6660" i="13"/>
  <c r="F6661" i="13"/>
  <c r="F6662" i="13"/>
  <c r="F6663" i="13"/>
  <c r="F6664" i="13"/>
  <c r="F6665" i="13"/>
  <c r="F6666" i="13"/>
  <c r="F6667" i="13"/>
  <c r="F6668" i="13"/>
  <c r="F6669" i="13"/>
  <c r="F6670" i="13"/>
  <c r="F6671" i="13"/>
  <c r="F6672" i="13"/>
  <c r="F6673" i="13"/>
  <c r="F6674" i="13"/>
  <c r="F6675" i="13"/>
  <c r="F6676" i="13"/>
  <c r="F6677" i="13"/>
  <c r="F6678" i="13"/>
  <c r="F6679" i="13"/>
  <c r="F6680" i="13"/>
  <c r="F6681" i="13"/>
  <c r="F6682" i="13"/>
  <c r="F6683" i="13"/>
  <c r="F6684" i="13"/>
  <c r="F6685" i="13"/>
  <c r="F6686" i="13"/>
  <c r="F6687" i="13"/>
  <c r="F6688" i="13"/>
  <c r="F6689" i="13"/>
  <c r="F6690" i="13"/>
  <c r="F6691" i="13"/>
  <c r="F6692" i="13"/>
  <c r="F6693" i="13"/>
  <c r="F6694" i="13"/>
  <c r="F6695" i="13"/>
  <c r="F6696" i="13"/>
  <c r="F6697" i="13"/>
  <c r="F6698" i="13"/>
  <c r="F6699" i="13"/>
  <c r="F6700" i="13"/>
  <c r="F6701" i="13"/>
  <c r="F6702" i="13"/>
  <c r="F6703" i="13"/>
  <c r="F6704" i="13"/>
  <c r="F6705" i="13"/>
  <c r="F6706" i="13"/>
  <c r="F6707" i="13"/>
  <c r="F6708" i="13"/>
  <c r="F6709" i="13"/>
  <c r="F6710" i="13"/>
  <c r="F6711" i="13"/>
  <c r="F6712" i="13"/>
  <c r="F6713" i="13"/>
  <c r="F6714" i="13"/>
  <c r="F6715" i="13"/>
  <c r="F6716" i="13"/>
  <c r="F6717" i="13"/>
  <c r="F6718" i="13"/>
  <c r="F6719" i="13"/>
  <c r="F6720" i="13"/>
  <c r="F6721" i="13"/>
  <c r="F6722" i="13"/>
  <c r="F6723" i="13"/>
  <c r="F6724" i="13"/>
  <c r="F6725" i="13"/>
  <c r="F6726" i="13"/>
  <c r="F6727" i="13"/>
  <c r="F6728" i="13"/>
  <c r="F6729" i="13"/>
  <c r="F6730" i="13"/>
  <c r="F6731" i="13"/>
  <c r="F6732" i="13"/>
  <c r="F6733" i="13"/>
  <c r="F6734" i="13"/>
  <c r="F6735" i="13"/>
  <c r="F6736" i="13"/>
  <c r="F6737" i="13"/>
  <c r="F6738" i="13"/>
  <c r="F6739" i="13"/>
  <c r="F6740" i="13"/>
  <c r="F6741" i="13"/>
  <c r="F6742" i="13"/>
  <c r="F6743" i="13"/>
  <c r="F6744" i="13"/>
  <c r="F6745" i="13"/>
  <c r="F6746" i="13"/>
  <c r="F6747" i="13"/>
  <c r="F6748" i="13"/>
  <c r="F6749" i="13"/>
  <c r="F6750" i="13"/>
  <c r="F6751" i="13"/>
  <c r="F6752" i="13"/>
  <c r="F6753" i="13"/>
  <c r="F6754" i="13"/>
  <c r="F6755" i="13"/>
  <c r="F6756" i="13"/>
  <c r="F6757" i="13"/>
  <c r="F6758" i="13"/>
  <c r="F6759" i="13"/>
  <c r="F6760" i="13"/>
  <c r="F6761" i="13"/>
  <c r="F6762" i="13"/>
  <c r="F6763" i="13"/>
  <c r="F6764" i="13"/>
  <c r="F6765" i="13"/>
  <c r="F6766" i="13"/>
  <c r="F6767" i="13"/>
  <c r="F6768" i="13"/>
  <c r="F6769" i="13"/>
  <c r="F6770" i="13"/>
  <c r="F6771" i="13"/>
  <c r="F6772" i="13"/>
  <c r="F6773" i="13"/>
  <c r="F6774" i="13"/>
  <c r="F6775" i="13"/>
  <c r="F6776" i="13"/>
  <c r="F6777" i="13"/>
  <c r="F6778" i="13"/>
  <c r="F6779" i="13"/>
  <c r="F6780" i="13"/>
  <c r="F6781" i="13"/>
  <c r="F6782" i="13"/>
  <c r="F6783" i="13"/>
  <c r="F6784" i="13"/>
  <c r="F6785" i="13"/>
  <c r="F6786" i="13"/>
  <c r="F6787" i="13"/>
  <c r="F6788" i="13"/>
  <c r="F6789" i="13"/>
  <c r="F6790" i="13"/>
  <c r="F6791" i="13"/>
  <c r="F6792" i="13"/>
  <c r="F6793" i="13"/>
  <c r="F6794" i="13"/>
  <c r="F6795" i="13"/>
  <c r="F6796" i="13"/>
  <c r="F6797" i="13"/>
  <c r="F6798" i="13"/>
  <c r="F6799" i="13"/>
  <c r="F6800" i="13"/>
  <c r="F6801" i="13"/>
  <c r="F6802" i="13"/>
  <c r="F6803" i="13"/>
  <c r="F6804" i="13"/>
  <c r="F6805" i="13"/>
  <c r="F6806" i="13"/>
  <c r="F6807" i="13"/>
  <c r="F6808" i="13"/>
  <c r="F6809" i="13"/>
  <c r="F6810" i="13"/>
  <c r="F6811" i="13"/>
  <c r="F6812" i="13"/>
  <c r="F6813" i="13"/>
  <c r="F6814" i="13"/>
  <c r="F6815" i="13"/>
  <c r="F6816" i="13"/>
  <c r="F6817" i="13"/>
  <c r="F6818" i="13"/>
  <c r="F6819" i="13"/>
  <c r="F6820" i="13"/>
  <c r="F6821" i="13"/>
  <c r="F6822" i="13"/>
  <c r="F6823" i="13"/>
  <c r="F6824" i="13"/>
  <c r="F6825" i="13"/>
  <c r="F6826" i="13"/>
  <c r="F6827" i="13"/>
  <c r="F6828" i="13"/>
  <c r="F6829" i="13"/>
  <c r="F6830" i="13"/>
  <c r="F6831" i="13"/>
  <c r="F6832" i="13"/>
  <c r="F6833" i="13"/>
  <c r="F6834" i="13"/>
  <c r="F6835" i="13"/>
  <c r="F6836" i="13"/>
  <c r="F6837" i="13"/>
  <c r="F6838" i="13"/>
  <c r="F6839" i="13"/>
  <c r="F6840" i="13"/>
  <c r="F6841" i="13"/>
  <c r="F6842" i="13"/>
  <c r="F6843" i="13"/>
  <c r="F6844" i="13"/>
  <c r="F6845" i="13"/>
  <c r="F6846" i="13"/>
  <c r="F6847" i="13"/>
  <c r="F6848" i="13"/>
  <c r="F6849" i="13"/>
  <c r="F6850" i="13"/>
  <c r="F6851" i="13"/>
  <c r="F6852" i="13"/>
  <c r="F6853" i="13"/>
  <c r="F6854" i="13"/>
  <c r="F6855" i="13"/>
  <c r="F6856" i="13"/>
  <c r="F6857" i="13"/>
  <c r="F6858" i="13"/>
  <c r="F6859" i="13"/>
  <c r="F6860" i="13"/>
  <c r="F6861" i="13"/>
  <c r="F6862" i="13"/>
  <c r="F6863" i="13"/>
  <c r="F6864" i="13"/>
  <c r="F6865" i="13"/>
  <c r="F6866" i="13"/>
  <c r="F6867" i="13"/>
  <c r="F6868" i="13"/>
  <c r="F6869" i="13"/>
  <c r="F6870" i="13"/>
  <c r="F6871" i="13"/>
  <c r="F6872" i="13"/>
  <c r="F6873" i="13"/>
  <c r="F6874" i="13"/>
  <c r="F6875" i="13"/>
  <c r="F6876" i="13"/>
  <c r="F6877" i="13"/>
  <c r="F6878" i="13"/>
  <c r="F6879" i="13"/>
  <c r="F6880" i="13"/>
  <c r="F6881" i="13"/>
  <c r="F6882" i="13"/>
  <c r="F6883" i="13"/>
  <c r="F6884" i="13"/>
  <c r="F6885" i="13"/>
  <c r="F6886" i="13"/>
  <c r="F6887" i="13"/>
  <c r="F6888" i="13"/>
  <c r="F6889" i="13"/>
  <c r="F6890" i="13"/>
  <c r="F6891" i="13"/>
  <c r="F6892" i="13"/>
  <c r="F6893" i="13"/>
  <c r="F6894" i="13"/>
  <c r="F6895" i="13"/>
  <c r="F6896" i="13"/>
  <c r="F6897" i="13"/>
  <c r="F6898" i="13"/>
  <c r="F6899" i="13"/>
  <c r="F6900" i="13"/>
  <c r="F6901" i="13"/>
  <c r="F6902" i="13"/>
  <c r="F6903" i="13"/>
  <c r="F6904" i="13"/>
  <c r="F6905" i="13"/>
  <c r="F6906" i="13"/>
  <c r="F6907" i="13"/>
  <c r="F6908" i="13"/>
  <c r="F6909" i="13"/>
  <c r="F6910" i="13"/>
  <c r="F6911" i="13"/>
  <c r="F6912" i="13"/>
  <c r="F6913" i="13"/>
  <c r="F6914" i="13"/>
  <c r="F6915" i="13"/>
  <c r="F6916" i="13"/>
  <c r="F6917" i="13"/>
  <c r="F6918" i="13"/>
  <c r="F6919" i="13"/>
  <c r="F6920" i="13"/>
  <c r="F6921" i="13"/>
  <c r="F6922" i="13"/>
  <c r="F6923" i="13"/>
  <c r="F6924" i="13"/>
  <c r="F6925" i="13"/>
  <c r="F6926" i="13"/>
  <c r="F6927" i="13"/>
  <c r="F6928" i="13"/>
  <c r="F6929" i="13"/>
  <c r="F6930" i="13"/>
  <c r="F6931" i="13"/>
  <c r="F6932" i="13"/>
  <c r="F6933" i="13"/>
  <c r="F6934" i="13"/>
  <c r="F6935" i="13"/>
  <c r="F6936" i="13"/>
  <c r="F6937" i="13"/>
  <c r="F6938" i="13"/>
  <c r="F6939" i="13"/>
  <c r="F6940" i="13"/>
  <c r="F6941" i="13"/>
  <c r="F6942" i="13"/>
  <c r="F6943" i="13"/>
  <c r="F6944" i="13"/>
  <c r="F6945" i="13"/>
  <c r="F6946" i="13"/>
  <c r="F6947" i="13"/>
  <c r="F6948" i="13"/>
  <c r="F6949" i="13"/>
  <c r="F6950" i="13"/>
  <c r="F6951" i="13"/>
  <c r="F6952" i="13"/>
  <c r="F6953" i="13"/>
  <c r="F6954" i="13"/>
  <c r="F6955" i="13"/>
  <c r="F6956" i="13"/>
  <c r="F6957" i="13"/>
  <c r="F6958" i="13"/>
  <c r="F6959" i="13"/>
  <c r="F6960" i="13"/>
  <c r="F6961" i="13"/>
  <c r="F6962" i="13"/>
  <c r="F6963" i="13"/>
  <c r="F6964" i="13"/>
  <c r="F6965" i="13"/>
  <c r="F6966" i="13"/>
  <c r="F6967" i="13"/>
  <c r="F6968" i="13"/>
  <c r="F6969" i="13"/>
  <c r="F6970" i="13"/>
  <c r="F6971" i="13"/>
  <c r="F6972" i="13"/>
  <c r="F6973" i="13"/>
  <c r="F6974" i="13"/>
  <c r="F6975" i="13"/>
  <c r="F6976" i="13"/>
  <c r="F6977" i="13"/>
  <c r="F6978" i="13"/>
  <c r="F6979" i="13"/>
  <c r="F6980" i="13"/>
  <c r="F6981" i="13"/>
  <c r="F6982" i="13"/>
  <c r="F6983" i="13"/>
  <c r="F6984" i="13"/>
  <c r="F6985" i="13"/>
  <c r="F6986" i="13"/>
  <c r="F6987" i="13"/>
  <c r="F6988" i="13"/>
  <c r="F6989" i="13"/>
  <c r="F6990" i="13"/>
  <c r="F6991" i="13"/>
  <c r="F6992" i="13"/>
  <c r="F6993" i="13"/>
  <c r="F6994" i="13"/>
  <c r="F6995" i="13"/>
  <c r="F6996" i="13"/>
  <c r="F6997" i="13"/>
  <c r="F6998" i="13"/>
  <c r="F6999" i="13"/>
  <c r="F7000" i="13"/>
  <c r="F7001" i="13"/>
  <c r="F7002" i="13"/>
  <c r="F7003" i="13"/>
  <c r="F7004" i="13"/>
  <c r="F7005" i="13"/>
  <c r="F7006" i="13"/>
  <c r="F7007" i="13"/>
  <c r="F7008" i="13"/>
  <c r="F7009" i="13"/>
  <c r="F7010" i="13"/>
  <c r="F7011" i="13"/>
  <c r="F7012" i="13"/>
  <c r="F7013" i="13"/>
  <c r="F7014" i="13"/>
  <c r="F7015" i="13"/>
  <c r="F7016" i="13"/>
  <c r="F7017" i="13"/>
  <c r="F7018" i="13"/>
  <c r="F7019" i="13"/>
  <c r="F7020" i="13"/>
  <c r="F7021" i="13"/>
  <c r="F7022" i="13"/>
  <c r="F7023" i="13"/>
  <c r="F7024" i="13"/>
  <c r="F7025" i="13"/>
  <c r="F7026" i="13"/>
  <c r="F7027" i="13"/>
  <c r="F7028" i="13"/>
  <c r="F7029" i="13"/>
  <c r="F7030" i="13"/>
  <c r="F7031" i="13"/>
  <c r="F7032" i="13"/>
  <c r="F7033" i="13"/>
  <c r="F7034" i="13"/>
  <c r="F7035" i="13"/>
  <c r="F7036" i="13"/>
  <c r="F7037" i="13"/>
  <c r="F7038" i="13"/>
  <c r="F7039" i="13"/>
  <c r="F7040" i="13"/>
  <c r="F7041" i="13"/>
  <c r="F7042" i="13"/>
  <c r="F7043" i="13"/>
  <c r="F7044" i="13"/>
  <c r="F7045" i="13"/>
  <c r="F7046" i="13"/>
  <c r="F7047" i="13"/>
  <c r="F7048" i="13"/>
  <c r="F7049" i="13"/>
  <c r="F7050" i="13"/>
  <c r="F7051" i="13"/>
  <c r="F7052" i="13"/>
  <c r="F7053" i="13"/>
  <c r="F7054" i="13"/>
  <c r="F7055" i="13"/>
  <c r="F7056" i="13"/>
  <c r="F7057" i="13"/>
  <c r="F7058" i="13"/>
  <c r="F7059" i="13"/>
  <c r="F7060" i="13"/>
  <c r="F7061" i="13"/>
  <c r="F7062" i="13"/>
  <c r="F7063" i="13"/>
  <c r="F7064" i="13"/>
  <c r="F7065" i="13"/>
  <c r="F7066" i="13"/>
  <c r="F7067" i="13"/>
  <c r="F7068" i="13"/>
  <c r="F7069" i="13"/>
  <c r="F7070" i="13"/>
  <c r="F7071" i="13"/>
  <c r="F7072" i="13"/>
  <c r="F7073" i="13"/>
  <c r="F7074" i="13"/>
  <c r="F7075" i="13"/>
  <c r="F7076" i="13"/>
  <c r="F7077" i="13"/>
  <c r="F7078" i="13"/>
  <c r="F7079" i="13"/>
  <c r="F7080" i="13"/>
  <c r="F7081" i="13"/>
  <c r="F7082" i="13"/>
  <c r="F7083" i="13"/>
  <c r="F7084" i="13"/>
  <c r="F7085" i="13"/>
  <c r="F7086" i="13"/>
  <c r="F7087" i="13"/>
  <c r="F7088" i="13"/>
  <c r="F7089" i="13"/>
  <c r="F7090" i="13"/>
  <c r="F7091" i="13"/>
  <c r="F7092" i="13"/>
  <c r="F7093" i="13"/>
  <c r="F7094" i="13"/>
  <c r="F7095" i="13"/>
  <c r="F7096" i="13"/>
  <c r="F7097" i="13"/>
  <c r="F7098" i="13"/>
  <c r="F7099" i="13"/>
  <c r="F7100" i="13"/>
  <c r="F7101" i="13"/>
  <c r="F7102" i="13"/>
  <c r="F7103" i="13"/>
  <c r="F7104" i="13"/>
  <c r="F7105" i="13"/>
  <c r="F7106" i="13"/>
  <c r="F7107" i="13"/>
  <c r="F7108" i="13"/>
  <c r="F7109" i="13"/>
  <c r="F7110" i="13"/>
  <c r="F7111" i="13"/>
  <c r="F7112" i="13"/>
  <c r="F7113" i="13"/>
  <c r="F7114" i="13"/>
  <c r="F7115" i="13"/>
  <c r="F7116" i="13"/>
  <c r="F7117" i="13"/>
  <c r="F7118" i="13"/>
  <c r="F7119" i="13"/>
  <c r="F7120" i="13"/>
  <c r="F7121" i="13"/>
  <c r="F7122" i="13"/>
  <c r="F7123" i="13"/>
  <c r="F7124" i="13"/>
  <c r="F7125" i="13"/>
  <c r="F7126" i="13"/>
  <c r="F7127" i="13"/>
  <c r="F7128" i="13"/>
  <c r="F7129" i="13"/>
  <c r="F7130" i="13"/>
  <c r="F7131" i="13"/>
  <c r="F7132" i="13"/>
  <c r="F7133" i="13"/>
  <c r="F7134" i="13"/>
  <c r="F7135" i="13"/>
  <c r="F7136" i="13"/>
  <c r="F7137" i="13"/>
  <c r="F7138" i="13"/>
  <c r="F7139" i="13"/>
  <c r="F7140" i="13"/>
  <c r="F7141" i="13"/>
  <c r="F7142" i="13"/>
  <c r="F7143" i="13"/>
  <c r="F7144" i="13"/>
  <c r="F7145" i="13"/>
  <c r="F7146" i="13"/>
  <c r="F7147" i="13"/>
  <c r="F7148" i="13"/>
  <c r="F7149" i="13"/>
  <c r="F7150" i="13"/>
  <c r="F7151" i="13"/>
  <c r="F7152" i="13"/>
  <c r="F7153" i="13"/>
  <c r="F7154" i="13"/>
  <c r="F7155" i="13"/>
  <c r="F7156" i="13"/>
  <c r="F7157" i="13"/>
  <c r="F7158" i="13"/>
  <c r="F7159" i="13"/>
  <c r="F7160" i="13"/>
  <c r="F7161" i="13"/>
  <c r="F7162" i="13"/>
  <c r="F7163" i="13"/>
  <c r="F7164" i="13"/>
  <c r="F7165" i="13"/>
  <c r="F7166" i="13"/>
  <c r="F7167" i="13"/>
  <c r="F7168" i="13"/>
  <c r="F7169" i="13"/>
  <c r="F7170" i="13"/>
  <c r="F7171" i="13"/>
  <c r="F7172" i="13"/>
  <c r="F7173" i="13"/>
  <c r="F7174" i="13"/>
  <c r="F7175" i="13"/>
  <c r="F7176" i="13"/>
  <c r="F7177" i="13"/>
  <c r="F7178" i="13"/>
  <c r="F7179" i="13"/>
  <c r="F7180" i="13"/>
  <c r="F7181" i="13"/>
  <c r="F7182" i="13"/>
  <c r="F7183" i="13"/>
  <c r="F7184" i="13"/>
  <c r="F7185" i="13"/>
  <c r="F7186" i="13"/>
  <c r="F7187" i="13"/>
  <c r="F7188" i="13"/>
  <c r="F7189" i="13"/>
  <c r="F7190" i="13"/>
  <c r="F7191" i="13"/>
  <c r="F7192" i="13"/>
  <c r="F7193" i="13"/>
  <c r="F7194" i="13"/>
  <c r="F7195" i="13"/>
  <c r="F7196" i="13"/>
  <c r="F7197" i="13"/>
  <c r="F7198" i="13"/>
  <c r="F7199" i="13"/>
  <c r="F7200" i="13"/>
  <c r="F7201" i="13"/>
  <c r="F7202" i="13"/>
  <c r="F7203" i="13"/>
  <c r="F7204" i="13"/>
  <c r="F7205" i="13"/>
  <c r="F7206" i="13"/>
  <c r="F7207" i="13"/>
  <c r="F7208" i="13"/>
  <c r="F7209" i="13"/>
  <c r="F7210" i="13"/>
  <c r="F7211" i="13"/>
  <c r="F7212" i="13"/>
  <c r="F7213" i="13"/>
  <c r="F7214" i="13"/>
  <c r="F7215" i="13"/>
  <c r="F7216" i="13"/>
  <c r="F7217" i="13"/>
  <c r="F7218" i="13"/>
  <c r="F7219" i="13"/>
  <c r="F7220" i="13"/>
  <c r="F7221" i="13"/>
  <c r="F7222" i="13"/>
  <c r="F7223" i="13"/>
  <c r="F7224" i="13"/>
  <c r="F7225" i="13"/>
  <c r="F7226" i="13"/>
  <c r="F7227" i="13"/>
  <c r="F7228" i="13"/>
  <c r="F7229" i="13"/>
  <c r="F7230" i="13"/>
  <c r="F7231" i="13"/>
  <c r="F7232" i="13"/>
  <c r="F7233" i="13"/>
  <c r="F7234" i="13"/>
  <c r="F7235" i="13"/>
  <c r="F7236" i="13"/>
  <c r="F7237" i="13"/>
  <c r="F7238" i="13"/>
  <c r="F7239" i="13"/>
  <c r="F7240" i="13"/>
  <c r="F7241" i="13"/>
  <c r="F7242" i="13"/>
  <c r="F7243" i="13"/>
  <c r="F7244" i="13"/>
  <c r="F7245" i="13"/>
  <c r="F7246" i="13"/>
  <c r="F7247" i="13"/>
  <c r="F7248" i="13"/>
  <c r="F7249" i="13"/>
  <c r="F7250" i="13"/>
  <c r="F7251" i="13"/>
  <c r="F7252" i="13"/>
  <c r="F7253" i="13"/>
  <c r="F7254" i="13"/>
  <c r="F7255" i="13"/>
  <c r="F7256" i="13"/>
  <c r="F7257" i="13"/>
  <c r="F7258" i="13"/>
  <c r="F7259" i="13"/>
  <c r="F7260" i="13"/>
  <c r="F7261" i="13"/>
  <c r="F7262" i="13"/>
  <c r="F7263" i="13"/>
  <c r="F7264" i="13"/>
  <c r="F7265" i="13"/>
  <c r="F7266" i="13"/>
  <c r="F7267" i="13"/>
  <c r="F7268" i="13"/>
  <c r="F7269" i="13"/>
  <c r="F7270" i="13"/>
  <c r="F7271" i="13"/>
  <c r="F7272" i="13"/>
  <c r="F7273" i="13"/>
  <c r="F7274" i="13"/>
  <c r="F7275" i="13"/>
  <c r="F7276" i="13"/>
  <c r="F7277" i="13"/>
  <c r="F7278" i="13"/>
  <c r="F7279" i="13"/>
  <c r="F7280" i="13"/>
  <c r="F7281" i="13"/>
  <c r="F7282" i="13"/>
  <c r="F7283" i="13"/>
  <c r="F7284" i="13"/>
  <c r="F7285" i="13"/>
  <c r="F7286" i="13"/>
  <c r="F7287" i="13"/>
  <c r="F7288" i="13"/>
  <c r="F7289" i="13"/>
  <c r="F7290" i="13"/>
  <c r="F7291" i="13"/>
  <c r="F7292" i="13"/>
  <c r="F7293" i="13"/>
  <c r="F7294" i="13"/>
  <c r="F7295" i="13"/>
  <c r="F7296" i="13"/>
  <c r="F7297" i="13"/>
  <c r="F7298" i="13"/>
  <c r="F7299" i="13"/>
  <c r="F7300" i="13"/>
  <c r="F7301" i="13"/>
  <c r="F7302" i="13"/>
  <c r="F7303" i="13"/>
  <c r="F7304" i="13"/>
  <c r="F7305" i="13"/>
  <c r="F7306" i="13"/>
  <c r="F7307" i="13"/>
  <c r="F7308" i="13"/>
  <c r="F7309" i="13"/>
  <c r="F7310" i="13"/>
  <c r="F7311" i="13"/>
  <c r="F7312" i="13"/>
  <c r="F7313" i="13"/>
  <c r="F7314" i="13"/>
  <c r="F7315" i="13"/>
  <c r="F7316" i="13"/>
  <c r="F7317" i="13"/>
  <c r="F7318" i="13"/>
  <c r="F7319" i="13"/>
  <c r="F7320" i="13"/>
  <c r="F7321" i="13"/>
  <c r="F7322" i="13"/>
  <c r="F7323" i="13"/>
  <c r="F7324" i="13"/>
  <c r="F7325" i="13"/>
  <c r="F7326" i="13"/>
  <c r="F7327" i="13"/>
  <c r="F7328" i="13"/>
  <c r="F7329" i="13"/>
  <c r="F7330" i="13"/>
  <c r="F7331" i="13"/>
  <c r="F7332" i="13"/>
  <c r="F7333" i="13"/>
  <c r="F7334" i="13"/>
  <c r="F7335" i="13"/>
  <c r="F7336" i="13"/>
  <c r="F7337" i="13"/>
  <c r="F7338" i="13"/>
  <c r="F7339" i="13"/>
  <c r="F7340" i="13"/>
  <c r="F7341" i="13"/>
  <c r="F7342" i="13"/>
  <c r="F7343" i="13"/>
  <c r="F7344" i="13"/>
  <c r="F7345" i="13"/>
  <c r="F7346" i="13"/>
  <c r="F7347" i="13"/>
  <c r="F7348" i="13"/>
  <c r="F7349" i="13"/>
  <c r="F7350" i="13"/>
  <c r="F7351" i="13"/>
  <c r="F7352" i="13"/>
  <c r="F7353" i="13"/>
  <c r="F7354" i="13"/>
  <c r="F7355" i="13"/>
  <c r="F7356" i="13"/>
  <c r="F7357" i="13"/>
  <c r="F7358" i="13"/>
  <c r="F7359" i="13"/>
  <c r="F7360" i="13"/>
  <c r="F7361" i="13"/>
  <c r="F7362" i="13"/>
  <c r="F7363" i="13"/>
  <c r="F7364" i="13"/>
  <c r="F7365" i="13"/>
  <c r="F7366" i="13"/>
  <c r="F7367" i="13"/>
  <c r="F7368" i="13"/>
  <c r="F7369" i="13"/>
  <c r="F7370" i="13"/>
  <c r="F7371" i="13"/>
  <c r="F7372" i="13"/>
  <c r="F7373" i="13"/>
  <c r="F7374" i="13"/>
  <c r="F7375" i="13"/>
  <c r="F7376" i="13"/>
  <c r="F7377" i="13"/>
  <c r="F7378" i="13"/>
  <c r="F7379" i="13"/>
  <c r="F7380" i="13"/>
  <c r="F7381" i="13"/>
  <c r="F7382" i="13"/>
  <c r="F7383" i="13"/>
  <c r="F7384" i="13"/>
  <c r="F7385" i="13"/>
  <c r="F7386" i="13"/>
  <c r="F7387" i="13"/>
  <c r="F7388" i="13"/>
  <c r="F7389" i="13"/>
  <c r="F7390" i="13"/>
  <c r="F7391" i="13"/>
  <c r="F7392" i="13"/>
  <c r="F7393" i="13"/>
  <c r="F7394" i="13"/>
  <c r="F7395" i="13"/>
  <c r="F7396" i="13"/>
  <c r="F7397" i="13"/>
  <c r="F7398" i="13"/>
  <c r="F7399" i="13"/>
  <c r="F7400" i="13"/>
  <c r="F7401" i="13"/>
  <c r="F7402" i="13"/>
  <c r="F7403" i="13"/>
  <c r="F7404" i="13"/>
  <c r="F7405" i="13"/>
  <c r="F7406" i="13"/>
  <c r="F7407" i="13"/>
  <c r="F7408" i="13"/>
  <c r="F7409" i="13"/>
  <c r="F7410" i="13"/>
  <c r="F7411" i="13"/>
  <c r="F7412" i="13"/>
  <c r="F7413" i="13"/>
  <c r="F7414" i="13"/>
  <c r="F7415" i="13"/>
  <c r="F7416" i="13"/>
  <c r="F7417" i="13"/>
  <c r="F7418" i="13"/>
  <c r="F7419" i="13"/>
  <c r="F7420" i="13"/>
  <c r="F7421" i="13"/>
  <c r="F7422" i="13"/>
  <c r="F7423" i="13"/>
  <c r="F7424" i="13"/>
  <c r="F7425" i="13"/>
  <c r="F7426" i="13"/>
  <c r="F7427" i="13"/>
  <c r="F7428" i="13"/>
  <c r="F7429" i="13"/>
  <c r="F7430" i="13"/>
  <c r="F7431" i="13"/>
  <c r="F7432" i="13"/>
  <c r="F7433" i="13"/>
  <c r="F7434" i="13"/>
  <c r="F7435" i="13"/>
  <c r="F7436" i="13"/>
  <c r="F7437" i="13"/>
  <c r="F7438" i="13"/>
  <c r="F7439" i="13"/>
  <c r="F7440" i="13"/>
  <c r="F7441" i="13"/>
  <c r="F7442" i="13"/>
  <c r="F7443" i="13"/>
  <c r="F7444" i="13"/>
  <c r="F7445" i="13"/>
  <c r="F7446" i="13"/>
  <c r="F7447" i="13"/>
  <c r="F7448" i="13"/>
  <c r="F7449" i="13"/>
  <c r="F7450" i="13"/>
  <c r="F7451" i="13"/>
  <c r="F7452" i="13"/>
  <c r="F7453" i="13"/>
  <c r="F7454" i="13"/>
  <c r="F7455" i="13"/>
  <c r="F7456" i="13"/>
  <c r="F7457" i="13"/>
  <c r="F7458" i="13"/>
  <c r="F7459" i="13"/>
  <c r="F7460" i="13"/>
  <c r="F7461" i="13"/>
  <c r="F7462" i="13"/>
  <c r="F7463" i="13"/>
  <c r="F7464" i="13"/>
  <c r="F7465" i="13"/>
  <c r="F7466" i="13"/>
  <c r="F7467" i="13"/>
  <c r="F7468" i="13"/>
  <c r="F7469" i="13"/>
  <c r="F7470" i="13"/>
  <c r="F7471" i="13"/>
  <c r="F7472" i="13"/>
  <c r="F7473" i="13"/>
  <c r="F7474" i="13"/>
  <c r="F7475" i="13"/>
  <c r="F7476" i="13"/>
  <c r="F7477" i="13"/>
  <c r="F7478" i="13"/>
  <c r="F7479" i="13"/>
  <c r="F7480" i="13"/>
  <c r="F7481" i="13"/>
  <c r="F7482" i="13"/>
  <c r="F7483" i="13"/>
  <c r="F7484" i="13"/>
  <c r="F7485" i="13"/>
  <c r="F7486" i="13"/>
  <c r="F7487" i="13"/>
  <c r="F7488" i="13"/>
  <c r="F7489" i="13"/>
  <c r="F7490" i="13"/>
  <c r="F7491" i="13"/>
  <c r="F7492" i="13"/>
  <c r="F7493" i="13"/>
  <c r="F7494" i="13"/>
  <c r="F7495" i="13"/>
  <c r="F7496" i="13"/>
  <c r="F7497" i="13"/>
  <c r="F7498" i="13"/>
  <c r="F7499" i="13"/>
  <c r="F7500" i="13"/>
  <c r="F7501" i="13"/>
  <c r="F7502" i="13"/>
  <c r="F7503" i="13"/>
  <c r="F7504" i="13"/>
  <c r="F7505" i="13"/>
  <c r="F7506" i="13"/>
  <c r="F7507" i="13"/>
  <c r="F7508" i="13"/>
  <c r="F7509" i="13"/>
  <c r="F7510" i="13"/>
  <c r="F7511" i="13"/>
  <c r="F7512" i="13"/>
  <c r="F7513" i="13"/>
  <c r="F7514" i="13"/>
  <c r="F7515" i="13"/>
  <c r="F7516" i="13"/>
  <c r="F7517" i="13"/>
  <c r="F7518" i="13"/>
  <c r="F7519" i="13"/>
  <c r="F7520" i="13"/>
  <c r="F7521" i="13"/>
  <c r="F7522" i="13"/>
  <c r="F7523" i="13"/>
  <c r="F7524" i="13"/>
  <c r="F7525" i="13"/>
  <c r="F7526" i="13"/>
  <c r="F7527" i="13"/>
  <c r="F7528" i="13"/>
  <c r="F7529" i="13"/>
  <c r="F7530" i="13"/>
  <c r="F7531" i="13"/>
  <c r="F7532" i="13"/>
  <c r="F7533" i="13"/>
  <c r="F7534" i="13"/>
  <c r="F7535" i="13"/>
  <c r="F7536" i="13"/>
  <c r="F7537" i="13"/>
  <c r="F7538" i="13"/>
  <c r="F7539" i="13"/>
  <c r="F7540" i="13"/>
  <c r="F7541" i="13"/>
  <c r="F7542" i="13"/>
  <c r="F7543" i="13"/>
  <c r="F7544" i="13"/>
  <c r="F7545" i="13"/>
  <c r="F7546" i="13"/>
  <c r="F7547" i="13"/>
  <c r="F7548" i="13"/>
  <c r="F7549" i="13"/>
  <c r="F7550" i="13"/>
  <c r="F7551" i="13"/>
  <c r="F7552" i="13"/>
  <c r="F7553" i="13"/>
  <c r="F7554" i="13"/>
  <c r="F7555" i="13"/>
  <c r="F7556" i="13"/>
  <c r="F7557" i="13"/>
  <c r="F7558" i="13"/>
  <c r="F7559" i="13"/>
  <c r="F7560" i="13"/>
  <c r="F7561" i="13"/>
  <c r="F7562" i="13"/>
  <c r="F7563" i="13"/>
  <c r="F7564" i="13"/>
  <c r="F7565" i="13"/>
  <c r="F7566" i="13"/>
  <c r="F7567" i="13"/>
  <c r="F7568" i="13"/>
  <c r="F7569" i="13"/>
  <c r="F7570" i="13"/>
  <c r="F7571" i="13"/>
  <c r="F7572" i="13"/>
  <c r="F7573" i="13"/>
  <c r="F7574" i="13"/>
  <c r="F7575" i="13"/>
  <c r="F7576" i="13"/>
  <c r="F7577" i="13"/>
  <c r="F7578" i="13"/>
  <c r="F7579" i="13"/>
  <c r="F7580" i="13"/>
  <c r="F7581" i="13"/>
  <c r="F7582" i="13"/>
  <c r="F7583" i="13"/>
  <c r="F7584" i="13"/>
  <c r="F7585" i="13"/>
  <c r="F7586" i="13"/>
  <c r="F7587" i="13"/>
  <c r="F7588" i="13"/>
  <c r="F7589" i="13"/>
  <c r="F7590" i="13"/>
  <c r="F7591" i="13"/>
  <c r="F7592" i="13"/>
  <c r="F7593" i="13"/>
  <c r="F7594" i="13"/>
  <c r="F7595" i="13"/>
  <c r="F7596" i="13"/>
  <c r="F7597" i="13"/>
  <c r="F7598" i="13"/>
  <c r="F7599" i="13"/>
  <c r="F7600" i="13"/>
  <c r="F7601" i="13"/>
  <c r="F7602" i="13"/>
  <c r="F7603" i="13"/>
  <c r="F7604" i="13"/>
  <c r="F7605" i="13"/>
  <c r="F7606" i="13"/>
  <c r="F7607" i="13"/>
  <c r="F7608" i="13"/>
  <c r="F7609" i="13"/>
  <c r="F7610" i="13"/>
  <c r="F7611" i="13"/>
  <c r="F7612" i="13"/>
  <c r="F7613" i="13"/>
  <c r="F7614" i="13"/>
  <c r="F7615" i="13"/>
  <c r="F7616" i="13"/>
  <c r="F7617" i="13"/>
  <c r="F7618" i="13"/>
  <c r="F7619" i="13"/>
  <c r="F7620" i="13"/>
  <c r="F7621" i="13"/>
  <c r="F7622" i="13"/>
  <c r="F7623" i="13"/>
  <c r="F7624" i="13"/>
  <c r="F7625" i="13"/>
  <c r="F7626" i="13"/>
  <c r="F7627" i="13"/>
  <c r="F7628" i="13"/>
  <c r="F7629" i="13"/>
  <c r="F7630" i="13"/>
  <c r="F7631" i="13"/>
  <c r="F7632" i="13"/>
  <c r="F7633" i="13"/>
  <c r="F7634" i="13"/>
  <c r="F7635" i="13"/>
  <c r="F7636" i="13"/>
  <c r="F7637" i="13"/>
  <c r="F7638" i="13"/>
  <c r="F7639" i="13"/>
  <c r="F7640" i="13"/>
  <c r="F7641" i="13"/>
  <c r="F7642" i="13"/>
  <c r="F7643" i="13"/>
  <c r="F7644" i="13"/>
  <c r="F7645" i="13"/>
  <c r="F7646" i="13"/>
  <c r="F7647" i="13"/>
  <c r="F7648" i="13"/>
  <c r="F7649" i="13"/>
  <c r="F7650" i="13"/>
  <c r="F7651" i="13"/>
  <c r="F7652" i="13"/>
  <c r="F7653" i="13"/>
  <c r="F7654" i="13"/>
  <c r="F7655" i="13"/>
  <c r="F7656" i="13"/>
  <c r="F7657" i="13"/>
  <c r="F7658" i="13"/>
  <c r="F7659" i="13"/>
  <c r="F7660" i="13"/>
  <c r="F7661" i="13"/>
  <c r="F7662" i="13"/>
  <c r="F7663" i="13"/>
  <c r="F7664" i="13"/>
  <c r="F7665" i="13"/>
  <c r="F7666" i="13"/>
  <c r="F7667" i="13"/>
  <c r="F7668" i="13"/>
  <c r="F7669" i="13"/>
  <c r="F7670" i="13"/>
  <c r="F7671" i="13"/>
  <c r="F7672" i="13"/>
  <c r="F7673" i="13"/>
  <c r="F7674" i="13"/>
  <c r="F7675" i="13"/>
  <c r="F7676" i="13"/>
  <c r="F7677" i="13"/>
  <c r="F7678" i="13"/>
  <c r="F7679" i="13"/>
  <c r="F7680" i="13"/>
  <c r="F7681" i="13"/>
  <c r="F7682" i="13"/>
  <c r="F7683" i="13"/>
  <c r="F7684" i="13"/>
  <c r="F7685" i="13"/>
  <c r="F7686" i="13"/>
  <c r="F7687" i="13"/>
  <c r="F7688" i="13"/>
  <c r="F7689" i="13"/>
  <c r="F7690" i="13"/>
  <c r="F7691" i="13"/>
  <c r="F7692" i="13"/>
  <c r="F7693" i="13"/>
  <c r="F7694" i="13"/>
  <c r="F7695" i="13"/>
  <c r="F7696" i="13"/>
  <c r="F7697" i="13"/>
  <c r="F7698" i="13"/>
  <c r="F7699" i="13"/>
  <c r="F7700" i="13"/>
  <c r="F7701" i="13"/>
  <c r="F7702" i="13"/>
  <c r="F7703" i="13"/>
  <c r="F7704" i="13"/>
  <c r="F7705" i="13"/>
  <c r="F7706" i="13"/>
  <c r="F7707" i="13"/>
  <c r="F7708" i="13"/>
  <c r="F7709" i="13"/>
  <c r="F7710" i="13"/>
  <c r="F7711" i="13"/>
  <c r="F7712" i="13"/>
  <c r="F7713" i="13"/>
  <c r="F7714" i="13"/>
  <c r="F7715" i="13"/>
  <c r="F7716" i="13"/>
  <c r="F7717" i="13"/>
  <c r="F7718" i="13"/>
  <c r="F7719" i="13"/>
  <c r="F7720" i="13"/>
  <c r="F7721" i="13"/>
  <c r="F7722" i="13"/>
  <c r="F7723" i="13"/>
  <c r="F7724" i="13"/>
  <c r="F7725" i="13"/>
  <c r="F7726" i="13"/>
  <c r="F7727" i="13"/>
  <c r="F7728" i="13"/>
  <c r="F7729" i="13"/>
  <c r="F7730" i="13"/>
  <c r="F7731" i="13"/>
  <c r="F7732" i="13"/>
  <c r="F7733" i="13"/>
  <c r="F7734" i="13"/>
  <c r="F7735" i="13"/>
  <c r="F7736" i="13"/>
  <c r="F7737" i="13"/>
  <c r="F7738" i="13"/>
  <c r="F7739" i="13"/>
  <c r="F7740" i="13"/>
  <c r="F7741" i="13"/>
  <c r="F7742" i="13"/>
  <c r="F7743" i="13"/>
  <c r="F7744" i="13"/>
  <c r="F7745" i="13"/>
  <c r="F7746" i="13"/>
  <c r="F7747" i="13"/>
  <c r="F7748" i="13"/>
  <c r="F7749" i="13"/>
  <c r="F7750" i="13"/>
  <c r="F7751" i="13"/>
  <c r="F7752" i="13"/>
  <c r="F7753" i="13"/>
  <c r="F7754" i="13"/>
  <c r="F7755" i="13"/>
  <c r="F7756" i="13"/>
  <c r="F7757" i="13"/>
  <c r="F7758" i="13"/>
  <c r="F7759" i="13"/>
  <c r="F7760" i="13"/>
  <c r="F7761" i="13"/>
  <c r="F7762" i="13"/>
  <c r="F7763" i="13"/>
  <c r="F7764" i="13"/>
  <c r="F7765" i="13"/>
  <c r="F7766" i="13"/>
  <c r="F7767" i="13"/>
  <c r="F7768" i="13"/>
  <c r="F7769" i="13"/>
  <c r="F7770" i="13"/>
  <c r="F7771" i="13"/>
  <c r="F7772" i="13"/>
  <c r="F7773" i="13"/>
  <c r="F7774" i="13"/>
  <c r="F7775" i="13"/>
  <c r="F7776" i="13"/>
  <c r="F7777" i="13"/>
  <c r="F7778" i="13"/>
  <c r="F7779" i="13"/>
  <c r="F7780" i="13"/>
  <c r="F7781" i="13"/>
  <c r="F7782" i="13"/>
  <c r="F7783" i="13"/>
  <c r="F7784" i="13"/>
  <c r="F7785" i="13"/>
  <c r="F7786" i="13"/>
  <c r="F7787" i="13"/>
  <c r="F7788" i="13"/>
  <c r="F7789" i="13"/>
  <c r="F7790" i="13"/>
  <c r="F7791" i="13"/>
  <c r="F7792" i="13"/>
  <c r="F7793" i="13"/>
  <c r="F7794" i="13"/>
  <c r="F7795" i="13"/>
  <c r="F7796" i="13"/>
  <c r="F7797" i="13"/>
  <c r="F7798" i="13"/>
  <c r="F7799" i="13"/>
  <c r="F7800" i="13"/>
  <c r="F7801" i="13"/>
  <c r="F7802" i="13"/>
  <c r="F7803" i="13"/>
  <c r="F7804" i="13"/>
  <c r="F7805" i="13"/>
  <c r="F7806" i="13"/>
  <c r="F7807" i="13"/>
  <c r="F7808" i="13"/>
  <c r="F7809" i="13"/>
  <c r="F7810" i="13"/>
  <c r="F7811" i="13"/>
  <c r="F7812" i="13"/>
  <c r="F7813" i="13"/>
  <c r="F7814" i="13"/>
  <c r="F7815" i="13"/>
  <c r="F7816" i="13"/>
  <c r="F7817" i="13"/>
  <c r="F7818" i="13"/>
  <c r="F7819" i="13"/>
  <c r="F7820" i="13"/>
  <c r="F7821" i="13"/>
  <c r="F7822" i="13"/>
  <c r="F7823" i="13"/>
  <c r="F7824" i="13"/>
  <c r="F7825" i="13"/>
  <c r="F7826" i="13"/>
  <c r="F7827" i="13"/>
  <c r="F7828" i="13"/>
  <c r="F7829" i="13"/>
  <c r="F7830" i="13"/>
  <c r="F7831" i="13"/>
  <c r="F7832" i="13"/>
  <c r="F7833" i="13"/>
  <c r="F7834" i="13"/>
  <c r="F7835" i="13"/>
  <c r="F7836" i="13"/>
  <c r="F7837" i="13"/>
  <c r="F7838" i="13"/>
  <c r="F7839" i="13"/>
  <c r="F7840" i="13"/>
  <c r="F7841" i="13"/>
  <c r="F7842" i="13"/>
  <c r="F7843" i="13"/>
  <c r="F7844" i="13"/>
  <c r="F7845" i="13"/>
  <c r="F7846" i="13"/>
  <c r="F7847" i="13"/>
  <c r="F7848" i="13"/>
  <c r="F7849" i="13"/>
  <c r="F7850" i="13"/>
  <c r="F7851" i="13"/>
  <c r="F7852" i="13"/>
  <c r="F7853" i="13"/>
  <c r="F7854" i="13"/>
  <c r="F7855" i="13"/>
  <c r="F7856" i="13"/>
  <c r="F7857" i="13"/>
  <c r="F7858" i="13"/>
  <c r="F7859" i="13"/>
  <c r="F7860" i="13"/>
  <c r="F7861" i="13"/>
  <c r="F7862" i="13"/>
  <c r="F7863" i="13"/>
  <c r="F7864" i="13"/>
  <c r="F7865" i="13"/>
  <c r="F7866" i="13"/>
  <c r="F7867" i="13"/>
  <c r="F7868" i="13"/>
  <c r="F7869" i="13"/>
  <c r="F7870" i="13"/>
  <c r="F7871" i="13"/>
  <c r="F7872" i="13"/>
  <c r="F7873" i="13"/>
  <c r="F7874" i="13"/>
  <c r="F7875" i="13"/>
  <c r="F7876" i="13"/>
  <c r="F7877" i="13"/>
  <c r="F7878" i="13"/>
  <c r="F7879" i="13"/>
  <c r="F7880" i="13"/>
  <c r="F7881" i="13"/>
  <c r="F7882" i="13"/>
  <c r="F7883" i="13"/>
  <c r="F7884" i="13"/>
  <c r="F7885" i="13"/>
  <c r="F7886" i="13"/>
  <c r="F7887" i="13"/>
  <c r="F7888" i="13"/>
  <c r="F7889" i="13"/>
  <c r="F7890" i="13"/>
  <c r="F7891" i="13"/>
  <c r="F7892" i="13"/>
  <c r="F7893" i="13"/>
  <c r="F7894" i="13"/>
  <c r="F7895" i="13"/>
  <c r="F7896" i="13"/>
  <c r="F7897" i="13"/>
  <c r="F7898" i="13"/>
  <c r="F7899" i="13"/>
  <c r="F7900" i="13"/>
  <c r="F7901" i="13"/>
  <c r="F7902" i="13"/>
  <c r="F7903" i="13"/>
  <c r="F7904" i="13"/>
  <c r="F7905" i="13"/>
  <c r="F7906" i="13"/>
  <c r="F7907" i="13"/>
  <c r="F7908" i="13"/>
  <c r="F7909" i="13"/>
  <c r="F7910" i="13"/>
  <c r="F7911" i="13"/>
  <c r="F7912" i="13"/>
  <c r="F7913" i="13"/>
  <c r="F7914" i="13"/>
  <c r="F7915" i="13"/>
  <c r="F7916" i="13"/>
  <c r="F7917" i="13"/>
  <c r="F7918" i="13"/>
  <c r="F7919" i="13"/>
  <c r="F7920" i="13"/>
  <c r="F7921" i="13"/>
  <c r="F7922" i="13"/>
  <c r="F7923" i="13"/>
  <c r="F7924" i="13"/>
  <c r="F7925" i="13"/>
  <c r="F7926" i="13"/>
  <c r="F7927" i="13"/>
  <c r="F7928" i="13"/>
  <c r="F7929" i="13"/>
  <c r="F7930" i="13"/>
  <c r="F7931" i="13"/>
  <c r="F7932" i="13"/>
  <c r="F7933" i="13"/>
  <c r="F7934" i="13"/>
  <c r="F7935" i="13"/>
  <c r="F7936" i="13"/>
  <c r="F7937" i="13"/>
  <c r="F7938" i="13"/>
  <c r="F7939" i="13"/>
  <c r="F7940" i="13"/>
  <c r="F7941" i="13"/>
  <c r="F7942" i="13"/>
  <c r="F7943" i="13"/>
  <c r="F7944" i="13"/>
  <c r="F7945" i="13"/>
  <c r="F7946" i="13"/>
  <c r="F7947" i="13"/>
  <c r="F7948" i="13"/>
  <c r="F7949" i="13"/>
  <c r="F7950" i="13"/>
  <c r="F7951" i="13"/>
  <c r="F7952" i="13"/>
  <c r="F7953" i="13"/>
  <c r="F7954" i="13"/>
  <c r="F7955" i="13"/>
  <c r="F7956" i="13"/>
  <c r="F7957" i="13"/>
  <c r="F7958" i="13"/>
  <c r="F7959" i="13"/>
  <c r="F7960" i="13"/>
  <c r="F7961" i="13"/>
  <c r="F7962" i="13"/>
  <c r="F7963" i="13"/>
  <c r="F7964" i="13"/>
  <c r="F7965" i="13"/>
  <c r="F7966" i="13"/>
  <c r="F7967" i="13"/>
  <c r="F7968" i="13"/>
  <c r="F7969" i="13"/>
  <c r="F7970" i="13"/>
  <c r="F7971" i="13"/>
  <c r="F7972" i="13"/>
  <c r="F7973" i="13"/>
  <c r="F7974" i="13"/>
  <c r="F7975" i="13"/>
  <c r="F7976" i="13"/>
  <c r="F7977" i="13"/>
  <c r="F7978" i="13"/>
  <c r="F7979" i="13"/>
  <c r="F7980" i="13"/>
  <c r="F7981" i="13"/>
  <c r="F7982" i="13"/>
  <c r="F7983" i="13"/>
  <c r="F7984" i="13"/>
  <c r="F7985" i="13"/>
  <c r="F7986" i="13"/>
  <c r="F7987" i="13"/>
  <c r="F7988" i="13"/>
  <c r="F7989" i="13"/>
  <c r="F7990" i="13"/>
  <c r="F7991" i="13"/>
  <c r="F7992" i="13"/>
  <c r="F7993" i="13"/>
  <c r="F7994" i="13"/>
  <c r="F7995" i="13"/>
  <c r="F7996" i="13"/>
  <c r="F7997" i="13"/>
  <c r="F7998" i="13"/>
  <c r="F7999" i="13"/>
  <c r="F8000" i="13"/>
  <c r="F8001" i="13"/>
  <c r="F8002" i="13"/>
  <c r="F8003" i="13"/>
  <c r="F8004" i="13"/>
  <c r="F8005" i="13"/>
  <c r="F8006" i="13"/>
  <c r="F8007" i="13"/>
  <c r="F8008" i="13"/>
  <c r="F8009" i="13"/>
  <c r="F8010" i="13"/>
  <c r="F8011" i="13"/>
  <c r="F8012" i="13"/>
  <c r="F8013" i="13"/>
  <c r="F8014" i="13"/>
  <c r="F8015" i="13"/>
  <c r="F8016" i="13"/>
  <c r="F8017" i="13"/>
  <c r="F8018" i="13"/>
  <c r="F8019" i="13"/>
  <c r="F8020" i="13"/>
  <c r="F8021" i="13"/>
  <c r="F8022" i="13"/>
  <c r="F8023" i="13"/>
  <c r="F8024" i="13"/>
  <c r="F8025" i="13"/>
  <c r="F8026" i="13"/>
  <c r="F8027" i="13"/>
  <c r="F8028" i="13"/>
  <c r="F8029" i="13"/>
  <c r="F8030" i="13"/>
  <c r="F8031" i="13"/>
  <c r="F8032" i="13"/>
  <c r="F8033" i="13"/>
  <c r="F8034" i="13"/>
  <c r="F8035" i="13"/>
  <c r="F8036" i="13"/>
  <c r="F8037" i="13"/>
  <c r="F8038" i="13"/>
  <c r="F8039" i="13"/>
  <c r="F8040" i="13"/>
  <c r="F8041" i="13"/>
  <c r="F8042" i="13"/>
  <c r="F8043" i="13"/>
  <c r="F8044" i="13"/>
  <c r="F8045" i="13"/>
  <c r="F8046" i="13"/>
  <c r="F8047" i="13"/>
  <c r="F8048" i="13"/>
  <c r="F8049" i="13"/>
  <c r="F8050" i="13"/>
  <c r="F8051" i="13"/>
  <c r="F8052" i="13"/>
  <c r="F8053" i="13"/>
  <c r="F8054" i="13"/>
  <c r="F8055" i="13"/>
  <c r="F8056" i="13"/>
  <c r="F8057" i="13"/>
  <c r="F8058" i="13"/>
  <c r="F8059" i="13"/>
  <c r="F8060" i="13"/>
  <c r="F8061" i="13"/>
  <c r="F8062" i="13"/>
  <c r="F8063" i="13"/>
  <c r="F8064" i="13"/>
  <c r="F8065" i="13"/>
  <c r="F8066" i="13"/>
  <c r="F8067" i="13"/>
  <c r="F8068" i="13"/>
  <c r="F8069" i="13"/>
  <c r="F8070" i="13"/>
  <c r="F8071" i="13"/>
  <c r="F8072" i="13"/>
  <c r="F8073" i="13"/>
  <c r="F8074" i="13"/>
  <c r="F8075" i="13"/>
  <c r="F8076" i="13"/>
  <c r="F8077" i="13"/>
  <c r="F8078" i="13"/>
  <c r="F8079" i="13"/>
  <c r="F8080" i="13"/>
  <c r="F8081" i="13"/>
  <c r="F8082" i="13"/>
  <c r="F8083" i="13"/>
  <c r="F8084" i="13"/>
  <c r="F8085" i="13"/>
  <c r="F8086" i="13"/>
  <c r="F8087" i="13"/>
  <c r="F8088" i="13"/>
  <c r="F8089" i="13"/>
  <c r="F8090" i="13"/>
  <c r="F8091" i="13"/>
  <c r="F8092" i="13"/>
  <c r="F8093" i="13"/>
  <c r="F8094" i="13"/>
  <c r="F8095" i="13"/>
  <c r="F8096" i="13"/>
  <c r="F8097" i="13"/>
  <c r="F8098" i="13"/>
  <c r="F8099" i="13"/>
  <c r="F8100" i="13"/>
  <c r="F8101" i="13"/>
  <c r="F8102" i="13"/>
  <c r="F8103" i="13"/>
  <c r="F8104" i="13"/>
  <c r="F8105" i="13"/>
  <c r="F8106" i="13"/>
  <c r="F8107" i="13"/>
  <c r="F8108" i="13"/>
  <c r="F8109" i="13"/>
  <c r="F8110" i="13"/>
  <c r="F8111" i="13"/>
  <c r="F8112" i="13"/>
  <c r="F8113" i="13"/>
  <c r="F8114" i="13"/>
  <c r="F8115" i="13"/>
  <c r="F8116" i="13"/>
  <c r="F8117" i="13"/>
  <c r="F8118" i="13"/>
  <c r="F8119" i="13"/>
  <c r="F8120" i="13"/>
  <c r="F8121" i="13"/>
  <c r="F8122" i="13"/>
  <c r="F8123" i="13"/>
  <c r="F8124" i="13"/>
  <c r="F8125" i="13"/>
  <c r="F8126" i="13"/>
  <c r="F8127" i="13"/>
  <c r="F8128" i="13"/>
  <c r="F8129" i="13"/>
  <c r="F8130" i="13"/>
  <c r="F8131" i="13"/>
  <c r="F8132" i="13"/>
  <c r="F8133" i="13"/>
  <c r="F8134" i="13"/>
  <c r="F8135" i="13"/>
  <c r="F8136" i="13"/>
  <c r="F8137" i="13"/>
  <c r="F8138" i="13"/>
  <c r="F8139" i="13"/>
  <c r="F8140" i="13"/>
  <c r="F8141" i="13"/>
  <c r="F8142" i="13"/>
  <c r="F8143" i="13"/>
  <c r="F8144" i="13"/>
  <c r="F8145" i="13"/>
  <c r="F8146" i="13"/>
  <c r="F8147" i="13"/>
  <c r="F8148" i="13"/>
  <c r="F8149" i="13"/>
  <c r="F8150" i="13"/>
  <c r="F8151" i="13"/>
  <c r="F8152" i="13"/>
  <c r="F8153" i="13"/>
  <c r="F8154" i="13"/>
  <c r="F8155" i="13"/>
  <c r="F8156" i="13"/>
  <c r="F8157" i="13"/>
  <c r="F8158" i="13"/>
  <c r="F8159" i="13"/>
  <c r="F8160" i="13"/>
  <c r="F8161" i="13"/>
  <c r="F8162" i="13"/>
  <c r="F8163" i="13"/>
  <c r="F8164" i="13"/>
  <c r="F8165" i="13"/>
  <c r="F8166" i="13"/>
  <c r="F8167" i="13"/>
  <c r="F8168" i="13"/>
  <c r="F8169" i="13"/>
  <c r="F8170" i="13"/>
  <c r="F8171" i="13"/>
  <c r="F8172" i="13"/>
  <c r="F8173" i="13"/>
  <c r="F8174" i="13"/>
  <c r="F8175" i="13"/>
  <c r="F8176" i="13"/>
  <c r="F8177" i="13"/>
  <c r="F8178" i="13"/>
  <c r="F8179" i="13"/>
  <c r="F8180" i="13"/>
  <c r="F8181" i="13"/>
  <c r="F8182" i="13"/>
  <c r="F8183" i="13"/>
  <c r="F8184" i="13"/>
  <c r="F8185" i="13"/>
  <c r="F8186" i="13"/>
  <c r="F8187" i="13"/>
  <c r="F8188" i="13"/>
  <c r="F8189" i="13"/>
  <c r="F8190" i="13"/>
  <c r="F8191" i="13"/>
  <c r="F8192" i="13"/>
  <c r="F8193" i="13"/>
  <c r="F8194" i="13"/>
  <c r="F8195" i="13"/>
  <c r="F8196" i="13"/>
  <c r="F8197" i="13"/>
  <c r="F8198" i="13"/>
  <c r="F8199" i="13"/>
  <c r="F8200" i="13"/>
  <c r="F8201" i="13"/>
  <c r="F8202" i="13"/>
  <c r="F8203" i="13"/>
  <c r="F8204" i="13"/>
  <c r="F8205" i="13"/>
  <c r="F8206" i="13"/>
  <c r="F8207" i="13"/>
  <c r="F8208" i="13"/>
  <c r="F8209" i="13"/>
  <c r="F8210" i="13"/>
  <c r="F8211" i="13"/>
  <c r="F8212" i="13"/>
  <c r="F8213" i="13"/>
  <c r="F8214" i="13"/>
  <c r="F8215" i="13"/>
  <c r="F8216" i="13"/>
  <c r="F8217" i="13"/>
  <c r="F8218" i="13"/>
  <c r="F8219" i="13"/>
  <c r="F8220" i="13"/>
  <c r="F8221" i="13"/>
  <c r="F8222" i="13"/>
  <c r="F8223" i="13"/>
  <c r="F8224" i="13"/>
  <c r="F8225" i="13"/>
  <c r="F8226" i="13"/>
  <c r="F8227" i="13"/>
  <c r="F8228" i="13"/>
  <c r="F8229" i="13"/>
  <c r="F8230" i="13"/>
  <c r="F8231" i="13"/>
  <c r="F8232" i="13"/>
  <c r="F8233" i="13"/>
  <c r="F8234" i="13"/>
  <c r="F8235" i="13"/>
  <c r="F8236" i="13"/>
  <c r="F8237" i="13"/>
  <c r="F8238" i="13"/>
  <c r="F8239" i="13"/>
  <c r="F8240" i="13"/>
  <c r="F8241" i="13"/>
  <c r="F8242" i="13"/>
  <c r="F8243" i="13"/>
  <c r="F8244" i="13"/>
  <c r="F8245" i="13"/>
  <c r="F8246" i="13"/>
  <c r="F8247" i="13"/>
  <c r="F8248" i="13"/>
  <c r="F8249" i="13"/>
  <c r="F8250" i="13"/>
  <c r="F8251" i="13"/>
  <c r="F8252" i="13"/>
  <c r="F8253" i="13"/>
  <c r="F8254" i="13"/>
  <c r="F8255" i="13"/>
  <c r="F8256" i="13"/>
  <c r="F8257" i="13"/>
  <c r="F8258" i="13"/>
  <c r="F8259" i="13"/>
  <c r="F8260" i="13"/>
  <c r="F8261" i="13"/>
  <c r="F8262" i="13"/>
  <c r="F8263" i="13"/>
  <c r="F8264" i="13"/>
  <c r="F8265" i="13"/>
  <c r="F8266" i="13"/>
  <c r="F8267" i="13"/>
  <c r="F8268" i="13"/>
  <c r="F8269" i="13"/>
  <c r="F8270" i="13"/>
  <c r="F8271" i="13"/>
  <c r="F8272" i="13"/>
  <c r="F8273" i="13"/>
  <c r="F8274" i="13"/>
  <c r="F8275" i="13"/>
  <c r="F8276" i="13"/>
  <c r="F8277" i="13"/>
  <c r="F8278" i="13"/>
  <c r="F8279" i="13"/>
  <c r="F8280" i="13"/>
  <c r="F8281" i="13"/>
  <c r="F8282" i="13"/>
  <c r="F8283" i="13"/>
  <c r="F8284" i="13"/>
  <c r="F8285" i="13"/>
  <c r="F8286" i="13"/>
  <c r="F8287" i="13"/>
  <c r="F8288" i="13"/>
  <c r="F8289" i="13"/>
  <c r="F8290" i="13"/>
  <c r="F8291" i="13"/>
  <c r="F8292" i="13"/>
  <c r="F8293" i="13"/>
  <c r="F8294" i="13"/>
  <c r="F8295" i="13"/>
  <c r="F8296" i="13"/>
  <c r="F8297" i="13"/>
  <c r="F8298" i="13"/>
  <c r="F8299" i="13"/>
  <c r="F8300" i="13"/>
  <c r="F8301" i="13"/>
  <c r="F8302" i="13"/>
  <c r="F8303" i="13"/>
  <c r="F8304" i="13"/>
  <c r="F8305" i="13"/>
  <c r="F8306" i="13"/>
  <c r="F8307" i="13"/>
  <c r="F8308" i="13"/>
  <c r="F8309" i="13"/>
  <c r="F8310" i="13"/>
  <c r="F8311" i="13"/>
  <c r="F8312" i="13"/>
  <c r="F8313" i="13"/>
  <c r="F8314" i="13"/>
  <c r="F8315" i="13"/>
  <c r="F8316" i="13"/>
  <c r="F8317" i="13"/>
  <c r="F8318" i="13"/>
  <c r="F8319" i="13"/>
  <c r="F8320" i="13"/>
  <c r="F8321" i="13"/>
  <c r="F8322" i="13"/>
  <c r="F8323" i="13"/>
  <c r="F8324" i="13"/>
  <c r="F8325" i="13"/>
  <c r="F8326" i="13"/>
  <c r="F8327" i="13"/>
  <c r="F8328" i="13"/>
  <c r="F8329" i="13"/>
  <c r="F8330" i="13"/>
  <c r="F8331" i="13"/>
  <c r="F8332" i="13"/>
  <c r="F8333" i="13"/>
  <c r="F8334" i="13"/>
  <c r="F8335" i="13"/>
  <c r="F8336" i="13"/>
  <c r="F8337" i="13"/>
  <c r="F8338" i="13"/>
  <c r="F8339" i="13"/>
  <c r="F8340" i="13"/>
  <c r="F8341" i="13"/>
  <c r="F8342" i="13"/>
  <c r="F8343" i="13"/>
  <c r="F8344" i="13"/>
  <c r="F8345" i="13"/>
  <c r="F8346" i="13"/>
  <c r="F8347" i="13"/>
  <c r="F8348" i="13"/>
  <c r="F8349" i="13"/>
  <c r="F8350" i="13"/>
  <c r="F8351" i="13"/>
  <c r="F8352" i="13"/>
  <c r="F8353" i="13"/>
  <c r="F8354" i="13"/>
  <c r="F8355" i="13"/>
  <c r="F8356" i="13"/>
  <c r="F8357" i="13"/>
  <c r="F8358" i="13"/>
  <c r="F8359" i="13"/>
  <c r="F8360" i="13"/>
  <c r="F8361" i="13"/>
  <c r="F8362" i="13"/>
  <c r="F8363" i="13"/>
  <c r="F8364" i="13"/>
  <c r="F8365" i="13"/>
  <c r="F8366" i="13"/>
  <c r="F8367" i="13"/>
  <c r="F8368" i="13"/>
  <c r="F8369" i="13"/>
  <c r="F8370" i="13"/>
  <c r="F8371" i="13"/>
  <c r="F8372" i="13"/>
  <c r="F8373" i="13"/>
  <c r="F8374" i="13"/>
  <c r="F8375" i="13"/>
  <c r="F8376" i="13"/>
  <c r="F8377" i="13"/>
  <c r="F8378" i="13"/>
  <c r="F8379" i="13"/>
  <c r="F8380" i="13"/>
  <c r="F8381" i="13"/>
  <c r="F8382" i="13"/>
  <c r="F8383" i="13"/>
  <c r="F8384" i="13"/>
  <c r="F8385" i="13"/>
  <c r="F8386" i="13"/>
  <c r="F8387" i="13"/>
  <c r="F8388" i="13"/>
  <c r="F8389" i="13"/>
  <c r="F8390" i="13"/>
  <c r="F8391" i="13"/>
  <c r="F8392" i="13"/>
  <c r="F8393" i="13"/>
  <c r="F8394" i="13"/>
  <c r="F8395" i="13"/>
  <c r="F8396" i="13"/>
  <c r="F8397" i="13"/>
  <c r="F8398" i="13"/>
  <c r="F8399" i="13"/>
  <c r="F8400" i="13"/>
  <c r="F8401" i="13"/>
  <c r="F8402" i="13"/>
  <c r="F8403" i="13"/>
  <c r="F8404" i="13"/>
  <c r="F8405" i="13"/>
  <c r="F8406" i="13"/>
  <c r="F8407" i="13"/>
  <c r="F8408" i="13"/>
  <c r="F8409" i="13"/>
  <c r="F8410" i="13"/>
  <c r="F8411" i="13"/>
  <c r="F8412" i="13"/>
  <c r="F8413" i="13"/>
  <c r="F8414" i="13"/>
  <c r="F8415" i="13"/>
  <c r="F8416" i="13"/>
  <c r="F8417" i="13"/>
  <c r="F8418" i="13"/>
  <c r="F8419" i="13"/>
  <c r="F8420" i="13"/>
  <c r="F8421" i="13"/>
  <c r="F8422" i="13"/>
  <c r="F8423" i="13"/>
  <c r="F8424" i="13"/>
  <c r="F8425" i="13"/>
  <c r="F8426" i="13"/>
  <c r="F8427" i="13"/>
  <c r="F8428" i="13"/>
  <c r="F8429" i="13"/>
  <c r="F8430" i="13"/>
  <c r="F8431" i="13"/>
  <c r="F8432" i="13"/>
  <c r="F8433" i="13"/>
  <c r="F8434" i="13"/>
  <c r="F8435" i="13"/>
  <c r="F8436" i="13"/>
  <c r="F8437" i="13"/>
  <c r="F8438" i="13"/>
  <c r="F8439" i="13"/>
  <c r="F8440" i="13"/>
  <c r="F8441" i="13"/>
  <c r="F8442" i="13"/>
  <c r="F8443" i="13"/>
  <c r="F8444" i="13"/>
  <c r="F8445" i="13"/>
  <c r="F8446" i="13"/>
  <c r="F8447" i="13"/>
  <c r="F8448" i="13"/>
  <c r="F8449" i="13"/>
  <c r="F8450" i="13"/>
  <c r="F8451" i="13"/>
  <c r="F8452" i="13"/>
  <c r="F8453" i="13"/>
  <c r="F8454" i="13"/>
  <c r="F8455" i="13"/>
  <c r="F8456" i="13"/>
  <c r="F8457" i="13"/>
  <c r="F8458" i="13"/>
  <c r="F8459" i="13"/>
  <c r="F8460" i="13"/>
  <c r="F8461" i="13"/>
  <c r="F8462" i="13"/>
  <c r="F8463" i="13"/>
  <c r="F8464" i="13"/>
  <c r="F8465" i="13"/>
  <c r="F8466" i="13"/>
  <c r="F8467" i="13"/>
  <c r="F8468" i="13"/>
  <c r="F8469" i="13"/>
  <c r="F8470" i="13"/>
  <c r="F8471" i="13"/>
  <c r="F8472" i="13"/>
  <c r="F8473" i="13"/>
  <c r="F8474" i="13"/>
  <c r="F8475" i="13"/>
  <c r="F8476" i="13"/>
  <c r="F8477" i="13"/>
  <c r="F8478" i="13"/>
  <c r="F8479" i="13"/>
  <c r="F8480" i="13"/>
  <c r="F8481" i="13"/>
  <c r="F8482" i="13"/>
  <c r="F8483" i="13"/>
  <c r="F8484" i="13"/>
  <c r="F8485" i="13"/>
  <c r="F8486" i="13"/>
  <c r="F8487" i="13"/>
  <c r="F8488" i="13"/>
  <c r="F8489" i="13"/>
  <c r="F8490" i="13"/>
  <c r="F8491" i="13"/>
  <c r="F8492" i="13"/>
  <c r="F8493" i="13"/>
  <c r="F8494" i="13"/>
  <c r="F8495" i="13"/>
  <c r="F8496" i="13"/>
  <c r="F8497" i="13"/>
  <c r="F8498" i="13"/>
  <c r="F8499" i="13"/>
  <c r="F8500" i="13"/>
  <c r="F8501" i="13"/>
  <c r="F8502" i="13"/>
  <c r="F8503" i="13"/>
  <c r="F8504" i="13"/>
  <c r="F8505" i="13"/>
  <c r="F8506" i="13"/>
  <c r="F8507" i="13"/>
  <c r="F8508" i="13"/>
  <c r="F8509" i="13"/>
  <c r="F8510" i="13"/>
  <c r="F8511" i="13"/>
  <c r="F8512" i="13"/>
  <c r="F8513" i="13"/>
  <c r="F8514" i="13"/>
  <c r="F8515" i="13"/>
  <c r="F8516" i="13"/>
  <c r="F8517" i="13"/>
  <c r="F8518" i="13"/>
  <c r="F8519" i="13"/>
  <c r="F8520" i="13"/>
  <c r="F8521" i="13"/>
  <c r="F8522" i="13"/>
  <c r="F8523" i="13"/>
  <c r="F8524" i="13"/>
  <c r="F8525" i="13"/>
  <c r="F8526" i="13"/>
  <c r="F8527" i="13"/>
  <c r="F8528" i="13"/>
  <c r="F8529" i="13"/>
  <c r="F8530" i="13"/>
  <c r="F8531" i="13"/>
  <c r="F8532" i="13"/>
  <c r="F8533" i="13"/>
  <c r="F8534" i="13"/>
  <c r="F8535" i="13"/>
  <c r="F8536" i="13"/>
  <c r="F8537" i="13"/>
  <c r="F8538" i="13"/>
  <c r="F8539" i="13"/>
  <c r="F8540" i="13"/>
  <c r="F8541" i="13"/>
  <c r="F8542" i="13"/>
  <c r="F8543" i="13"/>
  <c r="F8544" i="13"/>
  <c r="F8545" i="13"/>
  <c r="F8546" i="13"/>
  <c r="F8547" i="13"/>
  <c r="F8548" i="13"/>
  <c r="F8549" i="13"/>
  <c r="F8550" i="13"/>
  <c r="F8551" i="13"/>
  <c r="F8552" i="13"/>
  <c r="F8553" i="13"/>
  <c r="F8554" i="13"/>
  <c r="F8555" i="13"/>
  <c r="F8556" i="13"/>
  <c r="F8557" i="13"/>
  <c r="F8558" i="13"/>
  <c r="F8559" i="13"/>
  <c r="F8560" i="13"/>
  <c r="F8561" i="13"/>
  <c r="F8562" i="13"/>
  <c r="F8563" i="13"/>
  <c r="F8564" i="13"/>
  <c r="F8565" i="13"/>
  <c r="F8566" i="13"/>
  <c r="F8567" i="13"/>
  <c r="F8568" i="13"/>
  <c r="F8569" i="13"/>
  <c r="F8570" i="13"/>
  <c r="F8571" i="13"/>
  <c r="F8572" i="13"/>
  <c r="F8573" i="13"/>
  <c r="F8574" i="13"/>
  <c r="F8575" i="13"/>
  <c r="F8576" i="13"/>
  <c r="F8577" i="13"/>
  <c r="F8578" i="13"/>
  <c r="F8579" i="13"/>
  <c r="F8580" i="13"/>
  <c r="F8581" i="13"/>
  <c r="F8582" i="13"/>
  <c r="F8583" i="13"/>
  <c r="F8584" i="13"/>
  <c r="F8585" i="13"/>
  <c r="F8586" i="13"/>
  <c r="F8587" i="13"/>
  <c r="F8588" i="13"/>
  <c r="F8589" i="13"/>
  <c r="F8590" i="13"/>
  <c r="F8591" i="13"/>
  <c r="F8592" i="13"/>
  <c r="F8593" i="13"/>
  <c r="F8594" i="13"/>
  <c r="F8595" i="13"/>
  <c r="F8596" i="13"/>
  <c r="F8597" i="13"/>
  <c r="F8598" i="13"/>
  <c r="F8599" i="13"/>
  <c r="F8600" i="13"/>
  <c r="F8601" i="13"/>
  <c r="F8602" i="13"/>
  <c r="F8603" i="13"/>
  <c r="F8604" i="13"/>
  <c r="F8605" i="13"/>
  <c r="F8606" i="13"/>
  <c r="F8607" i="13"/>
  <c r="F8608" i="13"/>
  <c r="F8609" i="13"/>
  <c r="F8610" i="13"/>
  <c r="F8611" i="13"/>
  <c r="F8612" i="13"/>
  <c r="F8613" i="13"/>
  <c r="F8614" i="13"/>
  <c r="F8615" i="13"/>
  <c r="F8616" i="13"/>
  <c r="F8617" i="13"/>
  <c r="F8618" i="13"/>
  <c r="F8619" i="13"/>
  <c r="F8620" i="13"/>
  <c r="F8621" i="13"/>
  <c r="F8622" i="13"/>
  <c r="F8623" i="13"/>
  <c r="F8624" i="13"/>
  <c r="F8625" i="13"/>
  <c r="F8626" i="13"/>
  <c r="F8627" i="13"/>
  <c r="F8628" i="13"/>
  <c r="F8629" i="13"/>
  <c r="F8630" i="13"/>
  <c r="F8631" i="13"/>
  <c r="F8632" i="13"/>
  <c r="F8633" i="13"/>
  <c r="F8634" i="13"/>
  <c r="F8635" i="13"/>
  <c r="F8636" i="13"/>
  <c r="F8637" i="13"/>
  <c r="F8638" i="13"/>
  <c r="F8639" i="13"/>
  <c r="F8640" i="13"/>
  <c r="F8641" i="13"/>
  <c r="F8642" i="13"/>
  <c r="F8643" i="13"/>
  <c r="F8644" i="13"/>
  <c r="F8645" i="13"/>
  <c r="F8646" i="13"/>
  <c r="F8647" i="13"/>
  <c r="F8648" i="13"/>
  <c r="F8649" i="13"/>
  <c r="F8650" i="13"/>
  <c r="F8651" i="13"/>
  <c r="F8652" i="13"/>
  <c r="F8653" i="13"/>
  <c r="F8654" i="13"/>
  <c r="F8655" i="13"/>
  <c r="F8656" i="13"/>
  <c r="F8657" i="13"/>
  <c r="F8658" i="13"/>
  <c r="F8659" i="13"/>
  <c r="F8660" i="13"/>
  <c r="F8661" i="13"/>
  <c r="F8662" i="13"/>
  <c r="F8663" i="13"/>
  <c r="F8664" i="13"/>
  <c r="F8665" i="13"/>
  <c r="F8666" i="13"/>
  <c r="F8667" i="13"/>
  <c r="F8668" i="13"/>
  <c r="F8669" i="13"/>
  <c r="F8670" i="13"/>
  <c r="F8671" i="13"/>
  <c r="F8672" i="13"/>
  <c r="F8673" i="13"/>
  <c r="F8674" i="13"/>
  <c r="F8675" i="13"/>
  <c r="F8676" i="13"/>
  <c r="F8677" i="13"/>
  <c r="F8678" i="13"/>
  <c r="F8679" i="13"/>
  <c r="F8680" i="13"/>
  <c r="F8681" i="13"/>
  <c r="F8682" i="13"/>
  <c r="F8683" i="13"/>
  <c r="F8684" i="13"/>
  <c r="F8685" i="13"/>
  <c r="F8686" i="13"/>
  <c r="F8687" i="13"/>
  <c r="F8688" i="13"/>
  <c r="F8689" i="13"/>
  <c r="F8690" i="13"/>
  <c r="F8691" i="13"/>
  <c r="F8692" i="13"/>
  <c r="F8693" i="13"/>
  <c r="F8694" i="13"/>
  <c r="F8695" i="13"/>
  <c r="F8696" i="13"/>
  <c r="F8697" i="13"/>
  <c r="F8698" i="13"/>
  <c r="F8699" i="13"/>
  <c r="F8700" i="13"/>
  <c r="F8701" i="13"/>
  <c r="F8702" i="13"/>
  <c r="F8703" i="13"/>
  <c r="F8704" i="13"/>
  <c r="F8705" i="13"/>
  <c r="F8706" i="13"/>
  <c r="F8707" i="13"/>
  <c r="F8708" i="13"/>
  <c r="F8709" i="13"/>
  <c r="F8710" i="13"/>
  <c r="F8711" i="13"/>
  <c r="F8712" i="13"/>
  <c r="F8713" i="13"/>
  <c r="F8714" i="13"/>
  <c r="F8715" i="13"/>
  <c r="F8716" i="13"/>
  <c r="F8717" i="13"/>
  <c r="F8718" i="13"/>
  <c r="F8719" i="13"/>
  <c r="F8720" i="13"/>
  <c r="F8721" i="13"/>
  <c r="F8722" i="13"/>
  <c r="F8723" i="13"/>
  <c r="F8724" i="13"/>
  <c r="F8725" i="13"/>
  <c r="F8726" i="13"/>
  <c r="F8727" i="13"/>
  <c r="F8728" i="13"/>
  <c r="F8729" i="13"/>
  <c r="F8730" i="13"/>
  <c r="F8731" i="13"/>
  <c r="F8732" i="13"/>
  <c r="F8733" i="13"/>
  <c r="F8734" i="13"/>
  <c r="F8735" i="13"/>
  <c r="F8736" i="13"/>
  <c r="F8737" i="13"/>
  <c r="F8738" i="13"/>
  <c r="F8739" i="13"/>
  <c r="F8740" i="13"/>
  <c r="F8741" i="13"/>
  <c r="F8742" i="13"/>
  <c r="F8743" i="13"/>
  <c r="F8744" i="13"/>
  <c r="F8745" i="13"/>
  <c r="F8746" i="13"/>
  <c r="F8747" i="13"/>
  <c r="F8748" i="13"/>
  <c r="F8749" i="13"/>
  <c r="F8750" i="13"/>
  <c r="F8751" i="13"/>
  <c r="F8752" i="13"/>
  <c r="F8753" i="13"/>
  <c r="F8754" i="13"/>
  <c r="F8755" i="13"/>
  <c r="F8756" i="13"/>
  <c r="F8757" i="13"/>
  <c r="F8758" i="13"/>
  <c r="F8759" i="13"/>
  <c r="F8760" i="13"/>
  <c r="F8761" i="13"/>
  <c r="F8762" i="13"/>
  <c r="F8763" i="13"/>
  <c r="F8764" i="13"/>
  <c r="F8765" i="13"/>
  <c r="F8766" i="13"/>
  <c r="F8767" i="13"/>
  <c r="F8768" i="13"/>
  <c r="F8769" i="13"/>
  <c r="F8770" i="13"/>
  <c r="F8771" i="13"/>
  <c r="F8772" i="13"/>
  <c r="F8773" i="13"/>
  <c r="F8774" i="13"/>
  <c r="F8775" i="13"/>
  <c r="F8776" i="13"/>
  <c r="F8777" i="13"/>
  <c r="F8778" i="13"/>
  <c r="F8779" i="13"/>
  <c r="F8780" i="13"/>
  <c r="F8781" i="13"/>
  <c r="F8782" i="13"/>
  <c r="F8783" i="13"/>
  <c r="F8784" i="13"/>
  <c r="F8785" i="13"/>
  <c r="F8786" i="13"/>
  <c r="F8787" i="13"/>
  <c r="F8788" i="13"/>
  <c r="F8789" i="13"/>
  <c r="F8790" i="13"/>
  <c r="F8791" i="13"/>
  <c r="F8792" i="13"/>
  <c r="F8793" i="13"/>
  <c r="F8794" i="13"/>
  <c r="F8795" i="13"/>
  <c r="F8796" i="13"/>
  <c r="F8797" i="13"/>
  <c r="F8798" i="13"/>
  <c r="F8799" i="13"/>
  <c r="F8800" i="13"/>
  <c r="F8801" i="13"/>
  <c r="F8802" i="13"/>
  <c r="F8803" i="13"/>
  <c r="F8804" i="13"/>
  <c r="F8805" i="13"/>
  <c r="F8806" i="13"/>
  <c r="F8807" i="13"/>
  <c r="F8808" i="13"/>
  <c r="F8809" i="13"/>
  <c r="F8810" i="13"/>
  <c r="F8811" i="13"/>
  <c r="F8812" i="13"/>
  <c r="F8813" i="13"/>
  <c r="F8814" i="13"/>
  <c r="F8815" i="13"/>
  <c r="F8816" i="13"/>
  <c r="F8817" i="13"/>
  <c r="F8818" i="13"/>
  <c r="F8819" i="13"/>
  <c r="F8820" i="13"/>
  <c r="F8821" i="13"/>
  <c r="F8822" i="13"/>
  <c r="F8823" i="13"/>
  <c r="F8824" i="13"/>
  <c r="F8825" i="13"/>
  <c r="F8826" i="13"/>
  <c r="F8827" i="13"/>
  <c r="F8828" i="13"/>
  <c r="F8829" i="13"/>
  <c r="F8830" i="13"/>
  <c r="F8831" i="13"/>
  <c r="F8832" i="13"/>
  <c r="F8833" i="13"/>
  <c r="F8834" i="13"/>
  <c r="F8835" i="13"/>
  <c r="F8836" i="13"/>
  <c r="F8837" i="13"/>
  <c r="F8838" i="13"/>
  <c r="F8839" i="13"/>
  <c r="F8840" i="13"/>
  <c r="F8841" i="13"/>
  <c r="F8842" i="13"/>
  <c r="F8843" i="13"/>
  <c r="F8844" i="13"/>
  <c r="F8845" i="13"/>
  <c r="F8846" i="13"/>
  <c r="F8847" i="13"/>
  <c r="F8848" i="13"/>
  <c r="F8849" i="13"/>
  <c r="F8850" i="13"/>
  <c r="F8851" i="13"/>
  <c r="F8852" i="13"/>
  <c r="F8853" i="13"/>
  <c r="F8854" i="13"/>
  <c r="F8855" i="13"/>
  <c r="F8856" i="13"/>
  <c r="F8857" i="13"/>
  <c r="F8858" i="13"/>
  <c r="F8859" i="13"/>
  <c r="F8860" i="13"/>
  <c r="F8861" i="13"/>
  <c r="F8862" i="13"/>
  <c r="F8863" i="13"/>
  <c r="F8864" i="13"/>
  <c r="F8865" i="13"/>
  <c r="F8866" i="13"/>
  <c r="F8867" i="13"/>
  <c r="F8868" i="13"/>
  <c r="F8869" i="13"/>
  <c r="F8870" i="13"/>
  <c r="F8871" i="13"/>
  <c r="F8872" i="13"/>
  <c r="F8873" i="13"/>
  <c r="F8874" i="13"/>
  <c r="F8875" i="13"/>
  <c r="F8876" i="13"/>
  <c r="F8877" i="13"/>
  <c r="F8878" i="13"/>
  <c r="F8879" i="13"/>
  <c r="F8880" i="13"/>
  <c r="F8881" i="13"/>
  <c r="F8882" i="13"/>
  <c r="F8883" i="13"/>
  <c r="F8884" i="13"/>
  <c r="F8885" i="13"/>
  <c r="F8886" i="13"/>
  <c r="F8887" i="13"/>
  <c r="F8888" i="13"/>
  <c r="F8889" i="13"/>
  <c r="F8890" i="13"/>
  <c r="F8891" i="13"/>
  <c r="F8892" i="13"/>
  <c r="F8893" i="13"/>
  <c r="F8894" i="13"/>
  <c r="F8895" i="13"/>
  <c r="F8896" i="13"/>
  <c r="F8897" i="13"/>
  <c r="F8898" i="13"/>
  <c r="F8899" i="13"/>
  <c r="F8900" i="13"/>
  <c r="F8901" i="13"/>
  <c r="F8902" i="13"/>
  <c r="F8903" i="13"/>
  <c r="F8904" i="13"/>
  <c r="F8905" i="13"/>
  <c r="F8906" i="13"/>
  <c r="F8907" i="13"/>
  <c r="F8908" i="13"/>
  <c r="F8909" i="13"/>
  <c r="F8910" i="13"/>
  <c r="F8911" i="13"/>
  <c r="F8912" i="13"/>
  <c r="F8913" i="13"/>
  <c r="F8914" i="13"/>
  <c r="F8915" i="13"/>
  <c r="F8916" i="13"/>
  <c r="F8917" i="13"/>
  <c r="F8918" i="13"/>
  <c r="F8919" i="13"/>
  <c r="F8920" i="13"/>
  <c r="F8921" i="13"/>
  <c r="F8922" i="13"/>
  <c r="F8923" i="13"/>
  <c r="F8924" i="13"/>
  <c r="F8925" i="13"/>
  <c r="F8926" i="13"/>
  <c r="F8927" i="13"/>
  <c r="F8928" i="13"/>
  <c r="F8929" i="13"/>
  <c r="F8930" i="13"/>
  <c r="F8931" i="13"/>
  <c r="F8932" i="13"/>
  <c r="F8933" i="13"/>
  <c r="F8934" i="13"/>
  <c r="F8935" i="13"/>
  <c r="F8936" i="13"/>
  <c r="F8937" i="13"/>
  <c r="F8938" i="13"/>
  <c r="F8939" i="13"/>
  <c r="F8940" i="13"/>
  <c r="F8941" i="13"/>
  <c r="F8942" i="13"/>
  <c r="F8943" i="13"/>
  <c r="F8944" i="13"/>
  <c r="F8945" i="13"/>
  <c r="F8946" i="13"/>
  <c r="F8947" i="13"/>
  <c r="F8948" i="13"/>
  <c r="F8949" i="13"/>
  <c r="F8950" i="13"/>
  <c r="F8951" i="13"/>
  <c r="F8952" i="13"/>
  <c r="F8953" i="13"/>
  <c r="F8954" i="13"/>
  <c r="F8955" i="13"/>
  <c r="F8956" i="13"/>
  <c r="F8957" i="13"/>
  <c r="F8958" i="13"/>
  <c r="F8959" i="13"/>
  <c r="F8960" i="13"/>
  <c r="F8961" i="13"/>
  <c r="F8962" i="13"/>
  <c r="F8963" i="13"/>
  <c r="F8964" i="13"/>
  <c r="F8965" i="13"/>
  <c r="F8966" i="13"/>
  <c r="F8967" i="13"/>
  <c r="F8968" i="13"/>
  <c r="F8969" i="13"/>
  <c r="F8970" i="13"/>
  <c r="F8971" i="13"/>
  <c r="F8972" i="13"/>
  <c r="F8973" i="13"/>
  <c r="F8974" i="13"/>
  <c r="F8975" i="13"/>
  <c r="F8976" i="13"/>
  <c r="F8977" i="13"/>
  <c r="F8978" i="13"/>
  <c r="F8979" i="13"/>
  <c r="F8980" i="13"/>
  <c r="F8981" i="13"/>
  <c r="F8982" i="13"/>
  <c r="F8983" i="13"/>
  <c r="F8984" i="13"/>
  <c r="F8985" i="13"/>
  <c r="F8986" i="13"/>
  <c r="F8987" i="13"/>
  <c r="F8988" i="13"/>
  <c r="F8989" i="13"/>
  <c r="F8990" i="13"/>
  <c r="F8991" i="13"/>
  <c r="F8992" i="13"/>
  <c r="F8993" i="13"/>
  <c r="F8994" i="13"/>
  <c r="F8995" i="13"/>
  <c r="F8996" i="13"/>
  <c r="F8997" i="13"/>
  <c r="F8998" i="13"/>
  <c r="F8999" i="13"/>
  <c r="F9000" i="13"/>
  <c r="F9001" i="13"/>
  <c r="F9002" i="13"/>
  <c r="F9003" i="13"/>
  <c r="F9004" i="13"/>
  <c r="F9005" i="13"/>
  <c r="F9006" i="13"/>
  <c r="F9007" i="13"/>
  <c r="F9008" i="13"/>
  <c r="F9009" i="13"/>
  <c r="F9010" i="13"/>
  <c r="F9011" i="13"/>
  <c r="F9012" i="13"/>
  <c r="F9013" i="13"/>
  <c r="F9014" i="13"/>
  <c r="F9015" i="13"/>
  <c r="F9016" i="13"/>
  <c r="F9017" i="13"/>
  <c r="F9018" i="13"/>
  <c r="F9019" i="13"/>
  <c r="F9020" i="13"/>
  <c r="F9021" i="13"/>
  <c r="F9022" i="13"/>
  <c r="F9023" i="13"/>
  <c r="F9024" i="13"/>
  <c r="F9025" i="13"/>
  <c r="F9026" i="13"/>
  <c r="F9027" i="13"/>
  <c r="F9028" i="13"/>
  <c r="F9029" i="13"/>
  <c r="F9030" i="13"/>
  <c r="F9031" i="13"/>
  <c r="F9032" i="13"/>
  <c r="F9033" i="13"/>
  <c r="F9034" i="13"/>
  <c r="F9035" i="13"/>
  <c r="F9036" i="13"/>
  <c r="F9037" i="13"/>
  <c r="F9038" i="13"/>
  <c r="F9039" i="13"/>
  <c r="F9040" i="13"/>
  <c r="F9041" i="13"/>
  <c r="F9042" i="13"/>
  <c r="F9043" i="13"/>
  <c r="F9044" i="13"/>
  <c r="F9045" i="13"/>
  <c r="F9046" i="13"/>
  <c r="F9047" i="13"/>
  <c r="F9048" i="13"/>
  <c r="F9049" i="13"/>
  <c r="F9050" i="13"/>
  <c r="F9051" i="13"/>
  <c r="F9052" i="13"/>
  <c r="F9053" i="13"/>
  <c r="F9054" i="13"/>
  <c r="F9055" i="13"/>
  <c r="F9056" i="13"/>
  <c r="F9057" i="13"/>
  <c r="F9058" i="13"/>
  <c r="F9059" i="13"/>
  <c r="F9060" i="13"/>
  <c r="F9061" i="13"/>
  <c r="F9062" i="13"/>
  <c r="F9063" i="13"/>
  <c r="F9064" i="13"/>
  <c r="F9065" i="13"/>
  <c r="F9066" i="13"/>
  <c r="F9067" i="13"/>
  <c r="F9068" i="13"/>
  <c r="F9069" i="13"/>
  <c r="F9070" i="13"/>
  <c r="F9071" i="13"/>
  <c r="F9072" i="13"/>
  <c r="F9073" i="13"/>
  <c r="F9074" i="13"/>
  <c r="F9075" i="13"/>
  <c r="F9076" i="13"/>
  <c r="F9077" i="13"/>
  <c r="F9078" i="13"/>
  <c r="F9079" i="13"/>
  <c r="F9080" i="13"/>
  <c r="F9081" i="13"/>
  <c r="F9082" i="13"/>
  <c r="F9083" i="13"/>
  <c r="F9084" i="13"/>
  <c r="F9085" i="13"/>
  <c r="F9086" i="13"/>
  <c r="F9087" i="13"/>
  <c r="F9088" i="13"/>
  <c r="F9089" i="13"/>
  <c r="F9090" i="13"/>
  <c r="F9091" i="13"/>
  <c r="F9092" i="13"/>
  <c r="F9093" i="13"/>
  <c r="F9094" i="13"/>
  <c r="F9095" i="13"/>
  <c r="F9096" i="13"/>
  <c r="F9097" i="13"/>
  <c r="F9098" i="13"/>
  <c r="F9099" i="13"/>
  <c r="F9100" i="13"/>
  <c r="F9101" i="13"/>
  <c r="F9102" i="13"/>
  <c r="F9103" i="13"/>
  <c r="F9104" i="13"/>
  <c r="F9105" i="13"/>
  <c r="F9106" i="13"/>
  <c r="F9107" i="13"/>
  <c r="F9108" i="13"/>
  <c r="F9109" i="13"/>
  <c r="F9110" i="13"/>
  <c r="F9111" i="13"/>
  <c r="F9112" i="13"/>
  <c r="F9113" i="13"/>
  <c r="F9114" i="13"/>
  <c r="F9115" i="13"/>
  <c r="F9116" i="13"/>
  <c r="F9117" i="13"/>
  <c r="F9118" i="13"/>
  <c r="F9119" i="13"/>
  <c r="F9120" i="13"/>
  <c r="F9121" i="13"/>
  <c r="F9122" i="13"/>
  <c r="F9123" i="13"/>
  <c r="F9124" i="13"/>
  <c r="F9125" i="13"/>
  <c r="F9126" i="13"/>
  <c r="F9127" i="13"/>
  <c r="F9128" i="13"/>
  <c r="F9129" i="13"/>
  <c r="F9130" i="13"/>
  <c r="F9131" i="13"/>
  <c r="F9132" i="13"/>
  <c r="F9133" i="13"/>
  <c r="F9134" i="13"/>
  <c r="F9135" i="13"/>
  <c r="F9136" i="13"/>
  <c r="F9137" i="13"/>
  <c r="F9138" i="13"/>
  <c r="F9139" i="13"/>
  <c r="F9140" i="13"/>
  <c r="F9141" i="13"/>
  <c r="F9142" i="13"/>
  <c r="F9143" i="13"/>
  <c r="F9144" i="13"/>
  <c r="F9145" i="13"/>
  <c r="F9146" i="13"/>
  <c r="F9147" i="13"/>
  <c r="F9148" i="13"/>
  <c r="F9149" i="13"/>
  <c r="F9150" i="13"/>
  <c r="F9151" i="13"/>
  <c r="F9152" i="13"/>
  <c r="F9153" i="13"/>
  <c r="F9154" i="13"/>
  <c r="F9155" i="13"/>
  <c r="F9156" i="13"/>
  <c r="F9157" i="13"/>
  <c r="F9158" i="13"/>
  <c r="F9159" i="13"/>
  <c r="F9160" i="13"/>
  <c r="F9161" i="13"/>
  <c r="F9162" i="13"/>
  <c r="F9163" i="13"/>
  <c r="F9164" i="13"/>
  <c r="F9165" i="13"/>
  <c r="F9166" i="13"/>
  <c r="F9167" i="13"/>
  <c r="F9168" i="13"/>
  <c r="F9169" i="13"/>
  <c r="F9170" i="13"/>
  <c r="F9171" i="13"/>
  <c r="F9172" i="13"/>
  <c r="F9173" i="13"/>
  <c r="F9174" i="13"/>
  <c r="F9175" i="13"/>
  <c r="F9176" i="13"/>
  <c r="F9177" i="13"/>
  <c r="F9178" i="13"/>
  <c r="F9179" i="13"/>
  <c r="F9180" i="13"/>
  <c r="F9181" i="13"/>
  <c r="F9182" i="13"/>
  <c r="F9183" i="13"/>
  <c r="F9184" i="13"/>
  <c r="F9185" i="13"/>
  <c r="F9186" i="13"/>
  <c r="F9187" i="13"/>
  <c r="F9188" i="13"/>
  <c r="F9189" i="13"/>
  <c r="F9190" i="13"/>
  <c r="F9191" i="13"/>
  <c r="F9192" i="13"/>
  <c r="F9193" i="13"/>
  <c r="F9194" i="13"/>
  <c r="F9195" i="13"/>
  <c r="F9196" i="13"/>
  <c r="F9197" i="13"/>
  <c r="F9198" i="13"/>
  <c r="F9199" i="13"/>
  <c r="F9200" i="13"/>
  <c r="F9201" i="13"/>
  <c r="F9202" i="13"/>
  <c r="F9203" i="13"/>
  <c r="F9204" i="13"/>
  <c r="F9205" i="13"/>
  <c r="F9206" i="13"/>
  <c r="F9207" i="13"/>
  <c r="F9208" i="13"/>
  <c r="F9209" i="13"/>
  <c r="F9210" i="13"/>
  <c r="F9211" i="13"/>
  <c r="F9212" i="13"/>
  <c r="F9213" i="13"/>
  <c r="F9214" i="13"/>
  <c r="F9215" i="13"/>
  <c r="F9216" i="13"/>
  <c r="F9217" i="13"/>
  <c r="F9218" i="13"/>
  <c r="F9219" i="13"/>
  <c r="F9220" i="13"/>
  <c r="F9221" i="13"/>
  <c r="F9222" i="13"/>
  <c r="F9223" i="13"/>
  <c r="F9224" i="13"/>
  <c r="F9225" i="13"/>
  <c r="F9226" i="13"/>
  <c r="F9227" i="13"/>
  <c r="F9228" i="13"/>
  <c r="F9229" i="13"/>
  <c r="F9230" i="13"/>
  <c r="F9231" i="13"/>
  <c r="F9232" i="13"/>
  <c r="F9233" i="13"/>
  <c r="F9234" i="13"/>
  <c r="F9235" i="13"/>
  <c r="F9236" i="13"/>
  <c r="F9237" i="13"/>
  <c r="F9238" i="13"/>
  <c r="F9239" i="13"/>
  <c r="F9240" i="13"/>
  <c r="F9241" i="13"/>
  <c r="F9242" i="13"/>
  <c r="F9243" i="13"/>
  <c r="F9244" i="13"/>
  <c r="F9245" i="13"/>
  <c r="F9246" i="13"/>
  <c r="F9247" i="13"/>
  <c r="F9248" i="13"/>
  <c r="F9249" i="13"/>
  <c r="F9250" i="13"/>
  <c r="F9251" i="13"/>
  <c r="F9252" i="13"/>
  <c r="F9253" i="13"/>
  <c r="F9254" i="13"/>
  <c r="F9255" i="13"/>
  <c r="F9256" i="13"/>
  <c r="F9257" i="13"/>
  <c r="F9258" i="13"/>
  <c r="F9259" i="13"/>
  <c r="F9260" i="13"/>
  <c r="F9261" i="13"/>
  <c r="F9262" i="13"/>
  <c r="F9263" i="13"/>
  <c r="F9264" i="13"/>
  <c r="F9265" i="13"/>
  <c r="F9266" i="13"/>
  <c r="F9267" i="13"/>
  <c r="F9268" i="13"/>
  <c r="F9269" i="13"/>
  <c r="F9270" i="13"/>
  <c r="F9271" i="13"/>
  <c r="F9272" i="13"/>
  <c r="F9273" i="13"/>
  <c r="F9274" i="13"/>
  <c r="F9275" i="13"/>
  <c r="F9276" i="13"/>
  <c r="F9277" i="13"/>
  <c r="F9278" i="13"/>
  <c r="F9279" i="13"/>
  <c r="F9280" i="13"/>
  <c r="F9281" i="13"/>
  <c r="F9282" i="13"/>
  <c r="F9283" i="13"/>
  <c r="F9284" i="13"/>
  <c r="F9285" i="13"/>
  <c r="F9286" i="13"/>
  <c r="F9287" i="13"/>
  <c r="F9288" i="13"/>
  <c r="F9289" i="13"/>
  <c r="F9290" i="13"/>
  <c r="F9291" i="13"/>
  <c r="F9292" i="13"/>
  <c r="F9293" i="13"/>
  <c r="F9294" i="13"/>
  <c r="F9295" i="13"/>
  <c r="F9296" i="13"/>
  <c r="F9297" i="13"/>
  <c r="F9298" i="13"/>
  <c r="F9299" i="13"/>
  <c r="F9300" i="13"/>
  <c r="F9301" i="13"/>
  <c r="F9302" i="13"/>
  <c r="F9303" i="13"/>
  <c r="F9304" i="13"/>
  <c r="F9305" i="13"/>
  <c r="F9306" i="13"/>
  <c r="F9307" i="13"/>
  <c r="F9308" i="13"/>
  <c r="F9309" i="13"/>
  <c r="F9310" i="13"/>
  <c r="F9311" i="13"/>
  <c r="F9312" i="13"/>
  <c r="F9313" i="13"/>
  <c r="F9314" i="13"/>
  <c r="F9315" i="13"/>
  <c r="F9316" i="13"/>
  <c r="F9317" i="13"/>
  <c r="F9318" i="13"/>
  <c r="F9319" i="13"/>
  <c r="F9320" i="13"/>
  <c r="F9321" i="13"/>
  <c r="F9322" i="13"/>
  <c r="F9323" i="13"/>
  <c r="F9324" i="13"/>
  <c r="F9325" i="13"/>
  <c r="F9326" i="13"/>
  <c r="F9327" i="13"/>
  <c r="F9328" i="13"/>
  <c r="F9329" i="13"/>
  <c r="F9330" i="13"/>
  <c r="F9331" i="13"/>
  <c r="F9332" i="13"/>
  <c r="F9333" i="13"/>
  <c r="F9334" i="13"/>
  <c r="F9335" i="13"/>
  <c r="F9336" i="13"/>
  <c r="F9337" i="13"/>
  <c r="F9338" i="13"/>
  <c r="F9339" i="13"/>
  <c r="F9340" i="13"/>
  <c r="F9341" i="13"/>
  <c r="F9342" i="13"/>
  <c r="F9343" i="13"/>
  <c r="F9344" i="13"/>
  <c r="F9345" i="13"/>
  <c r="F9346" i="13"/>
  <c r="F9347" i="13"/>
  <c r="F9348" i="13"/>
  <c r="F9349" i="13"/>
  <c r="F9350" i="13"/>
  <c r="F9351" i="13"/>
  <c r="F9352" i="13"/>
  <c r="F9353" i="13"/>
  <c r="F9354" i="13"/>
  <c r="F9355" i="13"/>
  <c r="F9356" i="13"/>
  <c r="F9357" i="13"/>
  <c r="F9358" i="13"/>
  <c r="F9359" i="13"/>
  <c r="F9360" i="13"/>
  <c r="F9361" i="13"/>
  <c r="F9362" i="13"/>
  <c r="F9363" i="13"/>
  <c r="F9364" i="13"/>
  <c r="F9365" i="13"/>
  <c r="F9366" i="13"/>
  <c r="F9367" i="13"/>
  <c r="F9368" i="13"/>
  <c r="F9369" i="13"/>
  <c r="F9370" i="13"/>
  <c r="F9371" i="13"/>
  <c r="F9372" i="13"/>
  <c r="F9373" i="13"/>
  <c r="F9374" i="13"/>
  <c r="F9375" i="13"/>
  <c r="F9376" i="13"/>
  <c r="F9377" i="13"/>
  <c r="F9378" i="13"/>
  <c r="F9379" i="13"/>
  <c r="F9380" i="13"/>
  <c r="F9381" i="13"/>
  <c r="F9382" i="13"/>
  <c r="F9383" i="13"/>
  <c r="F9384" i="13"/>
  <c r="F9385" i="13"/>
  <c r="F9386" i="13"/>
  <c r="F9387" i="13"/>
  <c r="F9388" i="13"/>
  <c r="F9389" i="13"/>
  <c r="F9390" i="13"/>
  <c r="F9391" i="13"/>
  <c r="F9392" i="13"/>
  <c r="F9393" i="13"/>
  <c r="F9394" i="13"/>
  <c r="F9395" i="13"/>
  <c r="F9396" i="13"/>
  <c r="F9397" i="13"/>
  <c r="F9398" i="13"/>
  <c r="F9399" i="13"/>
  <c r="F9400" i="13"/>
  <c r="F9401" i="13"/>
  <c r="F9402" i="13"/>
  <c r="F9403" i="13"/>
  <c r="F9404" i="13"/>
  <c r="F9405" i="13"/>
  <c r="F9406" i="13"/>
  <c r="F9407" i="13"/>
  <c r="F9408" i="13"/>
  <c r="F9409" i="13"/>
  <c r="F9410" i="13"/>
  <c r="F9411" i="13"/>
  <c r="F9412" i="13"/>
  <c r="F9413" i="13"/>
  <c r="F9414" i="13"/>
  <c r="F9415" i="13"/>
  <c r="F9416" i="13"/>
  <c r="F9417" i="13"/>
  <c r="F9418" i="13"/>
  <c r="F9419" i="13"/>
  <c r="F9420" i="13"/>
  <c r="F9421" i="13"/>
  <c r="F9422" i="13"/>
  <c r="F9423" i="13"/>
  <c r="F9424" i="13"/>
  <c r="F9425" i="13"/>
  <c r="F9426" i="13"/>
  <c r="F9427" i="13"/>
  <c r="F9428" i="13"/>
  <c r="F9429" i="13"/>
  <c r="F9430" i="13"/>
  <c r="F9431" i="13"/>
  <c r="F9432" i="13"/>
  <c r="F9433" i="13"/>
  <c r="F9434" i="13"/>
  <c r="F9435" i="13"/>
  <c r="F9436" i="13"/>
  <c r="F9437" i="13"/>
  <c r="F9438" i="13"/>
  <c r="F9439" i="13"/>
  <c r="F9440" i="13"/>
  <c r="F9441" i="13"/>
  <c r="F9442" i="13"/>
  <c r="F9443" i="13"/>
  <c r="F9444" i="13"/>
  <c r="F9445" i="13"/>
  <c r="F9446" i="13"/>
  <c r="F9447" i="13"/>
  <c r="F9448" i="13"/>
  <c r="F9449" i="13"/>
  <c r="F9450" i="13"/>
  <c r="F9451" i="13"/>
  <c r="F9452" i="13"/>
  <c r="F9453" i="13"/>
  <c r="F9454" i="13"/>
  <c r="F9455" i="13"/>
  <c r="F9456" i="13"/>
  <c r="F9457" i="13"/>
  <c r="F9458" i="13"/>
  <c r="F9459" i="13"/>
  <c r="F9460" i="13"/>
  <c r="F9461" i="13"/>
  <c r="F9462" i="13"/>
  <c r="F9463" i="13"/>
  <c r="F9464" i="13"/>
  <c r="F9465" i="13"/>
  <c r="F9466" i="13"/>
  <c r="F9467" i="13"/>
  <c r="F9468" i="13"/>
  <c r="F9469" i="13"/>
  <c r="F9470" i="13"/>
  <c r="F9471" i="13"/>
  <c r="F9472" i="13"/>
  <c r="F9473" i="13"/>
  <c r="F9474" i="13"/>
  <c r="F9475" i="13"/>
  <c r="F9476" i="13"/>
  <c r="F9477" i="13"/>
  <c r="F9478" i="13"/>
  <c r="F9479" i="13"/>
  <c r="F9480" i="13"/>
  <c r="F9481" i="13"/>
  <c r="F9482" i="13"/>
  <c r="F9483" i="13"/>
  <c r="F9484" i="13"/>
  <c r="F9485" i="13"/>
  <c r="F9486" i="13"/>
  <c r="F9487" i="13"/>
  <c r="F9488" i="13"/>
  <c r="F9489" i="13"/>
  <c r="F9490" i="13"/>
  <c r="F9491" i="13"/>
  <c r="F9492" i="13"/>
  <c r="F9493" i="13"/>
  <c r="F9494" i="13"/>
  <c r="F9495" i="13"/>
  <c r="F9496" i="13"/>
  <c r="F9497" i="13"/>
  <c r="F9498" i="13"/>
  <c r="F9499" i="13"/>
  <c r="F9500" i="13"/>
  <c r="F9501" i="13"/>
  <c r="F9502" i="13"/>
  <c r="F9503" i="13"/>
  <c r="F9504" i="13"/>
  <c r="F9505" i="13"/>
  <c r="F9506" i="13"/>
  <c r="F9507" i="13"/>
  <c r="F9508" i="13"/>
  <c r="F9509" i="13"/>
  <c r="F9510" i="13"/>
  <c r="F9511" i="13"/>
  <c r="F9512" i="13"/>
  <c r="F9513" i="13"/>
  <c r="F9514" i="13"/>
  <c r="F9515" i="13"/>
  <c r="F9516" i="13"/>
  <c r="F9517" i="13"/>
  <c r="F9518" i="13"/>
  <c r="F9519" i="13"/>
  <c r="F9520" i="13"/>
  <c r="F9521" i="13"/>
  <c r="F9522" i="13"/>
  <c r="F9523" i="13"/>
  <c r="F9524" i="13"/>
  <c r="F9525" i="13"/>
  <c r="F9526" i="13"/>
  <c r="F9527" i="13"/>
  <c r="F9528" i="13"/>
  <c r="F9529" i="13"/>
  <c r="F9530" i="13"/>
  <c r="F9531" i="13"/>
  <c r="F9532" i="13"/>
  <c r="F9533" i="13"/>
  <c r="F9534" i="13"/>
  <c r="F9535" i="13"/>
  <c r="F9536" i="13"/>
  <c r="F9537" i="13"/>
  <c r="F9538" i="13"/>
  <c r="F9539" i="13"/>
  <c r="F9540" i="13"/>
  <c r="F9541" i="13"/>
  <c r="F9542" i="13"/>
  <c r="F9543" i="13"/>
  <c r="F9544" i="13"/>
  <c r="F9545" i="13"/>
  <c r="F9546" i="13"/>
  <c r="F9547" i="13"/>
  <c r="F9548" i="13"/>
  <c r="F9549" i="13"/>
  <c r="F9550" i="13"/>
  <c r="F9551" i="13"/>
  <c r="F9552" i="13"/>
  <c r="F9553" i="13"/>
  <c r="F9554" i="13"/>
  <c r="F9555" i="13"/>
  <c r="F9556" i="13"/>
  <c r="F9557" i="13"/>
  <c r="F9558" i="13"/>
  <c r="F9559" i="13"/>
  <c r="F9560" i="13"/>
  <c r="F9561" i="13"/>
  <c r="F9562" i="13"/>
  <c r="F9563" i="13"/>
  <c r="F9564" i="13"/>
  <c r="F9565" i="13"/>
  <c r="F9566" i="13"/>
  <c r="F9567" i="13"/>
  <c r="F9568" i="13"/>
  <c r="F9569" i="13"/>
  <c r="F9570" i="13"/>
  <c r="F9571" i="13"/>
  <c r="F9572" i="13"/>
  <c r="F9573" i="13"/>
  <c r="F9574" i="13"/>
  <c r="F9575" i="13"/>
  <c r="F9576" i="13"/>
  <c r="F9577" i="13"/>
  <c r="F9578" i="13"/>
  <c r="F9579" i="13"/>
  <c r="F9580" i="13"/>
  <c r="F9581" i="13"/>
  <c r="F9582" i="13"/>
  <c r="F9583" i="13"/>
  <c r="F9584" i="13"/>
  <c r="F9585" i="13"/>
  <c r="F9586" i="13"/>
  <c r="F9587" i="13"/>
  <c r="F9588" i="13"/>
  <c r="F9589" i="13"/>
  <c r="F9590" i="13"/>
  <c r="F9591" i="13"/>
  <c r="F9592" i="13"/>
  <c r="F9593" i="13"/>
  <c r="F9594" i="13"/>
  <c r="F9595" i="13"/>
  <c r="F9596" i="13"/>
  <c r="F9597" i="13"/>
  <c r="F9598" i="13"/>
  <c r="F9599" i="13"/>
  <c r="F9600" i="13"/>
  <c r="F9601" i="13"/>
  <c r="F9602" i="13"/>
  <c r="F9603" i="13"/>
  <c r="F9604" i="13"/>
  <c r="F9605" i="13"/>
  <c r="F9606" i="13"/>
  <c r="F9607" i="13"/>
  <c r="F9608" i="13"/>
  <c r="F9609" i="13"/>
  <c r="F9610" i="13"/>
  <c r="F9611" i="13"/>
  <c r="F9612" i="13"/>
  <c r="F9613" i="13"/>
  <c r="F9614" i="13"/>
  <c r="F9615" i="13"/>
  <c r="F9616" i="13"/>
  <c r="F9617" i="13"/>
  <c r="F9618" i="13"/>
  <c r="F9619" i="13"/>
  <c r="F9620" i="13"/>
  <c r="F9621" i="13"/>
  <c r="F9622" i="13"/>
  <c r="F9623" i="13"/>
  <c r="F9624" i="13"/>
  <c r="F9625" i="13"/>
  <c r="F9626" i="13"/>
  <c r="F9627" i="13"/>
  <c r="F9628" i="13"/>
  <c r="F9629" i="13"/>
  <c r="F9630" i="13"/>
  <c r="F9631" i="13"/>
  <c r="F9632" i="13"/>
  <c r="F9633" i="13"/>
  <c r="F9634" i="13"/>
  <c r="F9635" i="13"/>
  <c r="F9636" i="13"/>
  <c r="F9637" i="13"/>
  <c r="F9638" i="13"/>
  <c r="F9639" i="13"/>
  <c r="F9640" i="13"/>
  <c r="F9641" i="13"/>
  <c r="F9642" i="13"/>
  <c r="F9643" i="13"/>
  <c r="F9644" i="13"/>
  <c r="F9645" i="13"/>
  <c r="F9646" i="13"/>
  <c r="F9647" i="13"/>
  <c r="F9648" i="13"/>
  <c r="F9649" i="13"/>
  <c r="F9650" i="13"/>
  <c r="F9651" i="13"/>
  <c r="F9652" i="13"/>
  <c r="F9653" i="13"/>
  <c r="F9654" i="13"/>
  <c r="F9655" i="13"/>
  <c r="F9656" i="13"/>
  <c r="F9657" i="13"/>
  <c r="F9658" i="13"/>
  <c r="F9659" i="13"/>
  <c r="F9660" i="13"/>
  <c r="F9661" i="13"/>
  <c r="F9662" i="13"/>
  <c r="F9663" i="13"/>
  <c r="F9664" i="13"/>
  <c r="F9665" i="13"/>
  <c r="F9666" i="13"/>
  <c r="F9667" i="13"/>
  <c r="F9668" i="13"/>
  <c r="F9669" i="13"/>
  <c r="F9670" i="13"/>
  <c r="F9671" i="13"/>
  <c r="F9672" i="13"/>
  <c r="F9673" i="13"/>
  <c r="F9674" i="13"/>
  <c r="F9675" i="13"/>
  <c r="F9676" i="13"/>
  <c r="F9677" i="13"/>
  <c r="F9678" i="13"/>
  <c r="F9679" i="13"/>
  <c r="F9680" i="13"/>
  <c r="F9681" i="13"/>
  <c r="F9682" i="13"/>
  <c r="F9683" i="13"/>
  <c r="F9684" i="13"/>
  <c r="F9685" i="13"/>
  <c r="F9686" i="13"/>
  <c r="F9687" i="13"/>
  <c r="F9688" i="13"/>
  <c r="F9689" i="13"/>
  <c r="F9690" i="13"/>
  <c r="F9691" i="13"/>
  <c r="F9692" i="13"/>
  <c r="F9693" i="13"/>
  <c r="F9694" i="13"/>
  <c r="F9695" i="13"/>
  <c r="F9696" i="13"/>
  <c r="F9697" i="13"/>
  <c r="F9698" i="13"/>
  <c r="F9699" i="13"/>
  <c r="F9700" i="13"/>
  <c r="F9701" i="13"/>
  <c r="F9702" i="13"/>
  <c r="F9703" i="13"/>
  <c r="F9704" i="13"/>
  <c r="F9705" i="13"/>
  <c r="F9706" i="13"/>
  <c r="F9707" i="13"/>
  <c r="F9708" i="13"/>
  <c r="F9709" i="13"/>
  <c r="F9710" i="13"/>
  <c r="F9711" i="13"/>
  <c r="F9712" i="13"/>
  <c r="F9713" i="13"/>
  <c r="F9714" i="13"/>
  <c r="F9715" i="13"/>
  <c r="F9716" i="13"/>
  <c r="F9717" i="13"/>
  <c r="F9718" i="13"/>
  <c r="F9719" i="13"/>
  <c r="F9720" i="13"/>
  <c r="F9721" i="13"/>
  <c r="F9722" i="13"/>
  <c r="F9723" i="13"/>
  <c r="F9724" i="13"/>
  <c r="F9725" i="13"/>
  <c r="F9726" i="13"/>
  <c r="F9727" i="13"/>
  <c r="F9728" i="13"/>
  <c r="F9729" i="13"/>
  <c r="F9730" i="13"/>
  <c r="F9731" i="13"/>
  <c r="F9732" i="13"/>
  <c r="F9733" i="13"/>
  <c r="F9734" i="13"/>
  <c r="F9735" i="13"/>
  <c r="F9736" i="13"/>
  <c r="F9737" i="13"/>
  <c r="F9738" i="13"/>
  <c r="F9739" i="13"/>
  <c r="F9740" i="13"/>
  <c r="F9741" i="13"/>
  <c r="F9742" i="13"/>
  <c r="F9743" i="13"/>
  <c r="F9744" i="13"/>
  <c r="F9745" i="13"/>
  <c r="F9746" i="13"/>
  <c r="F9747" i="13"/>
  <c r="F9748" i="13"/>
  <c r="F9749" i="13"/>
  <c r="F9750" i="13"/>
  <c r="F9751" i="13"/>
  <c r="F9752" i="13"/>
  <c r="F9753" i="13"/>
  <c r="F9754" i="13"/>
  <c r="F9755" i="13"/>
  <c r="F9756" i="13"/>
  <c r="F9757" i="13"/>
  <c r="F9758" i="13"/>
  <c r="F9759" i="13"/>
  <c r="F9760" i="13"/>
  <c r="F9761" i="13"/>
  <c r="F9762" i="13"/>
  <c r="F9763" i="13"/>
  <c r="F9764" i="13"/>
  <c r="F9765" i="13"/>
  <c r="F9766" i="13"/>
  <c r="F9767" i="13"/>
  <c r="F9768" i="13"/>
  <c r="F9769" i="13"/>
  <c r="F9770" i="13"/>
  <c r="F9771" i="13"/>
  <c r="F9772" i="13"/>
  <c r="F9773" i="13"/>
  <c r="F9774" i="13"/>
  <c r="F9775" i="13"/>
  <c r="F9776" i="13"/>
  <c r="F9777" i="13"/>
  <c r="F9778" i="13"/>
  <c r="F9779" i="13"/>
  <c r="F9780" i="13"/>
  <c r="F9781" i="13"/>
  <c r="F9782" i="13"/>
  <c r="F9783" i="13"/>
  <c r="F9784" i="13"/>
  <c r="F9785" i="13"/>
  <c r="F9786" i="13"/>
  <c r="F9787" i="13"/>
  <c r="F9788" i="13"/>
  <c r="F9789" i="13"/>
  <c r="F9790" i="13"/>
  <c r="F9791" i="13"/>
  <c r="F9792" i="13"/>
  <c r="F9793" i="13"/>
  <c r="F9794" i="13"/>
  <c r="F9795" i="13"/>
  <c r="F9796" i="13"/>
  <c r="F9797" i="13"/>
  <c r="F9798" i="13"/>
  <c r="F9799" i="13"/>
  <c r="F9800" i="13"/>
  <c r="F9801" i="13"/>
  <c r="F9802" i="13"/>
  <c r="F9803" i="13"/>
  <c r="F9804" i="13"/>
  <c r="F9805" i="13"/>
  <c r="F9806" i="13"/>
  <c r="F9807" i="13"/>
  <c r="F9808" i="13"/>
  <c r="F9809" i="13"/>
  <c r="F9810" i="13"/>
  <c r="F9811" i="13"/>
  <c r="F9812" i="13"/>
  <c r="F9813" i="13"/>
  <c r="F9814" i="13"/>
  <c r="F9815" i="13"/>
  <c r="F9816" i="13"/>
  <c r="F9817" i="13"/>
  <c r="F9818" i="13"/>
  <c r="F9819" i="13"/>
  <c r="F9820" i="13"/>
  <c r="F9821" i="13"/>
  <c r="F9822" i="13"/>
  <c r="F9823" i="13"/>
  <c r="F9824" i="13"/>
  <c r="F9825" i="13"/>
  <c r="F9826" i="13"/>
  <c r="F9827" i="13"/>
  <c r="F9828" i="13"/>
  <c r="F9829" i="13"/>
  <c r="F9830" i="13"/>
  <c r="F9831" i="13"/>
  <c r="F9832" i="13"/>
  <c r="F9833" i="13"/>
  <c r="F9834" i="13"/>
  <c r="F9835" i="13"/>
  <c r="F9836" i="13"/>
  <c r="F9837" i="13"/>
  <c r="F9838" i="13"/>
  <c r="F9839" i="13"/>
  <c r="F9840" i="13"/>
  <c r="F9841" i="13"/>
  <c r="F9842" i="13"/>
  <c r="F9843" i="13"/>
  <c r="F9844" i="13"/>
  <c r="F9845" i="13"/>
  <c r="F9846" i="13"/>
  <c r="F9847" i="13"/>
  <c r="F9848" i="13"/>
  <c r="F9849" i="13"/>
  <c r="F9850" i="13"/>
  <c r="F9851" i="13"/>
  <c r="F9852" i="13"/>
  <c r="F9853" i="13"/>
  <c r="F9854" i="13"/>
  <c r="F9855" i="13"/>
  <c r="F9856" i="13"/>
  <c r="F9857" i="13"/>
  <c r="F9858" i="13"/>
  <c r="F9859" i="13"/>
  <c r="F9860" i="13"/>
  <c r="F9861" i="13"/>
  <c r="F9862" i="13"/>
  <c r="F9863" i="13"/>
  <c r="F9864" i="13"/>
  <c r="F9865" i="13"/>
  <c r="F9866" i="13"/>
  <c r="F9867" i="13"/>
  <c r="F9868" i="13"/>
  <c r="F9869" i="13"/>
  <c r="F9870" i="13"/>
  <c r="F9871" i="13"/>
  <c r="F9872" i="13"/>
  <c r="F9873" i="13"/>
  <c r="F9874" i="13"/>
  <c r="F9875" i="13"/>
  <c r="F9876" i="13"/>
  <c r="F9877" i="13"/>
  <c r="F9878" i="13"/>
  <c r="F9879" i="13"/>
  <c r="F9880" i="13"/>
  <c r="F9881" i="13"/>
  <c r="F9882" i="13"/>
  <c r="F9883" i="13"/>
  <c r="F9884" i="13"/>
  <c r="F9885" i="13"/>
  <c r="F9886" i="13"/>
  <c r="F9887" i="13"/>
  <c r="F9888" i="13"/>
  <c r="F9889" i="13"/>
  <c r="F9890" i="13"/>
  <c r="F9891" i="13"/>
  <c r="F9892" i="13"/>
  <c r="F9893" i="13"/>
  <c r="F9894" i="13"/>
  <c r="F9895" i="13"/>
  <c r="F9896" i="13"/>
  <c r="F9897" i="13"/>
  <c r="F9898" i="13"/>
  <c r="F9899" i="13"/>
  <c r="F9900" i="13"/>
  <c r="F9901" i="13"/>
  <c r="F9902" i="13"/>
  <c r="F9903" i="13"/>
  <c r="F9904" i="13"/>
  <c r="F9905" i="13"/>
  <c r="F9906" i="13"/>
  <c r="F9907" i="13"/>
  <c r="F9908" i="13"/>
  <c r="F9909" i="13"/>
  <c r="F9910" i="13"/>
  <c r="F9911" i="13"/>
  <c r="F9912" i="13"/>
  <c r="F9913" i="13"/>
  <c r="F9914" i="13"/>
  <c r="F9915" i="13"/>
  <c r="F9916" i="13"/>
  <c r="F9917" i="13"/>
  <c r="F9918" i="13"/>
  <c r="F9919" i="13"/>
  <c r="F9920" i="13"/>
  <c r="F9921" i="13"/>
  <c r="F9922" i="13"/>
  <c r="F9923" i="13"/>
  <c r="F9924" i="13"/>
  <c r="F9925" i="13"/>
  <c r="F9926" i="13"/>
  <c r="F9927" i="13"/>
  <c r="F9928" i="13"/>
  <c r="F9929" i="13"/>
  <c r="F9930" i="13"/>
  <c r="F9931" i="13"/>
  <c r="F9932" i="13"/>
  <c r="F9933" i="13"/>
  <c r="F9934" i="13"/>
  <c r="F9935" i="13"/>
  <c r="F9936" i="13"/>
  <c r="F9937" i="13"/>
  <c r="F9938" i="13"/>
  <c r="F9939" i="13"/>
  <c r="F9940" i="13"/>
  <c r="F9941" i="13"/>
  <c r="F9942" i="13"/>
  <c r="F9943" i="13"/>
  <c r="F9944" i="13"/>
  <c r="F9945" i="13"/>
  <c r="F9946" i="13"/>
  <c r="F9947" i="13"/>
  <c r="F9948" i="13"/>
  <c r="F9949" i="13"/>
  <c r="F9950" i="13"/>
  <c r="F9951" i="13"/>
  <c r="F9952" i="13"/>
  <c r="F9953" i="13"/>
  <c r="F9954" i="13"/>
  <c r="F9955" i="13"/>
  <c r="F9956" i="13"/>
  <c r="F9957" i="13"/>
  <c r="F9958" i="13"/>
  <c r="F9959" i="13"/>
  <c r="F9960" i="13"/>
  <c r="F9961" i="13"/>
  <c r="F9962" i="13"/>
  <c r="F9963" i="13"/>
  <c r="F9964" i="13"/>
  <c r="F9965" i="13"/>
  <c r="F9966" i="13"/>
  <c r="F9967" i="13"/>
  <c r="F9968" i="13"/>
  <c r="F9969" i="13"/>
  <c r="F9970" i="13"/>
  <c r="F9971" i="13"/>
  <c r="F9972" i="13"/>
  <c r="F9973" i="13"/>
  <c r="F9974" i="13"/>
  <c r="F9975" i="13"/>
  <c r="F9976" i="13"/>
  <c r="F9977" i="13"/>
  <c r="F9978" i="13"/>
  <c r="F9979" i="13"/>
  <c r="F9980" i="13"/>
  <c r="F9981" i="13"/>
  <c r="F9982" i="13"/>
  <c r="F9983" i="13"/>
  <c r="F9984" i="13"/>
  <c r="F9985" i="13"/>
  <c r="F9986" i="13"/>
  <c r="F9987" i="13"/>
  <c r="F9988" i="13"/>
  <c r="F9989" i="13"/>
  <c r="F9990" i="13"/>
  <c r="F9991" i="13"/>
  <c r="F9992" i="13"/>
  <c r="F9993" i="13"/>
  <c r="F9994" i="13"/>
  <c r="F9995" i="13"/>
  <c r="F9996" i="13"/>
  <c r="F9997" i="13"/>
  <c r="F9998" i="13"/>
  <c r="F9999" i="13"/>
  <c r="F10000" i="13"/>
  <c r="F10001" i="13"/>
  <c r="F10002" i="13"/>
  <c r="F10003" i="13"/>
  <c r="F10004" i="13"/>
  <c r="F10005" i="13"/>
  <c r="F10006" i="13"/>
  <c r="F10007" i="13"/>
  <c r="F10008" i="13"/>
  <c r="F10009" i="13"/>
  <c r="F10010" i="13"/>
  <c r="F10011" i="13"/>
  <c r="F10012" i="13"/>
  <c r="F10013" i="13"/>
  <c r="F10014" i="13"/>
  <c r="F10015" i="13"/>
  <c r="F10016" i="13"/>
  <c r="F10017" i="13"/>
  <c r="F10018" i="13"/>
  <c r="F10019" i="13"/>
  <c r="F10020" i="13"/>
  <c r="F10021" i="13"/>
  <c r="F10022" i="13"/>
  <c r="F10023" i="13"/>
  <c r="F10024" i="13"/>
  <c r="F10025" i="13"/>
  <c r="F10026" i="13"/>
  <c r="F10027" i="13"/>
  <c r="F10028" i="13"/>
  <c r="F10029" i="13"/>
  <c r="F10030" i="13"/>
  <c r="F10031" i="13"/>
  <c r="F10032" i="13"/>
  <c r="F10033" i="13"/>
  <c r="F10034" i="13"/>
  <c r="F10035" i="13"/>
  <c r="F10036" i="13"/>
  <c r="F10037" i="13"/>
  <c r="F10038" i="13"/>
  <c r="F10039" i="13"/>
  <c r="F10040" i="13"/>
  <c r="F10041" i="13"/>
  <c r="F10042" i="13"/>
  <c r="F10043" i="13"/>
  <c r="F10044" i="13"/>
  <c r="F10045" i="13"/>
  <c r="F10046" i="13"/>
  <c r="F10047" i="13"/>
  <c r="F10048" i="13"/>
  <c r="F10049" i="13"/>
  <c r="F10050" i="13"/>
  <c r="F10051" i="13"/>
  <c r="F10052" i="13"/>
  <c r="F10053" i="13"/>
  <c r="F10054" i="13"/>
  <c r="F10055" i="13"/>
  <c r="F10056" i="13"/>
  <c r="F10057" i="13"/>
  <c r="F10058" i="13"/>
  <c r="F10059" i="13"/>
  <c r="F10060" i="13"/>
  <c r="F10061" i="13"/>
  <c r="F10062" i="13"/>
  <c r="F10063" i="13"/>
  <c r="F10064" i="13"/>
  <c r="F10065" i="13"/>
  <c r="F10066" i="13"/>
  <c r="F10067" i="13"/>
  <c r="F10068" i="13"/>
  <c r="F10069" i="13"/>
  <c r="F10070" i="13"/>
  <c r="F10071" i="13"/>
  <c r="F10072" i="13"/>
  <c r="F10073" i="13"/>
  <c r="F10074" i="13"/>
  <c r="F10075" i="13"/>
  <c r="F10076" i="13"/>
  <c r="F10077" i="13"/>
  <c r="F10078" i="13"/>
  <c r="F10079" i="13"/>
  <c r="F10080" i="13"/>
  <c r="F10081" i="13"/>
  <c r="F10082" i="13"/>
  <c r="F10083" i="13"/>
  <c r="F10084" i="13"/>
  <c r="F10085" i="13"/>
  <c r="F10086" i="13"/>
  <c r="F10087" i="13"/>
  <c r="F10088" i="13"/>
  <c r="F10089" i="13"/>
  <c r="F10090" i="13"/>
  <c r="F10091" i="13"/>
  <c r="F10092" i="13"/>
  <c r="F10093" i="13"/>
  <c r="F10094" i="13"/>
  <c r="F10095" i="13"/>
  <c r="F10096" i="13"/>
  <c r="F10097" i="13"/>
  <c r="F10098" i="13"/>
  <c r="F10099" i="13"/>
  <c r="F10100" i="13"/>
  <c r="F10101" i="13"/>
  <c r="F10102" i="13"/>
  <c r="F10103" i="13"/>
  <c r="F10104" i="13"/>
  <c r="F10105" i="13"/>
  <c r="F10106" i="13"/>
  <c r="F10107" i="13"/>
  <c r="F10108" i="13"/>
  <c r="F10109" i="13"/>
  <c r="F10110" i="13"/>
  <c r="F10111" i="13"/>
  <c r="F10112" i="13"/>
  <c r="F10113" i="13"/>
  <c r="F10114" i="13"/>
  <c r="F10115" i="13"/>
  <c r="F10116" i="13"/>
  <c r="F10117" i="13"/>
  <c r="F10118" i="13"/>
  <c r="F10119" i="13"/>
  <c r="F10120" i="13"/>
  <c r="F10121" i="13"/>
  <c r="F10122" i="13"/>
  <c r="F10123" i="13"/>
  <c r="F10124" i="13"/>
  <c r="F10125" i="13"/>
  <c r="F10126" i="13"/>
  <c r="F10127" i="13"/>
  <c r="F10128" i="13"/>
  <c r="F10129" i="13"/>
  <c r="F10130" i="13"/>
  <c r="F10131" i="13"/>
  <c r="F10132" i="13"/>
  <c r="F10133" i="13"/>
  <c r="F10134" i="13"/>
  <c r="F10135" i="13"/>
  <c r="F10136" i="13"/>
  <c r="F10137" i="13"/>
  <c r="F10138" i="13"/>
  <c r="F10139" i="13"/>
  <c r="F10140" i="13"/>
  <c r="F10141" i="13"/>
  <c r="F10142" i="13"/>
  <c r="F10143" i="13"/>
  <c r="F10144" i="13"/>
  <c r="F10145" i="13"/>
  <c r="F10146" i="13"/>
  <c r="F10147" i="13"/>
  <c r="F10148" i="13"/>
  <c r="F10149" i="13"/>
  <c r="F10150" i="13"/>
  <c r="F10151" i="13"/>
  <c r="F10152" i="13"/>
  <c r="F10153" i="13"/>
  <c r="F10154" i="13"/>
  <c r="F10155" i="13"/>
  <c r="F10156" i="13"/>
  <c r="F10157" i="13"/>
  <c r="F10158" i="13"/>
  <c r="F10159" i="13"/>
  <c r="F10160" i="13"/>
  <c r="F10161" i="13"/>
  <c r="F10162" i="13"/>
  <c r="F10163" i="13"/>
  <c r="F10164" i="13"/>
  <c r="F10165" i="13"/>
  <c r="F10166" i="13"/>
  <c r="F10167" i="13"/>
  <c r="F10168" i="13"/>
  <c r="F10169" i="13"/>
  <c r="F10170" i="13"/>
  <c r="F10171" i="13"/>
  <c r="F10172" i="13"/>
  <c r="F10173" i="13"/>
  <c r="F10174" i="13"/>
  <c r="F10175" i="13"/>
  <c r="F10176" i="13"/>
  <c r="F10177" i="13"/>
  <c r="F10178" i="13"/>
  <c r="F10179" i="13"/>
  <c r="F10180" i="13"/>
  <c r="F10181" i="13"/>
  <c r="F10182" i="13"/>
  <c r="F10183" i="13"/>
  <c r="F10184" i="13"/>
  <c r="F10185" i="13"/>
  <c r="F10186" i="13"/>
  <c r="F10187" i="13"/>
  <c r="F10188" i="13"/>
  <c r="F10189" i="13"/>
  <c r="F10190" i="13"/>
  <c r="F10191" i="13"/>
  <c r="F10192" i="13"/>
  <c r="F10193" i="13"/>
  <c r="F10194" i="13"/>
  <c r="F10195" i="13"/>
  <c r="F10196" i="13"/>
  <c r="F10197" i="13"/>
  <c r="F10198" i="13"/>
  <c r="F10199" i="13"/>
  <c r="F10200" i="13"/>
  <c r="F10201" i="13"/>
  <c r="F10202" i="13"/>
  <c r="F10203" i="13"/>
  <c r="F10204" i="13"/>
  <c r="F10205" i="13"/>
  <c r="F10206" i="13"/>
  <c r="F10207" i="13"/>
  <c r="F10208" i="13"/>
  <c r="F10209" i="13"/>
  <c r="F10210" i="13"/>
  <c r="F10211" i="13"/>
  <c r="F10212" i="13"/>
  <c r="F10213" i="13"/>
  <c r="F10214" i="13"/>
  <c r="F10215" i="13"/>
  <c r="F10216" i="13"/>
  <c r="F10217" i="13"/>
  <c r="F10218" i="13"/>
  <c r="F10219" i="13"/>
  <c r="F10220" i="13"/>
  <c r="F10221" i="13"/>
  <c r="F10222" i="13"/>
  <c r="F10223" i="13"/>
  <c r="F10224" i="13"/>
  <c r="F10225" i="13"/>
  <c r="F10226" i="13"/>
  <c r="F10227" i="13"/>
  <c r="F10228" i="13"/>
  <c r="F10229" i="13"/>
  <c r="F10230" i="13"/>
  <c r="F10231" i="13"/>
  <c r="F10232" i="13"/>
  <c r="F10233" i="13"/>
  <c r="F10234" i="13"/>
  <c r="F10235" i="13"/>
  <c r="F10236" i="13"/>
  <c r="F10237" i="13"/>
  <c r="F10238" i="13"/>
  <c r="F10239" i="13"/>
  <c r="F10240" i="13"/>
  <c r="F10241" i="13"/>
  <c r="F10242" i="13"/>
  <c r="F10243" i="13"/>
  <c r="F10244" i="13"/>
  <c r="F10245" i="13"/>
  <c r="F10246" i="13"/>
  <c r="F10247" i="13"/>
  <c r="F10248" i="13"/>
  <c r="F10249" i="13"/>
  <c r="F10250" i="13"/>
  <c r="F10251" i="13"/>
  <c r="F10252" i="13"/>
  <c r="F10253" i="13"/>
  <c r="F10254" i="13"/>
  <c r="F10255" i="13"/>
  <c r="F10256" i="13"/>
  <c r="F10257" i="13"/>
  <c r="F10258" i="13"/>
  <c r="F10259" i="13"/>
  <c r="F10260" i="13"/>
  <c r="F10261" i="13"/>
  <c r="F10262" i="13"/>
  <c r="F10263" i="13"/>
  <c r="F10264" i="13"/>
  <c r="F10265" i="13"/>
  <c r="F10266" i="13"/>
  <c r="F10267" i="13"/>
  <c r="F10268" i="13"/>
  <c r="F10269" i="13"/>
  <c r="F10270" i="13"/>
  <c r="F10271" i="13"/>
  <c r="F10272" i="13"/>
  <c r="F10273" i="13"/>
  <c r="F10274" i="13"/>
  <c r="F10275" i="13"/>
  <c r="F10276" i="13"/>
  <c r="F10277" i="13"/>
  <c r="F10278" i="13"/>
  <c r="F10279" i="13"/>
  <c r="F10280" i="13"/>
  <c r="F10281" i="13"/>
  <c r="F10282" i="13"/>
  <c r="F10283" i="13"/>
  <c r="F10284" i="13"/>
  <c r="F10285" i="13"/>
  <c r="F10286" i="13"/>
  <c r="F10287" i="13"/>
  <c r="F10288" i="13"/>
  <c r="F10289" i="13"/>
  <c r="F10290" i="13"/>
  <c r="F10291" i="13"/>
  <c r="F10292" i="13"/>
  <c r="F10293" i="13"/>
  <c r="F10294" i="13"/>
  <c r="F10295" i="13"/>
  <c r="F10296" i="13"/>
  <c r="F10297" i="13"/>
  <c r="F10298" i="13"/>
  <c r="F10299" i="13"/>
  <c r="F10300" i="13"/>
  <c r="F10301" i="13"/>
  <c r="F10302" i="13"/>
  <c r="F10303" i="13"/>
  <c r="F10304" i="13"/>
  <c r="F10305" i="13"/>
  <c r="F10306" i="13"/>
  <c r="F10307" i="13"/>
  <c r="F10308" i="13"/>
  <c r="F10309" i="13"/>
  <c r="F10310" i="13"/>
  <c r="F10311" i="13"/>
  <c r="F10312" i="13"/>
  <c r="F10313" i="13"/>
  <c r="F10314" i="13"/>
  <c r="F10315" i="13"/>
  <c r="F10316" i="13"/>
  <c r="F10317" i="13"/>
  <c r="F10318" i="13"/>
  <c r="F10319" i="13"/>
  <c r="F10320" i="13"/>
  <c r="F10321" i="13"/>
  <c r="F10322" i="13"/>
  <c r="F10323" i="13"/>
  <c r="F10324" i="13"/>
  <c r="F10325" i="13"/>
  <c r="F10326" i="13"/>
  <c r="F10327" i="13"/>
  <c r="F10328" i="13"/>
  <c r="F10329" i="13"/>
  <c r="F10330" i="13"/>
  <c r="F10331" i="13"/>
  <c r="F10332" i="13"/>
  <c r="F10333" i="13"/>
  <c r="F10334" i="13"/>
  <c r="F10335" i="13"/>
  <c r="F10336" i="13"/>
  <c r="F10337" i="13"/>
  <c r="F10338" i="13"/>
  <c r="F10339" i="13"/>
  <c r="F10340" i="13"/>
  <c r="F10341" i="13"/>
  <c r="F10342" i="13"/>
  <c r="F10343" i="13"/>
  <c r="F10344" i="13"/>
  <c r="F10345" i="13"/>
  <c r="F10346" i="13"/>
  <c r="F10347" i="13"/>
  <c r="F10348" i="13"/>
  <c r="F10349" i="13"/>
  <c r="F10350" i="13"/>
  <c r="F10351" i="13"/>
  <c r="F10352" i="13"/>
  <c r="F10353" i="13"/>
  <c r="F10354" i="13"/>
  <c r="F10355" i="13"/>
  <c r="F10356" i="13"/>
  <c r="F10357" i="13"/>
  <c r="F10358" i="13"/>
  <c r="F10359" i="13"/>
  <c r="F10360" i="13"/>
  <c r="F10361" i="13"/>
  <c r="F10362" i="13"/>
  <c r="F10363" i="13"/>
  <c r="F10364" i="13"/>
  <c r="F10365" i="13"/>
  <c r="F10366" i="13"/>
  <c r="F10367" i="13"/>
  <c r="F10368" i="13"/>
  <c r="F10369" i="13"/>
  <c r="F10370" i="13"/>
  <c r="F10371" i="13"/>
  <c r="F10372" i="13"/>
  <c r="F10373" i="13"/>
  <c r="F10374" i="13"/>
  <c r="F10375" i="13"/>
  <c r="F10376" i="13"/>
  <c r="F10377" i="13"/>
  <c r="F10378" i="13"/>
  <c r="F10379" i="13"/>
  <c r="F10380" i="13"/>
  <c r="F10381" i="13"/>
  <c r="F10382" i="13"/>
  <c r="F10383" i="13"/>
  <c r="F10384" i="13"/>
  <c r="F10385" i="13"/>
  <c r="F10386" i="13"/>
  <c r="F10387" i="13"/>
  <c r="F10388" i="13"/>
  <c r="F10389" i="13"/>
  <c r="F10390" i="13"/>
  <c r="F10391" i="13"/>
  <c r="F10392" i="13"/>
  <c r="F10393" i="13"/>
  <c r="F10394" i="13"/>
  <c r="F10395" i="13"/>
  <c r="F10396" i="13"/>
  <c r="F10397" i="13"/>
  <c r="F10398" i="13"/>
  <c r="F10399" i="13"/>
  <c r="F10400" i="13"/>
  <c r="F10401" i="13"/>
  <c r="F10402" i="13"/>
  <c r="F10403" i="13"/>
  <c r="F10404" i="13"/>
  <c r="F10405" i="13"/>
  <c r="F10406" i="13"/>
  <c r="F10407" i="13"/>
  <c r="F10408" i="13"/>
  <c r="F10409" i="13"/>
  <c r="F10410" i="13"/>
  <c r="F10411" i="13"/>
  <c r="F10412" i="13"/>
  <c r="F10413" i="13"/>
  <c r="F10414" i="13"/>
  <c r="F10415" i="13"/>
  <c r="F10416" i="13"/>
  <c r="F10417" i="13"/>
  <c r="F10418" i="13"/>
  <c r="F10419" i="13"/>
  <c r="F10420" i="13"/>
  <c r="F10421" i="13"/>
  <c r="F10422" i="13"/>
  <c r="F10423" i="13"/>
  <c r="F10424" i="13"/>
  <c r="F10425" i="13"/>
  <c r="F10426" i="13"/>
  <c r="F10427" i="13"/>
  <c r="F10428" i="13"/>
  <c r="F10429" i="13"/>
  <c r="F10430" i="13"/>
  <c r="F10431" i="13"/>
  <c r="F10432" i="13"/>
  <c r="F10433" i="13"/>
  <c r="F10434" i="13"/>
  <c r="F10435" i="13"/>
  <c r="F10436" i="13"/>
  <c r="F10437" i="13"/>
  <c r="F10438" i="13"/>
  <c r="F10439" i="13"/>
  <c r="F10440" i="13"/>
  <c r="F10441" i="13"/>
  <c r="F10442" i="13"/>
  <c r="F10443" i="13"/>
  <c r="F10444" i="13"/>
  <c r="F10445" i="13"/>
  <c r="F10446" i="13"/>
  <c r="F10447" i="13"/>
  <c r="F10448" i="13"/>
  <c r="F10449" i="13"/>
  <c r="F10450" i="13"/>
  <c r="F10451" i="13"/>
  <c r="F10452" i="13"/>
  <c r="F10453" i="13"/>
  <c r="F10454" i="13"/>
  <c r="F10455" i="13"/>
  <c r="F10456" i="13"/>
  <c r="F10457" i="13"/>
  <c r="F10458" i="13"/>
  <c r="F10459" i="13"/>
  <c r="F10460" i="13"/>
  <c r="F10461" i="13"/>
  <c r="F10462" i="13"/>
  <c r="F10463" i="13"/>
  <c r="F10464" i="13"/>
  <c r="F10465" i="13"/>
  <c r="F10466" i="13"/>
  <c r="F10467" i="13"/>
  <c r="F10468" i="13"/>
  <c r="F10469" i="13"/>
  <c r="F10470" i="13"/>
  <c r="F10471" i="13"/>
  <c r="F10472" i="13"/>
  <c r="F10473" i="13"/>
  <c r="F10474" i="13"/>
  <c r="F10475" i="13"/>
  <c r="F10476" i="13"/>
  <c r="F10477" i="13"/>
  <c r="F10478" i="13"/>
  <c r="F10479" i="13"/>
  <c r="F10480" i="13"/>
  <c r="F10481" i="13"/>
  <c r="F10482" i="13"/>
  <c r="F10483" i="13"/>
  <c r="F10484" i="13"/>
  <c r="F10485" i="13"/>
  <c r="F10486" i="13"/>
  <c r="F10487" i="13"/>
  <c r="F10488" i="13"/>
  <c r="F10489" i="13"/>
  <c r="F10490" i="13"/>
  <c r="F10491" i="13"/>
  <c r="F10492" i="13"/>
  <c r="F10493" i="13"/>
  <c r="F10494" i="13"/>
  <c r="F10495" i="13"/>
  <c r="F10496" i="13"/>
  <c r="F10497" i="13"/>
  <c r="F10498" i="13"/>
  <c r="F10499" i="13"/>
  <c r="F10500" i="13"/>
  <c r="F10501" i="13"/>
  <c r="F10502" i="13"/>
  <c r="F10503" i="13"/>
  <c r="F10504" i="13"/>
  <c r="F10505" i="13"/>
  <c r="F10506" i="13"/>
  <c r="F10507" i="13"/>
  <c r="F10508" i="13"/>
  <c r="F10509" i="13"/>
  <c r="F10510" i="13"/>
  <c r="F10511" i="13"/>
  <c r="F10512" i="13"/>
  <c r="F10513" i="13"/>
  <c r="F10514" i="13"/>
  <c r="F10515" i="13"/>
  <c r="F10516" i="13"/>
  <c r="F10517" i="13"/>
  <c r="F10518" i="13"/>
  <c r="F10519" i="13"/>
  <c r="F10520" i="13"/>
  <c r="F10521" i="13"/>
  <c r="F10522" i="13"/>
  <c r="F10523" i="13"/>
  <c r="F10524" i="13"/>
  <c r="F10525" i="13"/>
  <c r="F10526" i="13"/>
  <c r="F10527" i="13"/>
  <c r="F10528" i="13"/>
  <c r="F10529" i="13"/>
  <c r="F10530" i="13"/>
  <c r="F10531" i="13"/>
  <c r="F10532" i="13"/>
  <c r="F10533" i="13"/>
  <c r="F10534" i="13"/>
  <c r="F10535" i="13"/>
  <c r="F10536" i="13"/>
  <c r="F10537" i="13"/>
  <c r="F10538" i="13"/>
  <c r="F10539" i="13"/>
  <c r="F10540" i="13"/>
  <c r="F10541" i="13"/>
  <c r="F10542" i="13"/>
  <c r="F10543" i="13"/>
  <c r="F10544" i="13"/>
  <c r="F10545" i="13"/>
  <c r="F10546" i="13"/>
  <c r="F10547" i="13"/>
  <c r="F10548" i="13"/>
  <c r="F10549" i="13"/>
  <c r="F10550" i="13"/>
  <c r="F10551" i="13"/>
  <c r="F10552" i="13"/>
  <c r="F10553" i="13"/>
  <c r="F10554" i="13"/>
  <c r="F10555" i="13"/>
  <c r="F10556" i="13"/>
  <c r="F10557" i="13"/>
  <c r="F10558" i="13"/>
  <c r="F10559" i="13"/>
  <c r="F10560" i="13"/>
  <c r="F10561" i="13"/>
  <c r="F10562" i="13"/>
  <c r="F10563" i="13"/>
  <c r="F10564" i="13"/>
  <c r="F10565" i="13"/>
  <c r="F10566" i="13"/>
  <c r="F10567" i="13"/>
  <c r="F10568" i="13"/>
  <c r="F10569" i="13"/>
  <c r="F10570" i="13"/>
  <c r="F10571" i="13"/>
  <c r="F10572" i="13"/>
  <c r="F10573" i="13"/>
  <c r="F10574" i="13"/>
  <c r="F10575" i="13"/>
  <c r="F10576" i="13"/>
  <c r="F10577" i="13"/>
  <c r="F10578" i="13"/>
  <c r="F10579" i="13"/>
  <c r="F10580" i="13"/>
  <c r="F10581" i="13"/>
  <c r="F10582" i="13"/>
  <c r="F10583" i="13"/>
  <c r="F10584" i="13"/>
  <c r="F10585" i="13"/>
  <c r="F10586" i="13"/>
  <c r="F10587" i="13"/>
  <c r="F10588" i="13"/>
  <c r="F10589" i="13"/>
  <c r="F10590" i="13"/>
  <c r="F10591" i="13"/>
  <c r="F10592" i="13"/>
  <c r="F10593" i="13"/>
  <c r="F10594" i="13"/>
  <c r="F10595" i="13"/>
  <c r="F10596" i="13"/>
  <c r="F10597" i="13"/>
  <c r="F10598" i="13"/>
  <c r="F10599" i="13"/>
  <c r="F10600" i="13"/>
  <c r="F10601" i="13"/>
  <c r="F10602" i="13"/>
  <c r="F10603" i="13"/>
  <c r="F10604" i="13"/>
  <c r="F10605" i="13"/>
  <c r="F10606" i="13"/>
  <c r="F10607" i="13"/>
  <c r="F10608" i="13"/>
  <c r="F10609" i="13"/>
  <c r="F10610" i="13"/>
  <c r="F10611" i="13"/>
  <c r="F10612" i="13"/>
  <c r="F10613" i="13"/>
  <c r="F10614" i="13"/>
  <c r="F10615" i="13"/>
  <c r="F10616" i="13"/>
  <c r="F10617" i="13"/>
  <c r="F10618" i="13"/>
  <c r="F10619" i="13"/>
  <c r="F10620" i="13"/>
  <c r="F10621" i="13"/>
  <c r="F10622" i="13"/>
  <c r="F10623" i="13"/>
  <c r="F10624" i="13"/>
  <c r="F10625" i="13"/>
  <c r="F10626" i="13"/>
  <c r="F10627" i="13"/>
  <c r="F10628" i="13"/>
  <c r="F10629" i="13"/>
  <c r="F10630" i="13"/>
  <c r="F10631" i="13"/>
  <c r="F10632" i="13"/>
  <c r="F10633" i="13"/>
  <c r="F10634" i="13"/>
  <c r="F10635" i="13"/>
  <c r="F10636" i="13"/>
  <c r="F10637" i="13"/>
  <c r="F10638" i="13"/>
  <c r="F10639" i="13"/>
  <c r="F10640" i="13"/>
  <c r="F10641" i="13"/>
  <c r="F10642" i="13"/>
  <c r="F10643" i="13"/>
  <c r="F10644" i="13"/>
  <c r="F10645" i="13"/>
  <c r="F10646" i="13"/>
  <c r="F10647" i="13"/>
  <c r="F10648" i="13"/>
  <c r="F10649" i="13"/>
  <c r="F10650" i="13"/>
  <c r="F10651" i="13"/>
  <c r="F10652" i="13"/>
  <c r="F10653" i="13"/>
  <c r="F10654" i="13"/>
  <c r="F10655" i="13"/>
  <c r="F10656" i="13"/>
  <c r="F10657" i="13"/>
  <c r="F10658" i="13"/>
  <c r="F10659" i="13"/>
  <c r="F10660" i="13"/>
  <c r="F10661" i="13"/>
  <c r="F10662" i="13"/>
  <c r="F10663" i="13"/>
  <c r="F10664" i="13"/>
  <c r="F10665" i="13"/>
  <c r="F10666" i="13"/>
  <c r="F10667" i="13"/>
  <c r="F10668" i="13"/>
  <c r="F10669" i="13"/>
  <c r="F10670" i="13"/>
  <c r="F10671" i="13"/>
  <c r="F10672" i="13"/>
  <c r="F10673" i="13"/>
  <c r="F10674" i="13"/>
  <c r="F10675" i="13"/>
  <c r="F10676" i="13"/>
  <c r="F10677" i="13"/>
  <c r="F10678" i="13"/>
  <c r="F10679" i="13"/>
  <c r="F10680" i="13"/>
  <c r="F10681" i="13"/>
  <c r="F10682" i="13"/>
  <c r="F10683" i="13"/>
  <c r="F10684" i="13"/>
  <c r="F10685" i="13"/>
  <c r="F10686" i="13"/>
  <c r="F10687" i="13"/>
  <c r="F10688" i="13"/>
  <c r="F10689" i="13"/>
  <c r="F10690" i="13"/>
  <c r="F10691" i="13"/>
  <c r="F10692" i="13"/>
  <c r="F10693" i="13"/>
  <c r="F10694" i="13"/>
  <c r="F10695" i="13"/>
  <c r="F10696" i="13"/>
  <c r="F10697" i="13"/>
  <c r="F10698" i="13"/>
  <c r="F10699" i="13"/>
  <c r="F10700" i="13"/>
  <c r="F10701" i="13"/>
  <c r="F10702" i="13"/>
  <c r="F10703" i="13"/>
  <c r="F10704" i="13"/>
  <c r="F10705" i="13"/>
  <c r="F10706" i="13"/>
  <c r="F10707" i="13"/>
  <c r="F10708" i="13"/>
  <c r="F10709" i="13"/>
  <c r="F10710" i="13"/>
  <c r="F10711" i="13"/>
  <c r="F10712" i="13"/>
  <c r="F10713" i="13"/>
  <c r="F10714" i="13"/>
  <c r="F10715" i="13"/>
  <c r="F10716" i="13"/>
  <c r="F10717" i="13"/>
  <c r="F10718" i="13"/>
  <c r="F10719" i="13"/>
  <c r="F10720" i="13"/>
  <c r="F10721" i="13"/>
  <c r="F10722" i="13"/>
  <c r="F10723" i="13"/>
  <c r="F10724" i="13"/>
  <c r="F10725" i="13"/>
  <c r="F10726" i="13"/>
  <c r="F10727" i="13"/>
  <c r="F10728" i="13"/>
  <c r="F10729" i="13"/>
  <c r="F10730" i="13"/>
  <c r="F10731" i="13"/>
  <c r="F10732" i="13"/>
  <c r="F10733" i="13"/>
  <c r="F10734" i="13"/>
  <c r="F10735" i="13"/>
  <c r="F10736" i="13"/>
  <c r="F10737" i="13"/>
  <c r="F10738" i="13"/>
  <c r="F10739" i="13"/>
  <c r="F10740" i="13"/>
  <c r="F10741" i="13"/>
  <c r="F10742" i="13"/>
  <c r="F10743" i="13"/>
  <c r="F10744" i="13"/>
  <c r="F10745" i="13"/>
  <c r="F10746" i="13"/>
  <c r="F10747" i="13"/>
  <c r="F10748" i="13"/>
  <c r="F10749" i="13"/>
  <c r="F10750" i="13"/>
  <c r="F10751" i="13"/>
  <c r="F10752" i="13"/>
  <c r="F10753" i="13"/>
  <c r="F10754" i="13"/>
  <c r="F10755" i="13"/>
  <c r="F10756" i="13"/>
  <c r="F10757" i="13"/>
  <c r="F10758" i="13"/>
  <c r="F10759" i="13"/>
  <c r="F10760" i="13"/>
  <c r="F10761" i="13"/>
  <c r="F10762" i="13"/>
  <c r="F10763" i="13"/>
  <c r="F10764" i="13"/>
  <c r="F10765" i="13"/>
  <c r="F10766" i="13"/>
  <c r="F10767" i="13"/>
  <c r="F10768" i="13"/>
  <c r="F10769" i="13"/>
  <c r="F10770" i="13"/>
  <c r="F10771" i="13"/>
  <c r="F10772" i="13"/>
  <c r="F10773" i="13"/>
  <c r="F10774" i="13"/>
  <c r="F10775" i="13"/>
  <c r="F10776" i="13"/>
  <c r="F10777" i="13"/>
  <c r="F10778" i="13"/>
  <c r="F10779" i="13"/>
  <c r="F10780" i="13"/>
  <c r="F10781" i="13"/>
  <c r="F10782" i="13"/>
  <c r="F10783" i="13"/>
  <c r="F10784" i="13"/>
  <c r="F10785" i="13"/>
  <c r="F10786" i="13"/>
  <c r="F10787" i="13"/>
  <c r="F10788" i="13"/>
  <c r="F10789" i="13"/>
  <c r="F10790" i="13"/>
  <c r="F10791" i="13"/>
  <c r="F10792" i="13"/>
  <c r="F10793" i="13"/>
  <c r="F10794" i="13"/>
  <c r="F10795" i="13"/>
  <c r="F10796" i="13"/>
  <c r="F10797" i="13"/>
  <c r="F10798" i="13"/>
  <c r="F10799" i="13"/>
  <c r="F10800" i="13"/>
  <c r="F10801" i="13"/>
  <c r="F10802" i="13"/>
  <c r="F10803" i="13"/>
  <c r="F10804" i="13"/>
  <c r="F10805" i="13"/>
  <c r="F10806" i="13"/>
  <c r="F10807" i="13"/>
  <c r="F10808" i="13"/>
  <c r="F10809" i="13"/>
  <c r="F10810" i="13"/>
  <c r="F10811" i="13"/>
  <c r="F10812" i="13"/>
  <c r="F10813" i="13"/>
  <c r="F10814" i="13"/>
  <c r="F10815" i="13"/>
  <c r="F10816" i="13"/>
  <c r="F10817" i="13"/>
  <c r="F10818" i="13"/>
  <c r="F10819" i="13"/>
  <c r="F10820" i="13"/>
  <c r="F10821" i="13"/>
  <c r="F10822" i="13"/>
  <c r="F10823" i="13"/>
  <c r="F10824" i="13"/>
  <c r="F10825" i="13"/>
  <c r="F10826" i="13"/>
  <c r="F10827" i="13"/>
  <c r="F10828" i="13"/>
  <c r="F10829" i="13"/>
  <c r="F10830" i="13"/>
  <c r="F10831" i="13"/>
  <c r="F10832" i="13"/>
  <c r="F10833" i="13"/>
  <c r="F10834" i="13"/>
  <c r="F10835" i="13"/>
  <c r="F10836" i="13"/>
  <c r="F10837" i="13"/>
  <c r="F10838" i="13"/>
  <c r="F10839" i="13"/>
  <c r="F10840" i="13"/>
  <c r="F10841" i="13"/>
  <c r="F10842" i="13"/>
  <c r="F10843" i="13"/>
  <c r="F10844" i="13"/>
  <c r="F10845" i="13"/>
  <c r="F10846" i="13"/>
  <c r="F10847" i="13"/>
  <c r="F10848" i="13"/>
  <c r="F10849" i="13"/>
  <c r="F10850" i="13"/>
  <c r="F10851" i="13"/>
  <c r="F10852" i="13"/>
  <c r="F10853" i="13"/>
  <c r="F10854" i="13"/>
  <c r="F10855" i="13"/>
  <c r="F10856" i="13"/>
  <c r="F10857" i="13"/>
  <c r="F10858" i="13"/>
  <c r="F10859" i="13"/>
  <c r="F10860" i="13"/>
  <c r="F10861" i="13"/>
  <c r="F10862" i="13"/>
  <c r="F10863" i="13"/>
  <c r="F10864" i="13"/>
  <c r="F10865" i="13"/>
  <c r="F10866" i="13"/>
  <c r="F10867" i="13"/>
  <c r="F10868" i="13"/>
  <c r="F10869" i="13"/>
  <c r="F10870" i="13"/>
  <c r="F10871" i="13"/>
  <c r="F10872" i="13"/>
  <c r="F10873" i="13"/>
  <c r="F10874" i="13"/>
  <c r="F10875" i="13"/>
  <c r="F10876" i="13"/>
  <c r="F10877" i="13"/>
  <c r="F10878" i="13"/>
  <c r="F10879" i="13"/>
  <c r="F10880" i="13"/>
  <c r="F10881" i="13"/>
  <c r="F10882" i="13"/>
  <c r="F10883" i="13"/>
  <c r="F10884" i="13"/>
  <c r="F10885" i="13"/>
  <c r="F10886" i="13"/>
  <c r="F10887" i="13"/>
  <c r="F10888" i="13"/>
  <c r="F10889" i="13"/>
  <c r="F10890" i="13"/>
  <c r="F10891" i="13"/>
  <c r="F10892" i="13"/>
  <c r="F10893" i="13"/>
  <c r="F10894" i="13"/>
  <c r="F10895" i="13"/>
  <c r="F10896" i="13"/>
  <c r="F10897" i="13"/>
  <c r="F10898" i="13"/>
  <c r="F10899" i="13"/>
  <c r="F10900" i="13"/>
  <c r="F10901" i="13"/>
  <c r="F10902" i="13"/>
  <c r="F10903" i="13"/>
  <c r="F10904" i="13"/>
  <c r="F10905" i="13"/>
  <c r="F10906" i="13"/>
  <c r="F10907" i="13"/>
  <c r="F10908" i="13"/>
  <c r="F10909" i="13"/>
  <c r="F10910" i="13"/>
  <c r="F10911" i="13"/>
  <c r="F10912" i="13"/>
  <c r="F10913" i="13"/>
  <c r="F10914" i="13"/>
  <c r="F10915" i="13"/>
  <c r="F10916" i="13"/>
  <c r="F10917" i="13"/>
  <c r="F10918" i="13"/>
  <c r="F10919" i="13"/>
  <c r="F10920" i="13"/>
  <c r="F10921" i="13"/>
  <c r="F10922" i="13"/>
  <c r="F10923" i="13"/>
  <c r="F10924" i="13"/>
  <c r="F10925" i="13"/>
  <c r="F10926" i="13"/>
  <c r="F10927" i="13"/>
  <c r="F10928" i="13"/>
  <c r="F10929" i="13"/>
  <c r="F10930" i="13"/>
  <c r="F10931" i="13"/>
  <c r="F10932" i="13"/>
  <c r="F10933" i="13"/>
  <c r="F10934" i="13"/>
  <c r="F10935" i="13"/>
  <c r="F10936" i="13"/>
  <c r="F10937" i="13"/>
  <c r="F10938" i="13"/>
  <c r="F10939" i="13"/>
  <c r="F10940" i="13"/>
  <c r="F10941" i="13"/>
  <c r="F10942" i="13"/>
  <c r="F10943" i="13"/>
  <c r="F10944" i="13"/>
  <c r="F10945" i="13"/>
  <c r="F10946" i="13"/>
  <c r="F10947" i="13"/>
  <c r="F10948" i="13"/>
  <c r="F10949" i="13"/>
  <c r="F10950" i="13"/>
  <c r="F10951" i="13"/>
  <c r="F10952" i="13"/>
  <c r="F10953" i="13"/>
  <c r="F10954" i="13"/>
  <c r="F10955" i="13"/>
  <c r="F10956" i="13"/>
  <c r="F10957" i="13"/>
  <c r="F10958" i="13"/>
  <c r="F10959" i="13"/>
  <c r="F10960" i="13"/>
  <c r="F10961" i="13"/>
  <c r="F10962" i="13"/>
  <c r="F10963" i="13"/>
  <c r="F10964" i="13"/>
  <c r="F10965" i="13"/>
  <c r="F10966" i="13"/>
  <c r="F10967" i="13"/>
  <c r="F10968" i="13"/>
  <c r="F10969" i="13"/>
  <c r="F10970" i="13"/>
  <c r="F10971" i="13"/>
  <c r="F10972" i="13"/>
  <c r="F10973" i="13"/>
  <c r="F10974" i="13"/>
  <c r="F10975" i="13"/>
  <c r="F10976" i="13"/>
  <c r="F10977" i="13"/>
  <c r="F10978" i="13"/>
  <c r="F10979" i="13"/>
  <c r="F10980" i="13"/>
  <c r="F10981" i="13"/>
  <c r="F10982" i="13"/>
  <c r="F10983" i="13"/>
  <c r="F10984" i="13"/>
  <c r="F10985" i="13"/>
  <c r="F10986" i="13"/>
  <c r="F10987" i="13"/>
  <c r="F10988" i="13"/>
  <c r="F10989" i="13"/>
  <c r="F10990" i="13"/>
  <c r="F10991" i="13"/>
  <c r="F10992" i="13"/>
  <c r="F10993" i="13"/>
  <c r="F10994" i="13"/>
  <c r="F10995" i="13"/>
  <c r="F10996" i="13"/>
  <c r="F10997" i="13"/>
  <c r="F10998" i="13"/>
  <c r="F10999" i="13"/>
  <c r="F11000" i="13"/>
  <c r="F11001" i="13"/>
  <c r="F11002" i="13"/>
  <c r="F11003" i="13"/>
  <c r="F11004" i="13"/>
  <c r="F11005" i="13"/>
  <c r="F11006" i="13"/>
  <c r="F11007" i="13"/>
  <c r="F11008" i="13"/>
  <c r="F11009" i="13"/>
  <c r="F11010" i="13"/>
  <c r="F11011" i="13"/>
  <c r="F11012" i="13"/>
  <c r="F11013" i="13"/>
  <c r="F11014" i="13"/>
  <c r="F11015" i="13"/>
  <c r="F11016" i="13"/>
  <c r="F11017" i="13"/>
  <c r="F11018" i="13"/>
  <c r="F11019" i="13"/>
  <c r="F11020" i="13"/>
  <c r="F11021" i="13"/>
  <c r="F11022" i="13"/>
  <c r="F11023" i="13"/>
  <c r="F11024" i="13"/>
  <c r="F11025" i="13"/>
  <c r="F11026" i="13"/>
  <c r="F11027" i="13"/>
  <c r="F11028" i="13"/>
  <c r="F11029" i="13"/>
  <c r="F11030" i="13"/>
  <c r="F11031" i="13"/>
  <c r="F11032" i="13"/>
  <c r="F11033" i="13"/>
  <c r="F11034" i="13"/>
  <c r="F11035" i="13"/>
  <c r="F11036" i="13"/>
  <c r="F11037" i="13"/>
  <c r="F11038" i="13"/>
  <c r="F11039" i="13"/>
  <c r="F11040" i="13"/>
  <c r="F11041" i="13"/>
  <c r="F11042" i="13"/>
  <c r="F11043" i="13"/>
  <c r="F11044" i="13"/>
  <c r="F11045" i="13"/>
  <c r="F11046" i="13"/>
  <c r="F11047" i="13"/>
  <c r="F11048" i="13"/>
  <c r="F11049" i="13"/>
  <c r="F11050" i="13"/>
  <c r="F11051" i="13"/>
  <c r="F11052" i="13"/>
  <c r="F11053" i="13"/>
  <c r="F11054" i="13"/>
  <c r="F11055" i="13"/>
  <c r="F11056" i="13"/>
  <c r="F11057" i="13"/>
  <c r="F11058" i="13"/>
  <c r="F11059" i="13"/>
  <c r="F11060" i="13"/>
  <c r="F11061" i="13"/>
  <c r="F11062" i="13"/>
  <c r="F11063" i="13"/>
  <c r="F11064" i="13"/>
  <c r="F11065" i="13"/>
  <c r="F11066" i="13"/>
  <c r="F11067" i="13"/>
  <c r="F11068" i="13"/>
  <c r="F11069" i="13"/>
  <c r="F11070" i="13"/>
  <c r="F11071" i="13"/>
  <c r="F11072" i="13"/>
  <c r="F11073" i="13"/>
  <c r="F11074" i="13"/>
  <c r="F11075" i="13"/>
  <c r="F11076" i="13"/>
  <c r="F11077" i="13"/>
  <c r="F11078" i="13"/>
  <c r="F11079" i="13"/>
  <c r="F11080" i="13"/>
  <c r="F11081" i="13"/>
  <c r="F11082" i="13"/>
  <c r="F11083" i="13"/>
  <c r="F11084" i="13"/>
  <c r="F11085" i="13"/>
  <c r="F11086" i="13"/>
  <c r="F11087" i="13"/>
  <c r="F11088" i="13"/>
  <c r="F11089" i="13"/>
  <c r="F11090" i="13"/>
  <c r="F11091" i="13"/>
  <c r="F11092" i="13"/>
  <c r="F11093" i="13"/>
  <c r="F11094" i="13"/>
  <c r="F11095" i="13"/>
  <c r="F11096" i="13"/>
  <c r="F11097" i="13"/>
  <c r="F11098" i="13"/>
  <c r="F11099" i="13"/>
  <c r="F11100" i="13"/>
  <c r="F11101" i="13"/>
  <c r="F11102" i="13"/>
  <c r="F11103" i="13"/>
  <c r="F11104" i="13"/>
  <c r="F11105" i="13"/>
  <c r="F11106" i="13"/>
  <c r="F11107" i="13"/>
  <c r="F11108" i="13"/>
  <c r="F11109" i="13"/>
  <c r="F11110" i="13"/>
  <c r="F11111" i="13"/>
  <c r="F11112" i="13"/>
  <c r="F11113" i="13"/>
  <c r="F11114" i="13"/>
  <c r="F11115" i="13"/>
  <c r="F11116" i="13"/>
  <c r="F11117" i="13"/>
  <c r="F11118" i="13"/>
  <c r="F11119" i="13"/>
  <c r="F11120" i="13"/>
  <c r="F11121" i="13"/>
  <c r="F11122" i="13"/>
  <c r="F11123" i="13"/>
  <c r="F11124" i="13"/>
  <c r="F11125" i="13"/>
  <c r="F11126" i="13"/>
  <c r="F11127" i="13"/>
  <c r="F11128" i="13"/>
  <c r="F11129" i="13"/>
  <c r="F11130" i="13"/>
  <c r="F11131" i="13"/>
  <c r="F11132" i="13"/>
  <c r="F11133" i="13"/>
  <c r="F11134" i="13"/>
  <c r="F11135" i="13"/>
  <c r="F11136" i="13"/>
  <c r="F11137" i="13"/>
  <c r="F11138" i="13"/>
  <c r="F11139" i="13"/>
  <c r="F11140" i="13"/>
  <c r="F11141" i="13"/>
  <c r="F11142" i="13"/>
  <c r="F11143" i="13"/>
  <c r="F11144" i="13"/>
  <c r="F11145" i="13"/>
  <c r="F11146" i="13"/>
  <c r="F11147" i="13"/>
  <c r="F11148" i="13"/>
  <c r="F11149" i="13"/>
  <c r="F11150" i="13"/>
  <c r="F11151" i="13"/>
  <c r="F11152" i="13"/>
  <c r="F11153" i="13"/>
  <c r="F11154" i="13"/>
  <c r="F11155" i="13"/>
  <c r="F11156" i="13"/>
  <c r="F11157" i="13"/>
  <c r="F11158" i="13"/>
  <c r="F11159" i="13"/>
  <c r="F11160" i="13"/>
  <c r="F11161" i="13"/>
  <c r="F11162" i="13"/>
  <c r="F11163" i="13"/>
  <c r="F11164" i="13"/>
  <c r="F11165" i="13"/>
  <c r="F11166" i="13"/>
  <c r="F11167" i="13"/>
  <c r="F11168" i="13"/>
  <c r="F11169" i="13"/>
  <c r="F11170" i="13"/>
  <c r="F11171" i="13"/>
  <c r="F11172" i="13"/>
  <c r="F11173" i="13"/>
  <c r="F11174" i="13"/>
  <c r="F11175" i="13"/>
  <c r="F11176" i="13"/>
  <c r="F11177" i="13"/>
  <c r="F11178" i="13"/>
  <c r="F11179" i="13"/>
  <c r="F11180" i="13"/>
  <c r="F11181" i="13"/>
  <c r="F11182" i="13"/>
  <c r="F11183" i="13"/>
  <c r="F11184" i="13"/>
  <c r="F11185" i="13"/>
  <c r="F11186" i="13"/>
  <c r="F11187" i="13"/>
  <c r="F11188" i="13"/>
  <c r="F11189" i="13"/>
  <c r="F11190" i="13"/>
  <c r="F11191" i="13"/>
  <c r="F11192" i="13"/>
  <c r="F11193" i="13"/>
  <c r="F11194" i="13"/>
  <c r="F11195" i="13"/>
  <c r="F11196" i="13"/>
  <c r="F11197" i="13"/>
  <c r="F11198" i="13"/>
  <c r="F11199" i="13"/>
  <c r="F11200" i="13"/>
  <c r="F11201" i="13"/>
  <c r="F11202" i="13"/>
  <c r="F11203" i="13"/>
  <c r="F11204" i="13"/>
  <c r="F11205" i="13"/>
  <c r="F11206" i="13"/>
  <c r="F11207" i="13"/>
  <c r="F11208" i="13"/>
  <c r="F11209" i="13"/>
  <c r="F11210" i="13"/>
  <c r="F11211" i="13"/>
  <c r="F11212" i="13"/>
  <c r="F11213" i="13"/>
  <c r="F11214" i="13"/>
  <c r="F11215" i="13"/>
  <c r="F11216" i="13"/>
  <c r="F11217" i="13"/>
  <c r="F11218" i="13"/>
  <c r="F11219" i="13"/>
  <c r="F11220" i="13"/>
  <c r="F11221" i="13"/>
  <c r="F11222" i="13"/>
  <c r="F11223" i="13"/>
  <c r="F11224" i="13"/>
  <c r="F11225" i="13"/>
  <c r="F11226" i="13"/>
  <c r="F11227" i="13"/>
  <c r="F11228" i="13"/>
  <c r="F11229" i="13"/>
  <c r="F11230" i="13"/>
  <c r="F11231" i="13"/>
  <c r="F11232" i="13"/>
  <c r="F11233" i="13"/>
  <c r="F11234" i="13"/>
  <c r="F11235" i="13"/>
  <c r="F11236" i="13"/>
  <c r="F11237" i="13"/>
  <c r="F11238" i="13"/>
  <c r="F11239" i="13"/>
  <c r="F11240" i="13"/>
  <c r="F11241" i="13"/>
  <c r="F11242" i="13"/>
  <c r="F11243" i="13"/>
  <c r="F11244" i="13"/>
  <c r="F11245" i="13"/>
  <c r="F11246" i="13"/>
  <c r="F11247" i="13"/>
  <c r="F11248" i="13"/>
  <c r="F11249" i="13"/>
  <c r="F11250" i="13"/>
  <c r="F11251" i="13"/>
  <c r="F11252" i="13"/>
  <c r="F11253" i="13"/>
  <c r="F11254" i="13"/>
  <c r="F11255" i="13"/>
  <c r="F11256" i="13"/>
  <c r="F11257" i="13"/>
  <c r="F11258" i="13"/>
  <c r="F11259" i="13"/>
  <c r="F11260" i="13"/>
  <c r="F11261" i="13"/>
  <c r="F11262" i="13"/>
  <c r="F11263" i="13"/>
  <c r="F11264" i="13"/>
  <c r="F11265" i="13"/>
  <c r="F11266" i="13"/>
  <c r="F11267" i="13"/>
  <c r="F11268" i="13"/>
  <c r="F11269" i="13"/>
  <c r="F11270" i="13"/>
  <c r="F11271" i="13"/>
  <c r="F11272" i="13"/>
  <c r="F11273" i="13"/>
  <c r="F11274" i="13"/>
  <c r="F11275" i="13"/>
  <c r="F11276" i="13"/>
  <c r="F11277" i="13"/>
  <c r="F11278" i="13"/>
  <c r="F11279" i="13"/>
  <c r="F11280" i="13"/>
  <c r="F11281" i="13"/>
  <c r="F11282" i="13"/>
  <c r="F11283" i="13"/>
  <c r="F11284" i="13"/>
  <c r="F11285" i="13"/>
  <c r="F11286" i="13"/>
  <c r="F11287" i="13"/>
  <c r="F11288" i="13"/>
  <c r="F11289" i="13"/>
  <c r="F11290" i="13"/>
  <c r="F11291" i="13"/>
  <c r="F11292" i="13"/>
  <c r="F11293" i="13"/>
  <c r="F11294" i="13"/>
  <c r="F11295" i="13"/>
  <c r="F11296" i="13"/>
  <c r="F11297" i="13"/>
  <c r="F11298" i="13"/>
  <c r="F11299" i="13"/>
  <c r="F11300" i="13"/>
  <c r="F11301" i="13"/>
  <c r="F11302" i="13"/>
  <c r="F11303" i="13"/>
  <c r="F11304" i="13"/>
  <c r="F11305" i="13"/>
  <c r="F11306" i="13"/>
  <c r="F11307" i="13"/>
  <c r="F11308" i="13"/>
  <c r="F11309" i="13"/>
  <c r="F11310" i="13"/>
  <c r="F11311" i="13"/>
  <c r="F11312" i="13"/>
  <c r="F11313" i="13"/>
  <c r="F11314" i="13"/>
  <c r="F11315" i="13"/>
  <c r="F11316" i="13"/>
  <c r="F11317" i="13"/>
  <c r="F11318" i="13"/>
  <c r="F11319" i="13"/>
  <c r="F11320" i="13"/>
  <c r="F11321" i="13"/>
  <c r="F11322" i="13"/>
  <c r="F11323" i="13"/>
  <c r="F11324" i="13"/>
  <c r="F11325" i="13"/>
  <c r="F11326" i="13"/>
  <c r="F11327" i="13"/>
  <c r="F11328" i="13"/>
  <c r="F11329" i="13"/>
  <c r="F11330" i="13"/>
  <c r="F11331" i="13"/>
  <c r="F11332" i="13"/>
  <c r="F11333" i="13"/>
  <c r="F11334" i="13"/>
  <c r="F11335" i="13"/>
  <c r="F11336" i="13"/>
  <c r="F11337" i="13"/>
  <c r="F11338" i="13"/>
  <c r="F11339" i="13"/>
  <c r="F11340" i="13"/>
  <c r="F11341" i="13"/>
  <c r="F11342" i="13"/>
  <c r="F11343" i="13"/>
  <c r="F11344" i="13"/>
  <c r="F11345" i="13"/>
  <c r="F11346" i="13"/>
  <c r="F11347" i="13"/>
  <c r="F11348" i="13"/>
  <c r="F11349" i="13"/>
  <c r="F11350" i="13"/>
  <c r="F11351" i="13"/>
  <c r="F11352" i="13"/>
  <c r="F11353" i="13"/>
  <c r="F11354" i="13"/>
  <c r="F11355" i="13"/>
  <c r="F11356" i="13"/>
  <c r="F11357" i="13"/>
  <c r="F11358" i="13"/>
  <c r="F11359" i="13"/>
  <c r="F11360" i="13"/>
  <c r="F11361" i="13"/>
  <c r="F11362" i="13"/>
  <c r="F11363" i="13"/>
  <c r="F11364" i="13"/>
  <c r="F11365" i="13"/>
  <c r="F11366" i="13"/>
  <c r="F11367" i="13"/>
  <c r="F11368" i="13"/>
  <c r="F11369" i="13"/>
  <c r="F11370" i="13"/>
  <c r="F11371" i="13"/>
  <c r="F11372" i="13"/>
  <c r="F11373" i="13"/>
  <c r="F11374" i="13"/>
  <c r="F11375" i="13"/>
  <c r="F11376" i="13"/>
  <c r="F11377" i="13"/>
  <c r="F11378" i="13"/>
  <c r="F11379" i="13"/>
  <c r="F11380" i="13"/>
  <c r="F11381" i="13"/>
  <c r="F11382" i="13"/>
  <c r="F11383" i="13"/>
  <c r="F11384" i="13"/>
  <c r="F11385" i="13"/>
  <c r="F11386" i="13"/>
  <c r="F11387" i="13"/>
  <c r="F11388" i="13"/>
  <c r="F11389" i="13"/>
  <c r="F11390" i="13"/>
  <c r="F11391" i="13"/>
  <c r="F11392" i="13"/>
  <c r="F11393" i="13"/>
  <c r="F11394" i="13"/>
  <c r="F11395" i="13"/>
  <c r="F11396" i="13"/>
  <c r="F11397" i="13"/>
  <c r="F11398" i="13"/>
  <c r="F11399" i="13"/>
  <c r="F11400" i="13"/>
  <c r="F11401" i="13"/>
  <c r="F11402" i="13"/>
  <c r="F11403" i="13"/>
  <c r="F11404" i="13"/>
  <c r="F11405" i="13"/>
  <c r="F11406" i="13"/>
  <c r="F11407" i="13"/>
  <c r="F11408" i="13"/>
  <c r="F11409" i="13"/>
  <c r="F11410" i="13"/>
  <c r="F11411" i="13"/>
  <c r="F11412" i="13"/>
  <c r="F11413" i="13"/>
  <c r="F11414" i="13"/>
  <c r="F11415" i="13"/>
  <c r="F11416" i="13"/>
  <c r="F11417" i="13"/>
  <c r="F11418" i="13"/>
  <c r="F11419" i="13"/>
  <c r="F11420" i="13"/>
  <c r="F11421" i="13"/>
  <c r="F11422" i="13"/>
  <c r="F11423" i="13"/>
  <c r="F11424" i="13"/>
  <c r="F11425" i="13"/>
  <c r="F11426" i="13"/>
  <c r="F11427" i="13"/>
  <c r="F11428" i="13"/>
  <c r="F11429" i="13"/>
  <c r="F11430" i="13"/>
  <c r="F11431" i="13"/>
  <c r="F11432" i="13"/>
  <c r="F11433" i="13"/>
  <c r="F11434" i="13"/>
  <c r="F11435" i="13"/>
  <c r="F11436" i="13"/>
  <c r="F11437" i="13"/>
  <c r="F11438" i="13"/>
  <c r="F11439" i="13"/>
  <c r="F11440" i="13"/>
  <c r="F11441" i="13"/>
  <c r="F11442" i="13"/>
  <c r="F11443" i="13"/>
  <c r="F11444" i="13"/>
  <c r="F11445" i="13"/>
  <c r="F11446" i="13"/>
  <c r="F11447" i="13"/>
  <c r="F11448" i="13"/>
  <c r="F11449" i="13"/>
  <c r="F11450" i="13"/>
  <c r="F11451" i="13"/>
  <c r="F11452" i="13"/>
  <c r="F11453" i="13"/>
  <c r="F11454" i="13"/>
  <c r="F11455" i="13"/>
  <c r="F11456" i="13"/>
  <c r="F11457" i="13"/>
  <c r="F11458" i="13"/>
  <c r="F11459" i="13"/>
  <c r="F11460" i="13"/>
  <c r="F11461" i="13"/>
  <c r="F11462" i="13"/>
  <c r="F11463" i="13"/>
  <c r="F11464" i="13"/>
  <c r="F11465" i="13"/>
  <c r="F11466" i="13"/>
  <c r="F11467" i="13"/>
  <c r="F11468" i="13"/>
  <c r="F11469" i="13"/>
  <c r="F11470" i="13"/>
  <c r="F11471" i="13"/>
  <c r="F11472" i="13"/>
  <c r="F11473" i="13"/>
  <c r="F11474" i="13"/>
  <c r="F11475" i="13"/>
  <c r="F11476" i="13"/>
  <c r="F11477" i="13"/>
  <c r="F11478" i="13"/>
  <c r="F11479" i="13"/>
  <c r="F11480" i="13"/>
  <c r="F11481" i="13"/>
  <c r="F11482" i="13"/>
  <c r="F11483" i="13"/>
  <c r="F11484" i="13"/>
  <c r="F11485" i="13"/>
  <c r="F11486" i="13"/>
  <c r="F11487" i="13"/>
  <c r="F11488" i="13"/>
  <c r="F11489" i="13"/>
  <c r="F11490" i="13"/>
  <c r="F11491" i="13"/>
  <c r="F11492" i="13"/>
  <c r="F11493" i="13"/>
  <c r="F11494" i="13"/>
  <c r="F11495" i="13"/>
  <c r="F11496" i="13"/>
  <c r="F11497" i="13"/>
  <c r="F11498" i="13"/>
  <c r="F11499" i="13"/>
  <c r="F11500" i="13"/>
  <c r="F11501" i="13"/>
  <c r="F11502" i="13"/>
  <c r="F11503" i="13"/>
  <c r="F11504" i="13"/>
  <c r="F11505" i="13"/>
  <c r="F11506" i="13"/>
  <c r="F11507" i="13"/>
  <c r="F11508" i="13"/>
  <c r="F11509" i="13"/>
  <c r="F11510" i="13"/>
  <c r="F11511" i="13"/>
  <c r="F11512" i="13"/>
  <c r="F11513" i="13"/>
  <c r="F11514" i="13"/>
  <c r="F11515" i="13"/>
  <c r="F11516" i="13"/>
  <c r="F11517" i="13"/>
  <c r="F11518" i="13"/>
  <c r="F11519" i="13"/>
  <c r="F11520" i="13"/>
  <c r="F11521" i="13"/>
  <c r="F11522" i="13"/>
  <c r="F11523" i="13"/>
  <c r="F11524" i="13"/>
  <c r="F11525" i="13"/>
  <c r="F11526" i="13"/>
  <c r="F11527" i="13"/>
  <c r="F11528" i="13"/>
  <c r="F11529" i="13"/>
  <c r="F11530" i="13"/>
  <c r="F11531" i="13"/>
  <c r="F11532" i="13"/>
  <c r="F11533" i="13"/>
  <c r="F11534" i="13"/>
  <c r="F11535" i="13"/>
  <c r="F11536" i="13"/>
  <c r="F11537" i="13"/>
  <c r="F11538" i="13"/>
  <c r="F11539" i="13"/>
  <c r="F11540" i="13"/>
  <c r="F11541" i="13"/>
  <c r="F11542" i="13"/>
  <c r="F11543" i="13"/>
  <c r="F11544" i="13"/>
  <c r="F11545" i="13"/>
  <c r="F11546" i="13"/>
  <c r="F11547" i="13"/>
  <c r="F11548" i="13"/>
  <c r="F11549" i="13"/>
  <c r="F11550" i="13"/>
  <c r="F11551" i="13"/>
  <c r="F11552" i="13"/>
  <c r="F11553" i="13"/>
  <c r="F11554" i="13"/>
  <c r="F11555" i="13"/>
  <c r="F11556" i="13"/>
  <c r="F11557" i="13"/>
  <c r="F11558" i="13"/>
  <c r="F11559" i="13"/>
  <c r="F11560" i="13"/>
  <c r="F11561" i="13"/>
  <c r="F11562" i="13"/>
  <c r="F11563" i="13"/>
  <c r="F11564" i="13"/>
  <c r="F11565" i="13"/>
  <c r="F11566" i="13"/>
  <c r="F11567" i="13"/>
  <c r="F11568" i="13"/>
  <c r="F11569" i="13"/>
  <c r="F11570" i="13"/>
  <c r="F11571" i="13"/>
  <c r="F11572" i="13"/>
  <c r="F11573" i="13"/>
  <c r="F11574" i="13"/>
  <c r="F11575" i="13"/>
  <c r="F11576" i="13"/>
  <c r="F11577" i="13"/>
  <c r="F11578" i="13"/>
  <c r="F11579" i="13"/>
  <c r="F11580" i="13"/>
  <c r="F11581" i="13"/>
  <c r="F11582" i="13"/>
  <c r="F11583" i="13"/>
  <c r="F11584" i="13"/>
  <c r="F11585" i="13"/>
  <c r="F11586" i="13"/>
  <c r="F11587" i="13"/>
  <c r="F11588" i="13"/>
  <c r="F11589" i="13"/>
  <c r="F11590" i="13"/>
  <c r="F11591" i="13"/>
  <c r="F11592" i="13"/>
  <c r="F11593" i="13"/>
  <c r="F11594" i="13"/>
  <c r="F11595" i="13"/>
  <c r="F11596" i="13"/>
  <c r="F11597" i="13"/>
  <c r="F11598" i="13"/>
  <c r="F11599" i="13"/>
  <c r="F11600" i="13"/>
  <c r="F11601" i="13"/>
  <c r="F11602" i="13"/>
  <c r="F11603" i="13"/>
  <c r="F11604" i="13"/>
  <c r="F11605" i="13"/>
  <c r="F11606" i="13"/>
  <c r="F11607" i="13"/>
  <c r="F11608" i="13"/>
  <c r="F11609" i="13"/>
  <c r="F11610" i="13"/>
  <c r="F11611" i="13"/>
  <c r="F11612" i="13"/>
  <c r="F11613" i="13"/>
  <c r="F11614" i="13"/>
  <c r="F11615" i="13"/>
  <c r="F11616" i="13"/>
  <c r="F11617" i="13"/>
  <c r="F11618" i="13"/>
  <c r="F11619" i="13"/>
  <c r="F11620" i="13"/>
  <c r="F11621" i="13"/>
  <c r="F11622" i="13"/>
  <c r="F11623" i="13"/>
  <c r="F11624" i="13"/>
  <c r="F11625" i="13"/>
  <c r="F11626" i="13"/>
  <c r="F11627" i="13"/>
  <c r="F11628" i="13"/>
  <c r="F11629" i="13"/>
  <c r="F11630" i="13"/>
  <c r="F11631" i="13"/>
  <c r="F11632" i="13"/>
  <c r="F11633" i="13"/>
  <c r="F11634" i="13"/>
  <c r="F11635" i="13"/>
  <c r="F11636" i="13"/>
  <c r="F11637" i="13"/>
  <c r="F11638" i="13"/>
  <c r="F11639" i="13"/>
  <c r="F11640" i="13"/>
  <c r="F11641" i="13"/>
  <c r="F11642" i="13"/>
  <c r="F11643" i="13"/>
  <c r="F11644" i="13"/>
  <c r="F11645" i="13"/>
  <c r="F11646" i="13"/>
  <c r="F11647" i="13"/>
  <c r="F11648" i="13"/>
  <c r="F11649" i="13"/>
  <c r="F11650" i="13"/>
  <c r="F11651" i="13"/>
  <c r="F11652" i="13"/>
  <c r="F11653" i="13"/>
  <c r="F11654" i="13"/>
  <c r="F11655" i="13"/>
  <c r="F11656" i="13"/>
  <c r="F11657" i="13"/>
  <c r="F11658" i="13"/>
  <c r="F11659" i="13"/>
  <c r="F11660" i="13"/>
  <c r="F11661" i="13"/>
  <c r="F11662" i="13"/>
  <c r="F11663" i="13"/>
  <c r="F11664" i="13"/>
  <c r="F11665" i="13"/>
  <c r="F11666" i="13"/>
  <c r="F11667" i="13"/>
  <c r="F11668" i="13"/>
  <c r="F11669" i="13"/>
  <c r="F11670" i="13"/>
  <c r="F11671" i="13"/>
  <c r="F11672" i="13"/>
  <c r="F11673" i="13"/>
  <c r="F11674" i="13"/>
  <c r="F11675" i="13"/>
  <c r="F11676" i="13"/>
  <c r="F11677" i="13"/>
  <c r="F11678" i="13"/>
  <c r="F11679" i="13"/>
  <c r="F11680" i="13"/>
  <c r="F11681" i="13"/>
  <c r="F11682" i="13"/>
  <c r="F11683" i="13"/>
  <c r="F11684" i="13"/>
  <c r="F11685" i="13"/>
  <c r="F11686" i="13"/>
  <c r="F11687" i="13"/>
  <c r="F11688" i="13"/>
  <c r="F11689" i="13"/>
  <c r="F11690" i="13"/>
  <c r="F11691" i="13"/>
  <c r="F11692" i="13"/>
  <c r="F11693" i="13"/>
  <c r="F11694" i="13"/>
  <c r="F11695" i="13"/>
  <c r="F11696" i="13"/>
  <c r="F11697" i="13"/>
  <c r="F11698" i="13"/>
  <c r="F11699" i="13"/>
  <c r="F11700" i="13"/>
  <c r="F11701" i="13"/>
  <c r="F11702" i="13"/>
  <c r="F11703" i="13"/>
  <c r="F11704" i="13"/>
  <c r="F11705" i="13"/>
  <c r="F11706" i="13"/>
  <c r="F11707" i="13"/>
  <c r="F11708" i="13"/>
  <c r="F11709" i="13"/>
  <c r="F11710" i="13"/>
  <c r="F11711" i="13"/>
  <c r="F11712" i="13"/>
  <c r="F11713" i="13"/>
  <c r="F11714" i="13"/>
  <c r="F11715" i="13"/>
  <c r="F11716" i="13"/>
  <c r="F11717" i="13"/>
  <c r="F11718" i="13"/>
  <c r="F11719" i="13"/>
  <c r="F11720" i="13"/>
  <c r="F11721" i="13"/>
  <c r="F11722" i="13"/>
  <c r="F11723" i="13"/>
  <c r="F11724" i="13"/>
  <c r="F11725" i="13"/>
  <c r="F11726" i="13"/>
  <c r="F11727" i="13"/>
  <c r="F11728" i="13"/>
  <c r="F11729" i="13"/>
  <c r="F11730" i="13"/>
  <c r="F11731" i="13"/>
  <c r="F11732" i="13"/>
  <c r="F11733" i="13"/>
  <c r="F11734" i="13"/>
  <c r="F11735" i="13"/>
  <c r="F11736" i="13"/>
  <c r="F11737" i="13"/>
  <c r="F11738" i="13"/>
  <c r="F11739" i="13"/>
  <c r="F11740" i="13"/>
  <c r="F11741" i="13"/>
  <c r="F11742" i="13"/>
  <c r="F11743" i="13"/>
  <c r="F11744" i="13"/>
  <c r="F11745" i="13"/>
  <c r="F11746" i="13"/>
  <c r="F11747" i="13"/>
  <c r="F11748" i="13"/>
  <c r="F11749" i="13"/>
  <c r="F11750" i="13"/>
  <c r="F11751" i="13"/>
  <c r="F11752" i="13"/>
  <c r="F11753" i="13"/>
  <c r="F11754" i="13"/>
  <c r="F11755" i="13"/>
  <c r="F11756" i="13"/>
  <c r="F11757" i="13"/>
  <c r="F11758" i="13"/>
  <c r="F11759" i="13"/>
  <c r="F11760" i="13"/>
  <c r="F11761" i="13"/>
  <c r="F11762" i="13"/>
  <c r="F11763" i="13"/>
  <c r="F11764" i="13"/>
  <c r="F11765" i="13"/>
  <c r="F11766" i="13"/>
  <c r="F11767" i="13"/>
  <c r="F11768" i="13"/>
  <c r="F11769" i="13"/>
  <c r="F11770" i="13"/>
  <c r="F11771" i="13"/>
  <c r="F11772" i="13"/>
  <c r="F11773" i="13"/>
  <c r="F11774" i="13"/>
  <c r="F11775" i="13"/>
  <c r="F11776" i="13"/>
  <c r="F11777" i="13"/>
  <c r="F11778" i="13"/>
  <c r="F11779" i="13"/>
  <c r="F11780" i="13"/>
  <c r="F11781" i="13"/>
  <c r="F11782" i="13"/>
  <c r="F11783" i="13"/>
  <c r="F11784" i="13"/>
  <c r="F11785" i="13"/>
  <c r="F11786" i="13"/>
  <c r="F11787" i="13"/>
  <c r="F11788" i="13"/>
  <c r="F11789" i="13"/>
  <c r="F11790" i="13"/>
  <c r="F11791" i="13"/>
  <c r="F11792" i="13"/>
  <c r="F11793" i="13"/>
  <c r="F11794" i="13"/>
  <c r="F11795" i="13"/>
  <c r="F11796" i="13"/>
  <c r="F11797" i="13"/>
  <c r="F11798" i="13"/>
  <c r="F11799" i="13"/>
  <c r="F11800" i="13"/>
  <c r="F11801" i="13"/>
  <c r="F11802" i="13"/>
  <c r="F11803" i="13"/>
  <c r="F11804" i="13"/>
  <c r="F11805" i="13"/>
  <c r="F11806" i="13"/>
  <c r="F11807" i="13"/>
  <c r="F11808" i="13"/>
  <c r="F11809" i="13"/>
  <c r="F11810" i="13"/>
  <c r="F11811" i="13"/>
  <c r="F11812" i="13"/>
  <c r="F11813" i="13"/>
  <c r="F11814" i="13"/>
  <c r="F11815" i="13"/>
  <c r="F11816" i="13"/>
  <c r="F11817" i="13"/>
  <c r="F11818" i="13"/>
  <c r="F11819" i="13"/>
  <c r="F11820" i="13"/>
  <c r="F11821" i="13"/>
  <c r="F11822" i="13"/>
  <c r="F11823" i="13"/>
  <c r="F11824" i="13"/>
  <c r="F11825" i="13"/>
  <c r="F11826" i="13"/>
  <c r="F11827" i="13"/>
  <c r="F11828" i="13"/>
  <c r="F11829" i="13"/>
  <c r="F11830" i="13"/>
  <c r="F11831" i="13"/>
  <c r="F11832" i="13"/>
  <c r="F11833" i="13"/>
  <c r="F11834" i="13"/>
  <c r="F11835" i="13"/>
  <c r="F11836" i="13"/>
  <c r="F11837" i="13"/>
  <c r="F11838" i="13"/>
  <c r="F11839" i="13"/>
  <c r="F11840" i="13"/>
  <c r="F11841" i="13"/>
  <c r="F11842" i="13"/>
  <c r="F11843" i="13"/>
  <c r="F11844" i="13"/>
  <c r="F11845" i="13"/>
  <c r="F11846" i="13"/>
  <c r="F11847" i="13"/>
  <c r="F11848" i="13"/>
  <c r="F11849" i="13"/>
  <c r="F11850" i="13"/>
  <c r="F11851" i="13"/>
  <c r="F11852" i="13"/>
  <c r="F11853" i="13"/>
  <c r="F11854" i="13"/>
  <c r="F11855" i="13"/>
  <c r="F11856" i="13"/>
  <c r="F11857" i="13"/>
  <c r="F11858" i="13"/>
  <c r="F11859" i="13"/>
  <c r="F11860" i="13"/>
  <c r="F11861" i="13"/>
  <c r="F11862" i="13"/>
  <c r="F11863" i="13"/>
  <c r="F11864" i="13"/>
  <c r="F11865" i="13"/>
  <c r="F11866" i="13"/>
  <c r="F11867" i="13"/>
  <c r="F11868" i="13"/>
  <c r="F11869" i="13"/>
  <c r="F11870" i="13"/>
  <c r="F11871" i="13"/>
  <c r="F11872" i="13"/>
  <c r="F11873" i="13"/>
  <c r="F11874" i="13"/>
  <c r="F11875" i="13"/>
  <c r="F11876" i="13"/>
  <c r="F11877" i="13"/>
  <c r="F11878" i="13"/>
  <c r="F11879" i="13"/>
  <c r="F11880" i="13"/>
  <c r="F11881" i="13"/>
  <c r="F11882" i="13"/>
  <c r="F11883" i="13"/>
  <c r="F11884" i="13"/>
  <c r="F11885" i="13"/>
  <c r="F11886" i="13"/>
  <c r="F11887" i="13"/>
  <c r="F11888" i="13"/>
  <c r="F11889" i="13"/>
  <c r="F11890" i="13"/>
  <c r="F11891" i="13"/>
  <c r="F11892" i="13"/>
  <c r="F11893" i="13"/>
  <c r="F11894" i="13"/>
  <c r="F11895" i="13"/>
  <c r="F11896" i="13"/>
  <c r="F11897" i="13"/>
  <c r="F11898" i="13"/>
  <c r="F11899" i="13"/>
  <c r="F11900" i="13"/>
  <c r="F11901" i="13"/>
  <c r="F11902" i="13"/>
  <c r="F11903" i="13"/>
  <c r="F11904" i="13"/>
  <c r="F11905" i="13"/>
  <c r="F11906" i="13"/>
  <c r="F11907" i="13"/>
  <c r="F11908" i="13"/>
  <c r="F11909" i="13"/>
  <c r="F11910" i="13"/>
  <c r="F11911" i="13"/>
  <c r="F11912" i="13"/>
  <c r="F11913" i="13"/>
  <c r="F11914" i="13"/>
  <c r="F11915" i="13"/>
  <c r="F11916" i="13"/>
  <c r="F11917" i="13"/>
  <c r="F11918" i="13"/>
  <c r="F11919" i="13"/>
  <c r="F11920" i="13"/>
  <c r="F11921" i="13"/>
  <c r="F11922" i="13"/>
  <c r="F11923" i="13"/>
  <c r="F11924" i="13"/>
  <c r="F11925" i="13"/>
  <c r="F11926" i="13"/>
  <c r="F11927" i="13"/>
  <c r="F11928" i="13"/>
  <c r="F11929" i="13"/>
  <c r="F11930" i="13"/>
  <c r="F11931" i="13"/>
  <c r="F11932" i="13"/>
  <c r="F11933" i="13"/>
  <c r="F11934" i="13"/>
  <c r="F11935" i="13"/>
  <c r="F11936" i="13"/>
  <c r="F11937" i="13"/>
  <c r="F11938" i="13"/>
  <c r="F11939" i="13"/>
  <c r="F11940" i="13"/>
  <c r="F11941" i="13"/>
  <c r="F11942" i="13"/>
  <c r="F11943" i="13"/>
  <c r="F11944" i="13"/>
  <c r="F11945" i="13"/>
  <c r="F11946" i="13"/>
  <c r="F11947" i="13"/>
  <c r="F11948" i="13"/>
  <c r="F11949" i="13"/>
  <c r="F11950" i="13"/>
  <c r="F11951" i="13"/>
  <c r="F11952" i="13"/>
  <c r="F11953" i="13"/>
  <c r="F11954" i="13"/>
  <c r="F11955" i="13"/>
  <c r="F11956" i="13"/>
  <c r="F11957" i="13"/>
  <c r="F11958" i="13"/>
  <c r="F11959" i="13"/>
  <c r="F11960" i="13"/>
  <c r="F11961" i="13"/>
  <c r="F11962" i="13"/>
  <c r="F11963" i="13"/>
  <c r="F11964" i="13"/>
  <c r="F11965" i="13"/>
  <c r="F11966" i="13"/>
  <c r="F11967" i="13"/>
  <c r="F11968" i="13"/>
  <c r="F11969" i="13"/>
  <c r="F11970" i="13"/>
  <c r="F11971" i="13"/>
  <c r="F11972" i="13"/>
  <c r="F11973" i="13"/>
  <c r="F11974" i="13"/>
  <c r="F11975" i="13"/>
  <c r="F11976" i="13"/>
  <c r="F11977" i="13"/>
  <c r="F11978" i="13"/>
  <c r="F11979" i="13"/>
  <c r="F11980" i="13"/>
  <c r="F11981" i="13"/>
  <c r="F11982" i="13"/>
  <c r="F11983" i="13"/>
  <c r="F11984" i="13"/>
  <c r="F11985" i="13"/>
  <c r="F11986" i="13"/>
  <c r="F11987" i="13"/>
  <c r="F11988" i="13"/>
  <c r="F11989" i="13"/>
  <c r="F11990" i="13"/>
  <c r="F11991" i="13"/>
  <c r="F11992" i="13"/>
  <c r="F11993" i="13"/>
  <c r="F11994" i="13"/>
  <c r="F11995" i="13"/>
  <c r="F11996" i="13"/>
  <c r="F11997" i="13"/>
  <c r="F11998" i="13"/>
  <c r="F11999" i="13"/>
  <c r="F12000" i="13"/>
  <c r="F12001" i="13"/>
  <c r="F12002" i="13"/>
  <c r="F12003" i="13"/>
  <c r="F12004" i="13"/>
  <c r="F12005" i="13"/>
  <c r="F12006" i="13"/>
  <c r="F12007" i="13"/>
  <c r="F12008" i="13"/>
  <c r="F12009" i="13"/>
  <c r="F12010" i="13"/>
  <c r="F12011" i="13"/>
  <c r="F12012" i="13"/>
  <c r="F12013" i="13"/>
  <c r="F12014" i="13"/>
  <c r="F12015" i="13"/>
  <c r="F12016" i="13"/>
  <c r="F12017" i="13"/>
  <c r="F12018" i="13"/>
  <c r="F12019" i="13"/>
  <c r="F12020" i="13"/>
  <c r="F12021" i="13"/>
  <c r="F12022" i="13"/>
  <c r="F12023" i="13"/>
  <c r="F12024" i="13"/>
  <c r="F12025" i="13"/>
  <c r="F12026" i="13"/>
  <c r="F12027" i="13"/>
  <c r="F12028" i="13"/>
  <c r="F12029" i="13"/>
  <c r="F12030" i="13"/>
  <c r="F12031" i="13"/>
  <c r="F12032" i="13"/>
  <c r="F12033" i="13"/>
  <c r="F12034" i="13"/>
  <c r="F12035" i="13"/>
  <c r="F12036" i="13"/>
  <c r="F12037" i="13"/>
  <c r="F12038" i="13"/>
  <c r="F12039" i="13"/>
  <c r="F12040" i="13"/>
  <c r="F12041" i="13"/>
  <c r="F12042" i="13"/>
  <c r="F12043" i="13"/>
  <c r="F12044" i="13"/>
  <c r="F12045" i="13"/>
  <c r="F12046" i="13"/>
  <c r="F12047" i="13"/>
  <c r="F12048" i="13"/>
  <c r="F12049" i="13"/>
  <c r="F12050" i="13"/>
  <c r="F12051" i="13"/>
  <c r="F12052" i="13"/>
  <c r="F12053" i="13"/>
  <c r="F12054" i="13"/>
  <c r="F12055" i="13"/>
  <c r="F12056" i="13"/>
  <c r="F12057" i="13"/>
  <c r="F12058" i="13"/>
  <c r="F12059" i="13"/>
  <c r="F12060" i="13"/>
  <c r="F12061" i="13"/>
  <c r="F12062" i="13"/>
  <c r="F12063" i="13"/>
  <c r="F12064" i="13"/>
  <c r="F12065" i="13"/>
  <c r="F12066" i="13"/>
  <c r="F12067" i="13"/>
  <c r="F12068" i="13"/>
  <c r="F12069" i="13"/>
  <c r="F12070" i="13"/>
  <c r="F12071" i="13"/>
  <c r="F12072" i="13"/>
  <c r="F12073" i="13"/>
  <c r="F12074" i="13"/>
  <c r="F12075" i="13"/>
  <c r="F12076" i="13"/>
  <c r="F12077" i="13"/>
  <c r="F12078" i="13"/>
  <c r="F12079" i="13"/>
  <c r="F12080" i="13"/>
  <c r="F12081" i="13"/>
  <c r="F12082" i="13"/>
  <c r="F12083" i="13"/>
  <c r="F12084" i="13"/>
  <c r="F12085" i="13"/>
  <c r="F12086" i="13"/>
  <c r="F12087" i="13"/>
  <c r="F12088" i="13"/>
  <c r="F12089" i="13"/>
  <c r="F12090" i="13"/>
  <c r="F12091" i="13"/>
  <c r="F12092" i="13"/>
  <c r="F12093" i="13"/>
  <c r="F12094" i="13"/>
  <c r="F12095" i="13"/>
  <c r="F12096" i="13"/>
  <c r="F12097" i="13"/>
  <c r="F12098" i="13"/>
  <c r="F12099" i="13"/>
  <c r="F12100" i="13"/>
  <c r="F12101" i="13"/>
  <c r="F12102" i="13"/>
  <c r="F12103" i="13"/>
  <c r="F12104" i="13"/>
  <c r="F12105" i="13"/>
  <c r="F12106" i="13"/>
  <c r="F12107" i="13"/>
  <c r="F12108" i="13"/>
  <c r="F12109" i="13"/>
  <c r="F12110" i="13"/>
  <c r="F12111" i="13"/>
  <c r="F12112" i="13"/>
  <c r="F12113" i="13"/>
  <c r="F12114" i="13"/>
  <c r="F12115" i="13"/>
  <c r="F12116" i="13"/>
  <c r="F12117" i="13"/>
  <c r="F12118" i="13"/>
  <c r="F12119" i="13"/>
  <c r="F12120" i="13"/>
  <c r="F12121" i="13"/>
  <c r="F12122" i="13"/>
  <c r="F12123" i="13"/>
  <c r="F12124" i="13"/>
  <c r="F12125" i="13"/>
  <c r="F12126" i="13"/>
  <c r="F12127" i="13"/>
  <c r="F12128" i="13"/>
  <c r="F12129" i="13"/>
  <c r="F12130" i="13"/>
  <c r="F12131" i="13"/>
  <c r="F12132" i="13"/>
  <c r="F12133" i="13"/>
  <c r="F12134" i="13"/>
  <c r="F12135" i="13"/>
  <c r="F12136" i="13"/>
  <c r="F12137" i="13"/>
  <c r="F12138" i="13"/>
  <c r="F12139" i="13"/>
  <c r="F12140" i="13"/>
  <c r="F12141" i="13"/>
  <c r="F12142" i="13"/>
  <c r="F12143" i="13"/>
  <c r="F12144" i="13"/>
  <c r="F12145" i="13"/>
  <c r="F12146" i="13"/>
  <c r="F12147" i="13"/>
  <c r="F12148" i="13"/>
  <c r="F12149" i="13"/>
  <c r="F12150" i="13"/>
  <c r="F12151" i="13"/>
  <c r="F12152" i="13"/>
  <c r="F12153" i="13"/>
  <c r="F12154" i="13"/>
  <c r="F12155" i="13"/>
  <c r="F12156" i="13"/>
  <c r="F12157" i="13"/>
  <c r="F12158" i="13"/>
  <c r="F12159" i="13"/>
  <c r="F12160" i="13"/>
  <c r="F12161" i="13"/>
  <c r="F12162" i="13"/>
  <c r="F12163" i="13"/>
  <c r="F12164" i="13"/>
  <c r="F12165" i="13"/>
  <c r="F12166" i="13"/>
  <c r="F12167" i="13"/>
  <c r="F12168" i="13"/>
  <c r="F12169" i="13"/>
  <c r="F12170" i="13"/>
  <c r="F12171" i="13"/>
  <c r="F12172" i="13"/>
  <c r="F12173" i="13"/>
  <c r="F12174" i="13"/>
  <c r="F12175" i="13"/>
  <c r="F12176" i="13"/>
  <c r="F12177" i="13"/>
  <c r="F12178" i="13"/>
  <c r="F12179" i="13"/>
  <c r="F12180" i="13"/>
  <c r="F12181" i="13"/>
  <c r="F12182" i="13"/>
  <c r="F12183" i="13"/>
  <c r="F12184" i="13"/>
  <c r="F12185" i="13"/>
  <c r="F12186" i="13"/>
  <c r="F12187" i="13"/>
  <c r="F12188" i="13"/>
  <c r="F12189" i="13"/>
  <c r="F12190" i="13"/>
  <c r="F12191" i="13"/>
  <c r="F12192" i="13"/>
  <c r="F12193" i="13"/>
  <c r="F12194" i="13"/>
  <c r="F12195" i="13"/>
  <c r="F12196" i="13"/>
  <c r="F12197" i="13"/>
  <c r="F12198" i="13"/>
  <c r="F12199" i="13"/>
  <c r="F12200" i="13"/>
  <c r="F12201" i="13"/>
  <c r="F12202" i="13"/>
  <c r="F12203" i="13"/>
  <c r="F12204" i="13"/>
  <c r="F12205" i="13"/>
  <c r="F12206" i="13"/>
  <c r="F12207" i="13"/>
  <c r="F12208" i="13"/>
  <c r="F12209" i="13"/>
  <c r="F12210" i="13"/>
  <c r="F12211" i="13"/>
  <c r="F12212" i="13"/>
  <c r="F12213" i="13"/>
  <c r="F12214" i="13"/>
  <c r="F12215" i="13"/>
  <c r="F12216" i="13"/>
  <c r="F12217" i="13"/>
  <c r="F12218" i="13"/>
  <c r="F12219" i="13"/>
  <c r="F12220" i="13"/>
  <c r="F12221" i="13"/>
  <c r="F12222" i="13"/>
  <c r="F12223" i="13"/>
  <c r="F12224" i="13"/>
  <c r="F12225" i="13"/>
  <c r="F12226" i="13"/>
  <c r="F12227" i="13"/>
  <c r="F12228" i="13"/>
  <c r="F12229" i="13"/>
  <c r="F12230" i="13"/>
  <c r="F12231" i="13"/>
  <c r="F12232" i="13"/>
  <c r="F12233" i="13"/>
  <c r="F12234" i="13"/>
  <c r="F12235" i="13"/>
  <c r="F12236" i="13"/>
  <c r="F12237" i="13"/>
  <c r="F12238" i="13"/>
  <c r="F12239" i="13"/>
  <c r="F12240" i="13"/>
  <c r="F12241" i="13"/>
  <c r="F12242" i="13"/>
  <c r="F12243" i="13"/>
  <c r="F12244" i="13"/>
  <c r="F12245" i="13"/>
  <c r="F12246" i="13"/>
  <c r="F12247" i="13"/>
  <c r="F12248" i="13"/>
  <c r="F12249" i="13"/>
  <c r="F12250" i="13"/>
  <c r="F12251" i="13"/>
  <c r="F12252" i="13"/>
  <c r="F12253" i="13"/>
  <c r="F12254" i="13"/>
  <c r="F12255" i="13"/>
  <c r="F12256" i="13"/>
  <c r="F12257" i="13"/>
  <c r="F12258" i="13"/>
  <c r="F12259" i="13"/>
  <c r="F12260" i="13"/>
  <c r="F12261" i="13"/>
  <c r="F12262" i="13"/>
  <c r="F12263" i="13"/>
  <c r="F12264" i="13"/>
  <c r="F12265" i="13"/>
  <c r="F12266" i="13"/>
  <c r="F12267" i="13"/>
  <c r="F12268" i="13"/>
  <c r="F12269" i="13"/>
  <c r="F12270" i="13"/>
  <c r="F12271" i="13"/>
  <c r="F12272" i="13"/>
  <c r="F12273" i="13"/>
  <c r="F12274" i="13"/>
  <c r="F12275" i="13"/>
  <c r="F12276" i="13"/>
  <c r="F12277" i="13"/>
  <c r="F12278" i="13"/>
  <c r="F12279" i="13"/>
  <c r="F12280" i="13"/>
  <c r="F12281" i="13"/>
  <c r="F12282" i="13"/>
  <c r="F12283" i="13"/>
  <c r="F12284" i="13"/>
  <c r="F12285" i="13"/>
  <c r="F12286" i="13"/>
  <c r="F12287" i="13"/>
  <c r="F12288" i="13"/>
  <c r="F12289" i="13"/>
  <c r="F12290" i="13"/>
  <c r="F12291" i="13"/>
  <c r="F12292" i="13"/>
  <c r="F12293" i="13"/>
  <c r="F12294" i="13"/>
  <c r="F12295" i="13"/>
  <c r="F12296" i="13"/>
  <c r="F12297" i="13"/>
  <c r="F12298" i="13"/>
  <c r="F12299" i="13"/>
  <c r="F12300" i="13"/>
  <c r="F12301" i="13"/>
  <c r="F12302" i="13"/>
  <c r="F12303" i="13"/>
  <c r="F12304" i="13"/>
  <c r="F12305" i="13"/>
  <c r="F12306" i="13"/>
  <c r="F12307" i="13"/>
  <c r="F12308" i="13"/>
  <c r="F12309" i="13"/>
  <c r="F12310" i="13"/>
  <c r="F12311" i="13"/>
  <c r="F12312" i="13"/>
  <c r="F12313" i="13"/>
  <c r="F12314" i="13"/>
  <c r="F12315" i="13"/>
  <c r="F12316" i="13"/>
  <c r="F12317" i="13"/>
  <c r="F12318" i="13"/>
  <c r="F12319" i="13"/>
  <c r="F12320" i="13"/>
  <c r="F12321" i="13"/>
  <c r="F12322" i="13"/>
  <c r="F12323" i="13"/>
  <c r="F12324" i="13"/>
  <c r="F12325" i="13"/>
  <c r="F12326" i="13"/>
  <c r="F12327" i="13"/>
  <c r="F12328" i="13"/>
  <c r="F12329" i="13"/>
  <c r="F12330" i="13"/>
  <c r="F12331" i="13"/>
  <c r="F12332" i="13"/>
  <c r="F12333" i="13"/>
  <c r="F12334" i="13"/>
  <c r="F12335" i="13"/>
  <c r="F12336" i="13"/>
  <c r="F12337" i="13"/>
  <c r="F12338" i="13"/>
  <c r="F12339" i="13"/>
  <c r="F12340" i="13"/>
  <c r="F12341" i="13"/>
  <c r="F12342" i="13"/>
  <c r="F12343" i="13"/>
  <c r="F12344" i="13"/>
  <c r="F12345" i="13"/>
  <c r="F12346" i="13"/>
  <c r="F12347" i="13"/>
  <c r="F12348" i="13"/>
  <c r="F12349" i="13"/>
  <c r="F12350" i="13"/>
  <c r="F12351" i="13"/>
  <c r="F12352" i="13"/>
  <c r="F12353" i="13"/>
  <c r="F12354" i="13"/>
  <c r="F12355" i="13"/>
  <c r="F12356" i="13"/>
  <c r="F12357" i="13"/>
  <c r="F12358" i="13"/>
  <c r="F12359" i="13"/>
  <c r="F12360" i="13"/>
  <c r="F12361" i="13"/>
  <c r="F12362" i="13"/>
  <c r="F12363" i="13"/>
  <c r="F12364" i="13"/>
  <c r="F12365" i="13"/>
  <c r="F12366" i="13"/>
  <c r="F12367" i="13"/>
  <c r="F12368" i="13"/>
  <c r="F12369" i="13"/>
  <c r="F12370" i="13"/>
  <c r="F12371" i="13"/>
  <c r="F12372" i="13"/>
  <c r="F12373" i="13"/>
  <c r="F12374" i="13"/>
  <c r="F12375" i="13"/>
  <c r="F12376" i="13"/>
  <c r="F12377" i="13"/>
  <c r="F12378" i="13"/>
  <c r="F12379" i="13"/>
  <c r="F12380" i="13"/>
  <c r="F12381" i="13"/>
  <c r="F12382" i="13"/>
  <c r="F12383" i="13"/>
  <c r="F12384" i="13"/>
  <c r="F12385" i="13"/>
  <c r="F12386" i="13"/>
  <c r="F12387" i="13"/>
  <c r="F12388" i="13"/>
  <c r="F12389" i="13"/>
  <c r="F12390" i="13"/>
  <c r="F12391" i="13"/>
  <c r="F12392" i="13"/>
  <c r="F12393" i="13"/>
  <c r="F12394" i="13"/>
  <c r="F12395" i="13"/>
  <c r="F12396" i="13"/>
  <c r="F12397" i="13"/>
  <c r="F12398" i="13"/>
  <c r="F12399" i="13"/>
  <c r="F12400" i="13"/>
  <c r="F12401" i="13"/>
  <c r="F12402" i="13"/>
  <c r="F12403" i="13"/>
  <c r="F12404" i="13"/>
  <c r="F12405" i="13"/>
  <c r="F12406" i="13"/>
  <c r="F12407" i="13"/>
  <c r="F12408" i="13"/>
  <c r="F12409" i="13"/>
  <c r="F12410" i="13"/>
  <c r="F12411" i="13"/>
  <c r="F12412" i="13"/>
  <c r="F12413" i="13"/>
  <c r="F12414" i="13"/>
  <c r="F12415" i="13"/>
  <c r="F12416" i="13"/>
  <c r="F12417" i="13"/>
  <c r="F12418" i="13"/>
  <c r="F12419" i="13"/>
  <c r="F12420" i="13"/>
  <c r="F12421" i="13"/>
  <c r="F12422" i="13"/>
  <c r="F12423" i="13"/>
  <c r="F12424" i="13"/>
  <c r="F12425" i="13"/>
  <c r="F12426" i="13"/>
  <c r="F12427" i="13"/>
  <c r="F12428" i="13"/>
  <c r="F12429" i="13"/>
  <c r="F12430" i="13"/>
  <c r="F12431" i="13"/>
  <c r="F12432" i="13"/>
  <c r="F12433" i="13"/>
  <c r="F12434" i="13"/>
  <c r="F12435" i="13"/>
  <c r="F12436" i="13"/>
  <c r="F12437" i="13"/>
  <c r="F12438" i="13"/>
  <c r="F12439" i="13"/>
  <c r="F12440" i="13"/>
  <c r="F12441" i="13"/>
  <c r="F12442" i="13"/>
  <c r="F12443" i="13"/>
  <c r="F12444" i="13"/>
  <c r="F12445" i="13"/>
  <c r="F12446" i="13"/>
  <c r="F12447" i="13"/>
  <c r="F12448" i="13"/>
  <c r="F12449" i="13"/>
  <c r="F12450" i="13"/>
  <c r="F12451" i="13"/>
  <c r="F12452" i="13"/>
  <c r="F12453" i="13"/>
  <c r="F12454" i="13"/>
  <c r="F12455" i="13"/>
  <c r="F12456" i="13"/>
  <c r="F12457" i="13"/>
  <c r="F12458" i="13"/>
  <c r="F12459" i="13"/>
  <c r="F12460" i="13"/>
  <c r="F12461" i="13"/>
  <c r="F12462" i="13"/>
  <c r="F12463" i="13"/>
  <c r="F12464" i="13"/>
  <c r="F12465" i="13"/>
  <c r="F12466" i="13"/>
  <c r="F12467" i="13"/>
  <c r="F12468" i="13"/>
  <c r="F12469" i="13"/>
  <c r="F12470" i="13"/>
  <c r="F12471" i="13"/>
  <c r="F12472" i="13"/>
  <c r="F12473" i="13"/>
  <c r="F12474" i="13"/>
  <c r="F12475" i="13"/>
  <c r="F12476" i="13"/>
  <c r="F12477" i="13"/>
  <c r="F12478" i="13"/>
  <c r="F12479" i="13"/>
  <c r="F12480" i="13"/>
  <c r="F12481" i="13"/>
  <c r="F12482" i="13"/>
  <c r="F12483" i="13"/>
  <c r="F12484" i="13"/>
  <c r="F12485" i="13"/>
  <c r="F12486" i="13"/>
  <c r="F12487" i="13"/>
  <c r="F12488" i="13"/>
  <c r="F12489" i="13"/>
  <c r="F12490" i="13"/>
  <c r="F12491" i="13"/>
  <c r="F12492" i="13"/>
  <c r="F12493" i="13"/>
  <c r="F12494" i="13"/>
  <c r="F12495" i="13"/>
  <c r="F12496" i="13"/>
  <c r="F12497" i="13"/>
  <c r="F12498" i="13"/>
  <c r="F12499" i="13"/>
  <c r="F12500" i="13"/>
  <c r="F12501" i="13"/>
  <c r="F12502" i="13"/>
  <c r="F12503" i="13"/>
  <c r="F12504" i="13"/>
  <c r="F12505" i="13"/>
  <c r="F12506" i="13"/>
  <c r="F12507" i="13"/>
  <c r="F12508" i="13"/>
  <c r="F12509" i="13"/>
  <c r="F12510" i="13"/>
  <c r="F12511" i="13"/>
  <c r="F12512" i="13"/>
  <c r="F12513" i="13"/>
  <c r="F12514" i="13"/>
  <c r="F12515" i="13"/>
  <c r="F12516" i="13"/>
  <c r="F12517" i="13"/>
  <c r="F12518" i="13"/>
  <c r="F12519" i="13"/>
  <c r="F12520" i="13"/>
  <c r="F12521" i="13"/>
  <c r="F12522" i="13"/>
  <c r="F12523" i="13"/>
  <c r="F12524" i="13"/>
  <c r="F12525" i="13"/>
  <c r="F12526" i="13"/>
  <c r="F12527" i="13"/>
  <c r="F12528" i="13"/>
  <c r="F12529" i="13"/>
  <c r="F12530" i="13"/>
  <c r="F12531" i="13"/>
  <c r="F12532" i="13"/>
  <c r="F12533" i="13"/>
  <c r="F12534" i="13"/>
  <c r="F12535" i="13"/>
  <c r="F12536" i="13"/>
  <c r="F12537" i="13"/>
  <c r="F12538" i="13"/>
  <c r="F12539" i="13"/>
  <c r="F12540" i="13"/>
  <c r="F12541" i="13"/>
  <c r="F12542" i="13"/>
  <c r="F12543" i="13"/>
  <c r="F12544" i="13"/>
  <c r="F12545" i="13"/>
  <c r="F12546" i="13"/>
  <c r="F12547" i="13"/>
  <c r="F12548" i="13"/>
  <c r="F12549" i="13"/>
  <c r="F12550" i="13"/>
  <c r="F12551" i="13"/>
  <c r="F12552" i="13"/>
  <c r="F12553" i="13"/>
  <c r="F12554" i="13"/>
  <c r="F12555" i="13"/>
  <c r="F12556" i="13"/>
  <c r="F12557" i="13"/>
  <c r="F12558" i="13"/>
  <c r="F12559" i="13"/>
  <c r="F12560" i="13"/>
  <c r="F12561" i="13"/>
  <c r="F12562" i="13"/>
  <c r="F12563" i="13"/>
  <c r="F12564" i="13"/>
  <c r="F12565" i="13"/>
  <c r="F12566" i="13"/>
  <c r="F12567" i="13"/>
  <c r="F12568" i="13"/>
  <c r="F12569" i="13"/>
  <c r="F12570" i="13"/>
  <c r="F12571" i="13"/>
  <c r="F12572" i="13"/>
  <c r="F12573" i="13"/>
  <c r="F12574" i="13"/>
  <c r="F12575" i="13"/>
  <c r="F12576" i="13"/>
  <c r="F12577" i="13"/>
  <c r="F12578" i="13"/>
  <c r="F12579" i="13"/>
  <c r="F12580" i="13"/>
  <c r="F12581" i="13"/>
  <c r="F12582" i="13"/>
  <c r="F12583" i="13"/>
  <c r="F12584" i="13"/>
  <c r="F12585" i="13"/>
  <c r="F12586" i="13"/>
  <c r="F12587" i="13"/>
  <c r="F12588" i="13"/>
  <c r="F12589" i="13"/>
  <c r="F12590" i="13"/>
  <c r="F12591" i="13"/>
  <c r="F12592" i="13"/>
  <c r="F12593" i="13"/>
  <c r="F12594" i="13"/>
  <c r="F12595" i="13"/>
  <c r="F12596" i="13"/>
  <c r="F12597" i="13"/>
  <c r="F12598" i="13"/>
  <c r="F12599" i="13"/>
  <c r="F12600" i="13"/>
  <c r="F12601" i="13"/>
  <c r="F12602" i="13"/>
  <c r="F12603" i="13"/>
  <c r="F12604" i="13"/>
  <c r="F12605" i="13"/>
  <c r="F12606" i="13"/>
  <c r="F12607" i="13"/>
  <c r="F12608" i="13"/>
  <c r="F12609" i="13"/>
  <c r="F12610" i="13"/>
  <c r="F12611" i="13"/>
  <c r="F12612" i="13"/>
  <c r="F12613" i="13"/>
  <c r="F12614" i="13"/>
  <c r="F12615" i="13"/>
  <c r="F12616" i="13"/>
  <c r="F12617" i="13"/>
  <c r="F12618" i="13"/>
  <c r="F12619" i="13"/>
  <c r="F12620" i="13"/>
  <c r="F12621" i="13"/>
  <c r="F12622" i="13"/>
  <c r="F12623" i="13"/>
  <c r="F12624" i="13"/>
  <c r="F12625" i="13"/>
  <c r="F12626" i="13"/>
  <c r="F12627" i="13"/>
  <c r="F12628" i="13"/>
  <c r="F12629" i="13"/>
  <c r="F12630" i="13"/>
  <c r="F12631" i="13"/>
  <c r="F12632" i="13"/>
  <c r="F12633" i="13"/>
  <c r="F12634" i="13"/>
  <c r="F12635" i="13"/>
  <c r="F12636" i="13"/>
  <c r="F12637" i="13"/>
  <c r="F12638" i="13"/>
  <c r="F12639" i="13"/>
  <c r="F12640" i="13"/>
  <c r="F12641" i="13"/>
  <c r="F12642" i="13"/>
  <c r="F12643" i="13"/>
  <c r="F12644" i="13"/>
  <c r="F12645" i="13"/>
  <c r="F12646" i="13"/>
  <c r="F12647" i="13"/>
  <c r="F12648" i="13"/>
  <c r="F12649" i="13"/>
  <c r="F12650" i="13"/>
  <c r="F12651" i="13"/>
  <c r="F12652" i="13"/>
  <c r="F12653" i="13"/>
  <c r="F12654" i="13"/>
  <c r="F12655" i="13"/>
  <c r="F12656" i="13"/>
  <c r="F12657" i="13"/>
  <c r="F12658" i="13"/>
  <c r="F12659" i="13"/>
  <c r="F12660" i="13"/>
  <c r="F12661" i="13"/>
  <c r="F12662" i="13"/>
  <c r="F12663" i="13"/>
  <c r="F12664" i="13"/>
  <c r="F12665" i="13"/>
  <c r="F12666" i="13"/>
  <c r="F12667" i="13"/>
  <c r="F12668" i="13"/>
  <c r="F12669" i="13"/>
  <c r="F12670" i="13"/>
  <c r="F12671" i="13"/>
  <c r="F12672" i="13"/>
  <c r="F12673" i="13"/>
  <c r="F12674" i="13"/>
  <c r="F12675" i="13"/>
  <c r="F12676" i="13"/>
  <c r="F12677" i="13"/>
  <c r="F12678" i="13"/>
  <c r="F12679" i="13"/>
  <c r="F12680" i="13"/>
  <c r="F12681" i="13"/>
  <c r="F12682" i="13"/>
  <c r="F12683" i="13"/>
  <c r="F12684" i="13"/>
  <c r="F12685" i="13"/>
  <c r="F12686" i="13"/>
  <c r="F12687" i="13"/>
  <c r="F12688" i="13"/>
  <c r="F12689" i="13"/>
  <c r="F12690" i="13"/>
  <c r="F12691" i="13"/>
  <c r="F12692" i="13"/>
  <c r="F12693" i="13"/>
  <c r="F12694" i="13"/>
  <c r="F12695" i="13"/>
  <c r="F12696" i="13"/>
  <c r="F12697" i="13"/>
  <c r="F12698" i="13"/>
  <c r="F12699" i="13"/>
  <c r="F12700" i="13"/>
  <c r="F12701" i="13"/>
  <c r="F12702" i="13"/>
  <c r="F12703" i="13"/>
  <c r="F12704" i="13"/>
  <c r="F12705" i="13"/>
  <c r="F12706" i="13"/>
  <c r="F12707" i="13"/>
  <c r="F12708" i="13"/>
  <c r="F12709" i="13"/>
  <c r="F12710" i="13"/>
  <c r="F12711" i="13"/>
  <c r="F12712" i="13"/>
  <c r="F12713" i="13"/>
  <c r="F12714" i="13"/>
  <c r="F12715" i="13"/>
  <c r="F12716" i="13"/>
  <c r="F12717" i="13"/>
  <c r="F12718" i="13"/>
  <c r="F12719" i="13"/>
  <c r="F12720" i="13"/>
  <c r="F12721" i="13"/>
  <c r="F12722" i="13"/>
  <c r="F12723" i="13"/>
  <c r="F12724" i="13"/>
  <c r="F12725" i="13"/>
  <c r="F12726" i="13"/>
  <c r="F12727" i="13"/>
  <c r="F12728" i="13"/>
  <c r="F12729" i="13"/>
  <c r="F12730" i="13"/>
  <c r="F12731" i="13"/>
  <c r="F12732" i="13"/>
  <c r="F12733" i="13"/>
  <c r="F12734" i="13"/>
  <c r="F12735" i="13"/>
  <c r="F12736" i="13"/>
  <c r="F12737" i="13"/>
  <c r="F12738" i="13"/>
  <c r="F12739" i="13"/>
  <c r="F12740" i="13"/>
  <c r="F12741" i="13"/>
  <c r="F12742" i="13"/>
  <c r="F12743" i="13"/>
  <c r="F12744" i="13"/>
  <c r="F12745" i="13"/>
  <c r="F12746" i="13"/>
  <c r="F12747" i="13"/>
  <c r="F12748" i="13"/>
  <c r="F12749" i="13"/>
  <c r="F12750" i="13"/>
  <c r="F12751" i="13"/>
  <c r="F12752" i="13"/>
  <c r="F12753" i="13"/>
  <c r="F12754" i="13"/>
  <c r="F12755" i="13"/>
  <c r="F12756" i="13"/>
  <c r="F12757" i="13"/>
  <c r="F12758" i="13"/>
  <c r="F12759" i="13"/>
  <c r="F12760" i="13"/>
  <c r="F12761" i="13"/>
  <c r="F12762" i="13"/>
  <c r="F12763" i="13"/>
  <c r="F12764" i="13"/>
  <c r="F12765" i="13"/>
  <c r="F12766" i="13"/>
  <c r="F12767" i="13"/>
  <c r="F12768" i="13"/>
  <c r="F12769" i="13"/>
  <c r="F12770" i="13"/>
  <c r="F12771" i="13"/>
  <c r="F12772" i="13"/>
  <c r="F12773" i="13"/>
  <c r="F12774" i="13"/>
  <c r="F12775" i="13"/>
  <c r="F12776" i="13"/>
  <c r="F12777" i="13"/>
  <c r="F12778" i="13"/>
  <c r="F12779" i="13"/>
  <c r="F12780" i="13"/>
  <c r="F12781" i="13"/>
  <c r="F12782" i="13"/>
  <c r="F12783" i="13"/>
  <c r="F12784" i="13"/>
  <c r="F12785" i="13"/>
  <c r="F12786" i="13"/>
  <c r="F12787" i="13"/>
  <c r="F12788" i="13"/>
  <c r="F12789" i="13"/>
  <c r="F12790" i="13"/>
  <c r="F12791" i="13"/>
  <c r="F12792" i="13"/>
  <c r="F12793" i="13"/>
  <c r="F12794" i="13"/>
  <c r="F12795" i="13"/>
  <c r="F12796" i="13"/>
  <c r="F12797" i="13"/>
  <c r="F12798" i="13"/>
  <c r="F12799" i="13"/>
  <c r="F12800" i="13"/>
  <c r="F12801" i="13"/>
  <c r="F12802" i="13"/>
  <c r="F12803" i="13"/>
  <c r="F12804" i="13"/>
  <c r="F12805" i="13"/>
  <c r="F12806" i="13"/>
  <c r="F12807" i="13"/>
  <c r="F12808" i="13"/>
  <c r="F12809" i="13"/>
  <c r="F12810" i="13"/>
  <c r="F12811" i="13"/>
  <c r="F12812" i="13"/>
  <c r="F12813" i="13"/>
  <c r="F12814" i="13"/>
  <c r="F12815" i="13"/>
  <c r="F12816" i="13"/>
  <c r="F12817" i="13"/>
  <c r="F12818" i="13"/>
  <c r="F12819" i="13"/>
  <c r="F12820" i="13"/>
  <c r="F12821" i="13"/>
  <c r="F12822" i="13"/>
  <c r="F12823" i="13"/>
  <c r="F12824" i="13"/>
  <c r="F12825" i="13"/>
  <c r="F12826" i="13"/>
  <c r="F12827" i="13"/>
  <c r="F12828" i="13"/>
  <c r="F12829" i="13"/>
  <c r="F12830" i="13"/>
  <c r="F12831" i="13"/>
  <c r="F12832" i="13"/>
  <c r="F12833" i="13"/>
  <c r="F12834" i="13"/>
  <c r="F12835" i="13"/>
  <c r="F12836" i="13"/>
  <c r="F12837" i="13"/>
  <c r="F12838" i="13"/>
  <c r="F12839" i="13"/>
  <c r="F12840" i="13"/>
  <c r="F12841" i="13"/>
  <c r="F12842" i="13"/>
  <c r="F12843" i="13"/>
  <c r="F12844" i="13"/>
  <c r="F12845" i="13"/>
  <c r="F12846" i="13"/>
  <c r="F12847" i="13"/>
  <c r="F12848" i="13"/>
  <c r="F12849" i="13"/>
  <c r="F12850" i="13"/>
  <c r="F12851" i="13"/>
  <c r="F12852" i="13"/>
  <c r="F12853" i="13"/>
  <c r="F12854" i="13"/>
  <c r="F12855" i="13"/>
  <c r="F12856" i="13"/>
  <c r="F12857" i="13"/>
  <c r="F12858" i="13"/>
  <c r="F12859" i="13"/>
  <c r="F12860" i="13"/>
  <c r="F12861" i="13"/>
  <c r="F12862" i="13"/>
  <c r="F12863" i="13"/>
  <c r="F12864" i="13"/>
  <c r="F12865" i="13"/>
  <c r="F12866" i="13"/>
  <c r="F12867" i="13"/>
  <c r="F12868" i="13"/>
  <c r="F12869" i="13"/>
  <c r="F12870" i="13"/>
  <c r="F12871" i="13"/>
  <c r="F12872" i="13"/>
  <c r="F12873" i="13"/>
  <c r="F12874" i="13"/>
  <c r="F12875" i="13"/>
  <c r="F12876" i="13"/>
  <c r="F12877" i="13"/>
  <c r="F12878" i="13"/>
  <c r="F12879" i="13"/>
  <c r="F12880" i="13"/>
  <c r="F12881" i="13"/>
  <c r="F12882" i="13"/>
  <c r="F12883" i="13"/>
  <c r="F12884" i="13"/>
  <c r="F12885" i="13"/>
  <c r="F12886" i="13"/>
  <c r="F12887" i="13"/>
  <c r="F12888" i="13"/>
  <c r="F12889" i="13"/>
  <c r="F12890" i="13"/>
  <c r="F12891" i="13"/>
  <c r="F12892" i="13"/>
  <c r="F12893" i="13"/>
  <c r="F12894" i="13"/>
  <c r="F12895" i="13"/>
  <c r="F12896" i="13"/>
  <c r="F12897" i="13"/>
  <c r="F12898" i="13"/>
  <c r="F12899" i="13"/>
  <c r="F12900" i="13"/>
  <c r="F12901" i="13"/>
  <c r="F12902" i="13"/>
  <c r="F12903" i="13"/>
  <c r="F12904" i="13"/>
  <c r="F12905" i="13"/>
  <c r="F12906" i="13"/>
  <c r="F12907" i="13"/>
  <c r="F12908" i="13"/>
  <c r="F12909" i="13"/>
  <c r="F12910" i="13"/>
  <c r="F12911" i="13"/>
  <c r="F12912" i="13"/>
  <c r="F12913" i="13"/>
  <c r="F12914" i="13"/>
  <c r="F12915" i="13"/>
  <c r="F12916" i="13"/>
  <c r="F12917" i="13"/>
  <c r="F12918" i="13"/>
  <c r="F12919" i="13"/>
  <c r="F12920" i="13"/>
  <c r="F12921" i="13"/>
  <c r="F12922" i="13"/>
  <c r="F12923" i="13"/>
  <c r="F12924" i="13"/>
  <c r="F12925" i="13"/>
  <c r="F12926" i="13"/>
  <c r="F12927" i="13"/>
  <c r="F12928" i="13"/>
  <c r="F12929" i="13"/>
  <c r="F12930" i="13"/>
  <c r="F12931" i="13"/>
  <c r="F12932" i="13"/>
  <c r="F12933" i="13"/>
  <c r="F12934" i="13"/>
  <c r="F12935" i="13"/>
  <c r="F12936" i="13"/>
  <c r="F12937" i="13"/>
  <c r="F12938" i="13"/>
  <c r="F12939" i="13"/>
  <c r="F12940" i="13"/>
  <c r="F12941" i="13"/>
  <c r="F12942" i="13"/>
  <c r="F12943" i="13"/>
  <c r="F12944" i="13"/>
  <c r="F12945" i="13"/>
  <c r="F12946" i="13"/>
  <c r="F12947" i="13"/>
  <c r="F12948" i="13"/>
  <c r="F12949" i="13"/>
  <c r="F12950" i="13"/>
  <c r="F12951" i="13"/>
  <c r="F12952" i="13"/>
  <c r="F12953" i="13"/>
  <c r="F12954" i="13"/>
  <c r="F12955" i="13"/>
  <c r="F12956" i="13"/>
  <c r="F12957" i="13"/>
  <c r="F12958" i="13"/>
  <c r="F12959" i="13"/>
  <c r="F12960" i="13"/>
  <c r="F12961" i="13"/>
  <c r="F12962" i="13"/>
  <c r="F12963" i="13"/>
  <c r="F12964" i="13"/>
  <c r="F12965" i="13"/>
  <c r="F12966" i="13"/>
  <c r="F12967" i="13"/>
  <c r="F12968" i="13"/>
  <c r="F12969" i="13"/>
  <c r="F12970" i="13"/>
  <c r="F12971" i="13"/>
  <c r="F12972" i="13"/>
  <c r="F12973" i="13"/>
  <c r="F12974" i="13"/>
  <c r="F12975" i="13"/>
  <c r="F12976" i="13"/>
  <c r="F12977" i="13"/>
  <c r="F12978" i="13"/>
  <c r="F12979" i="13"/>
  <c r="F12980" i="13"/>
  <c r="F12981" i="13"/>
  <c r="F12982" i="13"/>
  <c r="F12983" i="13"/>
  <c r="F12984" i="13"/>
  <c r="F12985" i="13"/>
  <c r="F12986" i="13"/>
  <c r="F12987" i="13"/>
  <c r="F12988" i="13"/>
  <c r="F12989" i="13"/>
  <c r="F12990" i="13"/>
  <c r="F12991" i="13"/>
  <c r="F12992" i="13"/>
  <c r="F12993" i="13"/>
  <c r="F12994" i="13"/>
  <c r="F12995" i="13"/>
  <c r="F12996" i="13"/>
  <c r="F12997" i="13"/>
  <c r="F12998" i="13"/>
  <c r="F12999" i="13"/>
  <c r="F13000" i="13"/>
  <c r="F13001" i="13"/>
  <c r="F13002" i="13"/>
  <c r="F13003" i="13"/>
  <c r="F13004" i="13"/>
  <c r="F13005" i="13"/>
  <c r="F13006" i="13"/>
  <c r="F13007" i="13"/>
  <c r="F13008" i="13"/>
  <c r="F13009" i="13"/>
  <c r="F13010" i="13"/>
  <c r="F13011" i="13"/>
  <c r="F13012" i="13"/>
  <c r="F13013" i="13"/>
  <c r="F13014" i="13"/>
  <c r="F13015" i="13"/>
  <c r="F13016" i="13"/>
  <c r="F13017" i="13"/>
  <c r="F13018" i="13"/>
  <c r="F13019" i="13"/>
  <c r="F13020" i="13"/>
  <c r="F13021" i="13"/>
  <c r="F13022" i="13"/>
  <c r="F13023" i="13"/>
  <c r="F13024" i="13"/>
  <c r="F13025" i="13"/>
  <c r="F13026" i="13"/>
  <c r="F13027" i="13"/>
  <c r="F13028" i="13"/>
  <c r="F13029" i="13"/>
  <c r="F13030" i="13"/>
  <c r="F13031" i="13"/>
  <c r="F13032" i="13"/>
  <c r="F13033" i="13"/>
  <c r="F13034" i="13"/>
  <c r="F13035" i="13"/>
  <c r="F13036" i="13"/>
  <c r="F13037" i="13"/>
  <c r="F13038" i="13"/>
  <c r="F13039" i="13"/>
  <c r="F13040" i="13"/>
  <c r="F13041" i="13"/>
  <c r="F13042" i="13"/>
  <c r="F13043" i="13"/>
  <c r="F13044" i="13"/>
  <c r="F13045" i="13"/>
  <c r="F13046" i="13"/>
  <c r="F13047" i="13"/>
  <c r="F13048" i="13"/>
  <c r="F13049" i="13"/>
  <c r="F13050" i="13"/>
  <c r="F13051" i="13"/>
  <c r="F13052" i="13"/>
  <c r="F13053" i="13"/>
  <c r="F13054" i="13"/>
  <c r="F13055" i="13"/>
  <c r="F13056" i="13"/>
  <c r="F13057" i="13"/>
  <c r="F13058" i="13"/>
  <c r="F13059" i="13"/>
  <c r="F13060" i="13"/>
  <c r="F13061" i="13"/>
  <c r="F13062" i="13"/>
  <c r="F13063" i="13"/>
  <c r="F13064" i="13"/>
  <c r="F13065" i="13"/>
  <c r="F13066" i="13"/>
  <c r="F13067" i="13"/>
  <c r="F13068" i="13"/>
  <c r="F13069" i="13"/>
  <c r="F13070" i="13"/>
  <c r="F13071" i="13"/>
  <c r="F13072" i="13"/>
  <c r="F13073" i="13"/>
  <c r="F13074" i="13"/>
  <c r="F13075" i="13"/>
  <c r="F13076" i="13"/>
  <c r="F13077" i="13"/>
  <c r="F13078" i="13"/>
  <c r="F13079" i="13"/>
  <c r="F13080" i="13"/>
  <c r="F13081" i="13"/>
  <c r="F13082" i="13"/>
  <c r="F13083" i="13"/>
  <c r="F13084" i="13"/>
  <c r="F13085" i="13"/>
  <c r="F13086" i="13"/>
  <c r="F13087" i="13"/>
  <c r="F13088" i="13"/>
  <c r="F13089" i="13"/>
  <c r="F13090" i="13"/>
  <c r="F13091" i="13"/>
  <c r="F13092" i="13"/>
  <c r="F13093" i="13"/>
  <c r="F13094" i="13"/>
  <c r="F13095" i="13"/>
  <c r="F13096" i="13"/>
  <c r="F13097" i="13"/>
  <c r="F13098" i="13"/>
  <c r="F13099" i="13"/>
  <c r="F13100" i="13"/>
  <c r="F13101" i="13"/>
  <c r="F13102" i="13"/>
  <c r="F13103" i="13"/>
  <c r="F13104" i="13"/>
  <c r="F13105" i="13"/>
  <c r="F13106" i="13"/>
  <c r="F13107" i="13"/>
  <c r="F13108" i="13"/>
  <c r="F13109" i="13"/>
  <c r="F13110" i="13"/>
  <c r="F13111" i="13"/>
  <c r="F13112" i="13"/>
  <c r="F13113" i="13"/>
  <c r="F13114" i="13"/>
  <c r="F13115" i="13"/>
  <c r="F13116" i="13"/>
  <c r="F13117" i="13"/>
  <c r="F13118" i="13"/>
  <c r="F13119" i="13"/>
  <c r="F13120" i="13"/>
  <c r="F13121" i="13"/>
  <c r="F13122" i="13"/>
  <c r="F13123" i="13"/>
  <c r="F13124" i="13"/>
  <c r="F13125" i="13"/>
  <c r="F13126" i="13"/>
  <c r="F13127" i="13"/>
  <c r="F13128" i="13"/>
  <c r="F13129" i="13"/>
  <c r="F13130" i="13"/>
  <c r="F13131" i="13"/>
  <c r="F13132" i="13"/>
  <c r="F13133" i="13"/>
  <c r="F13134" i="13"/>
  <c r="F13135" i="13"/>
  <c r="F13136" i="13"/>
  <c r="F13137" i="13"/>
  <c r="F13138" i="13"/>
  <c r="F13139" i="13"/>
  <c r="F13140" i="13"/>
  <c r="F13141" i="13"/>
  <c r="F13142" i="13"/>
  <c r="F13143" i="13"/>
  <c r="F13144" i="13"/>
  <c r="F13145" i="13"/>
  <c r="F13146" i="13"/>
  <c r="F13147" i="13"/>
  <c r="F13148" i="13"/>
  <c r="F13149" i="13"/>
  <c r="F13150" i="13"/>
  <c r="F13151" i="13"/>
  <c r="F13152" i="13"/>
  <c r="F13153" i="13"/>
  <c r="F13154" i="13"/>
  <c r="F13155" i="13"/>
  <c r="F13156" i="13"/>
  <c r="F13157" i="13"/>
  <c r="F13158" i="13"/>
  <c r="F13159" i="13"/>
  <c r="F13160" i="13"/>
  <c r="F13161" i="13"/>
  <c r="F13162" i="13"/>
  <c r="F13163" i="13"/>
  <c r="F13164" i="13"/>
  <c r="F13165" i="13"/>
  <c r="F13166" i="13"/>
  <c r="F13167" i="13"/>
  <c r="F13168" i="13"/>
  <c r="F13169" i="13"/>
  <c r="F13170" i="13"/>
  <c r="F13171" i="13"/>
  <c r="F13172" i="13"/>
  <c r="F13173" i="13"/>
  <c r="F13174" i="13"/>
  <c r="F13175" i="13"/>
  <c r="F13176" i="13"/>
  <c r="F13177" i="13"/>
  <c r="F13178" i="13"/>
  <c r="F13179" i="13"/>
  <c r="F13180" i="13"/>
  <c r="F13181" i="13"/>
  <c r="F13182" i="13"/>
  <c r="F13183" i="13"/>
  <c r="F13184" i="13"/>
  <c r="F13185" i="13"/>
  <c r="F13186" i="13"/>
  <c r="F13187" i="13"/>
  <c r="F13188" i="13"/>
  <c r="F13189" i="13"/>
  <c r="F13190" i="13"/>
  <c r="F13191" i="13"/>
  <c r="F13192" i="13"/>
  <c r="F13193" i="13"/>
  <c r="F13194" i="13"/>
  <c r="F13195" i="13"/>
  <c r="F13196" i="13"/>
  <c r="F13197" i="13"/>
  <c r="F13198" i="13"/>
  <c r="F13199" i="13"/>
  <c r="F13200" i="13"/>
  <c r="F13201" i="13"/>
  <c r="F13202" i="13"/>
  <c r="F13203" i="13"/>
  <c r="F13204" i="13"/>
  <c r="F13205" i="13"/>
  <c r="F13206" i="13"/>
  <c r="F13207" i="13"/>
  <c r="F13208" i="13"/>
  <c r="F13209" i="13"/>
  <c r="F13210" i="13"/>
  <c r="F13211" i="13"/>
  <c r="F13212" i="13"/>
  <c r="F13213" i="13"/>
  <c r="F13214" i="13"/>
  <c r="F13215" i="13"/>
  <c r="F13216" i="13"/>
  <c r="F13217" i="13"/>
  <c r="F13218" i="13"/>
  <c r="F13219" i="13"/>
  <c r="F13220" i="13"/>
  <c r="F13221" i="13"/>
  <c r="F13222" i="13"/>
  <c r="F13223" i="13"/>
  <c r="F13224" i="13"/>
  <c r="F13225" i="13"/>
  <c r="F13226" i="13"/>
  <c r="F13227" i="13"/>
  <c r="F13228" i="13"/>
  <c r="F13229" i="13"/>
  <c r="F13230" i="13"/>
  <c r="F13231" i="13"/>
  <c r="F13232" i="13"/>
  <c r="F13233" i="13"/>
  <c r="F13234" i="13"/>
  <c r="F13235" i="13"/>
  <c r="F13236" i="13"/>
  <c r="F13237" i="13"/>
  <c r="F13238" i="13"/>
  <c r="F13239" i="13"/>
  <c r="F13240" i="13"/>
  <c r="F13241" i="13"/>
  <c r="F13242" i="13"/>
  <c r="F13243" i="13"/>
  <c r="F13244" i="13"/>
  <c r="F13245" i="13"/>
  <c r="F13246" i="13"/>
  <c r="F13247" i="13"/>
  <c r="F13248" i="13"/>
  <c r="F13249" i="13"/>
  <c r="F13250" i="13"/>
  <c r="F13251" i="13"/>
  <c r="F13252" i="13"/>
  <c r="F13253" i="13"/>
  <c r="F13254" i="13"/>
  <c r="F13255" i="13"/>
  <c r="F13256" i="13"/>
  <c r="F13257" i="13"/>
  <c r="F13258" i="13"/>
  <c r="F13259" i="13"/>
  <c r="F13260" i="13"/>
  <c r="F13261" i="13"/>
  <c r="F13262" i="13"/>
  <c r="F13263" i="13"/>
  <c r="F13264" i="13"/>
  <c r="F13265" i="13"/>
  <c r="F13266" i="13"/>
  <c r="F13267" i="13"/>
  <c r="F13268" i="13"/>
  <c r="F13269" i="13"/>
  <c r="F13270" i="13"/>
  <c r="F13271" i="13"/>
  <c r="F13272" i="13"/>
  <c r="F13273" i="13"/>
  <c r="F13274" i="13"/>
  <c r="F13275" i="13"/>
  <c r="F13276" i="13"/>
  <c r="F13277" i="13"/>
  <c r="F13278" i="13"/>
  <c r="F13279" i="13"/>
  <c r="F13280" i="13"/>
  <c r="F13281" i="13"/>
  <c r="F13282" i="13"/>
  <c r="F13283" i="13"/>
  <c r="F13284" i="13"/>
  <c r="F13285" i="13"/>
  <c r="F13286" i="13"/>
  <c r="F13287" i="13"/>
  <c r="F13288" i="13"/>
  <c r="F13289" i="13"/>
  <c r="F13290" i="13"/>
  <c r="F13291" i="13"/>
  <c r="F13292" i="13"/>
  <c r="F13293" i="13"/>
  <c r="F13294" i="13"/>
  <c r="F13295" i="13"/>
  <c r="F13296" i="13"/>
  <c r="F13297" i="13"/>
  <c r="F13298" i="13"/>
  <c r="F13299" i="13"/>
  <c r="F13300" i="13"/>
  <c r="F13301" i="13"/>
  <c r="F13302" i="13"/>
  <c r="F13303" i="13"/>
  <c r="F13304" i="13"/>
  <c r="F13305" i="13"/>
  <c r="F13306" i="13"/>
  <c r="F13307" i="13"/>
  <c r="F13308" i="13"/>
  <c r="F13309" i="13"/>
  <c r="F13310" i="13"/>
  <c r="F13311" i="13"/>
  <c r="F13312" i="13"/>
  <c r="F13313" i="13"/>
  <c r="F13314" i="13"/>
  <c r="F13315" i="13"/>
  <c r="F13316" i="13"/>
  <c r="F13317" i="13"/>
  <c r="F13318" i="13"/>
  <c r="F13319" i="13"/>
  <c r="F13320" i="13"/>
  <c r="F13321" i="13"/>
  <c r="F13322" i="13"/>
  <c r="F13323" i="13"/>
  <c r="F13324" i="13"/>
  <c r="F13325" i="13"/>
  <c r="F13326" i="13"/>
  <c r="F13327" i="13"/>
  <c r="F13328" i="13"/>
  <c r="F13329" i="13"/>
  <c r="F13330" i="13"/>
  <c r="F13331" i="13"/>
  <c r="F13332" i="13"/>
  <c r="F13333" i="13"/>
  <c r="F13334" i="13"/>
  <c r="F13335" i="13"/>
  <c r="F13336" i="13"/>
  <c r="F13337" i="13"/>
  <c r="F13338" i="13"/>
  <c r="F13339" i="13"/>
  <c r="F13340" i="13"/>
  <c r="F13341" i="13"/>
  <c r="F13342" i="13"/>
  <c r="F13343" i="13"/>
  <c r="F13344" i="13"/>
  <c r="F13345" i="13"/>
  <c r="F13346" i="13"/>
  <c r="F13347" i="13"/>
  <c r="F13348" i="13"/>
  <c r="F13349" i="13"/>
  <c r="F13350" i="13"/>
  <c r="F13351" i="13"/>
  <c r="F13352" i="13"/>
  <c r="F13353" i="13"/>
  <c r="F13354" i="13"/>
  <c r="F13355" i="13"/>
  <c r="F13356" i="13"/>
  <c r="F13357" i="13"/>
  <c r="F13358" i="13"/>
  <c r="F13359" i="13"/>
  <c r="F13360" i="13"/>
  <c r="F13361" i="13"/>
  <c r="F13362" i="13"/>
  <c r="F13363" i="13"/>
  <c r="F13364" i="13"/>
  <c r="F13365" i="13"/>
  <c r="F13366" i="13"/>
  <c r="F13367" i="13"/>
  <c r="F13368" i="13"/>
  <c r="F13369" i="13"/>
  <c r="F13370" i="13"/>
  <c r="F13371" i="13"/>
  <c r="F13372" i="13"/>
  <c r="F13373" i="13"/>
  <c r="F13374" i="13"/>
  <c r="F13375" i="13"/>
  <c r="F13376" i="13"/>
  <c r="F13377" i="13"/>
  <c r="F13378" i="13"/>
  <c r="F13379" i="13"/>
  <c r="F13380" i="13"/>
  <c r="F13381" i="13"/>
  <c r="F13382" i="13"/>
  <c r="F13383" i="13"/>
  <c r="F13384" i="13"/>
  <c r="F13385" i="13"/>
  <c r="F13386" i="13"/>
  <c r="F13387" i="13"/>
  <c r="F13388" i="13"/>
  <c r="F13389" i="13"/>
  <c r="F13390" i="13"/>
  <c r="F13391" i="13"/>
  <c r="F13392" i="13"/>
  <c r="F13393" i="13"/>
  <c r="F13394" i="13"/>
  <c r="F13395" i="13"/>
  <c r="F13396" i="13"/>
  <c r="F13397" i="13"/>
  <c r="F13398" i="13"/>
  <c r="F13399" i="13"/>
  <c r="F13400" i="13"/>
  <c r="F13401" i="13"/>
  <c r="F13402" i="13"/>
  <c r="F13403" i="13"/>
  <c r="F13404" i="13"/>
  <c r="F13405" i="13"/>
  <c r="F13406" i="13"/>
  <c r="F13407" i="13"/>
  <c r="F13408" i="13"/>
  <c r="F13409" i="13"/>
  <c r="F13410" i="13"/>
  <c r="F13411" i="13"/>
  <c r="F13412" i="13"/>
  <c r="F13413" i="13"/>
  <c r="F13414" i="13"/>
  <c r="F13415" i="13"/>
  <c r="F13416" i="13"/>
  <c r="F13417" i="13"/>
  <c r="F13418" i="13"/>
  <c r="F13419" i="13"/>
  <c r="F13420" i="13"/>
  <c r="F13421" i="13"/>
  <c r="F13422" i="13"/>
  <c r="F13423" i="13"/>
  <c r="F13424" i="13"/>
  <c r="F13425" i="13"/>
  <c r="F13426" i="13"/>
  <c r="F13427" i="13"/>
  <c r="F13428" i="13"/>
  <c r="F13429" i="13"/>
  <c r="F13430" i="13"/>
  <c r="F13431" i="13"/>
  <c r="F13432" i="13"/>
  <c r="F13433" i="13"/>
  <c r="F13434" i="13"/>
  <c r="F13435" i="13"/>
  <c r="F13436" i="13"/>
  <c r="F13437" i="13"/>
  <c r="F13438" i="13"/>
  <c r="F13439" i="13"/>
  <c r="F13440" i="13"/>
  <c r="F13441" i="13"/>
  <c r="F13442" i="13"/>
  <c r="F13443" i="13"/>
  <c r="F13444" i="13"/>
  <c r="F13445" i="13"/>
  <c r="F13446" i="13"/>
  <c r="F13447" i="13"/>
  <c r="F13448" i="13"/>
  <c r="F13449" i="13"/>
  <c r="F13450" i="13"/>
  <c r="F13451" i="13"/>
  <c r="F13452" i="13"/>
  <c r="F13453" i="13"/>
  <c r="F13454" i="13"/>
  <c r="F13455" i="13"/>
  <c r="F13456" i="13"/>
  <c r="F13457" i="13"/>
  <c r="F13458" i="13"/>
  <c r="F13459" i="13"/>
  <c r="F13460" i="13"/>
  <c r="F13461" i="13"/>
  <c r="F13462" i="13"/>
  <c r="F13463" i="13"/>
  <c r="F13464" i="13"/>
  <c r="F13465" i="13"/>
  <c r="F13466" i="13"/>
  <c r="F13467" i="13"/>
  <c r="F13468" i="13"/>
  <c r="F13469" i="13"/>
  <c r="F13470" i="13"/>
  <c r="F13471" i="13"/>
  <c r="F13472" i="13"/>
  <c r="F13473" i="13"/>
  <c r="F13474" i="13"/>
  <c r="F13475" i="13"/>
  <c r="F13476" i="13"/>
  <c r="F13477" i="13"/>
  <c r="F13478" i="13"/>
  <c r="F13479" i="13"/>
  <c r="F13480" i="13"/>
  <c r="F13481" i="13"/>
  <c r="F13482" i="13"/>
  <c r="F13483" i="13"/>
  <c r="F13484" i="13"/>
  <c r="F13485" i="13"/>
  <c r="F13486" i="13"/>
  <c r="F13487" i="13"/>
  <c r="F13488" i="13"/>
  <c r="F13489" i="13"/>
  <c r="F13490" i="13"/>
  <c r="F13491" i="13"/>
  <c r="F13492" i="13"/>
  <c r="F13493" i="13"/>
  <c r="F13494" i="13"/>
  <c r="F13495" i="13"/>
  <c r="F13496" i="13"/>
  <c r="F13497" i="13"/>
  <c r="F13498" i="13"/>
  <c r="F13499" i="13"/>
  <c r="F13500" i="13"/>
  <c r="F13501" i="13"/>
  <c r="F13502" i="13"/>
  <c r="F13503" i="13"/>
  <c r="F13504" i="13"/>
  <c r="F13505" i="13"/>
  <c r="F13506" i="13"/>
  <c r="F13507" i="13"/>
  <c r="F13508" i="13"/>
  <c r="F13509" i="13"/>
  <c r="F13510" i="13"/>
  <c r="F13511" i="13"/>
  <c r="F13512" i="13"/>
  <c r="F13513" i="13"/>
  <c r="F13514" i="13"/>
  <c r="F13515" i="13"/>
  <c r="F13516" i="13"/>
  <c r="F13517" i="13"/>
  <c r="F13518" i="13"/>
  <c r="F13519" i="13"/>
  <c r="F13520" i="13"/>
  <c r="F13521" i="13"/>
  <c r="F13522" i="13"/>
  <c r="F13523" i="13"/>
  <c r="F13524" i="13"/>
  <c r="F13525" i="13"/>
  <c r="F13526" i="13"/>
  <c r="F13527" i="13"/>
  <c r="F13528" i="13"/>
  <c r="F13529" i="13"/>
  <c r="F13530" i="13"/>
  <c r="F13531" i="13"/>
  <c r="F13532" i="13"/>
  <c r="F13533" i="13"/>
  <c r="F13534" i="13"/>
  <c r="F13535" i="13"/>
  <c r="F13536" i="13"/>
  <c r="F13537" i="13"/>
  <c r="F13538" i="13"/>
  <c r="F13539" i="13"/>
  <c r="F13540" i="13"/>
  <c r="F13541" i="13"/>
  <c r="F13542" i="13"/>
  <c r="F13543" i="13"/>
  <c r="F13544" i="13"/>
  <c r="F13545" i="13"/>
  <c r="F13546" i="13"/>
  <c r="F13547" i="13"/>
  <c r="F13548" i="13"/>
  <c r="F13549" i="13"/>
  <c r="F13550" i="13"/>
  <c r="F13551" i="13"/>
  <c r="F13552" i="13"/>
  <c r="F13553" i="13"/>
  <c r="F13554" i="13"/>
  <c r="F13555" i="13"/>
  <c r="F13556" i="13"/>
  <c r="F13557" i="13"/>
  <c r="F13558" i="13"/>
  <c r="F13559" i="13"/>
  <c r="F13560" i="13"/>
  <c r="F13561" i="13"/>
  <c r="F13562" i="13"/>
  <c r="F13563" i="13"/>
  <c r="F13564" i="13"/>
  <c r="F13565" i="13"/>
  <c r="F13566" i="13"/>
  <c r="F13567" i="13"/>
  <c r="F13568" i="13"/>
  <c r="F13569" i="13"/>
  <c r="F13570" i="13"/>
  <c r="F13571" i="13"/>
  <c r="F13572" i="13"/>
  <c r="F13573" i="13"/>
  <c r="F13574" i="13"/>
  <c r="F13575" i="13"/>
  <c r="F13576" i="13"/>
  <c r="F13577" i="13"/>
  <c r="F13578" i="13"/>
  <c r="F13579" i="13"/>
  <c r="F13580" i="13"/>
  <c r="F13581" i="13"/>
  <c r="F13582" i="13"/>
  <c r="F13583" i="13"/>
  <c r="F13584" i="13"/>
  <c r="F13585" i="13"/>
  <c r="F13586" i="13"/>
  <c r="F13587" i="13"/>
  <c r="F13588" i="13"/>
  <c r="F13589" i="13"/>
  <c r="F13590" i="13"/>
  <c r="F13591" i="13"/>
  <c r="F13592" i="13"/>
  <c r="F13593" i="13"/>
  <c r="F13594" i="13"/>
  <c r="F13595" i="13"/>
  <c r="F13596" i="13"/>
  <c r="F13597" i="13"/>
  <c r="F13598" i="13"/>
  <c r="F13599" i="13"/>
  <c r="F13600" i="13"/>
  <c r="F13601" i="13"/>
  <c r="F13602" i="13"/>
  <c r="F13603" i="13"/>
  <c r="F13604" i="13"/>
  <c r="F13605" i="13"/>
  <c r="F13606" i="13"/>
  <c r="F13607" i="13"/>
  <c r="F13608" i="13"/>
  <c r="F13609" i="13"/>
  <c r="F13610" i="13"/>
  <c r="F13611" i="13"/>
  <c r="F13612" i="13"/>
  <c r="F13613" i="13"/>
  <c r="F13614" i="13"/>
  <c r="F13615" i="13"/>
  <c r="F13616" i="13"/>
  <c r="F13617" i="13"/>
  <c r="F13618" i="13"/>
  <c r="F13619" i="13"/>
  <c r="F13620" i="13"/>
  <c r="F13621" i="13"/>
  <c r="F13622" i="13"/>
  <c r="F13623" i="13"/>
  <c r="F13624" i="13"/>
  <c r="F13625" i="13"/>
  <c r="F13626" i="13"/>
  <c r="F13627" i="13"/>
  <c r="F13628" i="13"/>
  <c r="F13629" i="13"/>
  <c r="F13630" i="13"/>
  <c r="F13631" i="13"/>
  <c r="F13632" i="13"/>
  <c r="F13633" i="13"/>
  <c r="F13634" i="13"/>
  <c r="F13635" i="13"/>
  <c r="F13636" i="13"/>
  <c r="F13637" i="13"/>
  <c r="F13638" i="13"/>
  <c r="F13639" i="13"/>
  <c r="F13640" i="13"/>
  <c r="F13641" i="13"/>
  <c r="F13642" i="13"/>
  <c r="F13643" i="13"/>
  <c r="F13644" i="13"/>
  <c r="F13645" i="13"/>
  <c r="F13646" i="13"/>
  <c r="F13647" i="13"/>
  <c r="F13648" i="13"/>
  <c r="F13649" i="13"/>
  <c r="F13650" i="13"/>
  <c r="F13651" i="13"/>
  <c r="F13652" i="13"/>
  <c r="F13653" i="13"/>
  <c r="F13654" i="13"/>
  <c r="F13655" i="13"/>
  <c r="F13656" i="13"/>
  <c r="F13657" i="13"/>
  <c r="F13658" i="13"/>
  <c r="F13659" i="13"/>
  <c r="F13660" i="13"/>
  <c r="F13661" i="13"/>
  <c r="F13662" i="13"/>
  <c r="F13663" i="13"/>
  <c r="F13664" i="13"/>
  <c r="F13665" i="13"/>
  <c r="F13666" i="13"/>
  <c r="F13667" i="13"/>
  <c r="F13668" i="13"/>
  <c r="F13669" i="13"/>
  <c r="F13670" i="13"/>
  <c r="F13671" i="13"/>
  <c r="F13672" i="13"/>
  <c r="F13673" i="13"/>
  <c r="F13674" i="13"/>
  <c r="F13675" i="13"/>
  <c r="F13676" i="13"/>
  <c r="F13677" i="13"/>
  <c r="F13678" i="13"/>
  <c r="F13679" i="13"/>
  <c r="F13680" i="13"/>
  <c r="F13681" i="13"/>
  <c r="F13682" i="13"/>
  <c r="F13683" i="13"/>
  <c r="F13684" i="13"/>
  <c r="F13685" i="13"/>
  <c r="F13686" i="13"/>
  <c r="F13687" i="13"/>
  <c r="F13688" i="13"/>
  <c r="F13689" i="13"/>
  <c r="F13690" i="13"/>
  <c r="F13691" i="13"/>
  <c r="F13692" i="13"/>
  <c r="F13693" i="13"/>
  <c r="F13694" i="13"/>
  <c r="F13695" i="13"/>
  <c r="F13696" i="13"/>
  <c r="F13697" i="13"/>
  <c r="F13698" i="13"/>
  <c r="F13699" i="13"/>
  <c r="F13700" i="13"/>
  <c r="F13701" i="13"/>
  <c r="F13702" i="13"/>
  <c r="F13703" i="13"/>
  <c r="F13704" i="13"/>
  <c r="F13705" i="13"/>
  <c r="F13706" i="13"/>
  <c r="F13707" i="13"/>
  <c r="F13708" i="13"/>
  <c r="F13709" i="13"/>
  <c r="F13710" i="13"/>
  <c r="F13711" i="13"/>
  <c r="F13712" i="13"/>
  <c r="F13713" i="13"/>
  <c r="F13714" i="13"/>
  <c r="F13715" i="13"/>
  <c r="F13716" i="13"/>
  <c r="F13717" i="13"/>
  <c r="F13718" i="13"/>
  <c r="F13719" i="13"/>
  <c r="F13720" i="13"/>
  <c r="F13721" i="13"/>
  <c r="F13722" i="13"/>
  <c r="F13723" i="13"/>
  <c r="F13724" i="13"/>
  <c r="F13725" i="13"/>
  <c r="F13726" i="13"/>
  <c r="F13727" i="13"/>
  <c r="F13728" i="13"/>
  <c r="F13729" i="13"/>
  <c r="F13730" i="13"/>
  <c r="F13731" i="13"/>
  <c r="F13732" i="13"/>
  <c r="F13733" i="13"/>
  <c r="F13734" i="13"/>
  <c r="F13735" i="13"/>
  <c r="F13736" i="13"/>
  <c r="F13737" i="13"/>
  <c r="F13738" i="13"/>
  <c r="F13739" i="13"/>
  <c r="F13740" i="13"/>
  <c r="F13741" i="13"/>
  <c r="F13742" i="13"/>
  <c r="F13743" i="13"/>
  <c r="F13744" i="13"/>
  <c r="F13745" i="13"/>
  <c r="F13746" i="13"/>
  <c r="F13747" i="13"/>
  <c r="F13748" i="13"/>
  <c r="F13749" i="13"/>
  <c r="F13750" i="13"/>
  <c r="F13751" i="13"/>
  <c r="F13752" i="13"/>
  <c r="F13753" i="13"/>
  <c r="F13754" i="13"/>
  <c r="F13755" i="13"/>
  <c r="F13756" i="13"/>
  <c r="F13757" i="13"/>
  <c r="F13758" i="13"/>
  <c r="F13759" i="13"/>
  <c r="F13760" i="13"/>
  <c r="F13761" i="13"/>
  <c r="F13762" i="13"/>
  <c r="F13763" i="13"/>
  <c r="F13764" i="13"/>
  <c r="F13765" i="13"/>
  <c r="F13766" i="13"/>
  <c r="F13767" i="13"/>
  <c r="F13768" i="13"/>
  <c r="F13769" i="13"/>
  <c r="F13770" i="13"/>
  <c r="F13771" i="13"/>
  <c r="F13772" i="13"/>
  <c r="F13773" i="13"/>
  <c r="F13774" i="13"/>
  <c r="F13775" i="13"/>
  <c r="F13776" i="13"/>
  <c r="F13777" i="13"/>
  <c r="F13778" i="13"/>
  <c r="F13779" i="13"/>
  <c r="F13780" i="13"/>
  <c r="F13781" i="13"/>
  <c r="F13782" i="13"/>
  <c r="F13783" i="13"/>
  <c r="F13784" i="13"/>
  <c r="F13785" i="13"/>
  <c r="F13786" i="13"/>
  <c r="F13787" i="13"/>
  <c r="F13788" i="13"/>
  <c r="F13789" i="13"/>
  <c r="F13790" i="13"/>
  <c r="F13791" i="13"/>
  <c r="F13792" i="13"/>
  <c r="F13793" i="13"/>
  <c r="F13794" i="13"/>
  <c r="F13795" i="13"/>
  <c r="F13796" i="13"/>
  <c r="F13797" i="13"/>
  <c r="F13798" i="13"/>
  <c r="F13799" i="13"/>
  <c r="F13800" i="13"/>
  <c r="F13801" i="13"/>
  <c r="F13802" i="13"/>
  <c r="F13803" i="13"/>
  <c r="F13804" i="13"/>
  <c r="F13805" i="13"/>
  <c r="F13806" i="13"/>
  <c r="F13807" i="13"/>
  <c r="F13808" i="13"/>
  <c r="F13809" i="13"/>
  <c r="F13810" i="13"/>
  <c r="F13811" i="13"/>
  <c r="F13812" i="13"/>
  <c r="F13813" i="13"/>
  <c r="F13814" i="13"/>
  <c r="F13815" i="13"/>
  <c r="F13816" i="13"/>
  <c r="F13817" i="13"/>
  <c r="F13818" i="13"/>
  <c r="F13819" i="13"/>
  <c r="F13820" i="13"/>
  <c r="F13821" i="13"/>
  <c r="F13822" i="13"/>
  <c r="F13823" i="13"/>
  <c r="F13824" i="13"/>
  <c r="F13825" i="13"/>
  <c r="F13826" i="13"/>
  <c r="F13827" i="13"/>
  <c r="F13828" i="13"/>
  <c r="F13829" i="13"/>
  <c r="F13830" i="13"/>
  <c r="F13831" i="13"/>
  <c r="F13832" i="13"/>
  <c r="F13833" i="13"/>
  <c r="F13834" i="13"/>
  <c r="F13835" i="13"/>
  <c r="F13836" i="13"/>
  <c r="F13837" i="13"/>
  <c r="F13838" i="13"/>
  <c r="F13839" i="13"/>
  <c r="F13840" i="13"/>
  <c r="F13841" i="13"/>
  <c r="F13842" i="13"/>
  <c r="F13843" i="13"/>
  <c r="F13844" i="13"/>
  <c r="F13845" i="13"/>
  <c r="F13846" i="13"/>
  <c r="F13847" i="13"/>
  <c r="F13848" i="13"/>
  <c r="F13849" i="13"/>
  <c r="F13850" i="13"/>
  <c r="F13851" i="13"/>
  <c r="F13852" i="13"/>
  <c r="F13853" i="13"/>
  <c r="F13854" i="13"/>
  <c r="F13855" i="13"/>
  <c r="F13856" i="13"/>
  <c r="F13857" i="13"/>
  <c r="F13858" i="13"/>
  <c r="F13859" i="13"/>
  <c r="F13860" i="13"/>
  <c r="F13861" i="13"/>
  <c r="F13862" i="13"/>
  <c r="F13863" i="13"/>
  <c r="F13864" i="13"/>
  <c r="F13865" i="13"/>
  <c r="F13866" i="13"/>
  <c r="F13867" i="13"/>
  <c r="F13868" i="13"/>
  <c r="F13869" i="13"/>
  <c r="F13870" i="13"/>
  <c r="F13871" i="13"/>
  <c r="F13872" i="13"/>
  <c r="F13873" i="13"/>
  <c r="F13874" i="13"/>
  <c r="F13875" i="13"/>
  <c r="F13876" i="13"/>
  <c r="F13877" i="13"/>
  <c r="F13878" i="13"/>
  <c r="F13879" i="13"/>
  <c r="F13880" i="13"/>
  <c r="F13881" i="13"/>
  <c r="F13882" i="13"/>
  <c r="F13883" i="13"/>
  <c r="F13884" i="13"/>
  <c r="F13885" i="13"/>
  <c r="F13886" i="13"/>
  <c r="F13887" i="13"/>
  <c r="F13888" i="13"/>
  <c r="F13889" i="13"/>
  <c r="F13890" i="13"/>
  <c r="F13891" i="13"/>
  <c r="F13892" i="13"/>
  <c r="F13893" i="13"/>
  <c r="F13894" i="13"/>
  <c r="F13895" i="13"/>
  <c r="F13896" i="13"/>
  <c r="F13897" i="13"/>
  <c r="F13898" i="13"/>
  <c r="F13899" i="13"/>
  <c r="F13900" i="13"/>
  <c r="F13901" i="13"/>
  <c r="F13902" i="13"/>
  <c r="F13903" i="13"/>
  <c r="F13904" i="13"/>
  <c r="F13905" i="13"/>
  <c r="F13906" i="13"/>
  <c r="F13907" i="13"/>
  <c r="F13908" i="13"/>
  <c r="F13909" i="13"/>
  <c r="F13910" i="13"/>
  <c r="F13911" i="13"/>
  <c r="F13912" i="13"/>
  <c r="F13913" i="13"/>
  <c r="F13914" i="13"/>
  <c r="F13915" i="13"/>
  <c r="F13916" i="13"/>
  <c r="F13917" i="13"/>
  <c r="F13918" i="13"/>
  <c r="F13919" i="13"/>
  <c r="F13920" i="13"/>
  <c r="F13921" i="13"/>
  <c r="F13922" i="13"/>
  <c r="F13923" i="13"/>
  <c r="F13924" i="13"/>
  <c r="F13925" i="13"/>
  <c r="F13926" i="13"/>
  <c r="F13927" i="13"/>
  <c r="F13928" i="13"/>
  <c r="F13929" i="13"/>
  <c r="F13930" i="13"/>
  <c r="F13931" i="13"/>
  <c r="F13932" i="13"/>
  <c r="F13933" i="13"/>
  <c r="F13934" i="13"/>
  <c r="F13935" i="13"/>
  <c r="F13936" i="13"/>
  <c r="F13937" i="13"/>
  <c r="F13938" i="13"/>
  <c r="F13939" i="13"/>
  <c r="F13940" i="13"/>
  <c r="F13941" i="13"/>
  <c r="F13942" i="13"/>
  <c r="F13943" i="13"/>
  <c r="F13944" i="13"/>
  <c r="F13945" i="13"/>
  <c r="F13946" i="13"/>
  <c r="F13947" i="13"/>
  <c r="F13948" i="13"/>
  <c r="F13949" i="13"/>
  <c r="F13950" i="13"/>
  <c r="F13951" i="13"/>
  <c r="F13952" i="13"/>
  <c r="F13953" i="13"/>
  <c r="F13954" i="13"/>
  <c r="F13955" i="13"/>
  <c r="F13956" i="13"/>
  <c r="F13957" i="13"/>
  <c r="F13958" i="13"/>
  <c r="F13959" i="13"/>
  <c r="F13960" i="13"/>
  <c r="F13961" i="13"/>
  <c r="F13962" i="13"/>
  <c r="F13963" i="13"/>
  <c r="F13964" i="13"/>
  <c r="F13965" i="13"/>
  <c r="F13966" i="13"/>
  <c r="F13967" i="13"/>
  <c r="F13968" i="13"/>
  <c r="F13969" i="13"/>
  <c r="F13970" i="13"/>
  <c r="F13971" i="13"/>
  <c r="F13972" i="13"/>
  <c r="F13973" i="13"/>
  <c r="F13974" i="13"/>
  <c r="F13975" i="13"/>
  <c r="F13976" i="13"/>
  <c r="F13977" i="13"/>
  <c r="F13978" i="13"/>
  <c r="F13979" i="13"/>
  <c r="F13980" i="13"/>
  <c r="F13981" i="13"/>
  <c r="F13982" i="13"/>
  <c r="F13983" i="13"/>
  <c r="F13984" i="13"/>
  <c r="F13985" i="13"/>
  <c r="F13986" i="13"/>
  <c r="F13987" i="13"/>
  <c r="F13988" i="13"/>
  <c r="F13989" i="13"/>
  <c r="R37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M37" i="8"/>
  <c r="T13" i="8"/>
  <c r="T14" i="8"/>
  <c r="T12" i="8"/>
  <c r="R12" i="8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C36" i="8"/>
  <c r="I36" i="8" s="1"/>
  <c r="C35" i="8"/>
  <c r="D35" i="8" s="1"/>
  <c r="C34" i="8"/>
  <c r="M34" i="8" s="1"/>
  <c r="C33" i="8"/>
  <c r="K33" i="8" s="1"/>
  <c r="C32" i="8"/>
  <c r="M32" i="8" s="1"/>
  <c r="C31" i="8"/>
  <c r="M31" i="8" s="1"/>
  <c r="C30" i="8"/>
  <c r="M30" i="8" s="1"/>
  <c r="C29" i="8"/>
  <c r="M29" i="8" s="1"/>
  <c r="C28" i="8"/>
  <c r="M28" i="8" s="1"/>
  <c r="C27" i="8"/>
  <c r="K27" i="8" s="1"/>
  <c r="C26" i="8"/>
  <c r="M26" i="8" s="1"/>
  <c r="C25" i="8"/>
  <c r="L25" i="8" s="1"/>
  <c r="C24" i="8"/>
  <c r="D24" i="8" s="1"/>
  <c r="C23" i="8"/>
  <c r="M23" i="8" s="1"/>
  <c r="C22" i="8"/>
  <c r="M22" i="8" s="1"/>
  <c r="C21" i="8"/>
  <c r="I21" i="8" s="1"/>
  <c r="C20" i="8"/>
  <c r="M20" i="8" s="1"/>
  <c r="C19" i="8"/>
  <c r="M19" i="8" s="1"/>
  <c r="C18" i="8"/>
  <c r="I18" i="8" s="1"/>
  <c r="Q1" i="9"/>
  <c r="Q1" i="8"/>
  <c r="D1" i="7"/>
  <c r="D1" i="6"/>
  <c r="Q1" i="5"/>
  <c r="S1" i="4"/>
  <c r="O1" i="3"/>
  <c r="A1" i="13"/>
  <c r="S1" i="13"/>
  <c r="K1" i="11"/>
  <c r="J1" i="14"/>
  <c r="P1" i="2"/>
  <c r="Q12" i="7"/>
  <c r="Q13" i="7"/>
  <c r="Q14" i="7"/>
  <c r="Q15" i="7"/>
  <c r="Q16" i="7"/>
  <c r="Q17" i="7"/>
  <c r="Q18" i="7"/>
  <c r="Q11" i="7"/>
  <c r="E11" i="14"/>
  <c r="P11" i="14" s="1"/>
  <c r="E12" i="14"/>
  <c r="P12" i="14" s="1"/>
  <c r="E13" i="14"/>
  <c r="P13" i="14" s="1"/>
  <c r="E21" i="14"/>
  <c r="P21" i="14" s="1"/>
  <c r="E22" i="14"/>
  <c r="P22" i="14" s="1"/>
  <c r="E24" i="14"/>
  <c r="P24" i="14" s="1"/>
  <c r="E40" i="14"/>
  <c r="P40" i="14" s="1"/>
  <c r="E48" i="14"/>
  <c r="P48" i="14" s="1"/>
  <c r="E49" i="14"/>
  <c r="P49" i="14" s="1"/>
  <c r="E50" i="14"/>
  <c r="P50" i="14" s="1"/>
  <c r="E51" i="14"/>
  <c r="P51" i="14" s="1"/>
  <c r="E57" i="14"/>
  <c r="P57" i="14" s="1"/>
  <c r="E58" i="14"/>
  <c r="P58" i="14" s="1"/>
  <c r="E59" i="14"/>
  <c r="P59" i="14" s="1"/>
  <c r="E60" i="14"/>
  <c r="P60" i="14" s="1"/>
  <c r="E61" i="14"/>
  <c r="P61" i="14" s="1"/>
  <c r="E62" i="14"/>
  <c r="P62" i="14" s="1"/>
  <c r="E63" i="14"/>
  <c r="P63" i="14" s="1"/>
  <c r="E64" i="14"/>
  <c r="P64" i="14" s="1"/>
  <c r="E65" i="14"/>
  <c r="P65" i="14" s="1"/>
  <c r="E66" i="14"/>
  <c r="P66" i="14" s="1"/>
  <c r="E67" i="14"/>
  <c r="P67" i="14" s="1"/>
  <c r="E68" i="14"/>
  <c r="P68" i="14" s="1"/>
  <c r="E69" i="14"/>
  <c r="P69" i="14" s="1"/>
  <c r="E70" i="14"/>
  <c r="P70" i="14" s="1"/>
  <c r="E71" i="14"/>
  <c r="P71" i="14" s="1"/>
  <c r="E72" i="14"/>
  <c r="P72" i="14" s="1"/>
  <c r="E73" i="14"/>
  <c r="P73" i="14" s="1"/>
  <c r="E74" i="14"/>
  <c r="P74" i="14" s="1"/>
  <c r="E75" i="14"/>
  <c r="P75" i="14" s="1"/>
  <c r="E76" i="14"/>
  <c r="P76" i="14" s="1"/>
  <c r="E77" i="14"/>
  <c r="P77" i="14" s="1"/>
  <c r="E78" i="14"/>
  <c r="P78" i="14" s="1"/>
  <c r="E79" i="14"/>
  <c r="P79" i="14" s="1"/>
  <c r="E80" i="14"/>
  <c r="P80" i="14" s="1"/>
  <c r="E81" i="14"/>
  <c r="P81" i="14" s="1"/>
  <c r="E82" i="14"/>
  <c r="P82" i="14" s="1"/>
  <c r="E83" i="14"/>
  <c r="P83" i="14" s="1"/>
  <c r="E84" i="14"/>
  <c r="P84" i="14" s="1"/>
  <c r="E85" i="14"/>
  <c r="P85" i="14" s="1"/>
  <c r="E86" i="14"/>
  <c r="P86" i="14" s="1"/>
  <c r="E87" i="14"/>
  <c r="P87" i="14" s="1"/>
  <c r="E88" i="14"/>
  <c r="P88" i="14" s="1"/>
  <c r="E89" i="14"/>
  <c r="P89" i="14" s="1"/>
  <c r="E90" i="14"/>
  <c r="P90" i="14" s="1"/>
  <c r="E91" i="14"/>
  <c r="P91" i="14" s="1"/>
  <c r="E92" i="14"/>
  <c r="P92" i="14" s="1"/>
  <c r="E93" i="14"/>
  <c r="P93" i="14" s="1"/>
  <c r="E94" i="14"/>
  <c r="P94" i="14" s="1"/>
  <c r="E95" i="14"/>
  <c r="P95" i="14" s="1"/>
  <c r="E96" i="14"/>
  <c r="P96" i="14" s="1"/>
  <c r="E97" i="14"/>
  <c r="P97" i="14" s="1"/>
  <c r="E98" i="14"/>
  <c r="P98" i="14" s="1"/>
  <c r="E99" i="14"/>
  <c r="P99" i="14" s="1"/>
  <c r="E100" i="14"/>
  <c r="P100" i="14" s="1"/>
  <c r="E101" i="14"/>
  <c r="P101" i="14" s="1"/>
  <c r="E102" i="14"/>
  <c r="P102" i="14" s="1"/>
  <c r="E103" i="14"/>
  <c r="P103" i="14" s="1"/>
  <c r="E104" i="14"/>
  <c r="P104" i="14" s="1"/>
  <c r="E105" i="14"/>
  <c r="P105" i="14" s="1"/>
  <c r="E106" i="14"/>
  <c r="P106" i="14" s="1"/>
  <c r="E107" i="14"/>
  <c r="P107" i="14" s="1"/>
  <c r="E108" i="14"/>
  <c r="P108" i="14" s="1"/>
  <c r="E109" i="14"/>
  <c r="P109" i="14" s="1"/>
  <c r="E110" i="14"/>
  <c r="P110" i="14" s="1"/>
  <c r="E111" i="14"/>
  <c r="P111" i="14" s="1"/>
  <c r="E112" i="14"/>
  <c r="P112" i="14" s="1"/>
  <c r="E113" i="14"/>
  <c r="P113" i="14" s="1"/>
  <c r="E114" i="14"/>
  <c r="P114" i="14" s="1"/>
  <c r="E115" i="14"/>
  <c r="P115" i="14" s="1"/>
  <c r="E116" i="14"/>
  <c r="P116" i="14" s="1"/>
  <c r="E117" i="14"/>
  <c r="P117" i="14" s="1"/>
  <c r="E118" i="14"/>
  <c r="P118" i="14" s="1"/>
  <c r="E119" i="14"/>
  <c r="P119" i="14" s="1"/>
  <c r="E120" i="14"/>
  <c r="P120" i="14" s="1"/>
  <c r="E121" i="14"/>
  <c r="P121" i="14" s="1"/>
  <c r="E122" i="14"/>
  <c r="P122" i="14" s="1"/>
  <c r="E123" i="14"/>
  <c r="P123" i="14" s="1"/>
  <c r="E124" i="14"/>
  <c r="P124" i="14" s="1"/>
  <c r="E125" i="14"/>
  <c r="P125" i="14" s="1"/>
  <c r="E126" i="14"/>
  <c r="P126" i="14" s="1"/>
  <c r="E127" i="14"/>
  <c r="P127" i="14" s="1"/>
  <c r="E128" i="14"/>
  <c r="P128" i="14" s="1"/>
  <c r="E129" i="14"/>
  <c r="P129" i="14" s="1"/>
  <c r="E130" i="14"/>
  <c r="P130" i="14" s="1"/>
  <c r="E131" i="14"/>
  <c r="P131" i="14" s="1"/>
  <c r="E132" i="14"/>
  <c r="P132" i="14" s="1"/>
  <c r="E133" i="14"/>
  <c r="P133" i="14" s="1"/>
  <c r="E134" i="14"/>
  <c r="P134" i="14" s="1"/>
  <c r="E135" i="14"/>
  <c r="P135" i="14" s="1"/>
  <c r="E136" i="14"/>
  <c r="P136" i="14" s="1"/>
  <c r="E137" i="14"/>
  <c r="P137" i="14" s="1"/>
  <c r="E138" i="14"/>
  <c r="P138" i="14" s="1"/>
  <c r="E139" i="14"/>
  <c r="P139" i="14" s="1"/>
  <c r="E140" i="14"/>
  <c r="P140" i="14" s="1"/>
  <c r="E141" i="14"/>
  <c r="P141" i="14" s="1"/>
  <c r="E142" i="14"/>
  <c r="P142" i="14" s="1"/>
  <c r="E143" i="14"/>
  <c r="P143" i="14" s="1"/>
  <c r="E144" i="14"/>
  <c r="P144" i="14" s="1"/>
  <c r="E145" i="14"/>
  <c r="P145" i="14" s="1"/>
  <c r="E146" i="14"/>
  <c r="P146" i="14" s="1"/>
  <c r="E147" i="14"/>
  <c r="P147" i="14" s="1"/>
  <c r="E148" i="14"/>
  <c r="P148" i="14" s="1"/>
  <c r="E149" i="14"/>
  <c r="P149" i="14" s="1"/>
  <c r="E150" i="14"/>
  <c r="P150" i="14" s="1"/>
  <c r="E151" i="14"/>
  <c r="P151" i="14" s="1"/>
  <c r="E152" i="14"/>
  <c r="P152" i="14" s="1"/>
  <c r="E153" i="14"/>
  <c r="P153" i="14" s="1"/>
  <c r="E154" i="14"/>
  <c r="P154" i="14" s="1"/>
  <c r="E155" i="14"/>
  <c r="P155" i="14" s="1"/>
  <c r="E156" i="14"/>
  <c r="P156" i="14" s="1"/>
  <c r="E157" i="14"/>
  <c r="P157" i="14" s="1"/>
  <c r="E158" i="14"/>
  <c r="P158" i="14" s="1"/>
  <c r="E159" i="14"/>
  <c r="P159" i="14" s="1"/>
  <c r="E160" i="14"/>
  <c r="P160" i="14" s="1"/>
  <c r="E161" i="14"/>
  <c r="P161" i="14" s="1"/>
  <c r="E162" i="14"/>
  <c r="P162" i="14" s="1"/>
  <c r="E163" i="14"/>
  <c r="P163" i="14" s="1"/>
  <c r="E164" i="14"/>
  <c r="P164" i="14" s="1"/>
  <c r="E165" i="14"/>
  <c r="P165" i="14" s="1"/>
  <c r="E166" i="14"/>
  <c r="P166" i="14" s="1"/>
  <c r="E167" i="14"/>
  <c r="P167" i="14" s="1"/>
  <c r="E168" i="14"/>
  <c r="P168" i="14" s="1"/>
  <c r="E169" i="14"/>
  <c r="P169" i="14" s="1"/>
  <c r="E170" i="14"/>
  <c r="P170" i="14" s="1"/>
  <c r="E171" i="14"/>
  <c r="P171" i="14" s="1"/>
  <c r="E172" i="14"/>
  <c r="P172" i="14" s="1"/>
  <c r="E173" i="14"/>
  <c r="P173" i="14" s="1"/>
  <c r="E174" i="14"/>
  <c r="P174" i="14" s="1"/>
  <c r="E175" i="14"/>
  <c r="P175" i="14" s="1"/>
  <c r="E176" i="14"/>
  <c r="P176" i="14" s="1"/>
  <c r="E177" i="14"/>
  <c r="P177" i="14" s="1"/>
  <c r="E178" i="14"/>
  <c r="P178" i="14" s="1"/>
  <c r="E179" i="14"/>
  <c r="P179" i="14" s="1"/>
  <c r="E180" i="14"/>
  <c r="P180" i="14" s="1"/>
  <c r="E181" i="14"/>
  <c r="P181" i="14" s="1"/>
  <c r="E182" i="14"/>
  <c r="P182" i="14" s="1"/>
  <c r="E183" i="14"/>
  <c r="P183" i="14" s="1"/>
  <c r="E184" i="14"/>
  <c r="P184" i="14" s="1"/>
  <c r="E185" i="14"/>
  <c r="P185" i="14" s="1"/>
  <c r="E186" i="14"/>
  <c r="P186" i="14" s="1"/>
  <c r="E187" i="14"/>
  <c r="P187" i="14" s="1"/>
  <c r="E188" i="14"/>
  <c r="P188" i="14" s="1"/>
  <c r="E189" i="14"/>
  <c r="P189" i="14" s="1"/>
  <c r="E190" i="14"/>
  <c r="P190" i="14" s="1"/>
  <c r="E191" i="14"/>
  <c r="P191" i="14" s="1"/>
  <c r="E192" i="14"/>
  <c r="P192" i="14" s="1"/>
  <c r="E193" i="14"/>
  <c r="P193" i="14" s="1"/>
  <c r="E194" i="14"/>
  <c r="P194" i="14" s="1"/>
  <c r="E195" i="14"/>
  <c r="P195" i="14" s="1"/>
  <c r="E196" i="14"/>
  <c r="P196" i="14" s="1"/>
  <c r="E197" i="14"/>
  <c r="P197" i="14" s="1"/>
  <c r="E198" i="14"/>
  <c r="P198" i="14" s="1"/>
  <c r="E199" i="14"/>
  <c r="P199" i="14" s="1"/>
  <c r="E200" i="14"/>
  <c r="P200" i="14" s="1"/>
  <c r="E201" i="14"/>
  <c r="P201" i="14" s="1"/>
  <c r="E202" i="14"/>
  <c r="P202" i="14" s="1"/>
  <c r="E203" i="14"/>
  <c r="P203" i="14" s="1"/>
  <c r="E204" i="14"/>
  <c r="P204" i="14" s="1"/>
  <c r="E205" i="14"/>
  <c r="P205" i="14" s="1"/>
  <c r="E206" i="14"/>
  <c r="P206" i="14" s="1"/>
  <c r="E207" i="14"/>
  <c r="P207" i="14" s="1"/>
  <c r="E208" i="14"/>
  <c r="P208" i="14" s="1"/>
  <c r="E209" i="14"/>
  <c r="P209" i="14" s="1"/>
  <c r="E210" i="14"/>
  <c r="P210" i="14" s="1"/>
  <c r="E211" i="14"/>
  <c r="P211" i="14" s="1"/>
  <c r="E212" i="14"/>
  <c r="P212" i="14" s="1"/>
  <c r="E213" i="14"/>
  <c r="P213" i="14" s="1"/>
  <c r="E214" i="14"/>
  <c r="P214" i="14" s="1"/>
  <c r="E215" i="14"/>
  <c r="P215" i="14" s="1"/>
  <c r="E216" i="14"/>
  <c r="P216" i="14" s="1"/>
  <c r="E217" i="14"/>
  <c r="P217" i="14" s="1"/>
  <c r="E218" i="14"/>
  <c r="P218" i="14" s="1"/>
  <c r="E219" i="14"/>
  <c r="P219" i="14" s="1"/>
  <c r="E220" i="14"/>
  <c r="P220" i="14" s="1"/>
  <c r="E221" i="14"/>
  <c r="P221" i="14" s="1"/>
  <c r="E222" i="14"/>
  <c r="P222" i="14" s="1"/>
  <c r="E223" i="14"/>
  <c r="P223" i="14" s="1"/>
  <c r="E224" i="14"/>
  <c r="P224" i="14" s="1"/>
  <c r="E225" i="14"/>
  <c r="P225" i="14" s="1"/>
  <c r="E226" i="14"/>
  <c r="P226" i="14" s="1"/>
  <c r="E227" i="14"/>
  <c r="P227" i="14" s="1"/>
  <c r="E228" i="14"/>
  <c r="P228" i="14" s="1"/>
  <c r="E229" i="14"/>
  <c r="P229" i="14" s="1"/>
  <c r="E230" i="14"/>
  <c r="P230" i="14" s="1"/>
  <c r="E231" i="14"/>
  <c r="P231" i="14" s="1"/>
  <c r="E232" i="14"/>
  <c r="P232" i="14" s="1"/>
  <c r="E233" i="14"/>
  <c r="P233" i="14" s="1"/>
  <c r="E234" i="14"/>
  <c r="P234" i="14" s="1"/>
  <c r="E235" i="14"/>
  <c r="P235" i="14" s="1"/>
  <c r="E236" i="14"/>
  <c r="P236" i="14" s="1"/>
  <c r="E237" i="14"/>
  <c r="P237" i="14" s="1"/>
  <c r="E238" i="14"/>
  <c r="P238" i="14" s="1"/>
  <c r="E239" i="14"/>
  <c r="P239" i="14" s="1"/>
  <c r="E240" i="14"/>
  <c r="P240" i="14" s="1"/>
  <c r="E241" i="14"/>
  <c r="P241" i="14" s="1"/>
  <c r="E242" i="14"/>
  <c r="P242" i="14" s="1"/>
  <c r="E243" i="14"/>
  <c r="P243" i="14" s="1"/>
  <c r="E244" i="14"/>
  <c r="P244" i="14" s="1"/>
  <c r="E245" i="14"/>
  <c r="P245" i="14" s="1"/>
  <c r="E246" i="14"/>
  <c r="P246" i="14" s="1"/>
  <c r="E247" i="14"/>
  <c r="P247" i="14" s="1"/>
  <c r="E248" i="14"/>
  <c r="P248" i="14" s="1"/>
  <c r="E249" i="14"/>
  <c r="P249" i="14" s="1"/>
  <c r="E250" i="14"/>
  <c r="P250" i="14" s="1"/>
  <c r="E251" i="14"/>
  <c r="P251" i="14" s="1"/>
  <c r="E252" i="14"/>
  <c r="P252" i="14" s="1"/>
  <c r="E253" i="14"/>
  <c r="P253" i="14" s="1"/>
  <c r="E254" i="14"/>
  <c r="P254" i="14" s="1"/>
  <c r="E255" i="14"/>
  <c r="P255" i="14" s="1"/>
  <c r="E256" i="14"/>
  <c r="P256" i="14" s="1"/>
  <c r="E257" i="14"/>
  <c r="P257" i="14" s="1"/>
  <c r="E258" i="14"/>
  <c r="P258" i="14" s="1"/>
  <c r="E259" i="14"/>
  <c r="P259" i="14" s="1"/>
  <c r="E260" i="14"/>
  <c r="P260" i="14" s="1"/>
  <c r="E261" i="14"/>
  <c r="P261" i="14" s="1"/>
  <c r="E262" i="14"/>
  <c r="P262" i="14" s="1"/>
  <c r="E263" i="14"/>
  <c r="P263" i="14" s="1"/>
  <c r="E264" i="14"/>
  <c r="P264" i="14" s="1"/>
  <c r="E265" i="14"/>
  <c r="P265" i="14" s="1"/>
  <c r="E266" i="14"/>
  <c r="P266" i="14" s="1"/>
  <c r="E267" i="14"/>
  <c r="P267" i="14" s="1"/>
  <c r="E268" i="14"/>
  <c r="P268" i="14" s="1"/>
  <c r="E269" i="14"/>
  <c r="P269" i="14" s="1"/>
  <c r="E270" i="14"/>
  <c r="P270" i="14" s="1"/>
  <c r="E271" i="14"/>
  <c r="P271" i="14" s="1"/>
  <c r="E272" i="14"/>
  <c r="P272" i="14" s="1"/>
  <c r="E273" i="14"/>
  <c r="P273" i="14" s="1"/>
  <c r="E274" i="14"/>
  <c r="P274" i="14" s="1"/>
  <c r="E275" i="14"/>
  <c r="P275" i="14" s="1"/>
  <c r="E276" i="14"/>
  <c r="P276" i="14" s="1"/>
  <c r="E277" i="14"/>
  <c r="P277" i="14" s="1"/>
  <c r="E278" i="14"/>
  <c r="P278" i="14" s="1"/>
  <c r="E279" i="14"/>
  <c r="P279" i="14" s="1"/>
  <c r="E280" i="14"/>
  <c r="P280" i="14" s="1"/>
  <c r="E281" i="14"/>
  <c r="P281" i="14" s="1"/>
  <c r="E282" i="14"/>
  <c r="P282" i="14" s="1"/>
  <c r="E283" i="14"/>
  <c r="P283" i="14" s="1"/>
  <c r="E284" i="14"/>
  <c r="P284" i="14" s="1"/>
  <c r="E285" i="14"/>
  <c r="P285" i="14" s="1"/>
  <c r="E286" i="14"/>
  <c r="P286" i="14" s="1"/>
  <c r="E287" i="14"/>
  <c r="P287" i="14" s="1"/>
  <c r="E288" i="14"/>
  <c r="P288" i="14" s="1"/>
  <c r="E289" i="14"/>
  <c r="P289" i="14" s="1"/>
  <c r="E290" i="14"/>
  <c r="P290" i="14" s="1"/>
  <c r="E291" i="14"/>
  <c r="P291" i="14" s="1"/>
  <c r="E292" i="14"/>
  <c r="P292" i="14" s="1"/>
  <c r="E293" i="14"/>
  <c r="P293" i="14" s="1"/>
  <c r="E294" i="14"/>
  <c r="P294" i="14" s="1"/>
  <c r="E295" i="14"/>
  <c r="P295" i="14" s="1"/>
  <c r="E296" i="14"/>
  <c r="P296" i="14" s="1"/>
  <c r="E297" i="14"/>
  <c r="P297" i="14" s="1"/>
  <c r="E298" i="14"/>
  <c r="P298" i="14" s="1"/>
  <c r="E299" i="14"/>
  <c r="P299" i="14" s="1"/>
  <c r="E300" i="14"/>
  <c r="P300" i="14" s="1"/>
  <c r="E301" i="14"/>
  <c r="P301" i="14" s="1"/>
  <c r="E302" i="14"/>
  <c r="P302" i="14" s="1"/>
  <c r="E303" i="14"/>
  <c r="P303" i="14" s="1"/>
  <c r="E304" i="14"/>
  <c r="P304" i="14" s="1"/>
  <c r="E305" i="14"/>
  <c r="P305" i="14" s="1"/>
  <c r="E306" i="14"/>
  <c r="P306" i="14" s="1"/>
  <c r="E307" i="14"/>
  <c r="P307" i="14" s="1"/>
  <c r="E308" i="14"/>
  <c r="P308" i="14" s="1"/>
  <c r="E309" i="14"/>
  <c r="P309" i="14" s="1"/>
  <c r="E310" i="14"/>
  <c r="P310" i="14" s="1"/>
  <c r="E311" i="14"/>
  <c r="P311" i="14" s="1"/>
  <c r="E312" i="14"/>
  <c r="P312" i="14" s="1"/>
  <c r="E313" i="14"/>
  <c r="P313" i="14" s="1"/>
  <c r="E314" i="14"/>
  <c r="P314" i="14" s="1"/>
  <c r="E315" i="14"/>
  <c r="P315" i="14" s="1"/>
  <c r="E316" i="14"/>
  <c r="P316" i="14" s="1"/>
  <c r="E317" i="14"/>
  <c r="P317" i="14" s="1"/>
  <c r="E318" i="14"/>
  <c r="P318" i="14" s="1"/>
  <c r="E319" i="14"/>
  <c r="P319" i="14" s="1"/>
  <c r="E320" i="14"/>
  <c r="P320" i="14" s="1"/>
  <c r="E321" i="14"/>
  <c r="P321" i="14" s="1"/>
  <c r="E322" i="14"/>
  <c r="P322" i="14" s="1"/>
  <c r="E323" i="14"/>
  <c r="P323" i="14" s="1"/>
  <c r="E324" i="14"/>
  <c r="P324" i="14" s="1"/>
  <c r="E325" i="14"/>
  <c r="P325" i="14" s="1"/>
  <c r="E326" i="14"/>
  <c r="P326" i="14" s="1"/>
  <c r="E327" i="14"/>
  <c r="P327" i="14" s="1"/>
  <c r="E328" i="14"/>
  <c r="P328" i="14" s="1"/>
  <c r="E329" i="14"/>
  <c r="P329" i="14" s="1"/>
  <c r="E330" i="14"/>
  <c r="P330" i="14" s="1"/>
  <c r="E331" i="14"/>
  <c r="P331" i="14" s="1"/>
  <c r="E332" i="14"/>
  <c r="P332" i="14" s="1"/>
  <c r="E333" i="14"/>
  <c r="P333" i="14" s="1"/>
  <c r="E334" i="14"/>
  <c r="P334" i="14" s="1"/>
  <c r="E335" i="14"/>
  <c r="P335" i="14" s="1"/>
  <c r="E336" i="14"/>
  <c r="P336" i="14" s="1"/>
  <c r="E337" i="14"/>
  <c r="P337" i="14" s="1"/>
  <c r="E338" i="14"/>
  <c r="P338" i="14" s="1"/>
  <c r="E339" i="14"/>
  <c r="P339" i="14" s="1"/>
  <c r="E340" i="14"/>
  <c r="P340" i="14" s="1"/>
  <c r="E341" i="14"/>
  <c r="P341" i="14" s="1"/>
  <c r="E342" i="14"/>
  <c r="P342" i="14" s="1"/>
  <c r="E343" i="14"/>
  <c r="P343" i="14" s="1"/>
  <c r="E344" i="14"/>
  <c r="P344" i="14" s="1"/>
  <c r="E345" i="14"/>
  <c r="P345" i="14" s="1"/>
  <c r="E346" i="14"/>
  <c r="P346" i="14" s="1"/>
  <c r="E347" i="14"/>
  <c r="P347" i="14" s="1"/>
  <c r="E348" i="14"/>
  <c r="P348" i="14" s="1"/>
  <c r="E349" i="14"/>
  <c r="P349" i="14" s="1"/>
  <c r="E350" i="14"/>
  <c r="P350" i="14" s="1"/>
  <c r="E351" i="14"/>
  <c r="P351" i="14" s="1"/>
  <c r="E352" i="14"/>
  <c r="P352" i="14" s="1"/>
  <c r="E353" i="14"/>
  <c r="P353" i="14" s="1"/>
  <c r="E354" i="14"/>
  <c r="P354" i="14" s="1"/>
  <c r="E355" i="14"/>
  <c r="P355" i="14" s="1"/>
  <c r="E356" i="14"/>
  <c r="P356" i="14" s="1"/>
  <c r="E357" i="14"/>
  <c r="P357" i="14" s="1"/>
  <c r="E358" i="14"/>
  <c r="P358" i="14" s="1"/>
  <c r="E359" i="14"/>
  <c r="P359" i="14" s="1"/>
  <c r="E360" i="14"/>
  <c r="P360" i="14" s="1"/>
  <c r="E361" i="14"/>
  <c r="P361" i="14" s="1"/>
  <c r="E362" i="14"/>
  <c r="P362" i="14" s="1"/>
  <c r="E363" i="14"/>
  <c r="P363" i="14" s="1"/>
  <c r="E364" i="14"/>
  <c r="P364" i="14" s="1"/>
  <c r="E365" i="14"/>
  <c r="P365" i="14" s="1"/>
  <c r="E366" i="14"/>
  <c r="P366" i="14" s="1"/>
  <c r="E367" i="14"/>
  <c r="P367" i="14" s="1"/>
  <c r="E368" i="14"/>
  <c r="P368" i="14" s="1"/>
  <c r="E369" i="14"/>
  <c r="P369" i="14" s="1"/>
  <c r="E370" i="14"/>
  <c r="P370" i="14" s="1"/>
  <c r="E371" i="14"/>
  <c r="P371" i="14" s="1"/>
  <c r="E372" i="14"/>
  <c r="P372" i="14" s="1"/>
  <c r="E373" i="14"/>
  <c r="P373" i="14" s="1"/>
  <c r="E374" i="14"/>
  <c r="P374" i="14" s="1"/>
  <c r="E375" i="14"/>
  <c r="P375" i="14" s="1"/>
  <c r="E376" i="14"/>
  <c r="P376" i="14" s="1"/>
  <c r="E377" i="14"/>
  <c r="P377" i="14" s="1"/>
  <c r="E378" i="14"/>
  <c r="P378" i="14" s="1"/>
  <c r="E379" i="14"/>
  <c r="P379" i="14" s="1"/>
  <c r="E380" i="14"/>
  <c r="P380" i="14" s="1"/>
  <c r="E381" i="14"/>
  <c r="P381" i="14" s="1"/>
  <c r="E382" i="14"/>
  <c r="P382" i="14" s="1"/>
  <c r="E383" i="14"/>
  <c r="P383" i="14" s="1"/>
  <c r="E384" i="14"/>
  <c r="P384" i="14" s="1"/>
  <c r="E385" i="14"/>
  <c r="P385" i="14" s="1"/>
  <c r="E386" i="14"/>
  <c r="P386" i="14" s="1"/>
  <c r="E387" i="14"/>
  <c r="P387" i="14" s="1"/>
  <c r="E388" i="14"/>
  <c r="P388" i="14" s="1"/>
  <c r="E389" i="14"/>
  <c r="P389" i="14" s="1"/>
  <c r="E390" i="14"/>
  <c r="P390" i="14" s="1"/>
  <c r="E391" i="14"/>
  <c r="P391" i="14" s="1"/>
  <c r="E392" i="14"/>
  <c r="P392" i="14" s="1"/>
  <c r="E393" i="14"/>
  <c r="P393" i="14" s="1"/>
  <c r="E394" i="14"/>
  <c r="P394" i="14" s="1"/>
  <c r="E395" i="14"/>
  <c r="P395" i="14" s="1"/>
  <c r="E396" i="14"/>
  <c r="P396" i="14" s="1"/>
  <c r="E397" i="14"/>
  <c r="P397" i="14" s="1"/>
  <c r="E398" i="14"/>
  <c r="P398" i="14" s="1"/>
  <c r="E399" i="14"/>
  <c r="P399" i="14" s="1"/>
  <c r="E400" i="14"/>
  <c r="P400" i="14" s="1"/>
  <c r="E401" i="14"/>
  <c r="P401" i="14" s="1"/>
  <c r="E402" i="14"/>
  <c r="P402" i="14" s="1"/>
  <c r="E403" i="14"/>
  <c r="P403" i="14" s="1"/>
  <c r="E404" i="14"/>
  <c r="P404" i="14" s="1"/>
  <c r="E405" i="14"/>
  <c r="P405" i="14" s="1"/>
  <c r="E406" i="14"/>
  <c r="P406" i="14" s="1"/>
  <c r="E407" i="14"/>
  <c r="P407" i="14" s="1"/>
  <c r="E408" i="14"/>
  <c r="P408" i="14" s="1"/>
  <c r="E409" i="14"/>
  <c r="E410" i="14"/>
  <c r="E411" i="14"/>
  <c r="E412" i="14"/>
  <c r="E413" i="14"/>
  <c r="E414" i="14"/>
  <c r="E415" i="14"/>
  <c r="E416" i="14"/>
  <c r="E417" i="14"/>
  <c r="E418" i="14"/>
  <c r="E419" i="14"/>
  <c r="E420" i="14"/>
  <c r="E421" i="14"/>
  <c r="E422" i="14"/>
  <c r="E423" i="14"/>
  <c r="E424" i="14"/>
  <c r="E425" i="14"/>
  <c r="E426" i="14"/>
  <c r="E427" i="14"/>
  <c r="E428" i="14"/>
  <c r="E429" i="14"/>
  <c r="E430" i="14"/>
  <c r="E431" i="14"/>
  <c r="E432" i="14"/>
  <c r="E433" i="14"/>
  <c r="E434" i="14"/>
  <c r="E435" i="14"/>
  <c r="E436" i="14"/>
  <c r="E437" i="14"/>
  <c r="E438" i="14"/>
  <c r="E439" i="14"/>
  <c r="E440" i="14"/>
  <c r="E441" i="14"/>
  <c r="E442" i="14"/>
  <c r="E443" i="14"/>
  <c r="E444" i="14"/>
  <c r="E445" i="14"/>
  <c r="E446" i="14"/>
  <c r="E447" i="14"/>
  <c r="E448" i="14"/>
  <c r="E449" i="14"/>
  <c r="E450" i="14"/>
  <c r="E451" i="14"/>
  <c r="E452" i="14"/>
  <c r="E453" i="14"/>
  <c r="E454" i="14"/>
  <c r="E455" i="14"/>
  <c r="E456" i="14"/>
  <c r="E457" i="14"/>
  <c r="E458" i="14"/>
  <c r="E459" i="14"/>
  <c r="E460" i="14"/>
  <c r="E461" i="14"/>
  <c r="E462" i="14"/>
  <c r="E463" i="14"/>
  <c r="E464" i="14"/>
  <c r="E465" i="14"/>
  <c r="E466" i="14"/>
  <c r="E467" i="14"/>
  <c r="E468" i="14"/>
  <c r="E469" i="14"/>
  <c r="E470" i="14"/>
  <c r="E471" i="14"/>
  <c r="E472" i="14"/>
  <c r="E473" i="14"/>
  <c r="E474" i="14"/>
  <c r="E475" i="14"/>
  <c r="E476" i="14"/>
  <c r="E477" i="14"/>
  <c r="E478" i="14"/>
  <c r="E479" i="14"/>
  <c r="E480" i="14"/>
  <c r="E481" i="14"/>
  <c r="E482" i="14"/>
  <c r="E483" i="14"/>
  <c r="E484" i="14"/>
  <c r="E485" i="14"/>
  <c r="E486" i="14"/>
  <c r="E487" i="14"/>
  <c r="E488" i="14"/>
  <c r="E489" i="14"/>
  <c r="E490" i="14"/>
  <c r="E491" i="14"/>
  <c r="E492" i="14"/>
  <c r="E493" i="14"/>
  <c r="E494" i="14"/>
  <c r="E495" i="14"/>
  <c r="E496" i="14"/>
  <c r="E497" i="14"/>
  <c r="E498" i="14"/>
  <c r="E499" i="14"/>
  <c r="E500" i="14"/>
  <c r="E501" i="14"/>
  <c r="E502" i="14"/>
  <c r="E503" i="14"/>
  <c r="E504" i="14"/>
  <c r="E505" i="14"/>
  <c r="E506" i="14"/>
  <c r="E507" i="14"/>
  <c r="E508" i="14"/>
  <c r="E509" i="14"/>
  <c r="E510" i="14"/>
  <c r="E511" i="14"/>
  <c r="E512" i="14"/>
  <c r="E513" i="14"/>
  <c r="E514" i="14"/>
  <c r="E515" i="14"/>
  <c r="E516" i="14"/>
  <c r="E517" i="14"/>
  <c r="E518" i="14"/>
  <c r="E519" i="14"/>
  <c r="E520" i="14"/>
  <c r="E521" i="14"/>
  <c r="E522" i="14"/>
  <c r="E523" i="14"/>
  <c r="E524" i="14"/>
  <c r="E525" i="14"/>
  <c r="E526" i="14"/>
  <c r="E527" i="14"/>
  <c r="E528" i="14"/>
  <c r="E529" i="14"/>
  <c r="E530" i="14"/>
  <c r="E531" i="14"/>
  <c r="E532" i="14"/>
  <c r="E533" i="14"/>
  <c r="E534" i="14"/>
  <c r="E535" i="14"/>
  <c r="E536" i="14"/>
  <c r="E537" i="14"/>
  <c r="E538" i="14"/>
  <c r="E539" i="14"/>
  <c r="E540" i="14"/>
  <c r="E541" i="14"/>
  <c r="E542" i="14"/>
  <c r="E543" i="14"/>
  <c r="E544" i="14"/>
  <c r="E545" i="14"/>
  <c r="E546" i="14"/>
  <c r="E547" i="14"/>
  <c r="E548" i="14"/>
  <c r="E549" i="14"/>
  <c r="E550" i="14"/>
  <c r="E551" i="14"/>
  <c r="E552" i="14"/>
  <c r="E553" i="14"/>
  <c r="E554" i="14"/>
  <c r="E555" i="14"/>
  <c r="E556" i="14"/>
  <c r="E557" i="14"/>
  <c r="E558" i="14"/>
  <c r="E559" i="14"/>
  <c r="E560" i="14"/>
  <c r="E561" i="14"/>
  <c r="E562" i="14"/>
  <c r="E563" i="14"/>
  <c r="E564" i="14"/>
  <c r="E565" i="14"/>
  <c r="E566" i="14"/>
  <c r="E567" i="14"/>
  <c r="E568" i="14"/>
  <c r="E569" i="14"/>
  <c r="E570" i="14"/>
  <c r="E571" i="14"/>
  <c r="E572" i="14"/>
  <c r="E573" i="14"/>
  <c r="E574" i="14"/>
  <c r="E575" i="14"/>
  <c r="E576" i="14"/>
  <c r="E577" i="14"/>
  <c r="E578" i="14"/>
  <c r="E579" i="14"/>
  <c r="E580" i="14"/>
  <c r="E581" i="14"/>
  <c r="E582" i="14"/>
  <c r="E583" i="14"/>
  <c r="E584" i="14"/>
  <c r="E585" i="14"/>
  <c r="E586" i="14"/>
  <c r="E587" i="14"/>
  <c r="E588" i="14"/>
  <c r="E589" i="14"/>
  <c r="E590" i="14"/>
  <c r="E591" i="14"/>
  <c r="E592" i="14"/>
  <c r="E593" i="14"/>
  <c r="E594" i="14"/>
  <c r="E595" i="14"/>
  <c r="E596" i="14"/>
  <c r="E597" i="14"/>
  <c r="E598" i="14"/>
  <c r="E599" i="14"/>
  <c r="E600" i="14"/>
  <c r="E601" i="14"/>
  <c r="E602" i="14"/>
  <c r="E603" i="14"/>
  <c r="E604" i="14"/>
  <c r="E605" i="14"/>
  <c r="E606" i="14"/>
  <c r="E607" i="14"/>
  <c r="E608" i="14"/>
  <c r="E609" i="14"/>
  <c r="E610" i="14"/>
  <c r="E611" i="14"/>
  <c r="E612" i="14"/>
  <c r="E613" i="14"/>
  <c r="E614" i="14"/>
  <c r="E615" i="14"/>
  <c r="E616" i="14"/>
  <c r="E617" i="14"/>
  <c r="E618" i="14"/>
  <c r="E619" i="14"/>
  <c r="E620" i="14"/>
  <c r="E621" i="14"/>
  <c r="E622" i="14"/>
  <c r="E623" i="14"/>
  <c r="E624" i="14"/>
  <c r="E625" i="14"/>
  <c r="E626" i="14"/>
  <c r="E627" i="14"/>
  <c r="E628" i="14"/>
  <c r="E629" i="14"/>
  <c r="E630" i="14"/>
  <c r="E631" i="14"/>
  <c r="E632" i="14"/>
  <c r="E633" i="14"/>
  <c r="E634" i="14"/>
  <c r="E635" i="14"/>
  <c r="E636" i="14"/>
  <c r="E637" i="14"/>
  <c r="E638" i="14"/>
  <c r="E639" i="14"/>
  <c r="E640" i="14"/>
  <c r="E641" i="14"/>
  <c r="E642" i="14"/>
  <c r="E643" i="14"/>
  <c r="E644" i="14"/>
  <c r="E645" i="14"/>
  <c r="E646" i="14"/>
  <c r="E647" i="14"/>
  <c r="E648" i="14"/>
  <c r="E649" i="14"/>
  <c r="E650" i="14"/>
  <c r="E651" i="14"/>
  <c r="E652" i="14"/>
  <c r="E653" i="14"/>
  <c r="E654" i="14"/>
  <c r="E655" i="14"/>
  <c r="E656" i="14"/>
  <c r="E657" i="14"/>
  <c r="E658" i="14"/>
  <c r="E659" i="14"/>
  <c r="E660" i="14"/>
  <c r="E661" i="14"/>
  <c r="E662" i="14"/>
  <c r="E663" i="14"/>
  <c r="E664" i="14"/>
  <c r="E665" i="14"/>
  <c r="E666" i="14"/>
  <c r="E667" i="14"/>
  <c r="E668" i="14"/>
  <c r="E669" i="14"/>
  <c r="E670" i="14"/>
  <c r="E671" i="14"/>
  <c r="E672" i="14"/>
  <c r="E673" i="14"/>
  <c r="E674" i="14"/>
  <c r="E675" i="14"/>
  <c r="E676" i="14"/>
  <c r="E677" i="14"/>
  <c r="E678" i="14"/>
  <c r="E679" i="14"/>
  <c r="E680" i="14"/>
  <c r="E681" i="14"/>
  <c r="E682" i="14"/>
  <c r="E683" i="14"/>
  <c r="E684" i="14"/>
  <c r="E685" i="14"/>
  <c r="E686" i="14"/>
  <c r="E687" i="14"/>
  <c r="E688" i="14"/>
  <c r="E689" i="14"/>
  <c r="E690" i="14"/>
  <c r="E691" i="14"/>
  <c r="E692" i="14"/>
  <c r="E693" i="14"/>
  <c r="E694" i="14"/>
  <c r="E695" i="14"/>
  <c r="E696" i="14"/>
  <c r="E697" i="14"/>
  <c r="E698" i="14"/>
  <c r="E699" i="14"/>
  <c r="E700" i="14"/>
  <c r="E701" i="14"/>
  <c r="E702" i="14"/>
  <c r="E703" i="14"/>
  <c r="E704" i="14"/>
  <c r="E705" i="14"/>
  <c r="E706" i="14"/>
  <c r="E707" i="14"/>
  <c r="E708" i="14"/>
  <c r="E709" i="14"/>
  <c r="E710" i="14"/>
  <c r="E711" i="14"/>
  <c r="E712" i="14"/>
  <c r="E713" i="14"/>
  <c r="E714" i="14"/>
  <c r="E715" i="14"/>
  <c r="E716" i="14"/>
  <c r="E717" i="14"/>
  <c r="E718" i="14"/>
  <c r="E719" i="14"/>
  <c r="E720" i="14"/>
  <c r="E721" i="14"/>
  <c r="E722" i="14"/>
  <c r="E723" i="14"/>
  <c r="E724" i="14"/>
  <c r="E725" i="14"/>
  <c r="E726" i="14"/>
  <c r="E727" i="14"/>
  <c r="E728" i="14"/>
  <c r="E729" i="14"/>
  <c r="E730" i="14"/>
  <c r="E731" i="14"/>
  <c r="E732" i="14"/>
  <c r="E733" i="14"/>
  <c r="E734" i="14"/>
  <c r="E735" i="14"/>
  <c r="E736" i="14"/>
  <c r="E737" i="14"/>
  <c r="E738" i="14"/>
  <c r="E739" i="14"/>
  <c r="E740" i="14"/>
  <c r="E741" i="14"/>
  <c r="E742" i="14"/>
  <c r="E743" i="14"/>
  <c r="E744" i="14"/>
  <c r="E745" i="14"/>
  <c r="E746" i="14"/>
  <c r="E747" i="14"/>
  <c r="E748" i="14"/>
  <c r="E749" i="14"/>
  <c r="E750" i="14"/>
  <c r="E751" i="14"/>
  <c r="E752" i="14"/>
  <c r="E753" i="14"/>
  <c r="E754" i="14"/>
  <c r="E755" i="14"/>
  <c r="E756" i="14"/>
  <c r="E757" i="14"/>
  <c r="E758" i="14"/>
  <c r="E759" i="14"/>
  <c r="E760" i="14"/>
  <c r="E761" i="14"/>
  <c r="E762" i="14"/>
  <c r="E763" i="14"/>
  <c r="E764" i="14"/>
  <c r="E765" i="14"/>
  <c r="E766" i="14"/>
  <c r="E767" i="14"/>
  <c r="E768" i="14"/>
  <c r="E769" i="14"/>
  <c r="E770" i="14"/>
  <c r="E771" i="14"/>
  <c r="E772" i="14"/>
  <c r="E773" i="14"/>
  <c r="E774" i="14"/>
  <c r="E775" i="14"/>
  <c r="E776" i="14"/>
  <c r="E777" i="14"/>
  <c r="E778" i="14"/>
  <c r="E779" i="14"/>
  <c r="E780" i="14"/>
  <c r="E781" i="14"/>
  <c r="E782" i="14"/>
  <c r="E783" i="14"/>
  <c r="E784" i="14"/>
  <c r="E785" i="14"/>
  <c r="E786" i="14"/>
  <c r="E787" i="14"/>
  <c r="E788" i="14"/>
  <c r="E789" i="14"/>
  <c r="E790" i="14"/>
  <c r="E791" i="14"/>
  <c r="E792" i="14"/>
  <c r="E793" i="14"/>
  <c r="E794" i="14"/>
  <c r="E795" i="14"/>
  <c r="E796" i="14"/>
  <c r="E797" i="14"/>
  <c r="E798" i="14"/>
  <c r="E799" i="14"/>
  <c r="E800" i="14"/>
  <c r="E801" i="14"/>
  <c r="E802" i="14"/>
  <c r="E803" i="14"/>
  <c r="E804" i="14"/>
  <c r="E805" i="14"/>
  <c r="E806" i="14"/>
  <c r="E807" i="14"/>
  <c r="E808" i="14"/>
  <c r="E809" i="14"/>
  <c r="E810" i="14"/>
  <c r="E811" i="14"/>
  <c r="E812" i="14"/>
  <c r="E813" i="14"/>
  <c r="E814" i="14"/>
  <c r="E815" i="14"/>
  <c r="E816" i="14"/>
  <c r="E817" i="14"/>
  <c r="E818" i="14"/>
  <c r="E819" i="14"/>
  <c r="E820" i="14"/>
  <c r="E821" i="14"/>
  <c r="E822" i="14"/>
  <c r="E823" i="14"/>
  <c r="E824" i="14"/>
  <c r="E825" i="14"/>
  <c r="E826" i="14"/>
  <c r="E827" i="14"/>
  <c r="E828" i="14"/>
  <c r="E829" i="14"/>
  <c r="E830" i="14"/>
  <c r="E831" i="14"/>
  <c r="E832" i="14"/>
  <c r="E833" i="14"/>
  <c r="E834" i="14"/>
  <c r="E835" i="14"/>
  <c r="E836" i="14"/>
  <c r="E837" i="14"/>
  <c r="E838" i="14"/>
  <c r="E839" i="14"/>
  <c r="E840" i="14"/>
  <c r="E841" i="14"/>
  <c r="E842" i="14"/>
  <c r="E843" i="14"/>
  <c r="E844" i="14"/>
  <c r="E845" i="14"/>
  <c r="E846" i="14"/>
  <c r="E847" i="14"/>
  <c r="E848" i="14"/>
  <c r="E849" i="14"/>
  <c r="E850" i="14"/>
  <c r="E851" i="14"/>
  <c r="E852" i="14"/>
  <c r="E853" i="14"/>
  <c r="E854" i="14"/>
  <c r="E855" i="14"/>
  <c r="E856" i="14"/>
  <c r="E857" i="14"/>
  <c r="E858" i="14"/>
  <c r="E859" i="14"/>
  <c r="E860" i="14"/>
  <c r="E861" i="14"/>
  <c r="E862" i="14"/>
  <c r="E863" i="14"/>
  <c r="E864" i="14"/>
  <c r="E865" i="14"/>
  <c r="E866" i="14"/>
  <c r="E867" i="14"/>
  <c r="E868" i="14"/>
  <c r="E869" i="14"/>
  <c r="E870" i="14"/>
  <c r="E871" i="14"/>
  <c r="E872" i="14"/>
  <c r="E873" i="14"/>
  <c r="E874" i="14"/>
  <c r="E875" i="14"/>
  <c r="E876" i="14"/>
  <c r="E877" i="14"/>
  <c r="E878" i="14"/>
  <c r="E879" i="14"/>
  <c r="E880" i="14"/>
  <c r="E881" i="14"/>
  <c r="E882" i="14"/>
  <c r="E883" i="14"/>
  <c r="E884" i="14"/>
  <c r="E885" i="14"/>
  <c r="E886" i="14"/>
  <c r="E887" i="14"/>
  <c r="E888" i="14"/>
  <c r="E889" i="14"/>
  <c r="E890" i="14"/>
  <c r="E891" i="14"/>
  <c r="E892" i="14"/>
  <c r="E893" i="14"/>
  <c r="E894" i="14"/>
  <c r="E895" i="14"/>
  <c r="E896" i="14"/>
  <c r="E897" i="14"/>
  <c r="E898" i="14"/>
  <c r="E899" i="14"/>
  <c r="E900" i="14"/>
  <c r="E901" i="14"/>
  <c r="E902" i="14"/>
  <c r="E903" i="14"/>
  <c r="E904" i="14"/>
  <c r="E905" i="14"/>
  <c r="E906" i="14"/>
  <c r="E907" i="14"/>
  <c r="E908" i="14"/>
  <c r="E909" i="14"/>
  <c r="E910" i="14"/>
  <c r="E911" i="14"/>
  <c r="E912" i="14"/>
  <c r="E913" i="14"/>
  <c r="E914" i="14"/>
  <c r="E915" i="14"/>
  <c r="E916" i="14"/>
  <c r="E917" i="14"/>
  <c r="E918" i="14"/>
  <c r="E919" i="14"/>
  <c r="E920" i="14"/>
  <c r="E921" i="14"/>
  <c r="E922" i="14"/>
  <c r="E923" i="14"/>
  <c r="E924" i="14"/>
  <c r="E925" i="14"/>
  <c r="E926" i="14"/>
  <c r="E927" i="14"/>
  <c r="E928" i="14"/>
  <c r="E929" i="14"/>
  <c r="E930" i="14"/>
  <c r="E931" i="14"/>
  <c r="E932" i="14"/>
  <c r="E933" i="14"/>
  <c r="E934" i="14"/>
  <c r="E935" i="14"/>
  <c r="E936" i="14"/>
  <c r="E937" i="14"/>
  <c r="E938" i="14"/>
  <c r="E939" i="14"/>
  <c r="E940" i="14"/>
  <c r="E941" i="14"/>
  <c r="E942" i="14"/>
  <c r="E943" i="14"/>
  <c r="E944" i="14"/>
  <c r="E945" i="14"/>
  <c r="E946" i="14"/>
  <c r="E947" i="14"/>
  <c r="E948" i="14"/>
  <c r="E949" i="14"/>
  <c r="E950" i="14"/>
  <c r="E951" i="14"/>
  <c r="E952" i="14"/>
  <c r="E953" i="14"/>
  <c r="E954" i="14"/>
  <c r="E955" i="14"/>
  <c r="E956" i="14"/>
  <c r="E957" i="14"/>
  <c r="E958" i="14"/>
  <c r="E959" i="14"/>
  <c r="E960" i="14"/>
  <c r="E961" i="14"/>
  <c r="E962" i="14"/>
  <c r="E963" i="14"/>
  <c r="E964" i="14"/>
  <c r="E965" i="14"/>
  <c r="E966" i="14"/>
  <c r="E967" i="14"/>
  <c r="E968" i="14"/>
  <c r="E969" i="14"/>
  <c r="E970" i="14"/>
  <c r="E971" i="14"/>
  <c r="E972" i="14"/>
  <c r="E973" i="14"/>
  <c r="E974" i="14"/>
  <c r="E975" i="14"/>
  <c r="E976" i="14"/>
  <c r="E977" i="14"/>
  <c r="E978" i="14"/>
  <c r="E979" i="14"/>
  <c r="E980" i="14"/>
  <c r="E981" i="14"/>
  <c r="E982" i="14"/>
  <c r="E983" i="14"/>
  <c r="E984" i="14"/>
  <c r="E985" i="14"/>
  <c r="E986" i="14"/>
  <c r="E987" i="14"/>
  <c r="E988" i="14"/>
  <c r="E989" i="14"/>
  <c r="E990" i="14"/>
  <c r="E991" i="14"/>
  <c r="E992" i="14"/>
  <c r="E993" i="14"/>
  <c r="E994" i="14"/>
  <c r="E995" i="14"/>
  <c r="E996" i="14"/>
  <c r="E997" i="14"/>
  <c r="E10" i="14"/>
  <c r="P10" i="14" s="1"/>
  <c r="P12" i="6"/>
  <c r="P13" i="6"/>
  <c r="K11" i="11"/>
  <c r="P11" i="11"/>
  <c r="K12" i="11"/>
  <c r="K13" i="11"/>
  <c r="P13" i="11" s="1"/>
  <c r="K14" i="11"/>
  <c r="P14" i="11" s="1"/>
  <c r="K15" i="11"/>
  <c r="P15" i="11" s="1"/>
  <c r="K16" i="11"/>
  <c r="P16" i="11" s="1"/>
  <c r="K17" i="11"/>
  <c r="P17" i="11" s="1"/>
  <c r="K18" i="11"/>
  <c r="P18" i="11" s="1"/>
  <c r="K19" i="11"/>
  <c r="P19" i="11" s="1"/>
  <c r="K20" i="11"/>
  <c r="P20" i="11" s="1"/>
  <c r="K21" i="11"/>
  <c r="P21" i="11" s="1"/>
  <c r="K22" i="11"/>
  <c r="P22" i="11" s="1"/>
  <c r="K23" i="11"/>
  <c r="P23" i="11" s="1"/>
  <c r="K24" i="11"/>
  <c r="P24" i="11" s="1"/>
  <c r="K25" i="11"/>
  <c r="P25" i="11" s="1"/>
  <c r="K26" i="11"/>
  <c r="P26" i="11" s="1"/>
  <c r="K27" i="11"/>
  <c r="K28" i="11"/>
  <c r="K29" i="11"/>
  <c r="P29" i="11" s="1"/>
  <c r="K30" i="11"/>
  <c r="K31" i="11"/>
  <c r="P31" i="11"/>
  <c r="K32" i="11"/>
  <c r="K33" i="11"/>
  <c r="P33" i="11" s="1"/>
  <c r="K34" i="11"/>
  <c r="K35" i="11"/>
  <c r="P35" i="11"/>
  <c r="K36" i="11"/>
  <c r="P36" i="11"/>
  <c r="K37" i="11"/>
  <c r="P37" i="11"/>
  <c r="K38" i="11"/>
  <c r="P38" i="11"/>
  <c r="K39" i="11"/>
  <c r="P39" i="11" s="1"/>
  <c r="K40" i="11"/>
  <c r="P40" i="11"/>
  <c r="K41" i="11"/>
  <c r="P41" i="11"/>
  <c r="K42" i="11"/>
  <c r="K43" i="11"/>
  <c r="P43" i="11" s="1"/>
  <c r="K44" i="11"/>
  <c r="P44" i="11" s="1"/>
  <c r="K45" i="11"/>
  <c r="P45" i="11" s="1"/>
  <c r="K46" i="11"/>
  <c r="K47" i="11"/>
  <c r="P47" i="11"/>
  <c r="K48" i="11"/>
  <c r="P48" i="11" s="1"/>
  <c r="K49" i="11"/>
  <c r="K50" i="11"/>
  <c r="P50" i="11" s="1"/>
  <c r="K51" i="11"/>
  <c r="P51" i="11" s="1"/>
  <c r="K52" i="11"/>
  <c r="P52" i="11" s="1"/>
  <c r="K53" i="11"/>
  <c r="P53" i="11" s="1"/>
  <c r="K54" i="11"/>
  <c r="P54" i="11" s="1"/>
  <c r="K55" i="11"/>
  <c r="P55" i="11" s="1"/>
  <c r="K56" i="11"/>
  <c r="P56" i="11" s="1"/>
  <c r="K57" i="11"/>
  <c r="P57" i="11" s="1"/>
  <c r="K58" i="11"/>
  <c r="K59" i="11"/>
  <c r="K60" i="11"/>
  <c r="P60" i="11" s="1"/>
  <c r="K61" i="11"/>
  <c r="K62" i="11"/>
  <c r="K63" i="11"/>
  <c r="P63" i="11" s="1"/>
  <c r="K64" i="11"/>
  <c r="P64" i="11" s="1"/>
  <c r="K65" i="11"/>
  <c r="P65" i="11" s="1"/>
  <c r="K66" i="11"/>
  <c r="P66" i="11" s="1"/>
  <c r="K67" i="11"/>
  <c r="P67" i="11" s="1"/>
  <c r="K68" i="11"/>
  <c r="K69" i="11"/>
  <c r="P69" i="11"/>
  <c r="K70" i="11"/>
  <c r="P70" i="11"/>
  <c r="K71" i="11"/>
  <c r="P71" i="11"/>
  <c r="K72" i="11"/>
  <c r="P72" i="11"/>
  <c r="K73" i="11"/>
  <c r="P73" i="11"/>
  <c r="K74" i="11"/>
  <c r="K75" i="11"/>
  <c r="P75" i="11" s="1"/>
  <c r="K76" i="11"/>
  <c r="K77" i="11"/>
  <c r="K78" i="11"/>
  <c r="K79" i="11"/>
  <c r="P79" i="11"/>
  <c r="K80" i="11"/>
  <c r="K81" i="11"/>
  <c r="P81" i="11" s="1"/>
  <c r="K82" i="11"/>
  <c r="K83" i="11"/>
  <c r="P83" i="11"/>
  <c r="K84" i="11"/>
  <c r="P84" i="11"/>
  <c r="K85" i="11"/>
  <c r="P85" i="11"/>
  <c r="K86" i="11"/>
  <c r="P86" i="11"/>
  <c r="K87" i="11"/>
  <c r="P87" i="11"/>
  <c r="K88" i="11"/>
  <c r="P88" i="11"/>
  <c r="K89" i="11"/>
  <c r="P89" i="11"/>
  <c r="K90" i="11"/>
  <c r="K91" i="11"/>
  <c r="P91" i="11" s="1"/>
  <c r="K92" i="11"/>
  <c r="P92" i="11" s="1"/>
  <c r="K93" i="11"/>
  <c r="P93" i="11" s="1"/>
  <c r="K94" i="11"/>
  <c r="P94" i="11" s="1"/>
  <c r="K95" i="11"/>
  <c r="P95" i="11" s="1"/>
  <c r="K96" i="11"/>
  <c r="P96" i="11" s="1"/>
  <c r="K97" i="11"/>
  <c r="P97" i="11" s="1"/>
  <c r="K98" i="11"/>
  <c r="K99" i="11"/>
  <c r="P99" i="11"/>
  <c r="K100" i="11"/>
  <c r="P100" i="11"/>
  <c r="K101" i="11"/>
  <c r="P101" i="11"/>
  <c r="K102" i="11"/>
  <c r="P102" i="11"/>
  <c r="K103" i="11"/>
  <c r="P103" i="11" s="1"/>
  <c r="K104" i="11"/>
  <c r="P104" i="11"/>
  <c r="K105" i="11"/>
  <c r="P105" i="11"/>
  <c r="K106" i="11"/>
  <c r="K107" i="11"/>
  <c r="P107" i="11" s="1"/>
  <c r="K108" i="11"/>
  <c r="K109" i="11"/>
  <c r="P109" i="11"/>
  <c r="K110" i="11"/>
  <c r="K111" i="11"/>
  <c r="K112" i="11"/>
  <c r="P112" i="11"/>
  <c r="K113" i="11"/>
  <c r="P113" i="11" s="1"/>
  <c r="K114" i="11"/>
  <c r="K115" i="11"/>
  <c r="P115" i="11" s="1"/>
  <c r="K116" i="11"/>
  <c r="P116" i="11" s="1"/>
  <c r="K117" i="11"/>
  <c r="P117" i="11"/>
  <c r="K118" i="11"/>
  <c r="K119" i="11"/>
  <c r="P119" i="11" s="1"/>
  <c r="K120" i="11"/>
  <c r="P120" i="11" s="1"/>
  <c r="K121" i="11"/>
  <c r="P121" i="11" s="1"/>
  <c r="K122" i="11"/>
  <c r="K123" i="11"/>
  <c r="P123" i="11" s="1"/>
  <c r="K124" i="11"/>
  <c r="K125" i="11"/>
  <c r="P125" i="11" s="1"/>
  <c r="K126" i="11"/>
  <c r="P126" i="11" s="1"/>
  <c r="K127" i="11"/>
  <c r="K128" i="11"/>
  <c r="K129" i="11"/>
  <c r="K130" i="11"/>
  <c r="K131" i="11"/>
  <c r="P131" i="11"/>
  <c r="K132" i="11"/>
  <c r="P132" i="11"/>
  <c r="K133" i="11"/>
  <c r="P133" i="11"/>
  <c r="K134" i="11"/>
  <c r="P134" i="11" s="1"/>
  <c r="K135" i="11"/>
  <c r="P135" i="11"/>
  <c r="K136" i="11"/>
  <c r="P136" i="11"/>
  <c r="K137" i="11"/>
  <c r="P137" i="11"/>
  <c r="K138" i="11"/>
  <c r="P138" i="11"/>
  <c r="K139" i="11"/>
  <c r="K140" i="11"/>
  <c r="K141" i="11"/>
  <c r="K142" i="11"/>
  <c r="K143" i="11"/>
  <c r="P143" i="11"/>
  <c r="K144" i="11"/>
  <c r="P144" i="11"/>
  <c r="K145" i="11"/>
  <c r="K146" i="11"/>
  <c r="K147" i="11"/>
  <c r="P147" i="11"/>
  <c r="K148" i="11"/>
  <c r="K149" i="11"/>
  <c r="P149" i="11" s="1"/>
  <c r="K150" i="11"/>
  <c r="P150" i="11" s="1"/>
  <c r="K151" i="11"/>
  <c r="P151" i="11" s="1"/>
  <c r="K152" i="11"/>
  <c r="P152" i="11" s="1"/>
  <c r="K153" i="11"/>
  <c r="P153" i="11" s="1"/>
  <c r="K154" i="11"/>
  <c r="K155" i="11"/>
  <c r="K156" i="11"/>
  <c r="P156" i="11" s="1"/>
  <c r="K157" i="11"/>
  <c r="P157" i="11" s="1"/>
  <c r="K158" i="11"/>
  <c r="K159" i="11"/>
  <c r="P159" i="11" s="1"/>
  <c r="K160" i="11"/>
  <c r="K161" i="11"/>
  <c r="K162" i="11"/>
  <c r="K163" i="11"/>
  <c r="P163" i="11"/>
  <c r="K164" i="11"/>
  <c r="P164" i="11"/>
  <c r="K165" i="11"/>
  <c r="P165" i="11" s="1"/>
  <c r="K166" i="11"/>
  <c r="P166" i="11"/>
  <c r="K167" i="11"/>
  <c r="K168" i="11"/>
  <c r="P168" i="11" s="1"/>
  <c r="K169" i="11"/>
  <c r="P169" i="11" s="1"/>
  <c r="K170" i="11"/>
  <c r="K171" i="11"/>
  <c r="K172" i="11"/>
  <c r="K173" i="11"/>
  <c r="K174" i="11"/>
  <c r="K175" i="11"/>
  <c r="P175" i="11"/>
  <c r="K176" i="11"/>
  <c r="P176" i="11" s="1"/>
  <c r="K177" i="11"/>
  <c r="P177" i="11"/>
  <c r="K178" i="11"/>
  <c r="K179" i="11"/>
  <c r="P179" i="11" s="1"/>
  <c r="K180" i="11"/>
  <c r="K181" i="11"/>
  <c r="P181" i="11"/>
  <c r="K182" i="11"/>
  <c r="P182" i="11"/>
  <c r="K183" i="11"/>
  <c r="P183" i="11"/>
  <c r="K184" i="11"/>
  <c r="P184" i="11"/>
  <c r="K185" i="11"/>
  <c r="P185" i="11" s="1"/>
  <c r="K186" i="11"/>
  <c r="P186" i="11"/>
  <c r="K187" i="11"/>
  <c r="P187" i="11"/>
  <c r="K188" i="11"/>
  <c r="P188" i="11"/>
  <c r="K189" i="11"/>
  <c r="K190" i="11"/>
  <c r="K191" i="11"/>
  <c r="K192" i="11"/>
  <c r="P192" i="11" s="1"/>
  <c r="K193" i="11"/>
  <c r="K194" i="11"/>
  <c r="K195" i="11"/>
  <c r="P195" i="11" s="1"/>
  <c r="K196" i="11"/>
  <c r="K197" i="11"/>
  <c r="K198" i="11"/>
  <c r="P198" i="11" s="1"/>
  <c r="K199" i="11"/>
  <c r="P199" i="11" s="1"/>
  <c r="K200" i="11"/>
  <c r="K201" i="11"/>
  <c r="P201" i="11"/>
  <c r="K202" i="11"/>
  <c r="K203" i="11"/>
  <c r="K204" i="11"/>
  <c r="K205" i="11"/>
  <c r="K206" i="11"/>
  <c r="P206" i="11"/>
  <c r="K207" i="11"/>
  <c r="K208" i="11"/>
  <c r="P208" i="11" s="1"/>
  <c r="K209" i="11"/>
  <c r="K210" i="11"/>
  <c r="P210" i="11"/>
  <c r="K211" i="11"/>
  <c r="P211" i="11"/>
  <c r="K212" i="11"/>
  <c r="K213" i="11"/>
  <c r="P213" i="11" s="1"/>
  <c r="K214" i="11"/>
  <c r="P214" i="11" s="1"/>
  <c r="K215" i="11"/>
  <c r="K216" i="11"/>
  <c r="P216" i="11"/>
  <c r="K217" i="11"/>
  <c r="P217" i="11" s="1"/>
  <c r="K218" i="11"/>
  <c r="K219" i="11"/>
  <c r="P219" i="11" s="1"/>
  <c r="K220" i="11"/>
  <c r="P220" i="11" s="1"/>
  <c r="K221" i="11"/>
  <c r="K222" i="11"/>
  <c r="K223" i="11"/>
  <c r="P223" i="11" s="1"/>
  <c r="K224" i="11"/>
  <c r="K225" i="11"/>
  <c r="K226" i="11"/>
  <c r="P226" i="11" s="1"/>
  <c r="K227" i="11"/>
  <c r="P227" i="11" s="1"/>
  <c r="K228" i="11"/>
  <c r="K229" i="11"/>
  <c r="P229" i="11" s="1"/>
  <c r="K230" i="11"/>
  <c r="P230" i="11"/>
  <c r="K231" i="11"/>
  <c r="P231" i="11"/>
  <c r="K232" i="11"/>
  <c r="P232" i="11" s="1"/>
  <c r="K233" i="11"/>
  <c r="P233" i="11"/>
  <c r="K234" i="11"/>
  <c r="K235" i="11"/>
  <c r="K236" i="11"/>
  <c r="K237" i="11"/>
  <c r="K238" i="11"/>
  <c r="P238" i="11"/>
  <c r="K239" i="11"/>
  <c r="K240" i="11"/>
  <c r="K241" i="11"/>
  <c r="P241" i="11"/>
  <c r="K242" i="11"/>
  <c r="P242" i="11"/>
  <c r="K243" i="11"/>
  <c r="P243" i="11" s="1"/>
  <c r="K244" i="11"/>
  <c r="K245" i="11"/>
  <c r="P245" i="11" s="1"/>
  <c r="K246" i="11"/>
  <c r="P246" i="11" s="1"/>
  <c r="K247" i="11"/>
  <c r="K248" i="11"/>
  <c r="K249" i="11"/>
  <c r="P249" i="11" s="1"/>
  <c r="K250" i="11"/>
  <c r="K251" i="11"/>
  <c r="K252" i="11"/>
  <c r="P252" i="11" s="1"/>
  <c r="K253" i="11"/>
  <c r="P253" i="11"/>
  <c r="K254" i="11"/>
  <c r="P254" i="11" s="1"/>
  <c r="K255" i="11"/>
  <c r="P255" i="11"/>
  <c r="K256" i="11"/>
  <c r="K257" i="11"/>
  <c r="P257" i="11" s="1"/>
  <c r="K258" i="11"/>
  <c r="K259" i="11"/>
  <c r="K260" i="11"/>
  <c r="P260" i="11" s="1"/>
  <c r="K261" i="11"/>
  <c r="P261" i="11" s="1"/>
  <c r="K262" i="11"/>
  <c r="P262" i="11" s="1"/>
  <c r="K263" i="11"/>
  <c r="K264" i="11"/>
  <c r="K265" i="11"/>
  <c r="P265" i="11" s="1"/>
  <c r="K266" i="11"/>
  <c r="K267" i="11"/>
  <c r="K268" i="11"/>
  <c r="P268" i="11"/>
  <c r="K269" i="11"/>
  <c r="K270" i="11"/>
  <c r="K271" i="11"/>
  <c r="K272" i="11"/>
  <c r="K273" i="11"/>
  <c r="P273" i="11" s="1"/>
  <c r="K274" i="11"/>
  <c r="P274" i="11" s="1"/>
  <c r="K275" i="11"/>
  <c r="K276" i="11"/>
  <c r="P276" i="11" s="1"/>
  <c r="K277" i="11"/>
  <c r="P277" i="11" s="1"/>
  <c r="K278" i="11"/>
  <c r="P278" i="11" s="1"/>
  <c r="K279" i="11"/>
  <c r="K280" i="11"/>
  <c r="K281" i="11"/>
  <c r="P281" i="11" s="1"/>
  <c r="K282" i="11"/>
  <c r="P282" i="11" s="1"/>
  <c r="K283" i="11"/>
  <c r="K284" i="11"/>
  <c r="P284" i="11"/>
  <c r="K285" i="11"/>
  <c r="P285" i="11" s="1"/>
  <c r="K286" i="11"/>
  <c r="K287" i="11"/>
  <c r="P287" i="11" s="1"/>
  <c r="K288" i="11"/>
  <c r="P288" i="11" s="1"/>
  <c r="K289" i="11"/>
  <c r="K290" i="11"/>
  <c r="K291" i="11"/>
  <c r="P291" i="11" s="1"/>
  <c r="K292" i="11"/>
  <c r="P292" i="11" s="1"/>
  <c r="K293" i="11"/>
  <c r="P293" i="11" s="1"/>
  <c r="K294" i="11"/>
  <c r="P294" i="11" s="1"/>
  <c r="K295" i="11"/>
  <c r="K296" i="11"/>
  <c r="K297" i="11"/>
  <c r="P297" i="11" s="1"/>
  <c r="K298" i="11"/>
  <c r="K299" i="11"/>
  <c r="P299" i="11" s="1"/>
  <c r="K300" i="11"/>
  <c r="K301" i="11"/>
  <c r="K302" i="11"/>
  <c r="P302" i="11" s="1"/>
  <c r="K303" i="11"/>
  <c r="K304" i="11"/>
  <c r="K305" i="11"/>
  <c r="P305" i="11" s="1"/>
  <c r="K306" i="11"/>
  <c r="P306" i="11" s="1"/>
  <c r="K307" i="11"/>
  <c r="P307" i="11" s="1"/>
  <c r="K308" i="11"/>
  <c r="K309" i="11"/>
  <c r="P309" i="11" s="1"/>
  <c r="K310" i="11"/>
  <c r="P310" i="11" s="1"/>
  <c r="K311" i="11"/>
  <c r="P311" i="11" s="1"/>
  <c r="K312" i="11"/>
  <c r="P312" i="11" s="1"/>
  <c r="K313" i="11"/>
  <c r="P313" i="11" s="1"/>
  <c r="K314" i="11"/>
  <c r="K315" i="11"/>
  <c r="P315" i="11" s="1"/>
  <c r="K316" i="11"/>
  <c r="K317" i="11"/>
  <c r="P317" i="11" s="1"/>
  <c r="K318" i="11"/>
  <c r="K319" i="11"/>
  <c r="P319" i="11" s="1"/>
  <c r="K320" i="11"/>
  <c r="P320" i="11" s="1"/>
  <c r="K321" i="11"/>
  <c r="K322" i="11"/>
  <c r="P322" i="11" s="1"/>
  <c r="K323" i="11"/>
  <c r="P323" i="11" s="1"/>
  <c r="K324" i="11"/>
  <c r="K325" i="11"/>
  <c r="P325" i="11"/>
  <c r="K326" i="11"/>
  <c r="P326" i="11" s="1"/>
  <c r="K327" i="11"/>
  <c r="P327" i="11" s="1"/>
  <c r="K328" i="11"/>
  <c r="K329" i="11"/>
  <c r="P329" i="11" s="1"/>
  <c r="K330" i="11"/>
  <c r="K331" i="11"/>
  <c r="K332" i="11"/>
  <c r="P332" i="11" s="1"/>
  <c r="K333" i="11"/>
  <c r="P333" i="11" s="1"/>
  <c r="K334" i="11"/>
  <c r="K335" i="11"/>
  <c r="P335" i="11"/>
  <c r="K336" i="11"/>
  <c r="K337" i="11"/>
  <c r="P337" i="11" s="1"/>
  <c r="K338" i="11"/>
  <c r="K339" i="11"/>
  <c r="K340" i="11"/>
  <c r="P340" i="11" s="1"/>
  <c r="K341" i="11"/>
  <c r="P341" i="11" s="1"/>
  <c r="K342" i="11"/>
  <c r="K343" i="11"/>
  <c r="P343" i="11" s="1"/>
  <c r="K344" i="11"/>
  <c r="K345" i="11"/>
  <c r="P345" i="11" s="1"/>
  <c r="K346" i="11"/>
  <c r="P346" i="11" s="1"/>
  <c r="K347" i="11"/>
  <c r="P347" i="11" s="1"/>
  <c r="K348" i="11"/>
  <c r="P348" i="11" s="1"/>
  <c r="K349" i="11"/>
  <c r="K350" i="11"/>
  <c r="K351" i="11"/>
  <c r="P351" i="11" s="1"/>
  <c r="K352" i="11"/>
  <c r="P352" i="11" s="1"/>
  <c r="K353" i="11"/>
  <c r="P353" i="11" s="1"/>
  <c r="K354" i="11"/>
  <c r="P354" i="11" s="1"/>
  <c r="K355" i="11"/>
  <c r="K356" i="11"/>
  <c r="P356" i="11" s="1"/>
  <c r="K357" i="11"/>
  <c r="P357" i="11"/>
  <c r="K358" i="11"/>
  <c r="K359" i="11"/>
  <c r="P359" i="11" s="1"/>
  <c r="K360" i="11"/>
  <c r="P360" i="11" s="1"/>
  <c r="K361" i="11"/>
  <c r="P361" i="11" s="1"/>
  <c r="K362" i="11"/>
  <c r="P362" i="11" s="1"/>
  <c r="K363" i="11"/>
  <c r="K364" i="11"/>
  <c r="P364" i="11" s="1"/>
  <c r="K365" i="11"/>
  <c r="K366" i="11"/>
  <c r="P366" i="11" s="1"/>
  <c r="K367" i="11"/>
  <c r="K368" i="11"/>
  <c r="K369" i="11"/>
  <c r="P369" i="11" s="1"/>
  <c r="K370" i="11"/>
  <c r="K371" i="11"/>
  <c r="K372" i="11"/>
  <c r="P372" i="11" s="1"/>
  <c r="K373" i="11"/>
  <c r="P373" i="11" s="1"/>
  <c r="K374" i="11"/>
  <c r="K375" i="11"/>
  <c r="P375" i="11" s="1"/>
  <c r="K376" i="11"/>
  <c r="P376" i="11"/>
  <c r="K377" i="11"/>
  <c r="P377" i="11" s="1"/>
  <c r="K378" i="11"/>
  <c r="K379" i="11"/>
  <c r="P379" i="11" s="1"/>
  <c r="K380" i="11"/>
  <c r="P380" i="11" s="1"/>
  <c r="K381" i="11"/>
  <c r="K382" i="11"/>
  <c r="P382" i="11" s="1"/>
  <c r="K383" i="11"/>
  <c r="P383" i="11" s="1"/>
  <c r="K384" i="11"/>
  <c r="K385" i="11"/>
  <c r="P385" i="11" s="1"/>
  <c r="K386" i="11"/>
  <c r="P386" i="11" s="1"/>
  <c r="K387" i="11"/>
  <c r="P387" i="11" s="1"/>
  <c r="K388" i="11"/>
  <c r="P388" i="11" s="1"/>
  <c r="K389" i="11"/>
  <c r="K390" i="11"/>
  <c r="P390" i="11" s="1"/>
  <c r="K391" i="11"/>
  <c r="P391" i="11" s="1"/>
  <c r="K392" i="11"/>
  <c r="P392" i="11" s="1"/>
  <c r="K393" i="11"/>
  <c r="P393" i="11" s="1"/>
  <c r="K394" i="11"/>
  <c r="K395" i="11"/>
  <c r="P395" i="11" s="1"/>
  <c r="K396" i="11"/>
  <c r="P396" i="11" s="1"/>
  <c r="K397" i="11"/>
  <c r="P397" i="11" s="1"/>
  <c r="K398" i="11"/>
  <c r="K399" i="11"/>
  <c r="K400" i="11"/>
  <c r="K401" i="11"/>
  <c r="P401" i="11" s="1"/>
  <c r="K402" i="11"/>
  <c r="P402" i="11" s="1"/>
  <c r="K403" i="11"/>
  <c r="P403" i="11" s="1"/>
  <c r="K404" i="11"/>
  <c r="K405" i="11"/>
  <c r="K406" i="11"/>
  <c r="P406" i="11" s="1"/>
  <c r="K407" i="11"/>
  <c r="K408" i="11"/>
  <c r="K409" i="11"/>
  <c r="P409" i="11" s="1"/>
  <c r="K410" i="11"/>
  <c r="P410" i="11" s="1"/>
  <c r="K411" i="11"/>
  <c r="K412" i="11"/>
  <c r="P412" i="11" s="1"/>
  <c r="K413" i="11"/>
  <c r="P413" i="11" s="1"/>
  <c r="K414" i="11"/>
  <c r="P414" i="11" s="1"/>
  <c r="K415" i="11"/>
  <c r="K416" i="11"/>
  <c r="P416" i="11" s="1"/>
  <c r="K417" i="11"/>
  <c r="P417" i="11" s="1"/>
  <c r="K418" i="11"/>
  <c r="K419" i="11"/>
  <c r="K420" i="11"/>
  <c r="P420" i="11" s="1"/>
  <c r="K421" i="11"/>
  <c r="K422" i="11"/>
  <c r="P422" i="11" s="1"/>
  <c r="K423" i="11"/>
  <c r="P423" i="11" s="1"/>
  <c r="K424" i="11"/>
  <c r="P424" i="11" s="1"/>
  <c r="K425" i="11"/>
  <c r="P425" i="11" s="1"/>
  <c r="K426" i="11"/>
  <c r="P426" i="11" s="1"/>
  <c r="K427" i="11"/>
  <c r="P427" i="11" s="1"/>
  <c r="K428" i="11"/>
  <c r="K429" i="11"/>
  <c r="K430" i="11"/>
  <c r="K431" i="11"/>
  <c r="K432" i="11"/>
  <c r="P432" i="11" s="1"/>
  <c r="K433" i="11"/>
  <c r="K434" i="11"/>
  <c r="P434" i="11" s="1"/>
  <c r="K435" i="11"/>
  <c r="P435" i="11" s="1"/>
  <c r="K436" i="11"/>
  <c r="P436" i="11"/>
  <c r="K437" i="11"/>
  <c r="K438" i="11"/>
  <c r="P438" i="11" s="1"/>
  <c r="K439" i="11"/>
  <c r="P439" i="11" s="1"/>
  <c r="K440" i="11"/>
  <c r="K441" i="11"/>
  <c r="P441" i="11" s="1"/>
  <c r="K442" i="11"/>
  <c r="P442" i="11" s="1"/>
  <c r="K443" i="11"/>
  <c r="P443" i="11" s="1"/>
  <c r="K444" i="11"/>
  <c r="P444" i="11" s="1"/>
  <c r="K445" i="11"/>
  <c r="P445" i="11"/>
  <c r="K446" i="11"/>
  <c r="P446" i="11" s="1"/>
  <c r="K447" i="11"/>
  <c r="P447" i="11" s="1"/>
  <c r="K448" i="11"/>
  <c r="P448" i="11" s="1"/>
  <c r="K449" i="11"/>
  <c r="P449" i="11" s="1"/>
  <c r="K450" i="11"/>
  <c r="P450" i="11" s="1"/>
  <c r="K451" i="11"/>
  <c r="K452" i="11"/>
  <c r="K453" i="11"/>
  <c r="P453" i="11" s="1"/>
  <c r="K454" i="11"/>
  <c r="P454" i="11"/>
  <c r="K455" i="11"/>
  <c r="P455" i="11" s="1"/>
  <c r="K456" i="11"/>
  <c r="P456" i="11" s="1"/>
  <c r="K457" i="11"/>
  <c r="P457" i="11" s="1"/>
  <c r="K458" i="11"/>
  <c r="P458" i="11" s="1"/>
  <c r="K459" i="11"/>
  <c r="K460" i="11"/>
  <c r="K461" i="11"/>
  <c r="K462" i="11"/>
  <c r="K463" i="11"/>
  <c r="P463" i="11" s="1"/>
  <c r="K464" i="11"/>
  <c r="P464" i="11"/>
  <c r="K465" i="11"/>
  <c r="P465" i="11" s="1"/>
  <c r="K466" i="11"/>
  <c r="P466" i="11" s="1"/>
  <c r="K467" i="11"/>
  <c r="K468" i="11"/>
  <c r="P468" i="11" s="1"/>
  <c r="K469" i="11"/>
  <c r="P469" i="11" s="1"/>
  <c r="K470" i="11"/>
  <c r="P470" i="11" s="1"/>
  <c r="K471" i="11"/>
  <c r="P471" i="11" s="1"/>
  <c r="K472" i="11"/>
  <c r="K473" i="11"/>
  <c r="P473" i="11"/>
  <c r="K474" i="11"/>
  <c r="P474" i="11"/>
  <c r="K475" i="11"/>
  <c r="P475" i="11"/>
  <c r="K476" i="11"/>
  <c r="P476" i="11"/>
  <c r="K477" i="11"/>
  <c r="K478" i="11"/>
  <c r="K479" i="11"/>
  <c r="P479" i="11" s="1"/>
  <c r="K480" i="11"/>
  <c r="K481" i="11"/>
  <c r="P481" i="11" s="1"/>
  <c r="K482" i="11"/>
  <c r="K483" i="11"/>
  <c r="P483" i="11"/>
  <c r="K484" i="11"/>
  <c r="P484" i="11" s="1"/>
  <c r="K485" i="11"/>
  <c r="P485" i="11"/>
  <c r="K486" i="11"/>
  <c r="P486" i="11" s="1"/>
  <c r="K487" i="11"/>
  <c r="K488" i="11"/>
  <c r="K489" i="11"/>
  <c r="P489" i="11" s="1"/>
  <c r="K490" i="11"/>
  <c r="K491" i="11"/>
  <c r="K492" i="11"/>
  <c r="P492" i="11" s="1"/>
  <c r="K493" i="11"/>
  <c r="P493" i="11"/>
  <c r="K494" i="11"/>
  <c r="P494" i="11" s="1"/>
  <c r="K495" i="11"/>
  <c r="K496" i="11"/>
  <c r="P496" i="11" s="1"/>
  <c r="K497" i="11"/>
  <c r="P497" i="11" s="1"/>
  <c r="K498" i="11"/>
  <c r="P498" i="11" s="1"/>
  <c r="K499" i="11"/>
  <c r="P499" i="11" s="1"/>
  <c r="K500" i="11"/>
  <c r="P500" i="11" s="1"/>
  <c r="K501" i="11"/>
  <c r="P501" i="11" s="1"/>
  <c r="K502" i="11"/>
  <c r="P502" i="11" s="1"/>
  <c r="K503" i="11"/>
  <c r="P503" i="11" s="1"/>
  <c r="K504" i="11"/>
  <c r="P504" i="11" s="1"/>
  <c r="K505" i="11"/>
  <c r="P505" i="11" s="1"/>
  <c r="K506" i="11"/>
  <c r="P506" i="11" s="1"/>
  <c r="K507" i="11"/>
  <c r="K508" i="11"/>
  <c r="K509" i="11"/>
  <c r="P509" i="11" s="1"/>
  <c r="K510" i="11"/>
  <c r="P510" i="11" s="1"/>
  <c r="K511" i="11"/>
  <c r="P511" i="11" s="1"/>
  <c r="K512" i="11"/>
  <c r="K513" i="11"/>
  <c r="K514" i="11"/>
  <c r="K515" i="11"/>
  <c r="P515" i="11"/>
  <c r="K516" i="11"/>
  <c r="K517" i="11"/>
  <c r="P517" i="11" s="1"/>
  <c r="K518" i="11"/>
  <c r="P518" i="11" s="1"/>
  <c r="K519" i="11"/>
  <c r="K520" i="11"/>
  <c r="P520" i="11" s="1"/>
  <c r="K521" i="11"/>
  <c r="P521" i="11"/>
  <c r="K522" i="11"/>
  <c r="P522" i="11" s="1"/>
  <c r="K523" i="11"/>
  <c r="K524" i="11"/>
  <c r="K525" i="11"/>
  <c r="P525" i="11" s="1"/>
  <c r="K526" i="11"/>
  <c r="K527" i="11"/>
  <c r="K528" i="11"/>
  <c r="K529" i="11"/>
  <c r="P529" i="11" s="1"/>
  <c r="K530" i="11"/>
  <c r="P530" i="11" s="1"/>
  <c r="K531" i="11"/>
  <c r="K532" i="11"/>
  <c r="P532" i="11" s="1"/>
  <c r="K533" i="11"/>
  <c r="P533" i="11"/>
  <c r="K534" i="11"/>
  <c r="P534" i="11"/>
  <c r="K535" i="11"/>
  <c r="P535" i="11" s="1"/>
  <c r="K536" i="11"/>
  <c r="P536" i="11" s="1"/>
  <c r="K537" i="11"/>
  <c r="P537" i="11" s="1"/>
  <c r="K538" i="11"/>
  <c r="P538" i="11" s="1"/>
  <c r="K539" i="11"/>
  <c r="K540" i="11"/>
  <c r="P540" i="11" s="1"/>
  <c r="K541" i="11"/>
  <c r="P541" i="11"/>
  <c r="K542" i="11"/>
  <c r="P542" i="11" s="1"/>
  <c r="K543" i="11"/>
  <c r="K544" i="11"/>
  <c r="K545" i="11"/>
  <c r="K546" i="11"/>
  <c r="K547" i="11"/>
  <c r="P547" i="11"/>
  <c r="K548" i="11"/>
  <c r="P548" i="11" s="1"/>
  <c r="K549" i="11"/>
  <c r="P549" i="11" s="1"/>
  <c r="K550" i="11"/>
  <c r="K551" i="11"/>
  <c r="K552" i="11"/>
  <c r="P552" i="11"/>
  <c r="K553" i="11"/>
  <c r="P553" i="11"/>
  <c r="K554" i="11"/>
  <c r="K555" i="11"/>
  <c r="P555" i="11" s="1"/>
  <c r="K556" i="11"/>
  <c r="K557" i="11"/>
  <c r="P557" i="11" s="1"/>
  <c r="K558" i="11"/>
  <c r="K559" i="11"/>
  <c r="P559" i="11" s="1"/>
  <c r="K560" i="11"/>
  <c r="K561" i="11"/>
  <c r="P561" i="11" s="1"/>
  <c r="K562" i="11"/>
  <c r="K563" i="11"/>
  <c r="P563" i="11" s="1"/>
  <c r="K564" i="11"/>
  <c r="P564" i="11" s="1"/>
  <c r="K565" i="11"/>
  <c r="P565" i="11" s="1"/>
  <c r="K566" i="11"/>
  <c r="P566" i="11" s="1"/>
  <c r="K567" i="11"/>
  <c r="K568" i="11"/>
  <c r="P568" i="11" s="1"/>
  <c r="K569" i="11"/>
  <c r="P569" i="11" s="1"/>
  <c r="K570" i="11"/>
  <c r="P570" i="11" s="1"/>
  <c r="K571" i="11"/>
  <c r="P571" i="11" s="1"/>
  <c r="K572" i="11"/>
  <c r="K573" i="11"/>
  <c r="P573" i="11" s="1"/>
  <c r="K574" i="11"/>
  <c r="K575" i="11"/>
  <c r="K576" i="11"/>
  <c r="K577" i="11"/>
  <c r="K578" i="11"/>
  <c r="P578" i="11" s="1"/>
  <c r="K579" i="11"/>
  <c r="P579" i="11" s="1"/>
  <c r="K580" i="11"/>
  <c r="P580" i="11" s="1"/>
  <c r="K581" i="11"/>
  <c r="P581" i="11" s="1"/>
  <c r="K582" i="11"/>
  <c r="P582" i="11" s="1"/>
  <c r="K583" i="11"/>
  <c r="P583" i="11" s="1"/>
  <c r="K584" i="11"/>
  <c r="P584" i="11" s="1"/>
  <c r="K585" i="11"/>
  <c r="P585" i="11" s="1"/>
  <c r="K586" i="11"/>
  <c r="K587" i="11"/>
  <c r="K588" i="11"/>
  <c r="K589" i="11"/>
  <c r="P589" i="11" s="1"/>
  <c r="K590" i="11"/>
  <c r="K591" i="11"/>
  <c r="K592" i="11"/>
  <c r="P592" i="11" s="1"/>
  <c r="K593" i="11"/>
  <c r="P593" i="11" s="1"/>
  <c r="K594" i="11"/>
  <c r="P594" i="11" s="1"/>
  <c r="K595" i="11"/>
  <c r="K596" i="11"/>
  <c r="K597" i="11"/>
  <c r="P597" i="11" s="1"/>
  <c r="K598" i="11"/>
  <c r="P598" i="11" s="1"/>
  <c r="K599" i="11"/>
  <c r="K600" i="11"/>
  <c r="P600" i="11" s="1"/>
  <c r="K601" i="11"/>
  <c r="P601" i="11" s="1"/>
  <c r="K602" i="11"/>
  <c r="P602" i="11" s="1"/>
  <c r="K603" i="11"/>
  <c r="P603" i="11"/>
  <c r="K604" i="11"/>
  <c r="K605" i="11"/>
  <c r="P605" i="11"/>
  <c r="K606" i="11"/>
  <c r="P606" i="11" s="1"/>
  <c r="K607" i="11"/>
  <c r="K608" i="11"/>
  <c r="P608" i="11" s="1"/>
  <c r="K609" i="11"/>
  <c r="K610" i="11"/>
  <c r="K611" i="11"/>
  <c r="P611" i="11" s="1"/>
  <c r="K612" i="11"/>
  <c r="P612" i="11" s="1"/>
  <c r="K613" i="11"/>
  <c r="P613" i="11"/>
  <c r="K614" i="11"/>
  <c r="P614" i="11" s="1"/>
  <c r="K615" i="11"/>
  <c r="P615" i="11" s="1"/>
  <c r="K616" i="11"/>
  <c r="K617" i="11"/>
  <c r="P617" i="11" s="1"/>
  <c r="K618" i="11"/>
  <c r="K619" i="11"/>
  <c r="K620" i="11"/>
  <c r="P620" i="11" s="1"/>
  <c r="K621" i="11"/>
  <c r="K622" i="11"/>
  <c r="K623" i="11"/>
  <c r="K624" i="11"/>
  <c r="K625" i="11"/>
  <c r="P625" i="11" s="1"/>
  <c r="K626" i="11"/>
  <c r="P626" i="11" s="1"/>
  <c r="K627" i="11"/>
  <c r="K628" i="11"/>
  <c r="K629" i="11"/>
  <c r="P629" i="11" s="1"/>
  <c r="K630" i="11"/>
  <c r="P630" i="11" s="1"/>
  <c r="K631" i="11"/>
  <c r="P631" i="11" s="1"/>
  <c r="K632" i="11"/>
  <c r="K633" i="11"/>
  <c r="P633" i="11" s="1"/>
  <c r="K634" i="11"/>
  <c r="P634" i="11"/>
  <c r="K635" i="11"/>
  <c r="P635" i="11" s="1"/>
  <c r="K636" i="11"/>
  <c r="P636" i="11" s="1"/>
  <c r="K637" i="11"/>
  <c r="K638" i="11"/>
  <c r="K639" i="11"/>
  <c r="K640" i="11"/>
  <c r="P640" i="11" s="1"/>
  <c r="K641" i="11"/>
  <c r="K642" i="11"/>
  <c r="P642" i="11" s="1"/>
  <c r="K643" i="11"/>
  <c r="P643" i="11" s="1"/>
  <c r="K644" i="11"/>
  <c r="K645" i="11"/>
  <c r="P645" i="11" s="1"/>
  <c r="K646" i="11"/>
  <c r="K647" i="11"/>
  <c r="P647" i="11" s="1"/>
  <c r="K648" i="11"/>
  <c r="K649" i="11"/>
  <c r="P649" i="11" s="1"/>
  <c r="K650" i="11"/>
  <c r="K651" i="11"/>
  <c r="P651" i="11" s="1"/>
  <c r="K652" i="11"/>
  <c r="K653" i="11"/>
  <c r="K654" i="11"/>
  <c r="K655" i="11"/>
  <c r="P655" i="11" s="1"/>
  <c r="K656" i="11"/>
  <c r="P656" i="11" s="1"/>
  <c r="K657" i="11"/>
  <c r="P657" i="11" s="1"/>
  <c r="K658" i="11"/>
  <c r="P658" i="11" s="1"/>
  <c r="K659" i="11"/>
  <c r="K660" i="11"/>
  <c r="K661" i="11"/>
  <c r="P661" i="11" s="1"/>
  <c r="K662" i="11"/>
  <c r="P662" i="11" s="1"/>
  <c r="K663" i="11"/>
  <c r="K664" i="11"/>
  <c r="K665" i="11"/>
  <c r="P665" i="11" s="1"/>
  <c r="K666" i="11"/>
  <c r="P666" i="11" s="1"/>
  <c r="K667" i="11"/>
  <c r="K668" i="11"/>
  <c r="K669" i="11"/>
  <c r="K670" i="11"/>
  <c r="K671" i="11"/>
  <c r="P671" i="11"/>
  <c r="K672" i="11"/>
  <c r="K673" i="11"/>
  <c r="P673" i="11" s="1"/>
  <c r="K674" i="11"/>
  <c r="P674" i="11" s="1"/>
  <c r="K675" i="11"/>
  <c r="P675" i="11" s="1"/>
  <c r="K676" i="11"/>
  <c r="P676" i="11" s="1"/>
  <c r="K677" i="11"/>
  <c r="P677" i="11" s="1"/>
  <c r="K678" i="11"/>
  <c r="K679" i="11"/>
  <c r="K680" i="11"/>
  <c r="K681" i="11"/>
  <c r="P681" i="11" s="1"/>
  <c r="K682" i="11"/>
  <c r="K683" i="11"/>
  <c r="K684" i="11"/>
  <c r="P684" i="11" s="1"/>
  <c r="K685" i="11"/>
  <c r="K686" i="11"/>
  <c r="K687" i="11"/>
  <c r="K688" i="11"/>
  <c r="K689" i="11"/>
  <c r="K690" i="11"/>
  <c r="P690" i="11" s="1"/>
  <c r="K691" i="11"/>
  <c r="P691" i="11" s="1"/>
  <c r="K692" i="11"/>
  <c r="P692" i="11" s="1"/>
  <c r="K693" i="11"/>
  <c r="P693" i="11" s="1"/>
  <c r="K694" i="11"/>
  <c r="K695" i="11"/>
  <c r="K696" i="11"/>
  <c r="P696" i="11" s="1"/>
  <c r="K697" i="11"/>
  <c r="P697" i="11" s="1"/>
  <c r="K698" i="11"/>
  <c r="K699" i="11"/>
  <c r="K700" i="11"/>
  <c r="P700" i="11" s="1"/>
  <c r="K701" i="11"/>
  <c r="K702" i="11"/>
  <c r="K703" i="11"/>
  <c r="K704" i="11"/>
  <c r="K705" i="11"/>
  <c r="K706" i="11"/>
  <c r="K707" i="11"/>
  <c r="P707" i="11"/>
  <c r="K708" i="11"/>
  <c r="P708" i="11" s="1"/>
  <c r="K709" i="11"/>
  <c r="P709" i="11" s="1"/>
  <c r="K710" i="11"/>
  <c r="K711" i="11"/>
  <c r="K712" i="11"/>
  <c r="K713" i="11"/>
  <c r="P713" i="11" s="1"/>
  <c r="K714" i="11"/>
  <c r="K715" i="11"/>
  <c r="K716" i="11"/>
  <c r="K717" i="11"/>
  <c r="K718" i="11"/>
  <c r="K719" i="11"/>
  <c r="K720" i="11"/>
  <c r="K721" i="11"/>
  <c r="K722" i="11"/>
  <c r="P722" i="11" s="1"/>
  <c r="K723" i="11"/>
  <c r="K724" i="11"/>
  <c r="P724" i="11" s="1"/>
  <c r="K725" i="11"/>
  <c r="P725" i="11"/>
  <c r="K726" i="11"/>
  <c r="K727" i="11"/>
  <c r="K728" i="11"/>
  <c r="K729" i="11"/>
  <c r="P729" i="11" s="1"/>
  <c r="K730" i="11"/>
  <c r="K731" i="11"/>
  <c r="K732" i="11"/>
  <c r="K733" i="11"/>
  <c r="K734" i="11"/>
  <c r="K735" i="11"/>
  <c r="P735" i="11" s="1"/>
  <c r="K736" i="11"/>
  <c r="K737" i="11"/>
  <c r="K738" i="11"/>
  <c r="K739" i="11"/>
  <c r="P739" i="11" s="1"/>
  <c r="K740" i="11"/>
  <c r="K741" i="11"/>
  <c r="P741" i="11" s="1"/>
  <c r="K742" i="11"/>
  <c r="K743" i="11"/>
  <c r="K744" i="11"/>
  <c r="K745" i="11"/>
  <c r="P745" i="11" s="1"/>
  <c r="K746" i="11"/>
  <c r="K747" i="11"/>
  <c r="K748" i="11"/>
  <c r="K749" i="11"/>
  <c r="P749" i="11" s="1"/>
  <c r="K750" i="11"/>
  <c r="K751" i="11"/>
  <c r="K752" i="11"/>
  <c r="P752" i="11" s="1"/>
  <c r="K753" i="11"/>
  <c r="K754" i="11"/>
  <c r="P754" i="11" s="1"/>
  <c r="K755" i="11"/>
  <c r="P755" i="11" s="1"/>
  <c r="K756" i="11"/>
  <c r="K757" i="11"/>
  <c r="P757" i="11" s="1"/>
  <c r="K758" i="11"/>
  <c r="K759" i="11"/>
  <c r="K760" i="11"/>
  <c r="K761" i="11"/>
  <c r="P761" i="11" s="1"/>
  <c r="K762" i="11"/>
  <c r="K763" i="11"/>
  <c r="K764" i="11"/>
  <c r="P764" i="11" s="1"/>
  <c r="K765" i="11"/>
  <c r="K766" i="11"/>
  <c r="K767" i="11"/>
  <c r="K768" i="11"/>
  <c r="K769" i="11"/>
  <c r="K770" i="11"/>
  <c r="K771" i="11"/>
  <c r="P771" i="11" s="1"/>
  <c r="K772" i="11"/>
  <c r="P772" i="11" s="1"/>
  <c r="K773" i="11"/>
  <c r="P773" i="11" s="1"/>
  <c r="K774" i="11"/>
  <c r="P774" i="11" s="1"/>
  <c r="K775" i="11"/>
  <c r="K776" i="11"/>
  <c r="P776" i="11" s="1"/>
  <c r="K777" i="11"/>
  <c r="P777" i="11"/>
  <c r="K778" i="11"/>
  <c r="K779" i="11"/>
  <c r="K780" i="11"/>
  <c r="K781" i="11"/>
  <c r="K782" i="11"/>
  <c r="K783" i="11"/>
  <c r="P783" i="11"/>
  <c r="K784" i="11"/>
  <c r="K785" i="11"/>
  <c r="K786" i="11"/>
  <c r="P786" i="11"/>
  <c r="K787" i="11"/>
  <c r="P787" i="11" s="1"/>
  <c r="K788" i="11"/>
  <c r="P788" i="11" s="1"/>
  <c r="K789" i="11"/>
  <c r="P789" i="11"/>
  <c r="K790" i="11"/>
  <c r="K791" i="11"/>
  <c r="K792" i="11"/>
  <c r="K793" i="11"/>
  <c r="P793" i="11" s="1"/>
  <c r="K794" i="11"/>
  <c r="K795" i="11"/>
  <c r="K796" i="11"/>
  <c r="K797" i="11"/>
  <c r="K798" i="11"/>
  <c r="K799" i="11"/>
  <c r="K800" i="11"/>
  <c r="K801" i="11"/>
  <c r="P801" i="11"/>
  <c r="K802" i="11"/>
  <c r="K803" i="11"/>
  <c r="K804" i="11"/>
  <c r="P804" i="11" s="1"/>
  <c r="K805" i="11"/>
  <c r="P805" i="11" s="1"/>
  <c r="K806" i="11"/>
  <c r="K807" i="11"/>
  <c r="K808" i="11"/>
  <c r="K809" i="11"/>
  <c r="P809" i="11"/>
  <c r="K810" i="11"/>
  <c r="K811" i="11"/>
  <c r="K812" i="11"/>
  <c r="K813" i="11"/>
  <c r="K814" i="11"/>
  <c r="P814" i="11" s="1"/>
  <c r="K815" i="11"/>
  <c r="K816" i="11"/>
  <c r="K817" i="11"/>
  <c r="K818" i="11"/>
  <c r="K819" i="11"/>
  <c r="K820" i="11"/>
  <c r="P820" i="11" s="1"/>
  <c r="K821" i="11"/>
  <c r="P821" i="11" s="1"/>
  <c r="K822" i="11"/>
  <c r="K823" i="11"/>
  <c r="K824" i="11"/>
  <c r="K825" i="11"/>
  <c r="P825" i="11" s="1"/>
  <c r="K826" i="11"/>
  <c r="P826" i="11" s="1"/>
  <c r="K827" i="11"/>
  <c r="P827" i="11" s="1"/>
  <c r="K828" i="11"/>
  <c r="K829" i="11"/>
  <c r="K830" i="11"/>
  <c r="K831" i="11"/>
  <c r="K832" i="11"/>
  <c r="K833" i="11"/>
  <c r="K834" i="11"/>
  <c r="P834" i="11" s="1"/>
  <c r="K835" i="11"/>
  <c r="P835" i="11" s="1"/>
  <c r="K836" i="11"/>
  <c r="P836" i="11" s="1"/>
  <c r="K837" i="11"/>
  <c r="K838" i="11"/>
  <c r="P838" i="11" s="1"/>
  <c r="K839" i="11"/>
  <c r="K840" i="11"/>
  <c r="P840" i="11" s="1"/>
  <c r="K841" i="11"/>
  <c r="P841" i="11" s="1"/>
  <c r="K842" i="11"/>
  <c r="K843" i="11"/>
  <c r="K844" i="11"/>
  <c r="K845" i="11"/>
  <c r="K846" i="11"/>
  <c r="K847" i="11"/>
  <c r="K848" i="11"/>
  <c r="P848" i="11" s="1"/>
  <c r="K849" i="11"/>
  <c r="K850" i="11"/>
  <c r="P850" i="11"/>
  <c r="K851" i="11"/>
  <c r="K852" i="11"/>
  <c r="K853" i="11"/>
  <c r="P853" i="11" s="1"/>
  <c r="K854" i="11"/>
  <c r="K855" i="11"/>
  <c r="K856" i="11"/>
  <c r="K857" i="11"/>
  <c r="P857" i="11" s="1"/>
  <c r="K858" i="11"/>
  <c r="K859" i="11"/>
  <c r="K860" i="11"/>
  <c r="K861" i="11"/>
  <c r="K862" i="11"/>
  <c r="K863" i="11"/>
  <c r="K864" i="11"/>
  <c r="P864" i="11" s="1"/>
  <c r="K865" i="11"/>
  <c r="K866" i="11"/>
  <c r="P866" i="11" s="1"/>
  <c r="K867" i="11"/>
  <c r="P867" i="11" s="1"/>
  <c r="K868" i="11"/>
  <c r="P868" i="11" s="1"/>
  <c r="K869" i="11"/>
  <c r="P869" i="11" s="1"/>
  <c r="K870" i="11"/>
  <c r="K871" i="11"/>
  <c r="K872" i="11"/>
  <c r="K873" i="11"/>
  <c r="P873" i="11" s="1"/>
  <c r="K874" i="11"/>
  <c r="K875" i="11"/>
  <c r="P875" i="11" s="1"/>
  <c r="K876" i="11"/>
  <c r="K877" i="11"/>
  <c r="P877" i="11" s="1"/>
  <c r="K878" i="11"/>
  <c r="P878" i="11" s="1"/>
  <c r="K879" i="11"/>
  <c r="K880" i="11"/>
  <c r="K881" i="11"/>
  <c r="P881" i="11" s="1"/>
  <c r="K882" i="11"/>
  <c r="K883" i="11"/>
  <c r="K884" i="11"/>
  <c r="P884" i="11" s="1"/>
  <c r="K885" i="11"/>
  <c r="P885" i="11" s="1"/>
  <c r="K886" i="11"/>
  <c r="P886" i="11" s="1"/>
  <c r="K887" i="11"/>
  <c r="P887" i="11" s="1"/>
  <c r="K888" i="11"/>
  <c r="K889" i="11"/>
  <c r="P889" i="11" s="1"/>
  <c r="K890" i="11"/>
  <c r="K891" i="11"/>
  <c r="K892" i="11"/>
  <c r="K893" i="11"/>
  <c r="K894" i="11"/>
  <c r="K895" i="11"/>
  <c r="K896" i="11"/>
  <c r="K897" i="11"/>
  <c r="K898" i="11"/>
  <c r="K899" i="11"/>
  <c r="P899" i="11"/>
  <c r="K900" i="11"/>
  <c r="P900" i="11" s="1"/>
  <c r="K901" i="11"/>
  <c r="P901" i="11" s="1"/>
  <c r="K902" i="11"/>
  <c r="P902" i="11" s="1"/>
  <c r="K903" i="11"/>
  <c r="P903" i="11" s="1"/>
  <c r="K904" i="11"/>
  <c r="K905" i="11"/>
  <c r="P905" i="11" s="1"/>
  <c r="K906" i="11"/>
  <c r="K907" i="11"/>
  <c r="K908" i="11"/>
  <c r="K909" i="11"/>
  <c r="K910" i="11"/>
  <c r="P910" i="11" s="1"/>
  <c r="K911" i="11"/>
  <c r="K912" i="11"/>
  <c r="K913" i="11"/>
  <c r="K914" i="11"/>
  <c r="K915" i="11"/>
  <c r="P915" i="11" s="1"/>
  <c r="K916" i="11"/>
  <c r="P916" i="11" s="1"/>
  <c r="K917" i="11"/>
  <c r="P917" i="11" s="1"/>
  <c r="K918" i="11"/>
  <c r="K919" i="11"/>
  <c r="K920" i="11"/>
  <c r="K921" i="11"/>
  <c r="P921" i="11" s="1"/>
  <c r="K922" i="11"/>
  <c r="P922" i="11" s="1"/>
  <c r="K923" i="11"/>
  <c r="K924" i="11"/>
  <c r="K925" i="11"/>
  <c r="K926" i="11"/>
  <c r="K927" i="11"/>
  <c r="K928" i="11"/>
  <c r="P928" i="11" s="1"/>
  <c r="K929" i="11"/>
  <c r="K930" i="11"/>
  <c r="K931" i="11"/>
  <c r="P931" i="11" s="1"/>
  <c r="K932" i="11"/>
  <c r="P932" i="11"/>
  <c r="K933" i="11"/>
  <c r="P933" i="11" s="1"/>
  <c r="K934" i="11"/>
  <c r="P934" i="11" s="1"/>
  <c r="K935" i="11"/>
  <c r="K936" i="11"/>
  <c r="K937" i="11"/>
  <c r="P937" i="11" s="1"/>
  <c r="K938" i="11"/>
  <c r="K939" i="11"/>
  <c r="K940" i="11"/>
  <c r="P940" i="11" s="1"/>
  <c r="K941" i="11"/>
  <c r="K942" i="11"/>
  <c r="K943" i="11"/>
  <c r="K944" i="11"/>
  <c r="K945" i="11"/>
  <c r="K946" i="11"/>
  <c r="P946" i="11" s="1"/>
  <c r="K947" i="11"/>
  <c r="P947" i="11" s="1"/>
  <c r="K948" i="11"/>
  <c r="P948" i="11" s="1"/>
  <c r="K949" i="11"/>
  <c r="P949" i="11" s="1"/>
  <c r="K950" i="11"/>
  <c r="K951" i="11"/>
  <c r="K952" i="11"/>
  <c r="K953" i="11"/>
  <c r="P953" i="11" s="1"/>
  <c r="K954" i="11"/>
  <c r="K955" i="11"/>
  <c r="K956" i="11"/>
  <c r="K957" i="11"/>
  <c r="K958" i="11"/>
  <c r="K959" i="11"/>
  <c r="K960" i="11"/>
  <c r="P960" i="11" s="1"/>
  <c r="K961" i="11"/>
  <c r="P961" i="11" s="1"/>
  <c r="K962" i="11"/>
  <c r="K963" i="11"/>
  <c r="K964" i="11"/>
  <c r="K965" i="11"/>
  <c r="P965" i="11" s="1"/>
  <c r="K966" i="11"/>
  <c r="K967" i="11"/>
  <c r="K968" i="11"/>
  <c r="K969" i="11"/>
  <c r="P969" i="11"/>
  <c r="K970" i="11"/>
  <c r="K971" i="11"/>
  <c r="K972" i="11"/>
  <c r="P972" i="11" s="1"/>
  <c r="K973" i="11"/>
  <c r="K974" i="11"/>
  <c r="K975" i="11"/>
  <c r="P975" i="11"/>
  <c r="K976" i="11"/>
  <c r="K977" i="11"/>
  <c r="K978" i="11"/>
  <c r="K979" i="11"/>
  <c r="P979" i="11" s="1"/>
  <c r="K980" i="11"/>
  <c r="P980" i="11"/>
  <c r="K981" i="11"/>
  <c r="P981" i="11" s="1"/>
  <c r="K982" i="11"/>
  <c r="K983" i="11"/>
  <c r="K984" i="11"/>
  <c r="P984" i="11" s="1"/>
  <c r="K985" i="11"/>
  <c r="P985" i="11" s="1"/>
  <c r="K986" i="11"/>
  <c r="K987" i="11"/>
  <c r="K988" i="11"/>
  <c r="K989" i="11"/>
  <c r="K990" i="11"/>
  <c r="K991" i="11"/>
  <c r="P991" i="11" s="1"/>
  <c r="K992" i="11"/>
  <c r="K993" i="11"/>
  <c r="K994" i="11"/>
  <c r="P994" i="11" s="1"/>
  <c r="K995" i="11"/>
  <c r="K996" i="11"/>
  <c r="K997" i="11"/>
  <c r="P997" i="11" s="1"/>
  <c r="K998" i="11"/>
  <c r="K999" i="11"/>
  <c r="P999" i="11"/>
  <c r="K1000" i="11"/>
  <c r="K1001" i="11"/>
  <c r="P1001" i="11" s="1"/>
  <c r="K1002" i="11"/>
  <c r="K1003" i="11"/>
  <c r="P1003" i="11" s="1"/>
  <c r="K1004" i="11"/>
  <c r="K1005" i="11"/>
  <c r="K1006" i="11"/>
  <c r="K1007" i="11"/>
  <c r="K1008" i="11"/>
  <c r="K1009" i="11"/>
  <c r="P1009" i="11" s="1"/>
  <c r="K1010" i="11"/>
  <c r="P1010" i="11" s="1"/>
  <c r="K1011" i="11"/>
  <c r="P1011" i="11" s="1"/>
  <c r="K1012" i="11"/>
  <c r="K1013" i="11"/>
  <c r="P1013" i="11" s="1"/>
  <c r="K1014" i="11"/>
  <c r="K1015" i="11"/>
  <c r="K1016" i="11"/>
  <c r="K1017" i="11"/>
  <c r="P1017" i="11" s="1"/>
  <c r="K1018" i="11"/>
  <c r="K1019" i="11"/>
  <c r="K1020" i="11"/>
  <c r="K1021" i="11"/>
  <c r="P1021" i="11" s="1"/>
  <c r="K1022" i="11"/>
  <c r="K1023" i="11"/>
  <c r="K1024" i="11"/>
  <c r="K1025" i="11"/>
  <c r="K1026" i="11"/>
  <c r="K1027" i="11"/>
  <c r="K1028" i="11"/>
  <c r="K1029" i="11"/>
  <c r="P1029" i="11" s="1"/>
  <c r="K1030" i="11"/>
  <c r="K1031" i="11"/>
  <c r="K1032" i="11"/>
  <c r="K1033" i="11"/>
  <c r="P1033" i="11" s="1"/>
  <c r="K1034" i="11"/>
  <c r="K1035" i="11"/>
  <c r="P1035" i="11" s="1"/>
  <c r="K1036" i="11"/>
  <c r="K1037" i="11"/>
  <c r="K1038" i="11"/>
  <c r="K1039" i="11"/>
  <c r="K1040" i="11"/>
  <c r="K1041" i="11"/>
  <c r="K1042" i="11"/>
  <c r="K1043" i="11"/>
  <c r="K1044" i="11"/>
  <c r="K1045" i="11"/>
  <c r="P1045" i="11" s="1"/>
  <c r="K1046" i="11"/>
  <c r="K1047" i="11"/>
  <c r="K1048" i="11"/>
  <c r="K1049" i="11"/>
  <c r="P1049" i="11"/>
  <c r="K1050" i="11"/>
  <c r="K1051" i="11"/>
  <c r="K1052" i="11"/>
  <c r="K1053" i="11"/>
  <c r="K1054" i="11"/>
  <c r="K1055" i="11"/>
  <c r="K1056" i="11"/>
  <c r="K1057" i="11"/>
  <c r="K1058" i="11"/>
  <c r="K1059" i="11"/>
  <c r="K1060" i="11"/>
  <c r="K1061" i="11"/>
  <c r="P1061" i="11" s="1"/>
  <c r="K1062" i="11"/>
  <c r="K1063" i="11"/>
  <c r="K1064" i="11"/>
  <c r="P1064" i="11" s="1"/>
  <c r="K1065" i="11"/>
  <c r="P1065" i="11" s="1"/>
  <c r="K1066" i="11"/>
  <c r="K1067" i="11"/>
  <c r="K1068" i="11"/>
  <c r="K1069" i="11"/>
  <c r="K1070" i="11"/>
  <c r="K1071" i="11"/>
  <c r="K1072" i="11"/>
  <c r="K1073" i="11"/>
  <c r="K1074" i="11"/>
  <c r="K1075" i="11"/>
  <c r="K1076" i="11"/>
  <c r="K1077" i="11"/>
  <c r="P1077" i="11" s="1"/>
  <c r="K1078" i="11"/>
  <c r="P1078" i="11" s="1"/>
  <c r="K1079" i="11"/>
  <c r="K1080" i="11"/>
  <c r="K1081" i="11"/>
  <c r="P1081" i="11" s="1"/>
  <c r="K1082" i="11"/>
  <c r="K1083" i="11"/>
  <c r="K1084" i="11"/>
  <c r="K1085" i="11"/>
  <c r="K1086" i="11"/>
  <c r="K1087" i="11"/>
  <c r="K1088" i="11"/>
  <c r="K1089" i="11"/>
  <c r="K1090" i="11"/>
  <c r="K1091" i="11"/>
  <c r="K1092" i="11"/>
  <c r="K1093" i="11"/>
  <c r="P1093" i="11" s="1"/>
  <c r="K1094" i="11"/>
  <c r="K1095" i="11"/>
  <c r="K1096" i="11"/>
  <c r="K1097" i="11"/>
  <c r="P1097" i="11" s="1"/>
  <c r="K1098" i="11"/>
  <c r="K1099" i="11"/>
  <c r="K1100" i="11"/>
  <c r="K1101" i="11"/>
  <c r="K1102" i="11"/>
  <c r="K1103" i="11"/>
  <c r="K1104" i="11"/>
  <c r="K1105" i="11"/>
  <c r="K1106" i="11"/>
  <c r="K1107" i="11"/>
  <c r="P1107" i="11" s="1"/>
  <c r="K1108" i="11"/>
  <c r="K1109" i="11"/>
  <c r="K1110" i="11"/>
  <c r="K1111" i="11"/>
  <c r="K1112" i="11"/>
  <c r="K1113" i="11"/>
  <c r="P1113" i="11"/>
  <c r="K1114" i="11"/>
  <c r="K1115" i="11"/>
  <c r="K1116" i="11"/>
  <c r="K1117" i="11"/>
  <c r="K1118" i="11"/>
  <c r="K1119" i="11"/>
  <c r="K1120" i="11"/>
  <c r="K1121" i="11"/>
  <c r="K1122" i="11"/>
  <c r="P1122" i="11" s="1"/>
  <c r="K1123" i="11"/>
  <c r="K1124" i="11"/>
  <c r="K1125" i="11"/>
  <c r="K1126" i="11"/>
  <c r="K1127" i="11"/>
  <c r="K1128" i="11"/>
  <c r="K1129" i="11"/>
  <c r="P1129" i="11" s="1"/>
  <c r="K1130" i="11"/>
  <c r="K1131" i="11"/>
  <c r="K1132" i="11"/>
  <c r="K1133" i="11"/>
  <c r="K1134" i="11"/>
  <c r="K1135" i="11"/>
  <c r="K1136" i="11"/>
  <c r="K1137" i="11"/>
  <c r="P1137" i="11" s="1"/>
  <c r="K1138" i="11"/>
  <c r="K1139" i="11"/>
  <c r="K1140" i="11"/>
  <c r="K1141" i="11"/>
  <c r="K1142" i="11"/>
  <c r="K1143" i="11"/>
  <c r="K1144" i="11"/>
  <c r="K1145" i="11"/>
  <c r="P1145" i="11" s="1"/>
  <c r="K1146" i="11"/>
  <c r="K1147" i="11"/>
  <c r="K1148" i="11"/>
  <c r="K1149" i="11"/>
  <c r="K1150" i="11"/>
  <c r="K1151" i="11"/>
  <c r="K1152" i="11"/>
  <c r="P1152" i="11" s="1"/>
  <c r="K1153" i="11"/>
  <c r="K1154" i="11"/>
  <c r="K1155" i="11"/>
  <c r="K1156" i="11"/>
  <c r="K1157" i="11"/>
  <c r="K1158" i="11"/>
  <c r="K1159" i="11"/>
  <c r="K1160" i="11"/>
  <c r="K1161" i="11"/>
  <c r="P1161" i="11"/>
  <c r="K1162" i="11"/>
  <c r="K1163" i="11"/>
  <c r="K1164" i="11"/>
  <c r="K1165" i="11"/>
  <c r="K1166" i="11"/>
  <c r="K1167" i="11"/>
  <c r="P1167" i="11" s="1"/>
  <c r="K1168" i="11"/>
  <c r="K1169" i="11"/>
  <c r="K1170" i="11"/>
  <c r="K1171" i="11"/>
  <c r="K1172" i="11"/>
  <c r="K1173" i="11"/>
  <c r="K1174" i="11"/>
  <c r="K1175" i="11"/>
  <c r="K1176" i="11"/>
  <c r="K1177" i="11"/>
  <c r="P1177" i="11" s="1"/>
  <c r="K1178" i="11"/>
  <c r="K1179" i="11"/>
  <c r="K1180" i="11"/>
  <c r="K1181" i="11"/>
  <c r="K1182" i="11"/>
  <c r="P1182" i="11" s="1"/>
  <c r="K1183" i="11"/>
  <c r="K1184" i="11"/>
  <c r="K1185" i="11"/>
  <c r="K1186" i="11"/>
  <c r="K1187" i="11"/>
  <c r="K1188" i="11"/>
  <c r="K1189" i="11"/>
  <c r="K1190" i="11"/>
  <c r="K1191" i="11"/>
  <c r="K1192" i="11"/>
  <c r="K1193" i="11"/>
  <c r="P1193" i="11" s="1"/>
  <c r="K1194" i="11"/>
  <c r="K1195" i="11"/>
  <c r="K1196" i="11"/>
  <c r="K1197" i="11"/>
  <c r="P1197" i="11" s="1"/>
  <c r="K1198" i="11"/>
  <c r="K1199" i="11"/>
  <c r="K1200" i="11"/>
  <c r="K1201" i="11"/>
  <c r="K1202" i="11"/>
  <c r="K1203" i="11"/>
  <c r="K1204" i="11"/>
  <c r="K1205" i="11"/>
  <c r="K1206" i="11"/>
  <c r="K1207" i="11"/>
  <c r="K1208" i="11"/>
  <c r="K1209" i="11"/>
  <c r="P1209" i="11" s="1"/>
  <c r="K1210" i="11"/>
  <c r="K10" i="11"/>
  <c r="P10" i="11"/>
  <c r="L11" i="11"/>
  <c r="M11" i="11"/>
  <c r="N11" i="11"/>
  <c r="Q11" i="11"/>
  <c r="U11" i="11" s="1"/>
  <c r="R11" i="11"/>
  <c r="S11" i="11"/>
  <c r="P12" i="11"/>
  <c r="L12" i="11"/>
  <c r="M12" i="11"/>
  <c r="N12" i="11"/>
  <c r="Q12" i="11"/>
  <c r="R12" i="11"/>
  <c r="S12" i="11"/>
  <c r="L13" i="11"/>
  <c r="M13" i="11"/>
  <c r="N13" i="11"/>
  <c r="Q13" i="11"/>
  <c r="R13" i="11"/>
  <c r="S13" i="11"/>
  <c r="L14" i="11"/>
  <c r="M14" i="11"/>
  <c r="N14" i="11"/>
  <c r="Q14" i="11"/>
  <c r="U14" i="11" s="1"/>
  <c r="R14" i="11"/>
  <c r="S14" i="11"/>
  <c r="L15" i="11"/>
  <c r="M15" i="11"/>
  <c r="N15" i="11"/>
  <c r="Q15" i="11"/>
  <c r="R15" i="11"/>
  <c r="S15" i="11"/>
  <c r="L16" i="11"/>
  <c r="M16" i="11"/>
  <c r="N16" i="11"/>
  <c r="Q16" i="11"/>
  <c r="U16" i="11" s="1"/>
  <c r="R16" i="11"/>
  <c r="S16" i="11"/>
  <c r="L17" i="11"/>
  <c r="M17" i="11"/>
  <c r="N17" i="11"/>
  <c r="Q17" i="11"/>
  <c r="U17" i="11"/>
  <c r="R17" i="11"/>
  <c r="S17" i="11"/>
  <c r="L18" i="11"/>
  <c r="M18" i="11"/>
  <c r="N18" i="11"/>
  <c r="Q18" i="11"/>
  <c r="U18" i="11"/>
  <c r="R18" i="11"/>
  <c r="S18" i="11"/>
  <c r="L19" i="11"/>
  <c r="M19" i="11"/>
  <c r="N19" i="11"/>
  <c r="Q19" i="11"/>
  <c r="U19" i="11" s="1"/>
  <c r="R19" i="11"/>
  <c r="S19" i="11"/>
  <c r="L20" i="11"/>
  <c r="M20" i="11"/>
  <c r="N20" i="11"/>
  <c r="Q20" i="11"/>
  <c r="R20" i="11"/>
  <c r="S20" i="11"/>
  <c r="L21" i="11"/>
  <c r="M21" i="11"/>
  <c r="N21" i="11"/>
  <c r="Q21" i="11"/>
  <c r="R21" i="11"/>
  <c r="S21" i="11"/>
  <c r="L22" i="11"/>
  <c r="M22" i="11"/>
  <c r="N22" i="11"/>
  <c r="Q22" i="11"/>
  <c r="R22" i="11"/>
  <c r="S22" i="11"/>
  <c r="L23" i="11"/>
  <c r="M23" i="11"/>
  <c r="N23" i="11"/>
  <c r="Q23" i="11"/>
  <c r="R23" i="11"/>
  <c r="S23" i="11"/>
  <c r="L24" i="11"/>
  <c r="M24" i="11"/>
  <c r="N24" i="11"/>
  <c r="Q24" i="11"/>
  <c r="R24" i="11"/>
  <c r="S24" i="11"/>
  <c r="L25" i="11"/>
  <c r="M25" i="11"/>
  <c r="N25" i="11"/>
  <c r="Q25" i="11"/>
  <c r="R25" i="11"/>
  <c r="S25" i="11"/>
  <c r="L26" i="11"/>
  <c r="M26" i="11"/>
  <c r="N26" i="11"/>
  <c r="Q26" i="11"/>
  <c r="U26" i="11"/>
  <c r="R26" i="11"/>
  <c r="S26" i="11"/>
  <c r="P27" i="11"/>
  <c r="L27" i="11"/>
  <c r="M27" i="11"/>
  <c r="N27" i="11"/>
  <c r="Q27" i="11"/>
  <c r="U27" i="11" s="1"/>
  <c r="R27" i="11"/>
  <c r="S27" i="11"/>
  <c r="P28" i="11"/>
  <c r="L28" i="11"/>
  <c r="M28" i="11"/>
  <c r="N28" i="11"/>
  <c r="Q28" i="11"/>
  <c r="U28" i="11"/>
  <c r="R28" i="11"/>
  <c r="S28" i="11"/>
  <c r="L29" i="11"/>
  <c r="M29" i="11"/>
  <c r="N29" i="11"/>
  <c r="Q29" i="11"/>
  <c r="R29" i="11"/>
  <c r="S29" i="11"/>
  <c r="P30" i="11"/>
  <c r="L30" i="11"/>
  <c r="M30" i="11"/>
  <c r="N30" i="11"/>
  <c r="Q30" i="11"/>
  <c r="U30" i="11"/>
  <c r="R30" i="11"/>
  <c r="S30" i="11"/>
  <c r="L31" i="11"/>
  <c r="M31" i="11"/>
  <c r="N31" i="11"/>
  <c r="Q31" i="11"/>
  <c r="R31" i="11"/>
  <c r="S31" i="11"/>
  <c r="P32" i="11"/>
  <c r="L32" i="11"/>
  <c r="M32" i="11"/>
  <c r="N32" i="11"/>
  <c r="Q32" i="11"/>
  <c r="R32" i="11"/>
  <c r="S32" i="11"/>
  <c r="L33" i="11"/>
  <c r="M33" i="11"/>
  <c r="N33" i="11"/>
  <c r="Q33" i="11"/>
  <c r="R33" i="11"/>
  <c r="U33" i="11" s="1"/>
  <c r="S33" i="11"/>
  <c r="P34" i="11"/>
  <c r="L34" i="11"/>
  <c r="M34" i="11"/>
  <c r="N34" i="11"/>
  <c r="Q34" i="11"/>
  <c r="R34" i="11"/>
  <c r="U34" i="11" s="1"/>
  <c r="S34" i="11"/>
  <c r="L35" i="11"/>
  <c r="M35" i="11"/>
  <c r="N35" i="11"/>
  <c r="Q35" i="11"/>
  <c r="U35" i="11" s="1"/>
  <c r="R35" i="11"/>
  <c r="S35" i="11"/>
  <c r="L36" i="11"/>
  <c r="M36" i="11"/>
  <c r="N36" i="11"/>
  <c r="Q36" i="11"/>
  <c r="R36" i="11"/>
  <c r="S36" i="11"/>
  <c r="L37" i="11"/>
  <c r="M37" i="11"/>
  <c r="N37" i="11"/>
  <c r="Q37" i="11"/>
  <c r="U37" i="11" s="1"/>
  <c r="R37" i="11"/>
  <c r="S37" i="11"/>
  <c r="L38" i="11"/>
  <c r="M38" i="11"/>
  <c r="N38" i="11"/>
  <c r="Q38" i="11"/>
  <c r="R38" i="11"/>
  <c r="S38" i="11"/>
  <c r="L39" i="11"/>
  <c r="M39" i="11"/>
  <c r="N39" i="11"/>
  <c r="Q39" i="11"/>
  <c r="U39" i="11" s="1"/>
  <c r="R39" i="11"/>
  <c r="S39" i="11"/>
  <c r="L40" i="11"/>
  <c r="M40" i="11"/>
  <c r="N40" i="11"/>
  <c r="Q40" i="11"/>
  <c r="R40" i="11"/>
  <c r="S40" i="11"/>
  <c r="L41" i="11"/>
  <c r="M41" i="11"/>
  <c r="N41" i="11"/>
  <c r="Q41" i="11"/>
  <c r="R41" i="11"/>
  <c r="S41" i="11"/>
  <c r="P42" i="11"/>
  <c r="L42" i="11"/>
  <c r="M42" i="11"/>
  <c r="N42" i="11"/>
  <c r="Q42" i="11"/>
  <c r="R42" i="11"/>
  <c r="S42" i="11"/>
  <c r="L43" i="11"/>
  <c r="M43" i="11"/>
  <c r="N43" i="11"/>
  <c r="Q43" i="11"/>
  <c r="R43" i="11"/>
  <c r="S43" i="11"/>
  <c r="L44" i="11"/>
  <c r="M44" i="11"/>
  <c r="N44" i="11"/>
  <c r="Q44" i="11"/>
  <c r="R44" i="11"/>
  <c r="S44" i="11"/>
  <c r="L45" i="11"/>
  <c r="M45" i="11"/>
  <c r="N45" i="11"/>
  <c r="Q45" i="11"/>
  <c r="R45" i="11"/>
  <c r="S45" i="11"/>
  <c r="P46" i="11"/>
  <c r="L46" i="11"/>
  <c r="M46" i="11"/>
  <c r="N46" i="11"/>
  <c r="Q46" i="11"/>
  <c r="R46" i="11"/>
  <c r="S46" i="11"/>
  <c r="L47" i="11"/>
  <c r="M47" i="11"/>
  <c r="N47" i="11"/>
  <c r="Q47" i="11"/>
  <c r="U47" i="11"/>
  <c r="R47" i="11"/>
  <c r="S47" i="11"/>
  <c r="L48" i="11"/>
  <c r="M48" i="11"/>
  <c r="N48" i="11"/>
  <c r="Q48" i="11"/>
  <c r="U48" i="11" s="1"/>
  <c r="R48" i="11"/>
  <c r="S48" i="11"/>
  <c r="P49" i="11"/>
  <c r="L49" i="11"/>
  <c r="M49" i="11"/>
  <c r="N49" i="11"/>
  <c r="Q49" i="11"/>
  <c r="R49" i="11"/>
  <c r="S49" i="11"/>
  <c r="L50" i="11"/>
  <c r="M50" i="11"/>
  <c r="N50" i="11"/>
  <c r="Q50" i="11"/>
  <c r="U50" i="11" s="1"/>
  <c r="R50" i="11"/>
  <c r="S50" i="11"/>
  <c r="L51" i="11"/>
  <c r="M51" i="11"/>
  <c r="N51" i="11"/>
  <c r="Q51" i="11"/>
  <c r="U51" i="11"/>
  <c r="R51" i="11"/>
  <c r="S51" i="11"/>
  <c r="L52" i="11"/>
  <c r="M52" i="11"/>
  <c r="N52" i="11"/>
  <c r="Q52" i="11"/>
  <c r="R52" i="11"/>
  <c r="S52" i="11"/>
  <c r="L53" i="11"/>
  <c r="M53" i="11"/>
  <c r="N53" i="11"/>
  <c r="Q53" i="11"/>
  <c r="R53" i="11"/>
  <c r="S53" i="11"/>
  <c r="L54" i="11"/>
  <c r="M54" i="11"/>
  <c r="N54" i="11"/>
  <c r="Q54" i="11"/>
  <c r="R54" i="11"/>
  <c r="U54" i="11"/>
  <c r="S54" i="11"/>
  <c r="L55" i="11"/>
  <c r="M55" i="11"/>
  <c r="N55" i="11"/>
  <c r="Q55" i="11"/>
  <c r="R55" i="11"/>
  <c r="S55" i="11"/>
  <c r="L56" i="11"/>
  <c r="M56" i="11"/>
  <c r="N56" i="11"/>
  <c r="Q56" i="11"/>
  <c r="R56" i="11"/>
  <c r="S56" i="11"/>
  <c r="L57" i="11"/>
  <c r="M57" i="11"/>
  <c r="N57" i="11"/>
  <c r="Q57" i="11"/>
  <c r="U57" i="11"/>
  <c r="R57" i="11"/>
  <c r="S57" i="11"/>
  <c r="P58" i="11"/>
  <c r="L58" i="11"/>
  <c r="M58" i="11"/>
  <c r="N58" i="11"/>
  <c r="Q58" i="11"/>
  <c r="R58" i="11"/>
  <c r="S58" i="11"/>
  <c r="P59" i="11"/>
  <c r="L59" i="11"/>
  <c r="M59" i="11"/>
  <c r="N59" i="11"/>
  <c r="Q59" i="11"/>
  <c r="R59" i="11"/>
  <c r="S59" i="11"/>
  <c r="L60" i="11"/>
  <c r="M60" i="11"/>
  <c r="N60" i="11"/>
  <c r="Q60" i="11"/>
  <c r="R60" i="11"/>
  <c r="S60" i="11"/>
  <c r="P61" i="11"/>
  <c r="L61" i="11"/>
  <c r="M61" i="11"/>
  <c r="N61" i="11"/>
  <c r="Q61" i="11"/>
  <c r="R61" i="11"/>
  <c r="S61" i="11"/>
  <c r="P62" i="11"/>
  <c r="L62" i="11"/>
  <c r="M62" i="11"/>
  <c r="N62" i="11"/>
  <c r="Q62" i="11"/>
  <c r="U62" i="11" s="1"/>
  <c r="R62" i="11"/>
  <c r="S62" i="11"/>
  <c r="L63" i="11"/>
  <c r="M63" i="11"/>
  <c r="N63" i="11"/>
  <c r="Q63" i="11"/>
  <c r="R63" i="11"/>
  <c r="U63" i="11" s="1"/>
  <c r="S63" i="11"/>
  <c r="L64" i="11"/>
  <c r="M64" i="11"/>
  <c r="N64" i="11"/>
  <c r="Q64" i="11"/>
  <c r="R64" i="11"/>
  <c r="S64" i="11"/>
  <c r="L65" i="11"/>
  <c r="M65" i="11"/>
  <c r="N65" i="11"/>
  <c r="Q65" i="11"/>
  <c r="R65" i="11"/>
  <c r="S65" i="11"/>
  <c r="L66" i="11"/>
  <c r="M66" i="11"/>
  <c r="N66" i="11"/>
  <c r="Q66" i="11"/>
  <c r="R66" i="11"/>
  <c r="U66" i="11" s="1"/>
  <c r="S66" i="11"/>
  <c r="L67" i="11"/>
  <c r="M67" i="11"/>
  <c r="N67" i="11"/>
  <c r="Q67" i="11"/>
  <c r="R67" i="11"/>
  <c r="S67" i="11"/>
  <c r="P68" i="11"/>
  <c r="L68" i="11"/>
  <c r="M68" i="11"/>
  <c r="N68" i="11"/>
  <c r="Q68" i="11"/>
  <c r="R68" i="11"/>
  <c r="S68" i="11"/>
  <c r="L69" i="11"/>
  <c r="M69" i="11"/>
  <c r="N69" i="11"/>
  <c r="Q69" i="11"/>
  <c r="U69" i="11" s="1"/>
  <c r="R69" i="11"/>
  <c r="S69" i="11"/>
  <c r="L70" i="11"/>
  <c r="M70" i="11"/>
  <c r="N70" i="11"/>
  <c r="Q70" i="11"/>
  <c r="R70" i="11"/>
  <c r="U70" i="11"/>
  <c r="S70" i="11"/>
  <c r="L71" i="11"/>
  <c r="M71" i="11"/>
  <c r="N71" i="11"/>
  <c r="Q71" i="11"/>
  <c r="U71" i="11" s="1"/>
  <c r="R71" i="11"/>
  <c r="S71" i="11"/>
  <c r="L72" i="11"/>
  <c r="M72" i="11"/>
  <c r="N72" i="11"/>
  <c r="Q72" i="11"/>
  <c r="R72" i="11"/>
  <c r="S72" i="11"/>
  <c r="L73" i="11"/>
  <c r="M73" i="11"/>
  <c r="N73" i="11"/>
  <c r="Q73" i="11"/>
  <c r="U73" i="11"/>
  <c r="R73" i="11"/>
  <c r="S73" i="11"/>
  <c r="P74" i="11"/>
  <c r="L74" i="11"/>
  <c r="M74" i="11"/>
  <c r="N74" i="11"/>
  <c r="Q74" i="11"/>
  <c r="U74" i="11"/>
  <c r="R74" i="11"/>
  <c r="S74" i="11"/>
  <c r="L75" i="11"/>
  <c r="M75" i="11"/>
  <c r="N75" i="11"/>
  <c r="Q75" i="11"/>
  <c r="U75" i="11" s="1"/>
  <c r="R75" i="11"/>
  <c r="S75" i="11"/>
  <c r="P76" i="11"/>
  <c r="L76" i="11"/>
  <c r="M76" i="11"/>
  <c r="N76" i="11"/>
  <c r="Q76" i="11"/>
  <c r="R76" i="11"/>
  <c r="S76" i="11"/>
  <c r="P77" i="11"/>
  <c r="L77" i="11"/>
  <c r="M77" i="11"/>
  <c r="N77" i="11"/>
  <c r="Q77" i="11"/>
  <c r="R77" i="11"/>
  <c r="S77" i="11"/>
  <c r="P78" i="11"/>
  <c r="L78" i="11"/>
  <c r="M78" i="11"/>
  <c r="N78" i="11"/>
  <c r="Q78" i="11"/>
  <c r="R78" i="11"/>
  <c r="S78" i="11"/>
  <c r="L79" i="11"/>
  <c r="M79" i="11"/>
  <c r="N79" i="11"/>
  <c r="Q79" i="11"/>
  <c r="U79" i="11"/>
  <c r="R79" i="11"/>
  <c r="S79" i="11"/>
  <c r="P80" i="11"/>
  <c r="L80" i="11"/>
  <c r="M80" i="11"/>
  <c r="N80" i="11"/>
  <c r="Q80" i="11"/>
  <c r="R80" i="11"/>
  <c r="S80" i="11"/>
  <c r="L81" i="11"/>
  <c r="M81" i="11"/>
  <c r="N81" i="11"/>
  <c r="Q81" i="11"/>
  <c r="U81" i="11" s="1"/>
  <c r="R81" i="11"/>
  <c r="S81" i="11"/>
  <c r="P82" i="11"/>
  <c r="L82" i="11"/>
  <c r="M82" i="11"/>
  <c r="N82" i="11"/>
  <c r="Q82" i="11"/>
  <c r="R82" i="11"/>
  <c r="S82" i="11"/>
  <c r="L83" i="11"/>
  <c r="M83" i="11"/>
  <c r="N83" i="11"/>
  <c r="Q83" i="11"/>
  <c r="R83" i="11"/>
  <c r="U83" i="11" s="1"/>
  <c r="S83" i="11"/>
  <c r="L84" i="11"/>
  <c r="M84" i="11"/>
  <c r="N84" i="11"/>
  <c r="Q84" i="11"/>
  <c r="R84" i="11"/>
  <c r="S84" i="11"/>
  <c r="L85" i="11"/>
  <c r="M85" i="11"/>
  <c r="N85" i="11"/>
  <c r="Q85" i="11"/>
  <c r="U85" i="11"/>
  <c r="R85" i="11"/>
  <c r="S85" i="11"/>
  <c r="L86" i="11"/>
  <c r="M86" i="11"/>
  <c r="N86" i="11"/>
  <c r="Q86" i="11"/>
  <c r="R86" i="11"/>
  <c r="U86" i="11"/>
  <c r="S86" i="11"/>
  <c r="L87" i="11"/>
  <c r="M87" i="11"/>
  <c r="N87" i="11"/>
  <c r="Q87" i="11"/>
  <c r="U87" i="11"/>
  <c r="R87" i="11"/>
  <c r="S87" i="11"/>
  <c r="L88" i="11"/>
  <c r="M88" i="11"/>
  <c r="N88" i="11"/>
  <c r="Q88" i="11"/>
  <c r="R88" i="11"/>
  <c r="S88" i="11"/>
  <c r="L89" i="11"/>
  <c r="M89" i="11"/>
  <c r="N89" i="11"/>
  <c r="Q89" i="11"/>
  <c r="R89" i="11"/>
  <c r="S89" i="11"/>
  <c r="P90" i="11"/>
  <c r="L90" i="11"/>
  <c r="M90" i="11"/>
  <c r="N90" i="11"/>
  <c r="Q90" i="11"/>
  <c r="R90" i="11"/>
  <c r="S90" i="11"/>
  <c r="L91" i="11"/>
  <c r="M91" i="11"/>
  <c r="N91" i="11"/>
  <c r="Q91" i="11"/>
  <c r="R91" i="11"/>
  <c r="S91" i="11"/>
  <c r="L92" i="11"/>
  <c r="M92" i="11"/>
  <c r="N92" i="11"/>
  <c r="Q92" i="11"/>
  <c r="U92" i="11" s="1"/>
  <c r="R92" i="11"/>
  <c r="S92" i="11"/>
  <c r="L93" i="11"/>
  <c r="M93" i="11"/>
  <c r="N93" i="11"/>
  <c r="Q93" i="11"/>
  <c r="R93" i="11"/>
  <c r="S93" i="11"/>
  <c r="L94" i="11"/>
  <c r="M94" i="11"/>
  <c r="N94" i="11"/>
  <c r="Q94" i="11"/>
  <c r="R94" i="11"/>
  <c r="S94" i="11"/>
  <c r="L95" i="11"/>
  <c r="M95" i="11"/>
  <c r="N95" i="11"/>
  <c r="Q95" i="11"/>
  <c r="R95" i="11"/>
  <c r="S95" i="11"/>
  <c r="L96" i="11"/>
  <c r="M96" i="11"/>
  <c r="N96" i="11"/>
  <c r="Q96" i="11"/>
  <c r="R96" i="11"/>
  <c r="S96" i="11"/>
  <c r="L97" i="11"/>
  <c r="M97" i="11"/>
  <c r="N97" i="11"/>
  <c r="Q97" i="11"/>
  <c r="U97" i="11" s="1"/>
  <c r="R97" i="11"/>
  <c r="S97" i="11"/>
  <c r="P98" i="11"/>
  <c r="L98" i="11"/>
  <c r="M98" i="11"/>
  <c r="N98" i="11"/>
  <c r="Q98" i="11"/>
  <c r="R98" i="11"/>
  <c r="U98" i="11" s="1"/>
  <c r="S98" i="11"/>
  <c r="L99" i="11"/>
  <c r="M99" i="11"/>
  <c r="N99" i="11"/>
  <c r="Q99" i="11"/>
  <c r="U99" i="11" s="1"/>
  <c r="R99" i="11"/>
  <c r="S99" i="11"/>
  <c r="L100" i="11"/>
  <c r="M100" i="11"/>
  <c r="N100" i="11"/>
  <c r="Q100" i="11"/>
  <c r="R100" i="11"/>
  <c r="S100" i="11"/>
  <c r="L101" i="11"/>
  <c r="M101" i="11"/>
  <c r="N101" i="11"/>
  <c r="Q101" i="11"/>
  <c r="R101" i="11"/>
  <c r="S101" i="11"/>
  <c r="L102" i="11"/>
  <c r="M102" i="11"/>
  <c r="N102" i="11"/>
  <c r="Q102" i="11"/>
  <c r="R102" i="11"/>
  <c r="S102" i="11"/>
  <c r="L103" i="11"/>
  <c r="M103" i="11"/>
  <c r="N103" i="11"/>
  <c r="Q103" i="11"/>
  <c r="R103" i="11"/>
  <c r="S103" i="11"/>
  <c r="L104" i="11"/>
  <c r="M104" i="11"/>
  <c r="N104" i="11"/>
  <c r="Q104" i="11"/>
  <c r="U104" i="11" s="1"/>
  <c r="R104" i="11"/>
  <c r="S104" i="11"/>
  <c r="L105" i="11"/>
  <c r="M105" i="11"/>
  <c r="N105" i="11"/>
  <c r="Q105" i="11"/>
  <c r="R105" i="11"/>
  <c r="S105" i="11"/>
  <c r="P106" i="11"/>
  <c r="L106" i="11"/>
  <c r="M106" i="11"/>
  <c r="N106" i="11"/>
  <c r="Q106" i="11"/>
  <c r="U106" i="11"/>
  <c r="R106" i="11"/>
  <c r="S106" i="11"/>
  <c r="L107" i="11"/>
  <c r="M107" i="11"/>
  <c r="N107" i="11"/>
  <c r="Q107" i="11"/>
  <c r="R107" i="11"/>
  <c r="S107" i="11"/>
  <c r="P108" i="11"/>
  <c r="L108" i="11"/>
  <c r="M108" i="11"/>
  <c r="N108" i="11"/>
  <c r="Q108" i="11"/>
  <c r="U108" i="11" s="1"/>
  <c r="R108" i="11"/>
  <c r="S108" i="11"/>
  <c r="L109" i="11"/>
  <c r="M109" i="11"/>
  <c r="N109" i="11"/>
  <c r="Q109" i="11"/>
  <c r="U109" i="11" s="1"/>
  <c r="R109" i="11"/>
  <c r="S109" i="11"/>
  <c r="P110" i="11"/>
  <c r="L110" i="11"/>
  <c r="M110" i="11"/>
  <c r="N110" i="11"/>
  <c r="Q110" i="11"/>
  <c r="R110" i="11"/>
  <c r="S110" i="11"/>
  <c r="P111" i="11"/>
  <c r="L111" i="11"/>
  <c r="M111" i="11"/>
  <c r="N111" i="11"/>
  <c r="Q111" i="11"/>
  <c r="R111" i="11"/>
  <c r="S111" i="11"/>
  <c r="L112" i="11"/>
  <c r="M112" i="11"/>
  <c r="N112" i="11"/>
  <c r="Q112" i="11"/>
  <c r="R112" i="11"/>
  <c r="S112" i="11"/>
  <c r="L113" i="11"/>
  <c r="M113" i="11"/>
  <c r="N113" i="11"/>
  <c r="Q113" i="11"/>
  <c r="R113" i="11"/>
  <c r="S113" i="11"/>
  <c r="P114" i="11"/>
  <c r="L114" i="11"/>
  <c r="M114" i="11"/>
  <c r="N114" i="11"/>
  <c r="Q114" i="11"/>
  <c r="R114" i="11"/>
  <c r="S114" i="11"/>
  <c r="L115" i="11"/>
  <c r="M115" i="11"/>
  <c r="N115" i="11"/>
  <c r="Q115" i="11"/>
  <c r="R115" i="11"/>
  <c r="S115" i="11"/>
  <c r="L116" i="11"/>
  <c r="M116" i="11"/>
  <c r="N116" i="11"/>
  <c r="Q116" i="11"/>
  <c r="R116" i="11"/>
  <c r="S116" i="11"/>
  <c r="L117" i="11"/>
  <c r="M117" i="11"/>
  <c r="N117" i="11"/>
  <c r="Q117" i="11"/>
  <c r="R117" i="11"/>
  <c r="S117" i="11"/>
  <c r="P118" i="11"/>
  <c r="L118" i="11"/>
  <c r="M118" i="11"/>
  <c r="N118" i="11"/>
  <c r="Q118" i="11"/>
  <c r="R118" i="11"/>
  <c r="S118" i="11"/>
  <c r="L119" i="11"/>
  <c r="M119" i="11"/>
  <c r="N119" i="11"/>
  <c r="Q119" i="11"/>
  <c r="R119" i="11"/>
  <c r="S119" i="11"/>
  <c r="L120" i="11"/>
  <c r="M120" i="11"/>
  <c r="N120" i="11"/>
  <c r="Q120" i="11"/>
  <c r="R120" i="11"/>
  <c r="S120" i="11"/>
  <c r="L121" i="11"/>
  <c r="M121" i="11"/>
  <c r="N121" i="11"/>
  <c r="Q121" i="11"/>
  <c r="R121" i="11"/>
  <c r="S121" i="11"/>
  <c r="P122" i="11"/>
  <c r="L122" i="11"/>
  <c r="M122" i="11"/>
  <c r="N122" i="11"/>
  <c r="Q122" i="11"/>
  <c r="R122" i="11"/>
  <c r="S122" i="11"/>
  <c r="L123" i="11"/>
  <c r="M123" i="11"/>
  <c r="N123" i="11"/>
  <c r="Q123" i="11"/>
  <c r="R123" i="11"/>
  <c r="S123" i="11"/>
  <c r="P124" i="11"/>
  <c r="L124" i="11"/>
  <c r="M124" i="11"/>
  <c r="N124" i="11"/>
  <c r="Q124" i="11"/>
  <c r="R124" i="11"/>
  <c r="S124" i="11"/>
  <c r="L125" i="11"/>
  <c r="M125" i="11"/>
  <c r="N125" i="11"/>
  <c r="Q125" i="11"/>
  <c r="R125" i="11"/>
  <c r="S125" i="11"/>
  <c r="L126" i="11"/>
  <c r="M126" i="11"/>
  <c r="N126" i="11"/>
  <c r="Q126" i="11"/>
  <c r="R126" i="11"/>
  <c r="S126" i="11"/>
  <c r="P127" i="11"/>
  <c r="L127" i="11"/>
  <c r="M127" i="11"/>
  <c r="N127" i="11"/>
  <c r="Q127" i="11"/>
  <c r="R127" i="11"/>
  <c r="S127" i="11"/>
  <c r="P128" i="11"/>
  <c r="L128" i="11"/>
  <c r="M128" i="11"/>
  <c r="N128" i="11"/>
  <c r="Q128" i="11"/>
  <c r="R128" i="11"/>
  <c r="S128" i="11"/>
  <c r="P129" i="11"/>
  <c r="L129" i="11"/>
  <c r="M129" i="11"/>
  <c r="N129" i="11"/>
  <c r="Q129" i="11"/>
  <c r="R129" i="11"/>
  <c r="S129" i="11"/>
  <c r="P130" i="11"/>
  <c r="L130" i="11"/>
  <c r="M130" i="11"/>
  <c r="N130" i="11"/>
  <c r="Q130" i="11"/>
  <c r="R130" i="11"/>
  <c r="S130" i="11"/>
  <c r="L131" i="11"/>
  <c r="M131" i="11"/>
  <c r="N131" i="11"/>
  <c r="Q131" i="11"/>
  <c r="R131" i="11"/>
  <c r="S131" i="11"/>
  <c r="L132" i="11"/>
  <c r="M132" i="11"/>
  <c r="N132" i="11"/>
  <c r="Q132" i="11"/>
  <c r="R132" i="11"/>
  <c r="S132" i="11"/>
  <c r="L133" i="11"/>
  <c r="M133" i="11"/>
  <c r="N133" i="11"/>
  <c r="Q133" i="11"/>
  <c r="R133" i="11"/>
  <c r="S133" i="11"/>
  <c r="L134" i="11"/>
  <c r="M134" i="11"/>
  <c r="N134" i="11"/>
  <c r="Q134" i="11"/>
  <c r="R134" i="11"/>
  <c r="S134" i="11"/>
  <c r="L135" i="11"/>
  <c r="M135" i="11"/>
  <c r="N135" i="11"/>
  <c r="Q135" i="11"/>
  <c r="R135" i="11"/>
  <c r="S135" i="11"/>
  <c r="L136" i="11"/>
  <c r="M136" i="11"/>
  <c r="N136" i="11"/>
  <c r="Q136" i="11"/>
  <c r="R136" i="11"/>
  <c r="S136" i="11"/>
  <c r="L137" i="11"/>
  <c r="M137" i="11"/>
  <c r="N137" i="11"/>
  <c r="Q137" i="11"/>
  <c r="R137" i="11"/>
  <c r="S137" i="11"/>
  <c r="L138" i="11"/>
  <c r="M138" i="11"/>
  <c r="N138" i="11"/>
  <c r="Q138" i="11"/>
  <c r="R138" i="11"/>
  <c r="S138" i="11"/>
  <c r="P139" i="11"/>
  <c r="L139" i="11"/>
  <c r="M139" i="11"/>
  <c r="N139" i="11"/>
  <c r="Q139" i="11"/>
  <c r="R139" i="11"/>
  <c r="S139" i="11"/>
  <c r="P140" i="11"/>
  <c r="L140" i="11"/>
  <c r="M140" i="11"/>
  <c r="N140" i="11"/>
  <c r="Q140" i="11"/>
  <c r="R140" i="11"/>
  <c r="S140" i="11"/>
  <c r="P141" i="11"/>
  <c r="L141" i="11"/>
  <c r="M141" i="11"/>
  <c r="N141" i="11"/>
  <c r="Q141" i="11"/>
  <c r="R141" i="11"/>
  <c r="S141" i="11"/>
  <c r="P142" i="11"/>
  <c r="L142" i="11"/>
  <c r="M142" i="11"/>
  <c r="N142" i="11"/>
  <c r="Q142" i="11"/>
  <c r="R142" i="11"/>
  <c r="S142" i="11"/>
  <c r="L143" i="11"/>
  <c r="M143" i="11"/>
  <c r="N143" i="11"/>
  <c r="Q143" i="11"/>
  <c r="R143" i="11"/>
  <c r="S143" i="11"/>
  <c r="L144" i="11"/>
  <c r="M144" i="11"/>
  <c r="N144" i="11"/>
  <c r="Q144" i="11"/>
  <c r="R144" i="11"/>
  <c r="S144" i="11"/>
  <c r="P145" i="11"/>
  <c r="L145" i="11"/>
  <c r="M145" i="11"/>
  <c r="N145" i="11"/>
  <c r="Q145" i="11"/>
  <c r="R145" i="11"/>
  <c r="S145" i="11"/>
  <c r="L146" i="11"/>
  <c r="M146" i="11"/>
  <c r="N146" i="11"/>
  <c r="P146" i="11"/>
  <c r="Q146" i="11"/>
  <c r="R146" i="11"/>
  <c r="S146" i="11"/>
  <c r="L147" i="11"/>
  <c r="M147" i="11"/>
  <c r="N147" i="11"/>
  <c r="Q147" i="11"/>
  <c r="R147" i="11"/>
  <c r="S147" i="11"/>
  <c r="L148" i="11"/>
  <c r="M148" i="11"/>
  <c r="N148" i="11"/>
  <c r="P148" i="11"/>
  <c r="Q148" i="11"/>
  <c r="R148" i="11"/>
  <c r="S148" i="11"/>
  <c r="L149" i="11"/>
  <c r="M149" i="11"/>
  <c r="N149" i="11"/>
  <c r="Q149" i="11"/>
  <c r="R149" i="11"/>
  <c r="S149" i="11"/>
  <c r="L150" i="11"/>
  <c r="M150" i="11"/>
  <c r="N150" i="11"/>
  <c r="Q150" i="11"/>
  <c r="R150" i="11"/>
  <c r="S150" i="11"/>
  <c r="L151" i="11"/>
  <c r="M151" i="11"/>
  <c r="N151" i="11"/>
  <c r="Q151" i="11"/>
  <c r="R151" i="11"/>
  <c r="S151" i="11"/>
  <c r="L152" i="11"/>
  <c r="M152" i="11"/>
  <c r="N152" i="11"/>
  <c r="Q152" i="11"/>
  <c r="R152" i="11"/>
  <c r="S152" i="11"/>
  <c r="L153" i="11"/>
  <c r="M153" i="11"/>
  <c r="N153" i="11"/>
  <c r="Q153" i="11"/>
  <c r="R153" i="11"/>
  <c r="S153" i="11"/>
  <c r="P154" i="11"/>
  <c r="L154" i="11"/>
  <c r="M154" i="11"/>
  <c r="N154" i="11"/>
  <c r="Q154" i="11"/>
  <c r="R154" i="11"/>
  <c r="S154" i="11"/>
  <c r="P155" i="11"/>
  <c r="L155" i="11"/>
  <c r="M155" i="11"/>
  <c r="N155" i="11"/>
  <c r="Q155" i="11"/>
  <c r="R155" i="11"/>
  <c r="S155" i="11"/>
  <c r="L156" i="11"/>
  <c r="M156" i="11"/>
  <c r="N156" i="11"/>
  <c r="Q156" i="11"/>
  <c r="R156" i="11"/>
  <c r="S156" i="11"/>
  <c r="L157" i="11"/>
  <c r="M157" i="11"/>
  <c r="N157" i="11"/>
  <c r="Q157" i="11"/>
  <c r="R157" i="11"/>
  <c r="S157" i="11"/>
  <c r="P158" i="11"/>
  <c r="L158" i="11"/>
  <c r="M158" i="11"/>
  <c r="N158" i="11"/>
  <c r="Q158" i="11"/>
  <c r="R158" i="11"/>
  <c r="S158" i="11"/>
  <c r="L159" i="11"/>
  <c r="M159" i="11"/>
  <c r="N159" i="11"/>
  <c r="Q159" i="11"/>
  <c r="R159" i="11"/>
  <c r="S159" i="11"/>
  <c r="L160" i="11"/>
  <c r="M160" i="11"/>
  <c r="N160" i="11"/>
  <c r="P160" i="11"/>
  <c r="Q160" i="11"/>
  <c r="R160" i="11"/>
  <c r="S160" i="11"/>
  <c r="P161" i="11"/>
  <c r="L161" i="11"/>
  <c r="M161" i="11"/>
  <c r="N161" i="11"/>
  <c r="Q161" i="11"/>
  <c r="R161" i="11"/>
  <c r="S161" i="11"/>
  <c r="L162" i="11"/>
  <c r="M162" i="11"/>
  <c r="N162" i="11"/>
  <c r="P162" i="11"/>
  <c r="Q162" i="11"/>
  <c r="R162" i="11"/>
  <c r="S162" i="11"/>
  <c r="L163" i="11"/>
  <c r="M163" i="11"/>
  <c r="N163" i="11"/>
  <c r="Q163" i="11"/>
  <c r="R163" i="11"/>
  <c r="S163" i="11"/>
  <c r="L164" i="11"/>
  <c r="M164" i="11"/>
  <c r="N164" i="11"/>
  <c r="Q164" i="11"/>
  <c r="R164" i="11"/>
  <c r="S164" i="11"/>
  <c r="L165" i="11"/>
  <c r="M165" i="11"/>
  <c r="N165" i="11"/>
  <c r="Q165" i="11"/>
  <c r="R165" i="11"/>
  <c r="S165" i="11"/>
  <c r="L166" i="11"/>
  <c r="M166" i="11"/>
  <c r="N166" i="11"/>
  <c r="Q166" i="11"/>
  <c r="R166" i="11"/>
  <c r="S166" i="11"/>
  <c r="P167" i="11"/>
  <c r="L167" i="11"/>
  <c r="M167" i="11"/>
  <c r="N167" i="11"/>
  <c r="Q167" i="11"/>
  <c r="R167" i="11"/>
  <c r="S167" i="11"/>
  <c r="L168" i="11"/>
  <c r="M168" i="11"/>
  <c r="N168" i="11"/>
  <c r="Q168" i="11"/>
  <c r="R168" i="11"/>
  <c r="S168" i="11"/>
  <c r="L169" i="11"/>
  <c r="M169" i="11"/>
  <c r="N169" i="11"/>
  <c r="Q169" i="11"/>
  <c r="R169" i="11"/>
  <c r="S169" i="11"/>
  <c r="L170" i="11"/>
  <c r="M170" i="11"/>
  <c r="N170" i="11"/>
  <c r="P170" i="11"/>
  <c r="Q170" i="11"/>
  <c r="R170" i="11"/>
  <c r="S170" i="11"/>
  <c r="P171" i="11"/>
  <c r="L171" i="11"/>
  <c r="M171" i="11"/>
  <c r="N171" i="11"/>
  <c r="Q171" i="11"/>
  <c r="R171" i="11"/>
  <c r="S171" i="11"/>
  <c r="P172" i="11"/>
  <c r="L172" i="11"/>
  <c r="M172" i="11"/>
  <c r="N172" i="11"/>
  <c r="Q172" i="11"/>
  <c r="R172" i="11"/>
  <c r="S172" i="11"/>
  <c r="P173" i="11"/>
  <c r="L173" i="11"/>
  <c r="M173" i="11"/>
  <c r="N173" i="11"/>
  <c r="Q173" i="11"/>
  <c r="R173" i="11"/>
  <c r="S173" i="11"/>
  <c r="P174" i="11"/>
  <c r="L174" i="11"/>
  <c r="M174" i="11"/>
  <c r="N174" i="11"/>
  <c r="Q174" i="11"/>
  <c r="R174" i="11"/>
  <c r="S174" i="11"/>
  <c r="L175" i="11"/>
  <c r="M175" i="11"/>
  <c r="N175" i="11"/>
  <c r="Q175" i="11"/>
  <c r="R175" i="11"/>
  <c r="S175" i="11"/>
  <c r="L176" i="11"/>
  <c r="M176" i="11"/>
  <c r="N176" i="11"/>
  <c r="Q176" i="11"/>
  <c r="R176" i="11"/>
  <c r="S176" i="11"/>
  <c r="L177" i="11"/>
  <c r="M177" i="11"/>
  <c r="N177" i="11"/>
  <c r="Q177" i="11"/>
  <c r="R177" i="11"/>
  <c r="S177" i="11"/>
  <c r="L178" i="11"/>
  <c r="M178" i="11"/>
  <c r="N178" i="11"/>
  <c r="P178" i="11"/>
  <c r="Q178" i="11"/>
  <c r="R178" i="11"/>
  <c r="S178" i="11"/>
  <c r="L179" i="11"/>
  <c r="M179" i="11"/>
  <c r="N179" i="11"/>
  <c r="Q179" i="11"/>
  <c r="R179" i="11"/>
  <c r="S179" i="11"/>
  <c r="L180" i="11"/>
  <c r="M180" i="11"/>
  <c r="N180" i="11"/>
  <c r="P180" i="11"/>
  <c r="Q180" i="11"/>
  <c r="R180" i="11"/>
  <c r="S180" i="11"/>
  <c r="L181" i="11"/>
  <c r="M181" i="11"/>
  <c r="N181" i="11"/>
  <c r="Q181" i="11"/>
  <c r="R181" i="11"/>
  <c r="S181" i="11"/>
  <c r="L182" i="11"/>
  <c r="M182" i="11"/>
  <c r="N182" i="11"/>
  <c r="Q182" i="11"/>
  <c r="R182" i="11"/>
  <c r="S182" i="11"/>
  <c r="L183" i="11"/>
  <c r="M183" i="11"/>
  <c r="N183" i="11"/>
  <c r="Q183" i="11"/>
  <c r="R183" i="11"/>
  <c r="S183" i="11"/>
  <c r="L184" i="11"/>
  <c r="M184" i="11"/>
  <c r="N184" i="11"/>
  <c r="Q184" i="11"/>
  <c r="R184" i="11"/>
  <c r="S184" i="11"/>
  <c r="L185" i="11"/>
  <c r="M185" i="11"/>
  <c r="N185" i="11"/>
  <c r="Q185" i="11"/>
  <c r="R185" i="11"/>
  <c r="S185" i="11"/>
  <c r="L186" i="11"/>
  <c r="M186" i="11"/>
  <c r="N186" i="11"/>
  <c r="Q186" i="11"/>
  <c r="R186" i="11"/>
  <c r="S186" i="11"/>
  <c r="L187" i="11"/>
  <c r="M187" i="11"/>
  <c r="N187" i="11"/>
  <c r="Q187" i="11"/>
  <c r="R187" i="11"/>
  <c r="S187" i="11"/>
  <c r="L188" i="11"/>
  <c r="M188" i="11"/>
  <c r="N188" i="11"/>
  <c r="Q188" i="11"/>
  <c r="R188" i="11"/>
  <c r="S188" i="11"/>
  <c r="L189" i="11"/>
  <c r="M189" i="11"/>
  <c r="N189" i="11"/>
  <c r="P189" i="11"/>
  <c r="Q189" i="11"/>
  <c r="R189" i="11"/>
  <c r="S189" i="11"/>
  <c r="L190" i="11"/>
  <c r="M190" i="11"/>
  <c r="N190" i="11"/>
  <c r="P190" i="11"/>
  <c r="Q190" i="11"/>
  <c r="R190" i="11"/>
  <c r="S190" i="11"/>
  <c r="L191" i="11"/>
  <c r="M191" i="11"/>
  <c r="N191" i="11"/>
  <c r="P191" i="11"/>
  <c r="Q191" i="11"/>
  <c r="R191" i="11"/>
  <c r="S191" i="11"/>
  <c r="L192" i="11"/>
  <c r="M192" i="11"/>
  <c r="N192" i="11"/>
  <c r="Q192" i="11"/>
  <c r="R192" i="11"/>
  <c r="S192" i="11"/>
  <c r="P193" i="11"/>
  <c r="L193" i="11"/>
  <c r="M193" i="11"/>
  <c r="N193" i="11"/>
  <c r="Q193" i="11"/>
  <c r="R193" i="11"/>
  <c r="S193" i="11"/>
  <c r="L194" i="11"/>
  <c r="M194" i="11"/>
  <c r="N194" i="11"/>
  <c r="P194" i="11"/>
  <c r="Q194" i="11"/>
  <c r="R194" i="11"/>
  <c r="S194" i="11"/>
  <c r="L195" i="11"/>
  <c r="M195" i="11"/>
  <c r="N195" i="11"/>
  <c r="Q195" i="11"/>
  <c r="R195" i="11"/>
  <c r="S195" i="11"/>
  <c r="L196" i="11"/>
  <c r="M196" i="11"/>
  <c r="N196" i="11"/>
  <c r="P196" i="11"/>
  <c r="Q196" i="11"/>
  <c r="R196" i="11"/>
  <c r="S196" i="11"/>
  <c r="L197" i="11"/>
  <c r="M197" i="11"/>
  <c r="N197" i="11"/>
  <c r="P197" i="11"/>
  <c r="Q197" i="11"/>
  <c r="R197" i="11"/>
  <c r="S197" i="11"/>
  <c r="L198" i="11"/>
  <c r="M198" i="11"/>
  <c r="N198" i="11"/>
  <c r="Q198" i="11"/>
  <c r="R198" i="11"/>
  <c r="S198" i="11"/>
  <c r="L199" i="11"/>
  <c r="M199" i="11"/>
  <c r="N199" i="11"/>
  <c r="Q199" i="11"/>
  <c r="R199" i="11"/>
  <c r="S199" i="11"/>
  <c r="L200" i="11"/>
  <c r="M200" i="11"/>
  <c r="N200" i="11"/>
  <c r="P200" i="11"/>
  <c r="Q200" i="11"/>
  <c r="R200" i="11"/>
  <c r="S200" i="11"/>
  <c r="L201" i="11"/>
  <c r="M201" i="11"/>
  <c r="N201" i="11"/>
  <c r="Q201" i="11"/>
  <c r="R201" i="11"/>
  <c r="S201" i="11"/>
  <c r="L202" i="11"/>
  <c r="M202" i="11"/>
  <c r="N202" i="11"/>
  <c r="P202" i="11"/>
  <c r="Q202" i="11"/>
  <c r="R202" i="11"/>
  <c r="S202" i="11"/>
  <c r="P203" i="11"/>
  <c r="L203" i="11"/>
  <c r="M203" i="11"/>
  <c r="N203" i="11"/>
  <c r="Q203" i="11"/>
  <c r="R203" i="11"/>
  <c r="S203" i="11"/>
  <c r="L204" i="11"/>
  <c r="M204" i="11"/>
  <c r="N204" i="11"/>
  <c r="P204" i="11"/>
  <c r="Q204" i="11"/>
  <c r="R204" i="11"/>
  <c r="S204" i="11"/>
  <c r="P205" i="11"/>
  <c r="L205" i="11"/>
  <c r="M205" i="11"/>
  <c r="N205" i="11"/>
  <c r="Q205" i="11"/>
  <c r="R205" i="11"/>
  <c r="S205" i="11"/>
  <c r="L206" i="11"/>
  <c r="M206" i="11"/>
  <c r="N206" i="11"/>
  <c r="Q206" i="11"/>
  <c r="R206" i="11"/>
  <c r="S206" i="11"/>
  <c r="P207" i="11"/>
  <c r="L207" i="11"/>
  <c r="M207" i="11"/>
  <c r="N207" i="11"/>
  <c r="Q207" i="11"/>
  <c r="R207" i="11"/>
  <c r="S207" i="11"/>
  <c r="L208" i="11"/>
  <c r="M208" i="11"/>
  <c r="N208" i="11"/>
  <c r="Q208" i="11"/>
  <c r="R208" i="11"/>
  <c r="S208" i="11"/>
  <c r="P209" i="11"/>
  <c r="L209" i="11"/>
  <c r="M209" i="11"/>
  <c r="N209" i="11"/>
  <c r="Q209" i="11"/>
  <c r="R209" i="11"/>
  <c r="S209" i="11"/>
  <c r="L210" i="11"/>
  <c r="M210" i="11"/>
  <c r="N210" i="11"/>
  <c r="Q210" i="11"/>
  <c r="R210" i="11"/>
  <c r="S210" i="11"/>
  <c r="L211" i="11"/>
  <c r="M211" i="11"/>
  <c r="N211" i="11"/>
  <c r="Q211" i="11"/>
  <c r="R211" i="11"/>
  <c r="S211" i="11"/>
  <c r="L212" i="11"/>
  <c r="M212" i="11"/>
  <c r="N212" i="11"/>
  <c r="P212" i="11"/>
  <c r="Q212" i="11"/>
  <c r="R212" i="11"/>
  <c r="S212" i="11"/>
  <c r="L213" i="11"/>
  <c r="M213" i="11"/>
  <c r="N213" i="11"/>
  <c r="Q213" i="11"/>
  <c r="R213" i="11"/>
  <c r="S213" i="11"/>
  <c r="L214" i="11"/>
  <c r="M214" i="11"/>
  <c r="N214" i="11"/>
  <c r="Q214" i="11"/>
  <c r="R214" i="11"/>
  <c r="S214" i="11"/>
  <c r="P215" i="11"/>
  <c r="L215" i="11"/>
  <c r="M215" i="11"/>
  <c r="N215" i="11"/>
  <c r="Q215" i="11"/>
  <c r="R215" i="11"/>
  <c r="S215" i="11"/>
  <c r="L216" i="11"/>
  <c r="M216" i="11"/>
  <c r="N216" i="11"/>
  <c r="Q216" i="11"/>
  <c r="R216" i="11"/>
  <c r="S216" i="11"/>
  <c r="L217" i="11"/>
  <c r="M217" i="11"/>
  <c r="N217" i="11"/>
  <c r="Q217" i="11"/>
  <c r="R217" i="11"/>
  <c r="S217" i="11"/>
  <c r="L218" i="11"/>
  <c r="M218" i="11"/>
  <c r="N218" i="11"/>
  <c r="P218" i="11"/>
  <c r="Q218" i="11"/>
  <c r="R218" i="11"/>
  <c r="S218" i="11"/>
  <c r="L219" i="11"/>
  <c r="M219" i="11"/>
  <c r="N219" i="11"/>
  <c r="Q219" i="11"/>
  <c r="R219" i="11"/>
  <c r="S219" i="11"/>
  <c r="L220" i="11"/>
  <c r="M220" i="11"/>
  <c r="N220" i="11"/>
  <c r="Q220" i="11"/>
  <c r="R220" i="11"/>
  <c r="S220" i="11"/>
  <c r="P221" i="11"/>
  <c r="L221" i="11"/>
  <c r="M221" i="11"/>
  <c r="N221" i="11"/>
  <c r="Q221" i="11"/>
  <c r="R221" i="11"/>
  <c r="S221" i="11"/>
  <c r="L222" i="11"/>
  <c r="M222" i="11"/>
  <c r="N222" i="11"/>
  <c r="P222" i="11"/>
  <c r="Q222" i="11"/>
  <c r="R222" i="11"/>
  <c r="S222" i="11"/>
  <c r="L223" i="11"/>
  <c r="M223" i="11"/>
  <c r="N223" i="11"/>
  <c r="Q223" i="11"/>
  <c r="R223" i="11"/>
  <c r="S223" i="11"/>
  <c r="L224" i="11"/>
  <c r="M224" i="11"/>
  <c r="N224" i="11"/>
  <c r="P224" i="11"/>
  <c r="Q224" i="11"/>
  <c r="R224" i="11"/>
  <c r="S224" i="11"/>
  <c r="P225" i="11"/>
  <c r="L225" i="11"/>
  <c r="M225" i="11"/>
  <c r="N225" i="11"/>
  <c r="Q225" i="11"/>
  <c r="R225" i="11"/>
  <c r="S225" i="11"/>
  <c r="L226" i="11"/>
  <c r="M226" i="11"/>
  <c r="N226" i="11"/>
  <c r="Q226" i="11"/>
  <c r="R226" i="11"/>
  <c r="S226" i="11"/>
  <c r="L227" i="11"/>
  <c r="M227" i="11"/>
  <c r="N227" i="11"/>
  <c r="Q227" i="11"/>
  <c r="R227" i="11"/>
  <c r="S227" i="11"/>
  <c r="L228" i="11"/>
  <c r="M228" i="11"/>
  <c r="N228" i="11"/>
  <c r="P228" i="11"/>
  <c r="Q228" i="11"/>
  <c r="R228" i="11"/>
  <c r="S228" i="11"/>
  <c r="L229" i="11"/>
  <c r="M229" i="11"/>
  <c r="N229" i="11"/>
  <c r="Q229" i="11"/>
  <c r="R229" i="11"/>
  <c r="S229" i="11"/>
  <c r="L230" i="11"/>
  <c r="M230" i="11"/>
  <c r="N230" i="11"/>
  <c r="Q230" i="11"/>
  <c r="R230" i="11"/>
  <c r="S230" i="11"/>
  <c r="L231" i="11"/>
  <c r="M231" i="11"/>
  <c r="N231" i="11"/>
  <c r="Q231" i="11"/>
  <c r="R231" i="11"/>
  <c r="S231" i="11"/>
  <c r="L232" i="11"/>
  <c r="M232" i="11"/>
  <c r="N232" i="11"/>
  <c r="Q232" i="11"/>
  <c r="R232" i="11"/>
  <c r="S232" i="11"/>
  <c r="L233" i="11"/>
  <c r="M233" i="11"/>
  <c r="N233" i="11"/>
  <c r="Q233" i="11"/>
  <c r="R233" i="11"/>
  <c r="S233" i="11"/>
  <c r="L234" i="11"/>
  <c r="M234" i="11"/>
  <c r="N234" i="11"/>
  <c r="P234" i="11"/>
  <c r="Q234" i="11"/>
  <c r="R234" i="11"/>
  <c r="S234" i="11"/>
  <c r="P235" i="11"/>
  <c r="L235" i="11"/>
  <c r="M235" i="11"/>
  <c r="N235" i="11"/>
  <c r="Q235" i="11"/>
  <c r="R235" i="11"/>
  <c r="S235" i="11"/>
  <c r="L236" i="11"/>
  <c r="M236" i="11"/>
  <c r="N236" i="11"/>
  <c r="P236" i="11"/>
  <c r="Q236" i="11"/>
  <c r="R236" i="11"/>
  <c r="S236" i="11"/>
  <c r="P237" i="11"/>
  <c r="L237" i="11"/>
  <c r="M237" i="11"/>
  <c r="N237" i="11"/>
  <c r="Q237" i="11"/>
  <c r="R237" i="11"/>
  <c r="S237" i="11"/>
  <c r="L238" i="11"/>
  <c r="M238" i="11"/>
  <c r="N238" i="11"/>
  <c r="Q238" i="11"/>
  <c r="R238" i="11"/>
  <c r="S238" i="11"/>
  <c r="P239" i="11"/>
  <c r="L239" i="11"/>
  <c r="M239" i="11"/>
  <c r="N239" i="11"/>
  <c r="Q239" i="11"/>
  <c r="R239" i="11"/>
  <c r="S239" i="11"/>
  <c r="L240" i="11"/>
  <c r="M240" i="11"/>
  <c r="N240" i="11"/>
  <c r="P240" i="11"/>
  <c r="Q240" i="11"/>
  <c r="R240" i="11"/>
  <c r="S240" i="11"/>
  <c r="L241" i="11"/>
  <c r="M241" i="11"/>
  <c r="N241" i="11"/>
  <c r="Q241" i="11"/>
  <c r="R241" i="11"/>
  <c r="S241" i="11"/>
  <c r="L242" i="11"/>
  <c r="M242" i="11"/>
  <c r="N242" i="11"/>
  <c r="Q242" i="11"/>
  <c r="R242" i="11"/>
  <c r="S242" i="11"/>
  <c r="L243" i="11"/>
  <c r="M243" i="11"/>
  <c r="N243" i="11"/>
  <c r="Q243" i="11"/>
  <c r="R243" i="11"/>
  <c r="S243" i="11"/>
  <c r="L244" i="11"/>
  <c r="M244" i="11"/>
  <c r="N244" i="11"/>
  <c r="P244" i="11"/>
  <c r="Q244" i="11"/>
  <c r="R244" i="11"/>
  <c r="S244" i="11"/>
  <c r="L245" i="11"/>
  <c r="M245" i="11"/>
  <c r="N245" i="11"/>
  <c r="Q245" i="11"/>
  <c r="R245" i="11"/>
  <c r="S245" i="11"/>
  <c r="L246" i="11"/>
  <c r="M246" i="11"/>
  <c r="N246" i="11"/>
  <c r="Q246" i="11"/>
  <c r="R246" i="11"/>
  <c r="S246" i="11"/>
  <c r="P247" i="11"/>
  <c r="L247" i="11"/>
  <c r="M247" i="11"/>
  <c r="N247" i="11"/>
  <c r="Q247" i="11"/>
  <c r="R247" i="11"/>
  <c r="S247" i="11"/>
  <c r="L248" i="11"/>
  <c r="M248" i="11"/>
  <c r="N248" i="11"/>
  <c r="P248" i="11"/>
  <c r="Q248" i="11"/>
  <c r="R248" i="11"/>
  <c r="S248" i="11"/>
  <c r="L249" i="11"/>
  <c r="M249" i="11"/>
  <c r="N249" i="11"/>
  <c r="Q249" i="11"/>
  <c r="R249" i="11"/>
  <c r="S249" i="11"/>
  <c r="L250" i="11"/>
  <c r="M250" i="11"/>
  <c r="N250" i="11"/>
  <c r="P250" i="11"/>
  <c r="Q250" i="11"/>
  <c r="R250" i="11"/>
  <c r="S250" i="11"/>
  <c r="P251" i="11"/>
  <c r="L251" i="11"/>
  <c r="M251" i="11"/>
  <c r="N251" i="11"/>
  <c r="Q251" i="11"/>
  <c r="R251" i="11"/>
  <c r="S251" i="11"/>
  <c r="L252" i="11"/>
  <c r="M252" i="11"/>
  <c r="N252" i="11"/>
  <c r="Q252" i="11"/>
  <c r="R252" i="11"/>
  <c r="S252" i="11"/>
  <c r="L253" i="11"/>
  <c r="M253" i="11"/>
  <c r="N253" i="11"/>
  <c r="Q253" i="11"/>
  <c r="R253" i="11"/>
  <c r="S253" i="11"/>
  <c r="L254" i="11"/>
  <c r="M254" i="11"/>
  <c r="N254" i="11"/>
  <c r="Q254" i="11"/>
  <c r="R254" i="11"/>
  <c r="S254" i="11"/>
  <c r="L255" i="11"/>
  <c r="M255" i="11"/>
  <c r="N255" i="11"/>
  <c r="Q255" i="11"/>
  <c r="R255" i="11"/>
  <c r="S255" i="11"/>
  <c r="P256" i="11"/>
  <c r="L256" i="11"/>
  <c r="M256" i="11"/>
  <c r="N256" i="11"/>
  <c r="Q256" i="11"/>
  <c r="R256" i="11"/>
  <c r="S256" i="11"/>
  <c r="L257" i="11"/>
  <c r="M257" i="11"/>
  <c r="N257" i="11"/>
  <c r="Q257" i="11"/>
  <c r="R257" i="11"/>
  <c r="S257" i="11"/>
  <c r="P258" i="11"/>
  <c r="L258" i="11"/>
  <c r="M258" i="11"/>
  <c r="N258" i="11"/>
  <c r="Q258" i="11"/>
  <c r="R258" i="11"/>
  <c r="S258" i="11"/>
  <c r="P259" i="11"/>
  <c r="L259" i="11"/>
  <c r="M259" i="11"/>
  <c r="N259" i="11"/>
  <c r="Q259" i="11"/>
  <c r="R259" i="11"/>
  <c r="S259" i="11"/>
  <c r="L260" i="11"/>
  <c r="M260" i="11"/>
  <c r="N260" i="11"/>
  <c r="Q260" i="11"/>
  <c r="R260" i="11"/>
  <c r="S260" i="11"/>
  <c r="L261" i="11"/>
  <c r="M261" i="11"/>
  <c r="N261" i="11"/>
  <c r="Q261" i="11"/>
  <c r="R261" i="11"/>
  <c r="S261" i="11"/>
  <c r="L262" i="11"/>
  <c r="M262" i="11"/>
  <c r="N262" i="11"/>
  <c r="Q262" i="11"/>
  <c r="R262" i="11"/>
  <c r="S262" i="11"/>
  <c r="P263" i="11"/>
  <c r="L263" i="11"/>
  <c r="M263" i="11"/>
  <c r="N263" i="11"/>
  <c r="Q263" i="11"/>
  <c r="R263" i="11"/>
  <c r="S263" i="11"/>
  <c r="P264" i="11"/>
  <c r="L264" i="11"/>
  <c r="M264" i="11"/>
  <c r="N264" i="11"/>
  <c r="Q264" i="11"/>
  <c r="R264" i="11"/>
  <c r="S264" i="11"/>
  <c r="L265" i="11"/>
  <c r="M265" i="11"/>
  <c r="N265" i="11"/>
  <c r="Q265" i="11"/>
  <c r="R265" i="11"/>
  <c r="S265" i="11"/>
  <c r="P266" i="11"/>
  <c r="L266" i="11"/>
  <c r="M266" i="11"/>
  <c r="N266" i="11"/>
  <c r="Q266" i="11"/>
  <c r="R266" i="11"/>
  <c r="S266" i="11"/>
  <c r="P267" i="11"/>
  <c r="L267" i="11"/>
  <c r="M267" i="11"/>
  <c r="N267" i="11"/>
  <c r="Q267" i="11"/>
  <c r="R267" i="11"/>
  <c r="S267" i="11"/>
  <c r="L268" i="11"/>
  <c r="M268" i="11"/>
  <c r="N268" i="11"/>
  <c r="Q268" i="11"/>
  <c r="R268" i="11"/>
  <c r="S268" i="11"/>
  <c r="P269" i="11"/>
  <c r="L269" i="11"/>
  <c r="M269" i="11"/>
  <c r="N269" i="11"/>
  <c r="Q269" i="11"/>
  <c r="R269" i="11"/>
  <c r="S269" i="11"/>
  <c r="P270" i="11"/>
  <c r="L270" i="11"/>
  <c r="M270" i="11"/>
  <c r="N270" i="11"/>
  <c r="Q270" i="11"/>
  <c r="R270" i="11"/>
  <c r="S270" i="11"/>
  <c r="P271" i="11"/>
  <c r="L271" i="11"/>
  <c r="M271" i="11"/>
  <c r="N271" i="11"/>
  <c r="Q271" i="11"/>
  <c r="R271" i="11"/>
  <c r="S271" i="11"/>
  <c r="P272" i="11"/>
  <c r="L272" i="11"/>
  <c r="M272" i="11"/>
  <c r="N272" i="11"/>
  <c r="Q272" i="11"/>
  <c r="R272" i="11"/>
  <c r="S272" i="11"/>
  <c r="L273" i="11"/>
  <c r="M273" i="11"/>
  <c r="N273" i="11"/>
  <c r="Q273" i="11"/>
  <c r="R273" i="11"/>
  <c r="S273" i="11"/>
  <c r="L274" i="11"/>
  <c r="M274" i="11"/>
  <c r="N274" i="11"/>
  <c r="Q274" i="11"/>
  <c r="R274" i="11"/>
  <c r="S274" i="11"/>
  <c r="P275" i="11"/>
  <c r="L275" i="11"/>
  <c r="M275" i="11"/>
  <c r="N275" i="11"/>
  <c r="Q275" i="11"/>
  <c r="R275" i="11"/>
  <c r="S275" i="11"/>
  <c r="L276" i="11"/>
  <c r="M276" i="11"/>
  <c r="N276" i="11"/>
  <c r="Q276" i="11"/>
  <c r="R276" i="11"/>
  <c r="S276" i="11"/>
  <c r="L277" i="11"/>
  <c r="M277" i="11"/>
  <c r="N277" i="11"/>
  <c r="Q277" i="11"/>
  <c r="R277" i="11"/>
  <c r="S277" i="11"/>
  <c r="L278" i="11"/>
  <c r="M278" i="11"/>
  <c r="N278" i="11"/>
  <c r="Q278" i="11"/>
  <c r="R278" i="11"/>
  <c r="S278" i="11"/>
  <c r="P279" i="11"/>
  <c r="L279" i="11"/>
  <c r="M279" i="11"/>
  <c r="N279" i="11"/>
  <c r="Q279" i="11"/>
  <c r="R279" i="11"/>
  <c r="S279" i="11"/>
  <c r="P280" i="11"/>
  <c r="L280" i="11"/>
  <c r="M280" i="11"/>
  <c r="N280" i="11"/>
  <c r="Q280" i="11"/>
  <c r="R280" i="11"/>
  <c r="S280" i="11"/>
  <c r="L281" i="11"/>
  <c r="M281" i="11"/>
  <c r="N281" i="11"/>
  <c r="Q281" i="11"/>
  <c r="R281" i="11"/>
  <c r="S281" i="11"/>
  <c r="L282" i="11"/>
  <c r="M282" i="11"/>
  <c r="N282" i="11"/>
  <c r="Q282" i="11"/>
  <c r="R282" i="11"/>
  <c r="S282" i="11"/>
  <c r="P283" i="11"/>
  <c r="L283" i="11"/>
  <c r="M283" i="11"/>
  <c r="N283" i="11"/>
  <c r="Q283" i="11"/>
  <c r="R283" i="11"/>
  <c r="S283" i="11"/>
  <c r="L284" i="11"/>
  <c r="M284" i="11"/>
  <c r="N284" i="11"/>
  <c r="Q284" i="11"/>
  <c r="R284" i="11"/>
  <c r="S284" i="11"/>
  <c r="L285" i="11"/>
  <c r="M285" i="11"/>
  <c r="N285" i="11"/>
  <c r="Q285" i="11"/>
  <c r="R285" i="11"/>
  <c r="S285" i="11"/>
  <c r="L286" i="11"/>
  <c r="M286" i="11"/>
  <c r="N286" i="11"/>
  <c r="P286" i="11"/>
  <c r="Q286" i="11"/>
  <c r="R286" i="11"/>
  <c r="S286" i="11"/>
  <c r="L287" i="11"/>
  <c r="M287" i="11"/>
  <c r="N287" i="11"/>
  <c r="Q287" i="11"/>
  <c r="R287" i="11"/>
  <c r="S287" i="11"/>
  <c r="L288" i="11"/>
  <c r="M288" i="11"/>
  <c r="N288" i="11"/>
  <c r="Q288" i="11"/>
  <c r="R288" i="11"/>
  <c r="S288" i="11"/>
  <c r="P289" i="11"/>
  <c r="L289" i="11"/>
  <c r="M289" i="11"/>
  <c r="N289" i="11"/>
  <c r="Q289" i="11"/>
  <c r="R289" i="11"/>
  <c r="S289" i="11"/>
  <c r="L290" i="11"/>
  <c r="M290" i="11"/>
  <c r="N290" i="11"/>
  <c r="P290" i="11"/>
  <c r="Q290" i="11"/>
  <c r="R290" i="11"/>
  <c r="S290" i="11"/>
  <c r="L291" i="11"/>
  <c r="M291" i="11"/>
  <c r="N291" i="11"/>
  <c r="Q291" i="11"/>
  <c r="R291" i="11"/>
  <c r="S291" i="11"/>
  <c r="L292" i="11"/>
  <c r="M292" i="11"/>
  <c r="N292" i="11"/>
  <c r="Q292" i="11"/>
  <c r="R292" i="11"/>
  <c r="S292" i="11"/>
  <c r="L293" i="11"/>
  <c r="M293" i="11"/>
  <c r="N293" i="11"/>
  <c r="Q293" i="11"/>
  <c r="R293" i="11"/>
  <c r="S293" i="11"/>
  <c r="L294" i="11"/>
  <c r="M294" i="11"/>
  <c r="N294" i="11"/>
  <c r="Q294" i="11"/>
  <c r="R294" i="11"/>
  <c r="S294" i="11"/>
  <c r="P295" i="11"/>
  <c r="L295" i="11"/>
  <c r="M295" i="11"/>
  <c r="N295" i="11"/>
  <c r="Q295" i="11"/>
  <c r="R295" i="11"/>
  <c r="S295" i="11"/>
  <c r="P296" i="11"/>
  <c r="L296" i="11"/>
  <c r="M296" i="11"/>
  <c r="N296" i="11"/>
  <c r="Q296" i="11"/>
  <c r="R296" i="11"/>
  <c r="S296" i="11"/>
  <c r="L297" i="11"/>
  <c r="M297" i="11"/>
  <c r="N297" i="11"/>
  <c r="Q297" i="11"/>
  <c r="R297" i="11"/>
  <c r="S297" i="11"/>
  <c r="P298" i="11"/>
  <c r="L298" i="11"/>
  <c r="M298" i="11"/>
  <c r="N298" i="11"/>
  <c r="Q298" i="11"/>
  <c r="R298" i="11"/>
  <c r="S298" i="11"/>
  <c r="L299" i="11"/>
  <c r="M299" i="11"/>
  <c r="N299" i="11"/>
  <c r="Q299" i="11"/>
  <c r="R299" i="11"/>
  <c r="S299" i="11"/>
  <c r="P300" i="11"/>
  <c r="L300" i="11"/>
  <c r="M300" i="11"/>
  <c r="N300" i="11"/>
  <c r="Q300" i="11"/>
  <c r="R300" i="11"/>
  <c r="S300" i="11"/>
  <c r="P301" i="11"/>
  <c r="L301" i="11"/>
  <c r="M301" i="11"/>
  <c r="N301" i="11"/>
  <c r="Q301" i="11"/>
  <c r="R301" i="11"/>
  <c r="S301" i="11"/>
  <c r="L302" i="11"/>
  <c r="M302" i="11"/>
  <c r="N302" i="11"/>
  <c r="Q302" i="11"/>
  <c r="R302" i="11"/>
  <c r="S302" i="11"/>
  <c r="P303" i="11"/>
  <c r="L303" i="11"/>
  <c r="M303" i="11"/>
  <c r="N303" i="11"/>
  <c r="Q303" i="11"/>
  <c r="R303" i="11"/>
  <c r="S303" i="11"/>
  <c r="L304" i="11"/>
  <c r="M304" i="11"/>
  <c r="N304" i="11"/>
  <c r="P304" i="11"/>
  <c r="Q304" i="11"/>
  <c r="R304" i="11"/>
  <c r="S304" i="11"/>
  <c r="L305" i="11"/>
  <c r="M305" i="11"/>
  <c r="N305" i="11"/>
  <c r="Q305" i="11"/>
  <c r="R305" i="11"/>
  <c r="S305" i="11"/>
  <c r="L306" i="11"/>
  <c r="M306" i="11"/>
  <c r="N306" i="11"/>
  <c r="Q306" i="11"/>
  <c r="R306" i="11"/>
  <c r="S306" i="11"/>
  <c r="L307" i="11"/>
  <c r="M307" i="11"/>
  <c r="N307" i="11"/>
  <c r="Q307" i="11"/>
  <c r="R307" i="11"/>
  <c r="S307" i="11"/>
  <c r="L308" i="11"/>
  <c r="M308" i="11"/>
  <c r="N308" i="11"/>
  <c r="P308" i="11"/>
  <c r="Q308" i="11"/>
  <c r="R308" i="11"/>
  <c r="S308" i="11"/>
  <c r="L309" i="11"/>
  <c r="M309" i="11"/>
  <c r="N309" i="11"/>
  <c r="Q309" i="11"/>
  <c r="R309" i="11"/>
  <c r="S309" i="11"/>
  <c r="L310" i="11"/>
  <c r="M310" i="11"/>
  <c r="N310" i="11"/>
  <c r="Q310" i="11"/>
  <c r="R310" i="11"/>
  <c r="S310" i="11"/>
  <c r="L311" i="11"/>
  <c r="M311" i="11"/>
  <c r="N311" i="11"/>
  <c r="Q311" i="11"/>
  <c r="R311" i="11"/>
  <c r="S311" i="11"/>
  <c r="L312" i="11"/>
  <c r="M312" i="11"/>
  <c r="N312" i="11"/>
  <c r="Q312" i="11"/>
  <c r="R312" i="11"/>
  <c r="S312" i="11"/>
  <c r="L313" i="11"/>
  <c r="M313" i="11"/>
  <c r="N313" i="11"/>
  <c r="Q313" i="11"/>
  <c r="R313" i="11"/>
  <c r="S313" i="11"/>
  <c r="P314" i="11"/>
  <c r="L314" i="11"/>
  <c r="M314" i="11"/>
  <c r="N314" i="11"/>
  <c r="Q314" i="11"/>
  <c r="R314" i="11"/>
  <c r="S314" i="11"/>
  <c r="L315" i="11"/>
  <c r="M315" i="11"/>
  <c r="N315" i="11"/>
  <c r="Q315" i="11"/>
  <c r="R315" i="11"/>
  <c r="S315" i="11"/>
  <c r="P316" i="11"/>
  <c r="L316" i="11"/>
  <c r="M316" i="11"/>
  <c r="N316" i="11"/>
  <c r="Q316" i="11"/>
  <c r="R316" i="11"/>
  <c r="S316" i="11"/>
  <c r="L317" i="11"/>
  <c r="M317" i="11"/>
  <c r="N317" i="11"/>
  <c r="Q317" i="11"/>
  <c r="R317" i="11"/>
  <c r="S317" i="11"/>
  <c r="P318" i="11"/>
  <c r="L318" i="11"/>
  <c r="M318" i="11"/>
  <c r="N318" i="11"/>
  <c r="Q318" i="11"/>
  <c r="R318" i="11"/>
  <c r="S318" i="11"/>
  <c r="L319" i="11"/>
  <c r="M319" i="11"/>
  <c r="N319" i="11"/>
  <c r="Q319" i="11"/>
  <c r="R319" i="11"/>
  <c r="S319" i="11"/>
  <c r="L320" i="11"/>
  <c r="M320" i="11"/>
  <c r="N320" i="11"/>
  <c r="Q320" i="11"/>
  <c r="R320" i="11"/>
  <c r="S320" i="11"/>
  <c r="P321" i="11"/>
  <c r="L321" i="11"/>
  <c r="M321" i="11"/>
  <c r="N321" i="11"/>
  <c r="Q321" i="11"/>
  <c r="R321" i="11"/>
  <c r="S321" i="11"/>
  <c r="L322" i="11"/>
  <c r="M322" i="11"/>
  <c r="N322" i="11"/>
  <c r="Q322" i="11"/>
  <c r="R322" i="11"/>
  <c r="S322" i="11"/>
  <c r="L323" i="11"/>
  <c r="M323" i="11"/>
  <c r="N323" i="11"/>
  <c r="Q323" i="11"/>
  <c r="R323" i="11"/>
  <c r="S323" i="11"/>
  <c r="L324" i="11"/>
  <c r="M324" i="11"/>
  <c r="N324" i="11"/>
  <c r="P324" i="11"/>
  <c r="Q324" i="11"/>
  <c r="R324" i="11"/>
  <c r="S324" i="11"/>
  <c r="L325" i="11"/>
  <c r="M325" i="11"/>
  <c r="N325" i="11"/>
  <c r="Q325" i="11"/>
  <c r="R325" i="11"/>
  <c r="S325" i="11"/>
  <c r="L326" i="11"/>
  <c r="M326" i="11"/>
  <c r="N326" i="11"/>
  <c r="Q326" i="11"/>
  <c r="R326" i="11"/>
  <c r="S326" i="11"/>
  <c r="L327" i="11"/>
  <c r="M327" i="11"/>
  <c r="N327" i="11"/>
  <c r="Q327" i="11"/>
  <c r="R327" i="11"/>
  <c r="S327" i="11"/>
  <c r="P328" i="11"/>
  <c r="L328" i="11"/>
  <c r="M328" i="11"/>
  <c r="N328" i="11"/>
  <c r="Q328" i="11"/>
  <c r="R328" i="11"/>
  <c r="S328" i="11"/>
  <c r="L329" i="11"/>
  <c r="M329" i="11"/>
  <c r="N329" i="11"/>
  <c r="Q329" i="11"/>
  <c r="R329" i="11"/>
  <c r="S329" i="11"/>
  <c r="P330" i="11"/>
  <c r="L330" i="11"/>
  <c r="M330" i="11"/>
  <c r="N330" i="11"/>
  <c r="Q330" i="11"/>
  <c r="R330" i="11"/>
  <c r="S330" i="11"/>
  <c r="P331" i="11"/>
  <c r="L331" i="11"/>
  <c r="M331" i="11"/>
  <c r="N331" i="11"/>
  <c r="Q331" i="11"/>
  <c r="R331" i="11"/>
  <c r="S331" i="11"/>
  <c r="L332" i="11"/>
  <c r="M332" i="11"/>
  <c r="N332" i="11"/>
  <c r="Q332" i="11"/>
  <c r="R332" i="11"/>
  <c r="S332" i="11"/>
  <c r="L333" i="11"/>
  <c r="M333" i="11"/>
  <c r="N333" i="11"/>
  <c r="Q333" i="11"/>
  <c r="R333" i="11"/>
  <c r="S333" i="11"/>
  <c r="L334" i="11"/>
  <c r="M334" i="11"/>
  <c r="N334" i="11"/>
  <c r="P334" i="11"/>
  <c r="Q334" i="11"/>
  <c r="R334" i="11"/>
  <c r="S334" i="11"/>
  <c r="L335" i="11"/>
  <c r="M335" i="11"/>
  <c r="N335" i="11"/>
  <c r="Q335" i="11"/>
  <c r="R335" i="11"/>
  <c r="S335" i="11"/>
  <c r="L336" i="11"/>
  <c r="M336" i="11"/>
  <c r="N336" i="11"/>
  <c r="P336" i="11"/>
  <c r="Q336" i="11"/>
  <c r="R336" i="11"/>
  <c r="S336" i="11"/>
  <c r="L337" i="11"/>
  <c r="M337" i="11"/>
  <c r="N337" i="11"/>
  <c r="Q337" i="11"/>
  <c r="R337" i="11"/>
  <c r="S337" i="11"/>
  <c r="L338" i="11"/>
  <c r="M338" i="11"/>
  <c r="N338" i="11"/>
  <c r="P338" i="11"/>
  <c r="Q338" i="11"/>
  <c r="R338" i="11"/>
  <c r="S338" i="11"/>
  <c r="P339" i="11"/>
  <c r="L339" i="11"/>
  <c r="M339" i="11"/>
  <c r="N339" i="11"/>
  <c r="Q339" i="11"/>
  <c r="R339" i="11"/>
  <c r="S339" i="11"/>
  <c r="L340" i="11"/>
  <c r="M340" i="11"/>
  <c r="N340" i="11"/>
  <c r="Q340" i="11"/>
  <c r="R340" i="11"/>
  <c r="S340" i="11"/>
  <c r="L341" i="11"/>
  <c r="M341" i="11"/>
  <c r="N341" i="11"/>
  <c r="Q341" i="11"/>
  <c r="R341" i="11"/>
  <c r="S341" i="11"/>
  <c r="P342" i="11"/>
  <c r="L342" i="11"/>
  <c r="M342" i="11"/>
  <c r="N342" i="11"/>
  <c r="Q342" i="11"/>
  <c r="R342" i="11"/>
  <c r="S342" i="11"/>
  <c r="L343" i="11"/>
  <c r="M343" i="11"/>
  <c r="N343" i="11"/>
  <c r="Q343" i="11"/>
  <c r="R343" i="11"/>
  <c r="S343" i="11"/>
  <c r="P344" i="11"/>
  <c r="L344" i="11"/>
  <c r="M344" i="11"/>
  <c r="N344" i="11"/>
  <c r="Q344" i="11"/>
  <c r="R344" i="11"/>
  <c r="S344" i="11"/>
  <c r="L345" i="11"/>
  <c r="M345" i="11"/>
  <c r="N345" i="11"/>
  <c r="Q345" i="11"/>
  <c r="R345" i="11"/>
  <c r="S345" i="11"/>
  <c r="L346" i="11"/>
  <c r="M346" i="11"/>
  <c r="N346" i="11"/>
  <c r="Q346" i="11"/>
  <c r="R346" i="11"/>
  <c r="S346" i="11"/>
  <c r="L347" i="11"/>
  <c r="M347" i="11"/>
  <c r="N347" i="11"/>
  <c r="Q347" i="11"/>
  <c r="R347" i="11"/>
  <c r="S347" i="11"/>
  <c r="L348" i="11"/>
  <c r="M348" i="11"/>
  <c r="N348" i="11"/>
  <c r="Q348" i="11"/>
  <c r="R348" i="11"/>
  <c r="S348" i="11"/>
  <c r="P349" i="11"/>
  <c r="L349" i="11"/>
  <c r="M349" i="11"/>
  <c r="N349" i="11"/>
  <c r="Q349" i="11"/>
  <c r="R349" i="11"/>
  <c r="S349" i="11"/>
  <c r="P350" i="11"/>
  <c r="L350" i="11"/>
  <c r="M350" i="11"/>
  <c r="N350" i="11"/>
  <c r="Q350" i="11"/>
  <c r="R350" i="11"/>
  <c r="S350" i="11"/>
  <c r="L351" i="11"/>
  <c r="M351" i="11"/>
  <c r="N351" i="11"/>
  <c r="Q351" i="11"/>
  <c r="R351" i="11"/>
  <c r="S351" i="11"/>
  <c r="L352" i="11"/>
  <c r="M352" i="11"/>
  <c r="N352" i="11"/>
  <c r="Q352" i="11"/>
  <c r="R352" i="11"/>
  <c r="S352" i="11"/>
  <c r="L353" i="11"/>
  <c r="M353" i="11"/>
  <c r="N353" i="11"/>
  <c r="Q353" i="11"/>
  <c r="R353" i="11"/>
  <c r="S353" i="11"/>
  <c r="L354" i="11"/>
  <c r="M354" i="11"/>
  <c r="N354" i="11"/>
  <c r="Q354" i="11"/>
  <c r="R354" i="11"/>
  <c r="S354" i="11"/>
  <c r="P355" i="11"/>
  <c r="L355" i="11"/>
  <c r="M355" i="11"/>
  <c r="N355" i="11"/>
  <c r="Q355" i="11"/>
  <c r="R355" i="11"/>
  <c r="S355" i="11"/>
  <c r="L356" i="11"/>
  <c r="M356" i="11"/>
  <c r="N356" i="11"/>
  <c r="Q356" i="11"/>
  <c r="R356" i="11"/>
  <c r="S356" i="11"/>
  <c r="L357" i="11"/>
  <c r="M357" i="11"/>
  <c r="N357" i="11"/>
  <c r="Q357" i="11"/>
  <c r="R357" i="11"/>
  <c r="S357" i="11"/>
  <c r="L358" i="11"/>
  <c r="M358" i="11"/>
  <c r="N358" i="11"/>
  <c r="P358" i="11"/>
  <c r="Q358" i="11"/>
  <c r="R358" i="11"/>
  <c r="S358" i="11"/>
  <c r="L359" i="11"/>
  <c r="M359" i="11"/>
  <c r="N359" i="11"/>
  <c r="Q359" i="11"/>
  <c r="R359" i="11"/>
  <c r="S359" i="11"/>
  <c r="L360" i="11"/>
  <c r="M360" i="11"/>
  <c r="N360" i="11"/>
  <c r="Q360" i="11"/>
  <c r="R360" i="11"/>
  <c r="S360" i="11"/>
  <c r="L361" i="11"/>
  <c r="M361" i="11"/>
  <c r="N361" i="11"/>
  <c r="Q361" i="11"/>
  <c r="R361" i="11"/>
  <c r="S361" i="11"/>
  <c r="L362" i="11"/>
  <c r="M362" i="11"/>
  <c r="N362" i="11"/>
  <c r="Q362" i="11"/>
  <c r="R362" i="11"/>
  <c r="S362" i="11"/>
  <c r="P363" i="11"/>
  <c r="L363" i="11"/>
  <c r="M363" i="11"/>
  <c r="N363" i="11"/>
  <c r="Q363" i="11"/>
  <c r="R363" i="11"/>
  <c r="S363" i="11"/>
  <c r="L364" i="11"/>
  <c r="M364" i="11"/>
  <c r="N364" i="11"/>
  <c r="Q364" i="11"/>
  <c r="R364" i="11"/>
  <c r="S364" i="11"/>
  <c r="P365" i="11"/>
  <c r="L365" i="11"/>
  <c r="M365" i="11"/>
  <c r="N365" i="11"/>
  <c r="Q365" i="11"/>
  <c r="R365" i="11"/>
  <c r="S365" i="11"/>
  <c r="L366" i="11"/>
  <c r="M366" i="11"/>
  <c r="N366" i="11"/>
  <c r="Q366" i="11"/>
  <c r="R366" i="11"/>
  <c r="S366" i="11"/>
  <c r="P367" i="11"/>
  <c r="L367" i="11"/>
  <c r="M367" i="11"/>
  <c r="N367" i="11"/>
  <c r="Q367" i="11"/>
  <c r="R367" i="11"/>
  <c r="S367" i="11"/>
  <c r="L368" i="11"/>
  <c r="M368" i="11"/>
  <c r="N368" i="11"/>
  <c r="P368" i="11"/>
  <c r="Q368" i="11"/>
  <c r="R368" i="11"/>
  <c r="S368" i="11"/>
  <c r="L369" i="11"/>
  <c r="M369" i="11"/>
  <c r="N369" i="11"/>
  <c r="Q369" i="11"/>
  <c r="R369" i="11"/>
  <c r="S369" i="11"/>
  <c r="L370" i="11"/>
  <c r="M370" i="11"/>
  <c r="N370" i="11"/>
  <c r="P370" i="11"/>
  <c r="Q370" i="11"/>
  <c r="R370" i="11"/>
  <c r="S370" i="11"/>
  <c r="L371" i="11"/>
  <c r="M371" i="11"/>
  <c r="N371" i="11"/>
  <c r="P371" i="11"/>
  <c r="Q371" i="11"/>
  <c r="R371" i="11"/>
  <c r="S371" i="11"/>
  <c r="L372" i="11"/>
  <c r="M372" i="11"/>
  <c r="N372" i="11"/>
  <c r="Q372" i="11"/>
  <c r="R372" i="11"/>
  <c r="S372" i="11"/>
  <c r="L373" i="11"/>
  <c r="M373" i="11"/>
  <c r="N373" i="11"/>
  <c r="Q373" i="11"/>
  <c r="R373" i="11"/>
  <c r="S373" i="11"/>
  <c r="L374" i="11"/>
  <c r="M374" i="11"/>
  <c r="N374" i="11"/>
  <c r="P374" i="11"/>
  <c r="Q374" i="11"/>
  <c r="R374" i="11"/>
  <c r="S374" i="11"/>
  <c r="L375" i="11"/>
  <c r="M375" i="11"/>
  <c r="N375" i="11"/>
  <c r="Q375" i="11"/>
  <c r="R375" i="11"/>
  <c r="S375" i="11"/>
  <c r="L376" i="11"/>
  <c r="M376" i="11"/>
  <c r="N376" i="11"/>
  <c r="Q376" i="11"/>
  <c r="R376" i="11"/>
  <c r="S376" i="11"/>
  <c r="L377" i="11"/>
  <c r="M377" i="11"/>
  <c r="N377" i="11"/>
  <c r="Q377" i="11"/>
  <c r="R377" i="11"/>
  <c r="S377" i="11"/>
  <c r="L378" i="11"/>
  <c r="M378" i="11"/>
  <c r="N378" i="11"/>
  <c r="P378" i="11"/>
  <c r="Q378" i="11"/>
  <c r="R378" i="11"/>
  <c r="S378" i="11"/>
  <c r="L379" i="11"/>
  <c r="M379" i="11"/>
  <c r="N379" i="11"/>
  <c r="Q379" i="11"/>
  <c r="R379" i="11"/>
  <c r="S379" i="11"/>
  <c r="L380" i="11"/>
  <c r="M380" i="11"/>
  <c r="N380" i="11"/>
  <c r="Q380" i="11"/>
  <c r="R380" i="11"/>
  <c r="S380" i="11"/>
  <c r="L381" i="11"/>
  <c r="M381" i="11"/>
  <c r="N381" i="11"/>
  <c r="P381" i="11"/>
  <c r="Q381" i="11"/>
  <c r="R381" i="11"/>
  <c r="S381" i="11"/>
  <c r="L382" i="11"/>
  <c r="M382" i="11"/>
  <c r="N382" i="11"/>
  <c r="Q382" i="11"/>
  <c r="R382" i="11"/>
  <c r="S382" i="11"/>
  <c r="L383" i="11"/>
  <c r="M383" i="11"/>
  <c r="N383" i="11"/>
  <c r="Q383" i="11"/>
  <c r="R383" i="11"/>
  <c r="S383" i="11"/>
  <c r="L384" i="11"/>
  <c r="M384" i="11"/>
  <c r="N384" i="11"/>
  <c r="P384" i="11"/>
  <c r="Q384" i="11"/>
  <c r="R384" i="11"/>
  <c r="S384" i="11"/>
  <c r="L385" i="11"/>
  <c r="M385" i="11"/>
  <c r="N385" i="11"/>
  <c r="Q385" i="11"/>
  <c r="R385" i="11"/>
  <c r="S385" i="11"/>
  <c r="L386" i="11"/>
  <c r="M386" i="11"/>
  <c r="N386" i="11"/>
  <c r="Q386" i="11"/>
  <c r="R386" i="11"/>
  <c r="S386" i="11"/>
  <c r="L387" i="11"/>
  <c r="M387" i="11"/>
  <c r="N387" i="11"/>
  <c r="Q387" i="11"/>
  <c r="R387" i="11"/>
  <c r="S387" i="11"/>
  <c r="L388" i="11"/>
  <c r="M388" i="11"/>
  <c r="N388" i="11"/>
  <c r="Q388" i="11"/>
  <c r="R388" i="11"/>
  <c r="S388" i="11"/>
  <c r="L389" i="11"/>
  <c r="M389" i="11"/>
  <c r="N389" i="11"/>
  <c r="P389" i="11"/>
  <c r="Q389" i="11"/>
  <c r="R389" i="11"/>
  <c r="S389" i="11"/>
  <c r="L390" i="11"/>
  <c r="M390" i="11"/>
  <c r="N390" i="11"/>
  <c r="Q390" i="11"/>
  <c r="R390" i="11"/>
  <c r="S390" i="11"/>
  <c r="L391" i="11"/>
  <c r="M391" i="11"/>
  <c r="N391" i="11"/>
  <c r="Q391" i="11"/>
  <c r="R391" i="11"/>
  <c r="S391" i="11"/>
  <c r="L392" i="11"/>
  <c r="M392" i="11"/>
  <c r="N392" i="11"/>
  <c r="Q392" i="11"/>
  <c r="R392" i="11"/>
  <c r="S392" i="11"/>
  <c r="L393" i="11"/>
  <c r="M393" i="11"/>
  <c r="N393" i="11"/>
  <c r="Q393" i="11"/>
  <c r="R393" i="11"/>
  <c r="S393" i="11"/>
  <c r="L394" i="11"/>
  <c r="M394" i="11"/>
  <c r="N394" i="11"/>
  <c r="P394" i="11"/>
  <c r="Q394" i="11"/>
  <c r="R394" i="11"/>
  <c r="S394" i="11"/>
  <c r="L395" i="11"/>
  <c r="M395" i="11"/>
  <c r="N395" i="11"/>
  <c r="Q395" i="11"/>
  <c r="R395" i="11"/>
  <c r="S395" i="11"/>
  <c r="L396" i="11"/>
  <c r="M396" i="11"/>
  <c r="N396" i="11"/>
  <c r="Q396" i="11"/>
  <c r="R396" i="11"/>
  <c r="S396" i="11"/>
  <c r="L397" i="11"/>
  <c r="M397" i="11"/>
  <c r="N397" i="11"/>
  <c r="Q397" i="11"/>
  <c r="R397" i="11"/>
  <c r="S397" i="11"/>
  <c r="L398" i="11"/>
  <c r="M398" i="11"/>
  <c r="N398" i="11"/>
  <c r="P398" i="11"/>
  <c r="Q398" i="11"/>
  <c r="R398" i="11"/>
  <c r="S398" i="11"/>
  <c r="L399" i="11"/>
  <c r="M399" i="11"/>
  <c r="N399" i="11"/>
  <c r="P399" i="11"/>
  <c r="Q399" i="11"/>
  <c r="R399" i="11"/>
  <c r="S399" i="11"/>
  <c r="L400" i="11"/>
  <c r="M400" i="11"/>
  <c r="N400" i="11"/>
  <c r="P400" i="11"/>
  <c r="Q400" i="11"/>
  <c r="R400" i="11"/>
  <c r="S400" i="11"/>
  <c r="L401" i="11"/>
  <c r="M401" i="11"/>
  <c r="N401" i="11"/>
  <c r="Q401" i="11"/>
  <c r="R401" i="11"/>
  <c r="S401" i="11"/>
  <c r="L402" i="11"/>
  <c r="M402" i="11"/>
  <c r="N402" i="11"/>
  <c r="Q402" i="11"/>
  <c r="R402" i="11"/>
  <c r="S402" i="11"/>
  <c r="L403" i="11"/>
  <c r="M403" i="11"/>
  <c r="N403" i="11"/>
  <c r="Q403" i="11"/>
  <c r="R403" i="11"/>
  <c r="S403" i="11"/>
  <c r="L404" i="11"/>
  <c r="M404" i="11"/>
  <c r="N404" i="11"/>
  <c r="P404" i="11"/>
  <c r="Q404" i="11"/>
  <c r="R404" i="11"/>
  <c r="S404" i="11"/>
  <c r="L405" i="11"/>
  <c r="M405" i="11"/>
  <c r="N405" i="11"/>
  <c r="P405" i="11"/>
  <c r="Q405" i="11"/>
  <c r="R405" i="11"/>
  <c r="S405" i="11"/>
  <c r="L406" i="11"/>
  <c r="M406" i="11"/>
  <c r="N406" i="11"/>
  <c r="Q406" i="11"/>
  <c r="R406" i="11"/>
  <c r="S406" i="11"/>
  <c r="L407" i="11"/>
  <c r="M407" i="11"/>
  <c r="N407" i="11"/>
  <c r="P407" i="11"/>
  <c r="Q407" i="11"/>
  <c r="R407" i="11"/>
  <c r="S407" i="11"/>
  <c r="L408" i="11"/>
  <c r="M408" i="11"/>
  <c r="N408" i="11"/>
  <c r="P408" i="11"/>
  <c r="Q408" i="11"/>
  <c r="R408" i="11"/>
  <c r="S408" i="11"/>
  <c r="L409" i="11"/>
  <c r="M409" i="11"/>
  <c r="N409" i="11"/>
  <c r="Q409" i="11"/>
  <c r="R409" i="11"/>
  <c r="S409" i="11"/>
  <c r="L410" i="11"/>
  <c r="M410" i="11"/>
  <c r="N410" i="11"/>
  <c r="Q410" i="11"/>
  <c r="R410" i="11"/>
  <c r="S410" i="11"/>
  <c r="L411" i="11"/>
  <c r="M411" i="11"/>
  <c r="N411" i="11"/>
  <c r="P411" i="11"/>
  <c r="Q411" i="11"/>
  <c r="R411" i="11"/>
  <c r="S411" i="11"/>
  <c r="L412" i="11"/>
  <c r="M412" i="11"/>
  <c r="N412" i="11"/>
  <c r="Q412" i="11"/>
  <c r="R412" i="11"/>
  <c r="S412" i="11"/>
  <c r="L413" i="11"/>
  <c r="M413" i="11"/>
  <c r="N413" i="11"/>
  <c r="Q413" i="11"/>
  <c r="R413" i="11"/>
  <c r="S413" i="11"/>
  <c r="L414" i="11"/>
  <c r="M414" i="11"/>
  <c r="N414" i="11"/>
  <c r="Q414" i="11"/>
  <c r="R414" i="11"/>
  <c r="S414" i="11"/>
  <c r="L415" i="11"/>
  <c r="M415" i="11"/>
  <c r="N415" i="11"/>
  <c r="P415" i="11"/>
  <c r="Q415" i="11"/>
  <c r="R415" i="11"/>
  <c r="S415" i="11"/>
  <c r="L416" i="11"/>
  <c r="M416" i="11"/>
  <c r="N416" i="11"/>
  <c r="Q416" i="11"/>
  <c r="R416" i="11"/>
  <c r="S416" i="11"/>
  <c r="L417" i="11"/>
  <c r="M417" i="11"/>
  <c r="N417" i="11"/>
  <c r="Q417" i="11"/>
  <c r="R417" i="11"/>
  <c r="S417" i="11"/>
  <c r="L418" i="11"/>
  <c r="M418" i="11"/>
  <c r="N418" i="11"/>
  <c r="P418" i="11"/>
  <c r="Q418" i="11"/>
  <c r="R418" i="11"/>
  <c r="S418" i="11"/>
  <c r="L419" i="11"/>
  <c r="M419" i="11"/>
  <c r="N419" i="11"/>
  <c r="P419" i="11"/>
  <c r="Q419" i="11"/>
  <c r="R419" i="11"/>
  <c r="S419" i="11"/>
  <c r="L420" i="11"/>
  <c r="M420" i="11"/>
  <c r="N420" i="11"/>
  <c r="Q420" i="11"/>
  <c r="R420" i="11"/>
  <c r="S420" i="11"/>
  <c r="L421" i="11"/>
  <c r="M421" i="11"/>
  <c r="N421" i="11"/>
  <c r="P421" i="11"/>
  <c r="Q421" i="11"/>
  <c r="R421" i="11"/>
  <c r="S421" i="11"/>
  <c r="L422" i="11"/>
  <c r="M422" i="11"/>
  <c r="N422" i="11"/>
  <c r="Q422" i="11"/>
  <c r="R422" i="11"/>
  <c r="S422" i="11"/>
  <c r="L423" i="11"/>
  <c r="M423" i="11"/>
  <c r="N423" i="11"/>
  <c r="Q423" i="11"/>
  <c r="R423" i="11"/>
  <c r="S423" i="11"/>
  <c r="L424" i="11"/>
  <c r="M424" i="11"/>
  <c r="N424" i="11"/>
  <c r="Q424" i="11"/>
  <c r="R424" i="11"/>
  <c r="S424" i="11"/>
  <c r="L425" i="11"/>
  <c r="M425" i="11"/>
  <c r="N425" i="11"/>
  <c r="Q425" i="11"/>
  <c r="R425" i="11"/>
  <c r="S425" i="11"/>
  <c r="L426" i="11"/>
  <c r="M426" i="11"/>
  <c r="N426" i="11"/>
  <c r="Q426" i="11"/>
  <c r="R426" i="11"/>
  <c r="S426" i="11"/>
  <c r="L427" i="11"/>
  <c r="M427" i="11"/>
  <c r="N427" i="11"/>
  <c r="Q427" i="11"/>
  <c r="R427" i="11"/>
  <c r="S427" i="11"/>
  <c r="L428" i="11"/>
  <c r="M428" i="11"/>
  <c r="N428" i="11"/>
  <c r="P428" i="11"/>
  <c r="Q428" i="11"/>
  <c r="R428" i="11"/>
  <c r="S428" i="11"/>
  <c r="L429" i="11"/>
  <c r="M429" i="11"/>
  <c r="N429" i="11"/>
  <c r="P429" i="11"/>
  <c r="Q429" i="11"/>
  <c r="R429" i="11"/>
  <c r="S429" i="11"/>
  <c r="L430" i="11"/>
  <c r="M430" i="11"/>
  <c r="N430" i="11"/>
  <c r="P430" i="11"/>
  <c r="Q430" i="11"/>
  <c r="R430" i="11"/>
  <c r="S430" i="11"/>
  <c r="L431" i="11"/>
  <c r="M431" i="11"/>
  <c r="N431" i="11"/>
  <c r="P431" i="11"/>
  <c r="Q431" i="11"/>
  <c r="R431" i="11"/>
  <c r="S431" i="11"/>
  <c r="L432" i="11"/>
  <c r="M432" i="11"/>
  <c r="N432" i="11"/>
  <c r="Q432" i="11"/>
  <c r="R432" i="11"/>
  <c r="S432" i="11"/>
  <c r="L433" i="11"/>
  <c r="M433" i="11"/>
  <c r="N433" i="11"/>
  <c r="P433" i="11"/>
  <c r="Q433" i="11"/>
  <c r="R433" i="11"/>
  <c r="S433" i="11"/>
  <c r="L434" i="11"/>
  <c r="M434" i="11"/>
  <c r="N434" i="11"/>
  <c r="Q434" i="11"/>
  <c r="R434" i="11"/>
  <c r="S434" i="11"/>
  <c r="L435" i="11"/>
  <c r="M435" i="11"/>
  <c r="N435" i="11"/>
  <c r="Q435" i="11"/>
  <c r="R435" i="11"/>
  <c r="S435" i="11"/>
  <c r="L436" i="11"/>
  <c r="M436" i="11"/>
  <c r="N436" i="11"/>
  <c r="Q436" i="11"/>
  <c r="R436" i="11"/>
  <c r="S436" i="11"/>
  <c r="L437" i="11"/>
  <c r="M437" i="11"/>
  <c r="N437" i="11"/>
  <c r="P437" i="11"/>
  <c r="Q437" i="11"/>
  <c r="R437" i="11"/>
  <c r="S437" i="11"/>
  <c r="L438" i="11"/>
  <c r="M438" i="11"/>
  <c r="N438" i="11"/>
  <c r="Q438" i="11"/>
  <c r="R438" i="11"/>
  <c r="S438" i="11"/>
  <c r="L439" i="11"/>
  <c r="M439" i="11"/>
  <c r="N439" i="11"/>
  <c r="Q439" i="11"/>
  <c r="R439" i="11"/>
  <c r="S439" i="11"/>
  <c r="L440" i="11"/>
  <c r="M440" i="11"/>
  <c r="N440" i="11"/>
  <c r="P440" i="11"/>
  <c r="Q440" i="11"/>
  <c r="R440" i="11"/>
  <c r="S440" i="11"/>
  <c r="L441" i="11"/>
  <c r="M441" i="11"/>
  <c r="N441" i="11"/>
  <c r="Q441" i="11"/>
  <c r="R441" i="11"/>
  <c r="S441" i="11"/>
  <c r="L442" i="11"/>
  <c r="M442" i="11"/>
  <c r="N442" i="11"/>
  <c r="Q442" i="11"/>
  <c r="R442" i="11"/>
  <c r="S442" i="11"/>
  <c r="L443" i="11"/>
  <c r="M443" i="11"/>
  <c r="N443" i="11"/>
  <c r="Q443" i="11"/>
  <c r="R443" i="11"/>
  <c r="S443" i="11"/>
  <c r="L444" i="11"/>
  <c r="M444" i="11"/>
  <c r="N444" i="11"/>
  <c r="Q444" i="11"/>
  <c r="R444" i="11"/>
  <c r="S444" i="11"/>
  <c r="L445" i="11"/>
  <c r="M445" i="11"/>
  <c r="N445" i="11"/>
  <c r="Q445" i="11"/>
  <c r="R445" i="11"/>
  <c r="S445" i="11"/>
  <c r="L446" i="11"/>
  <c r="M446" i="11"/>
  <c r="N446" i="11"/>
  <c r="Q446" i="11"/>
  <c r="R446" i="11"/>
  <c r="S446" i="11"/>
  <c r="L447" i="11"/>
  <c r="M447" i="11"/>
  <c r="N447" i="11"/>
  <c r="Q447" i="11"/>
  <c r="R447" i="11"/>
  <c r="S447" i="11"/>
  <c r="L448" i="11"/>
  <c r="M448" i="11"/>
  <c r="N448" i="11"/>
  <c r="Q448" i="11"/>
  <c r="R448" i="11"/>
  <c r="S448" i="11"/>
  <c r="L449" i="11"/>
  <c r="M449" i="11"/>
  <c r="N449" i="11"/>
  <c r="Q449" i="11"/>
  <c r="R449" i="11"/>
  <c r="S449" i="11"/>
  <c r="L450" i="11"/>
  <c r="M450" i="11"/>
  <c r="N450" i="11"/>
  <c r="Q450" i="11"/>
  <c r="R450" i="11"/>
  <c r="S450" i="11"/>
  <c r="L451" i="11"/>
  <c r="M451" i="11"/>
  <c r="N451" i="11"/>
  <c r="P451" i="11"/>
  <c r="Q451" i="11"/>
  <c r="R451" i="11"/>
  <c r="S451" i="11"/>
  <c r="L452" i="11"/>
  <c r="M452" i="11"/>
  <c r="N452" i="11"/>
  <c r="P452" i="11"/>
  <c r="Q452" i="11"/>
  <c r="R452" i="11"/>
  <c r="S452" i="11"/>
  <c r="L453" i="11"/>
  <c r="M453" i="11"/>
  <c r="N453" i="11"/>
  <c r="Q453" i="11"/>
  <c r="R453" i="11"/>
  <c r="S453" i="11"/>
  <c r="L454" i="11"/>
  <c r="M454" i="11"/>
  <c r="N454" i="11"/>
  <c r="Q454" i="11"/>
  <c r="R454" i="11"/>
  <c r="S454" i="11"/>
  <c r="L455" i="11"/>
  <c r="M455" i="11"/>
  <c r="N455" i="11"/>
  <c r="Q455" i="11"/>
  <c r="R455" i="11"/>
  <c r="S455" i="11"/>
  <c r="L456" i="11"/>
  <c r="M456" i="11"/>
  <c r="N456" i="11"/>
  <c r="Q456" i="11"/>
  <c r="R456" i="11"/>
  <c r="S456" i="11"/>
  <c r="L457" i="11"/>
  <c r="M457" i="11"/>
  <c r="N457" i="11"/>
  <c r="Q457" i="11"/>
  <c r="R457" i="11"/>
  <c r="S457" i="11"/>
  <c r="L458" i="11"/>
  <c r="M458" i="11"/>
  <c r="N458" i="11"/>
  <c r="Q458" i="11"/>
  <c r="R458" i="11"/>
  <c r="S458" i="11"/>
  <c r="P459" i="11"/>
  <c r="L459" i="11"/>
  <c r="M459" i="11"/>
  <c r="N459" i="11"/>
  <c r="Q459" i="11"/>
  <c r="R459" i="11"/>
  <c r="S459" i="11"/>
  <c r="L460" i="11"/>
  <c r="M460" i="11"/>
  <c r="N460" i="11"/>
  <c r="P460" i="11"/>
  <c r="Q460" i="11"/>
  <c r="R460" i="11"/>
  <c r="S460" i="11"/>
  <c r="P461" i="11"/>
  <c r="L461" i="11"/>
  <c r="M461" i="11"/>
  <c r="N461" i="11"/>
  <c r="Q461" i="11"/>
  <c r="R461" i="11"/>
  <c r="S461" i="11"/>
  <c r="L462" i="11"/>
  <c r="M462" i="11"/>
  <c r="N462" i="11"/>
  <c r="P462" i="11"/>
  <c r="Q462" i="11"/>
  <c r="R462" i="11"/>
  <c r="S462" i="11"/>
  <c r="L463" i="11"/>
  <c r="M463" i="11"/>
  <c r="N463" i="11"/>
  <c r="Q463" i="11"/>
  <c r="R463" i="11"/>
  <c r="S463" i="11"/>
  <c r="L464" i="11"/>
  <c r="M464" i="11"/>
  <c r="N464" i="11"/>
  <c r="Q464" i="11"/>
  <c r="R464" i="11"/>
  <c r="S464" i="11"/>
  <c r="L465" i="11"/>
  <c r="M465" i="11"/>
  <c r="N465" i="11"/>
  <c r="Q465" i="11"/>
  <c r="R465" i="11"/>
  <c r="S465" i="11"/>
  <c r="L466" i="11"/>
  <c r="M466" i="11"/>
  <c r="N466" i="11"/>
  <c r="Q466" i="11"/>
  <c r="R466" i="11"/>
  <c r="S466" i="11"/>
  <c r="P467" i="11"/>
  <c r="L467" i="11"/>
  <c r="M467" i="11"/>
  <c r="N467" i="11"/>
  <c r="Q467" i="11"/>
  <c r="R467" i="11"/>
  <c r="S467" i="11"/>
  <c r="L468" i="11"/>
  <c r="M468" i="11"/>
  <c r="N468" i="11"/>
  <c r="Q468" i="11"/>
  <c r="R468" i="11"/>
  <c r="S468" i="11"/>
  <c r="L469" i="11"/>
  <c r="M469" i="11"/>
  <c r="N469" i="11"/>
  <c r="Q469" i="11"/>
  <c r="R469" i="11"/>
  <c r="S469" i="11"/>
  <c r="L470" i="11"/>
  <c r="M470" i="11"/>
  <c r="N470" i="11"/>
  <c r="Q470" i="11"/>
  <c r="R470" i="11"/>
  <c r="S470" i="11"/>
  <c r="L471" i="11"/>
  <c r="M471" i="11"/>
  <c r="N471" i="11"/>
  <c r="Q471" i="11"/>
  <c r="R471" i="11"/>
  <c r="S471" i="11"/>
  <c r="L472" i="11"/>
  <c r="M472" i="11"/>
  <c r="N472" i="11"/>
  <c r="P472" i="11"/>
  <c r="Q472" i="11"/>
  <c r="R472" i="11"/>
  <c r="S472" i="11"/>
  <c r="L473" i="11"/>
  <c r="M473" i="11"/>
  <c r="N473" i="11"/>
  <c r="Q473" i="11"/>
  <c r="R473" i="11"/>
  <c r="S473" i="11"/>
  <c r="L474" i="11"/>
  <c r="M474" i="11"/>
  <c r="N474" i="11"/>
  <c r="Q474" i="11"/>
  <c r="R474" i="11"/>
  <c r="S474" i="11"/>
  <c r="L475" i="11"/>
  <c r="M475" i="11"/>
  <c r="N475" i="11"/>
  <c r="Q475" i="11"/>
  <c r="R475" i="11"/>
  <c r="S475" i="11"/>
  <c r="L476" i="11"/>
  <c r="M476" i="11"/>
  <c r="N476" i="11"/>
  <c r="Q476" i="11"/>
  <c r="R476" i="11"/>
  <c r="S476" i="11"/>
  <c r="P477" i="11"/>
  <c r="L477" i="11"/>
  <c r="M477" i="11"/>
  <c r="N477" i="11"/>
  <c r="Q477" i="11"/>
  <c r="R477" i="11"/>
  <c r="S477" i="11"/>
  <c r="L478" i="11"/>
  <c r="M478" i="11"/>
  <c r="N478" i="11"/>
  <c r="P478" i="11"/>
  <c r="Q478" i="11"/>
  <c r="R478" i="11"/>
  <c r="S478" i="11"/>
  <c r="L479" i="11"/>
  <c r="M479" i="11"/>
  <c r="N479" i="11"/>
  <c r="Q479" i="11"/>
  <c r="R479" i="11"/>
  <c r="S479" i="11"/>
  <c r="L480" i="11"/>
  <c r="M480" i="11"/>
  <c r="N480" i="11"/>
  <c r="P480" i="11"/>
  <c r="Q480" i="11"/>
  <c r="R480" i="11"/>
  <c r="S480" i="11"/>
  <c r="L481" i="11"/>
  <c r="M481" i="11"/>
  <c r="N481" i="11"/>
  <c r="Q481" i="11"/>
  <c r="R481" i="11"/>
  <c r="S481" i="11"/>
  <c r="L482" i="11"/>
  <c r="M482" i="11"/>
  <c r="N482" i="11"/>
  <c r="P482" i="11"/>
  <c r="Q482" i="11"/>
  <c r="R482" i="11"/>
  <c r="S482" i="11"/>
  <c r="L483" i="11"/>
  <c r="M483" i="11"/>
  <c r="N483" i="11"/>
  <c r="Q483" i="11"/>
  <c r="R483" i="11"/>
  <c r="S483" i="11"/>
  <c r="L484" i="11"/>
  <c r="M484" i="11"/>
  <c r="N484" i="11"/>
  <c r="Q484" i="11"/>
  <c r="R484" i="11"/>
  <c r="S484" i="11"/>
  <c r="L485" i="11"/>
  <c r="M485" i="11"/>
  <c r="N485" i="11"/>
  <c r="Q485" i="11"/>
  <c r="R485" i="11"/>
  <c r="S485" i="11"/>
  <c r="L486" i="11"/>
  <c r="M486" i="11"/>
  <c r="N486" i="11"/>
  <c r="Q486" i="11"/>
  <c r="R486" i="11"/>
  <c r="S486" i="11"/>
  <c r="P487" i="11"/>
  <c r="L487" i="11"/>
  <c r="M487" i="11"/>
  <c r="N487" i="11"/>
  <c r="Q487" i="11"/>
  <c r="R487" i="11"/>
  <c r="S487" i="11"/>
  <c r="L488" i="11"/>
  <c r="M488" i="11"/>
  <c r="N488" i="11"/>
  <c r="P488" i="11"/>
  <c r="Q488" i="11"/>
  <c r="R488" i="11"/>
  <c r="S488" i="11"/>
  <c r="L489" i="11"/>
  <c r="M489" i="11"/>
  <c r="N489" i="11"/>
  <c r="Q489" i="11"/>
  <c r="R489" i="11"/>
  <c r="S489" i="11"/>
  <c r="L490" i="11"/>
  <c r="M490" i="11"/>
  <c r="N490" i="11"/>
  <c r="P490" i="11"/>
  <c r="Q490" i="11"/>
  <c r="R490" i="11"/>
  <c r="S490" i="11"/>
  <c r="P491" i="11"/>
  <c r="L491" i="11"/>
  <c r="M491" i="11"/>
  <c r="N491" i="11"/>
  <c r="Q491" i="11"/>
  <c r="R491" i="11"/>
  <c r="S491" i="11"/>
  <c r="L492" i="11"/>
  <c r="M492" i="11"/>
  <c r="N492" i="11"/>
  <c r="Q492" i="11"/>
  <c r="R492" i="11"/>
  <c r="S492" i="11"/>
  <c r="L493" i="11"/>
  <c r="M493" i="11"/>
  <c r="N493" i="11"/>
  <c r="Q493" i="11"/>
  <c r="R493" i="11"/>
  <c r="S493" i="11"/>
  <c r="L494" i="11"/>
  <c r="M494" i="11"/>
  <c r="N494" i="11"/>
  <c r="Q494" i="11"/>
  <c r="R494" i="11"/>
  <c r="S494" i="11"/>
  <c r="P495" i="11"/>
  <c r="L495" i="11"/>
  <c r="M495" i="11"/>
  <c r="N495" i="11"/>
  <c r="Q495" i="11"/>
  <c r="R495" i="11"/>
  <c r="S495" i="11"/>
  <c r="L496" i="11"/>
  <c r="M496" i="11"/>
  <c r="N496" i="11"/>
  <c r="Q496" i="11"/>
  <c r="R496" i="11"/>
  <c r="S496" i="11"/>
  <c r="L497" i="11"/>
  <c r="M497" i="11"/>
  <c r="N497" i="11"/>
  <c r="Q497" i="11"/>
  <c r="R497" i="11"/>
  <c r="S497" i="11"/>
  <c r="L498" i="11"/>
  <c r="M498" i="11"/>
  <c r="N498" i="11"/>
  <c r="Q498" i="11"/>
  <c r="R498" i="11"/>
  <c r="S498" i="11"/>
  <c r="L499" i="11"/>
  <c r="M499" i="11"/>
  <c r="N499" i="11"/>
  <c r="Q499" i="11"/>
  <c r="R499" i="11"/>
  <c r="S499" i="11"/>
  <c r="L500" i="11"/>
  <c r="M500" i="11"/>
  <c r="N500" i="11"/>
  <c r="Q500" i="11"/>
  <c r="R500" i="11"/>
  <c r="S500" i="11"/>
  <c r="L501" i="11"/>
  <c r="M501" i="11"/>
  <c r="N501" i="11"/>
  <c r="Q501" i="11"/>
  <c r="R501" i="11"/>
  <c r="S501" i="11"/>
  <c r="L502" i="11"/>
  <c r="M502" i="11"/>
  <c r="N502" i="11"/>
  <c r="Q502" i="11"/>
  <c r="R502" i="11"/>
  <c r="S502" i="11"/>
  <c r="L503" i="11"/>
  <c r="M503" i="11"/>
  <c r="N503" i="11"/>
  <c r="Q503" i="11"/>
  <c r="R503" i="11"/>
  <c r="S503" i="11"/>
  <c r="L504" i="11"/>
  <c r="M504" i="11"/>
  <c r="N504" i="11"/>
  <c r="Q504" i="11"/>
  <c r="R504" i="11"/>
  <c r="S504" i="11"/>
  <c r="L505" i="11"/>
  <c r="M505" i="11"/>
  <c r="N505" i="11"/>
  <c r="Q505" i="11"/>
  <c r="R505" i="11"/>
  <c r="S505" i="11"/>
  <c r="L506" i="11"/>
  <c r="M506" i="11"/>
  <c r="N506" i="11"/>
  <c r="Q506" i="11"/>
  <c r="R506" i="11"/>
  <c r="S506" i="11"/>
  <c r="P507" i="11"/>
  <c r="L507" i="11"/>
  <c r="M507" i="11"/>
  <c r="N507" i="11"/>
  <c r="Q507" i="11"/>
  <c r="R507" i="11"/>
  <c r="S507" i="11"/>
  <c r="P508" i="11"/>
  <c r="L508" i="11"/>
  <c r="M508" i="11"/>
  <c r="N508" i="11"/>
  <c r="Q508" i="11"/>
  <c r="R508" i="11"/>
  <c r="S508" i="11"/>
  <c r="L509" i="11"/>
  <c r="M509" i="11"/>
  <c r="N509" i="11"/>
  <c r="Q509" i="11"/>
  <c r="R509" i="11"/>
  <c r="S509" i="11"/>
  <c r="L510" i="11"/>
  <c r="M510" i="11"/>
  <c r="N510" i="11"/>
  <c r="Q510" i="11"/>
  <c r="R510" i="11"/>
  <c r="S510" i="11"/>
  <c r="L511" i="11"/>
  <c r="M511" i="11"/>
  <c r="N511" i="11"/>
  <c r="Q511" i="11"/>
  <c r="R511" i="11"/>
  <c r="S511" i="11"/>
  <c r="P512" i="11"/>
  <c r="L512" i="11"/>
  <c r="M512" i="11"/>
  <c r="N512" i="11"/>
  <c r="Q512" i="11"/>
  <c r="R512" i="11"/>
  <c r="S512" i="11"/>
  <c r="P513" i="11"/>
  <c r="L513" i="11"/>
  <c r="M513" i="11"/>
  <c r="N513" i="11"/>
  <c r="Q513" i="11"/>
  <c r="R513" i="11"/>
  <c r="S513" i="11"/>
  <c r="P514" i="11"/>
  <c r="L514" i="11"/>
  <c r="M514" i="11"/>
  <c r="N514" i="11"/>
  <c r="Q514" i="11"/>
  <c r="R514" i="11"/>
  <c r="S514" i="11"/>
  <c r="L515" i="11"/>
  <c r="M515" i="11"/>
  <c r="N515" i="11"/>
  <c r="Q515" i="11"/>
  <c r="R515" i="11"/>
  <c r="S515" i="11"/>
  <c r="P516" i="11"/>
  <c r="L516" i="11"/>
  <c r="M516" i="11"/>
  <c r="N516" i="11"/>
  <c r="Q516" i="11"/>
  <c r="R516" i="11"/>
  <c r="S516" i="11"/>
  <c r="L517" i="11"/>
  <c r="M517" i="11"/>
  <c r="N517" i="11"/>
  <c r="Q517" i="11"/>
  <c r="R517" i="11"/>
  <c r="S517" i="11"/>
  <c r="L518" i="11"/>
  <c r="M518" i="11"/>
  <c r="N518" i="11"/>
  <c r="Q518" i="11"/>
  <c r="R518" i="11"/>
  <c r="S518" i="11"/>
  <c r="P519" i="11"/>
  <c r="L519" i="11"/>
  <c r="M519" i="11"/>
  <c r="N519" i="11"/>
  <c r="Q519" i="11"/>
  <c r="R519" i="11"/>
  <c r="S519" i="11"/>
  <c r="L520" i="11"/>
  <c r="M520" i="11"/>
  <c r="N520" i="11"/>
  <c r="Q520" i="11"/>
  <c r="R520" i="11"/>
  <c r="S520" i="11"/>
  <c r="L521" i="11"/>
  <c r="M521" i="11"/>
  <c r="N521" i="11"/>
  <c r="Q521" i="11"/>
  <c r="R521" i="11"/>
  <c r="S521" i="11"/>
  <c r="L522" i="11"/>
  <c r="M522" i="11"/>
  <c r="N522" i="11"/>
  <c r="Q522" i="11"/>
  <c r="R522" i="11"/>
  <c r="S522" i="11"/>
  <c r="P523" i="11"/>
  <c r="L523" i="11"/>
  <c r="M523" i="11"/>
  <c r="N523" i="11"/>
  <c r="Q523" i="11"/>
  <c r="R523" i="11"/>
  <c r="S523" i="11"/>
  <c r="L524" i="11"/>
  <c r="M524" i="11"/>
  <c r="N524" i="11"/>
  <c r="P524" i="11"/>
  <c r="Q524" i="11"/>
  <c r="R524" i="11"/>
  <c r="S524" i="11"/>
  <c r="L525" i="11"/>
  <c r="M525" i="11"/>
  <c r="N525" i="11"/>
  <c r="Q525" i="11"/>
  <c r="R525" i="11"/>
  <c r="S525" i="11"/>
  <c r="P526" i="11"/>
  <c r="L526" i="11"/>
  <c r="M526" i="11"/>
  <c r="N526" i="11"/>
  <c r="Q526" i="11"/>
  <c r="R526" i="11"/>
  <c r="S526" i="11"/>
  <c r="P527" i="11"/>
  <c r="L527" i="11"/>
  <c r="M527" i="11"/>
  <c r="N527" i="11"/>
  <c r="Q527" i="11"/>
  <c r="R527" i="11"/>
  <c r="S527" i="11"/>
  <c r="P528" i="11"/>
  <c r="L528" i="11"/>
  <c r="M528" i="11"/>
  <c r="N528" i="11"/>
  <c r="Q528" i="11"/>
  <c r="R528" i="11"/>
  <c r="S528" i="11"/>
  <c r="L529" i="11"/>
  <c r="M529" i="11"/>
  <c r="N529" i="11"/>
  <c r="Q529" i="11"/>
  <c r="R529" i="11"/>
  <c r="S529" i="11"/>
  <c r="L530" i="11"/>
  <c r="M530" i="11"/>
  <c r="N530" i="11"/>
  <c r="Q530" i="11"/>
  <c r="R530" i="11"/>
  <c r="S530" i="11"/>
  <c r="P531" i="11"/>
  <c r="L531" i="11"/>
  <c r="M531" i="11"/>
  <c r="N531" i="11"/>
  <c r="Q531" i="11"/>
  <c r="R531" i="11"/>
  <c r="S531" i="11"/>
  <c r="L532" i="11"/>
  <c r="M532" i="11"/>
  <c r="N532" i="11"/>
  <c r="Q532" i="11"/>
  <c r="R532" i="11"/>
  <c r="S532" i="11"/>
  <c r="L533" i="11"/>
  <c r="M533" i="11"/>
  <c r="N533" i="11"/>
  <c r="Q533" i="11"/>
  <c r="R533" i="11"/>
  <c r="S533" i="11"/>
  <c r="L534" i="11"/>
  <c r="M534" i="11"/>
  <c r="N534" i="11"/>
  <c r="Q534" i="11"/>
  <c r="R534" i="11"/>
  <c r="S534" i="11"/>
  <c r="L535" i="11"/>
  <c r="M535" i="11"/>
  <c r="N535" i="11"/>
  <c r="Q535" i="11"/>
  <c r="R535" i="11"/>
  <c r="S535" i="11"/>
  <c r="L536" i="11"/>
  <c r="M536" i="11"/>
  <c r="N536" i="11"/>
  <c r="Q536" i="11"/>
  <c r="R536" i="11"/>
  <c r="S536" i="11"/>
  <c r="L537" i="11"/>
  <c r="M537" i="11"/>
  <c r="N537" i="11"/>
  <c r="Q537" i="11"/>
  <c r="R537" i="11"/>
  <c r="S537" i="11"/>
  <c r="L538" i="11"/>
  <c r="M538" i="11"/>
  <c r="N538" i="11"/>
  <c r="Q538" i="11"/>
  <c r="R538" i="11"/>
  <c r="S538" i="11"/>
  <c r="P539" i="11"/>
  <c r="L539" i="11"/>
  <c r="M539" i="11"/>
  <c r="N539" i="11"/>
  <c r="Q539" i="11"/>
  <c r="R539" i="11"/>
  <c r="S539" i="11"/>
  <c r="L540" i="11"/>
  <c r="M540" i="11"/>
  <c r="N540" i="11"/>
  <c r="Q540" i="11"/>
  <c r="R540" i="11"/>
  <c r="S540" i="11"/>
  <c r="L541" i="11"/>
  <c r="M541" i="11"/>
  <c r="N541" i="11"/>
  <c r="Q541" i="11"/>
  <c r="R541" i="11"/>
  <c r="S541" i="11"/>
  <c r="L542" i="11"/>
  <c r="M542" i="11"/>
  <c r="N542" i="11"/>
  <c r="Q542" i="11"/>
  <c r="R542" i="11"/>
  <c r="S542" i="11"/>
  <c r="P543" i="11"/>
  <c r="L543" i="11"/>
  <c r="M543" i="11"/>
  <c r="N543" i="11"/>
  <c r="Q543" i="11"/>
  <c r="R543" i="11"/>
  <c r="S543" i="11"/>
  <c r="P544" i="11"/>
  <c r="L544" i="11"/>
  <c r="M544" i="11"/>
  <c r="N544" i="11"/>
  <c r="Q544" i="11"/>
  <c r="R544" i="11"/>
  <c r="S544" i="11"/>
  <c r="P545" i="11"/>
  <c r="L545" i="11"/>
  <c r="M545" i="11"/>
  <c r="N545" i="11"/>
  <c r="Q545" i="11"/>
  <c r="R545" i="11"/>
  <c r="S545" i="11"/>
  <c r="P546" i="11"/>
  <c r="L546" i="11"/>
  <c r="M546" i="11"/>
  <c r="N546" i="11"/>
  <c r="Q546" i="11"/>
  <c r="R546" i="11"/>
  <c r="S546" i="11"/>
  <c r="L547" i="11"/>
  <c r="M547" i="11"/>
  <c r="N547" i="11"/>
  <c r="Q547" i="11"/>
  <c r="R547" i="11"/>
  <c r="S547" i="11"/>
  <c r="L548" i="11"/>
  <c r="M548" i="11"/>
  <c r="N548" i="11"/>
  <c r="Q548" i="11"/>
  <c r="R548" i="11"/>
  <c r="S548" i="11"/>
  <c r="L549" i="11"/>
  <c r="M549" i="11"/>
  <c r="N549" i="11"/>
  <c r="Q549" i="11"/>
  <c r="R549" i="11"/>
  <c r="S549" i="11"/>
  <c r="L550" i="11"/>
  <c r="M550" i="11"/>
  <c r="N550" i="11"/>
  <c r="P550" i="11"/>
  <c r="Q550" i="11"/>
  <c r="R550" i="11"/>
  <c r="S550" i="11"/>
  <c r="P551" i="11"/>
  <c r="L551" i="11"/>
  <c r="M551" i="11"/>
  <c r="N551" i="11"/>
  <c r="Q551" i="11"/>
  <c r="R551" i="11"/>
  <c r="S551" i="11"/>
  <c r="L552" i="11"/>
  <c r="M552" i="11"/>
  <c r="N552" i="11"/>
  <c r="Q552" i="11"/>
  <c r="R552" i="11"/>
  <c r="S552" i="11"/>
  <c r="L553" i="11"/>
  <c r="M553" i="11"/>
  <c r="N553" i="11"/>
  <c r="Q553" i="11"/>
  <c r="R553" i="11"/>
  <c r="S553" i="11"/>
  <c r="L554" i="11"/>
  <c r="M554" i="11"/>
  <c r="N554" i="11"/>
  <c r="P554" i="11"/>
  <c r="Q554" i="11"/>
  <c r="R554" i="11"/>
  <c r="S554" i="11"/>
  <c r="L555" i="11"/>
  <c r="M555" i="11"/>
  <c r="N555" i="11"/>
  <c r="Q555" i="11"/>
  <c r="R555" i="11"/>
  <c r="S555" i="11"/>
  <c r="P556" i="11"/>
  <c r="L556" i="11"/>
  <c r="M556" i="11"/>
  <c r="N556" i="11"/>
  <c r="Q556" i="11"/>
  <c r="R556" i="11"/>
  <c r="S556" i="11"/>
  <c r="L557" i="11"/>
  <c r="M557" i="11"/>
  <c r="N557" i="11"/>
  <c r="Q557" i="11"/>
  <c r="R557" i="11"/>
  <c r="S557" i="11"/>
  <c r="P558" i="11"/>
  <c r="L558" i="11"/>
  <c r="M558" i="11"/>
  <c r="N558" i="11"/>
  <c r="Q558" i="11"/>
  <c r="R558" i="11"/>
  <c r="S558" i="11"/>
  <c r="L559" i="11"/>
  <c r="M559" i="11"/>
  <c r="N559" i="11"/>
  <c r="Q559" i="11"/>
  <c r="R559" i="11"/>
  <c r="S559" i="11"/>
  <c r="P560" i="11"/>
  <c r="L560" i="11"/>
  <c r="M560" i="11"/>
  <c r="N560" i="11"/>
  <c r="Q560" i="11"/>
  <c r="R560" i="11"/>
  <c r="S560" i="11"/>
  <c r="L561" i="11"/>
  <c r="M561" i="11"/>
  <c r="N561" i="11"/>
  <c r="Q561" i="11"/>
  <c r="R561" i="11"/>
  <c r="S561" i="11"/>
  <c r="P562" i="11"/>
  <c r="L562" i="11"/>
  <c r="M562" i="11"/>
  <c r="N562" i="11"/>
  <c r="Q562" i="11"/>
  <c r="R562" i="11"/>
  <c r="S562" i="11"/>
  <c r="L563" i="11"/>
  <c r="M563" i="11"/>
  <c r="N563" i="11"/>
  <c r="Q563" i="11"/>
  <c r="R563" i="11"/>
  <c r="S563" i="11"/>
  <c r="L564" i="11"/>
  <c r="M564" i="11"/>
  <c r="N564" i="11"/>
  <c r="Q564" i="11"/>
  <c r="R564" i="11"/>
  <c r="S564" i="11"/>
  <c r="L565" i="11"/>
  <c r="M565" i="11"/>
  <c r="N565" i="11"/>
  <c r="Q565" i="11"/>
  <c r="R565" i="11"/>
  <c r="S565" i="11"/>
  <c r="L566" i="11"/>
  <c r="M566" i="11"/>
  <c r="N566" i="11"/>
  <c r="Q566" i="11"/>
  <c r="R566" i="11"/>
  <c r="S566" i="11"/>
  <c r="P567" i="11"/>
  <c r="L567" i="11"/>
  <c r="M567" i="11"/>
  <c r="N567" i="11"/>
  <c r="Q567" i="11"/>
  <c r="R567" i="11"/>
  <c r="S567" i="11"/>
  <c r="L568" i="11"/>
  <c r="M568" i="11"/>
  <c r="N568" i="11"/>
  <c r="Q568" i="11"/>
  <c r="R568" i="11"/>
  <c r="S568" i="11"/>
  <c r="L569" i="11"/>
  <c r="M569" i="11"/>
  <c r="N569" i="11"/>
  <c r="Q569" i="11"/>
  <c r="R569" i="11"/>
  <c r="S569" i="11"/>
  <c r="L570" i="11"/>
  <c r="M570" i="11"/>
  <c r="N570" i="11"/>
  <c r="Q570" i="11"/>
  <c r="R570" i="11"/>
  <c r="S570" i="11"/>
  <c r="L571" i="11"/>
  <c r="M571" i="11"/>
  <c r="N571" i="11"/>
  <c r="Q571" i="11"/>
  <c r="R571" i="11"/>
  <c r="S571" i="11"/>
  <c r="P572" i="11"/>
  <c r="L572" i="11"/>
  <c r="M572" i="11"/>
  <c r="N572" i="11"/>
  <c r="Q572" i="11"/>
  <c r="R572" i="11"/>
  <c r="S572" i="11"/>
  <c r="L573" i="11"/>
  <c r="M573" i="11"/>
  <c r="N573" i="11"/>
  <c r="Q573" i="11"/>
  <c r="R573" i="11"/>
  <c r="S573" i="11"/>
  <c r="P574" i="11"/>
  <c r="L574" i="11"/>
  <c r="M574" i="11"/>
  <c r="N574" i="11"/>
  <c r="Q574" i="11"/>
  <c r="R574" i="11"/>
  <c r="S574" i="11"/>
  <c r="P575" i="11"/>
  <c r="L575" i="11"/>
  <c r="M575" i="11"/>
  <c r="N575" i="11"/>
  <c r="Q575" i="11"/>
  <c r="R575" i="11"/>
  <c r="S575" i="11"/>
  <c r="P576" i="11"/>
  <c r="L576" i="11"/>
  <c r="M576" i="11"/>
  <c r="N576" i="11"/>
  <c r="Q576" i="11"/>
  <c r="R576" i="11"/>
  <c r="S576" i="11"/>
  <c r="P577" i="11"/>
  <c r="L577" i="11"/>
  <c r="M577" i="11"/>
  <c r="N577" i="11"/>
  <c r="Q577" i="11"/>
  <c r="R577" i="11"/>
  <c r="S577" i="11"/>
  <c r="L578" i="11"/>
  <c r="M578" i="11"/>
  <c r="N578" i="11"/>
  <c r="Q578" i="11"/>
  <c r="R578" i="11"/>
  <c r="S578" i="11"/>
  <c r="L579" i="11"/>
  <c r="M579" i="11"/>
  <c r="N579" i="11"/>
  <c r="Q579" i="11"/>
  <c r="R579" i="11"/>
  <c r="S579" i="11"/>
  <c r="L580" i="11"/>
  <c r="M580" i="11"/>
  <c r="N580" i="11"/>
  <c r="Q580" i="11"/>
  <c r="R580" i="11"/>
  <c r="S580" i="11"/>
  <c r="L581" i="11"/>
  <c r="M581" i="11"/>
  <c r="N581" i="11"/>
  <c r="Q581" i="11"/>
  <c r="R581" i="11"/>
  <c r="S581" i="11"/>
  <c r="L582" i="11"/>
  <c r="M582" i="11"/>
  <c r="N582" i="11"/>
  <c r="Q582" i="11"/>
  <c r="R582" i="11"/>
  <c r="S582" i="11"/>
  <c r="L583" i="11"/>
  <c r="M583" i="11"/>
  <c r="N583" i="11"/>
  <c r="Q583" i="11"/>
  <c r="R583" i="11"/>
  <c r="S583" i="11"/>
  <c r="L584" i="11"/>
  <c r="M584" i="11"/>
  <c r="N584" i="11"/>
  <c r="Q584" i="11"/>
  <c r="R584" i="11"/>
  <c r="S584" i="11"/>
  <c r="L585" i="11"/>
  <c r="M585" i="11"/>
  <c r="N585" i="11"/>
  <c r="Q585" i="11"/>
  <c r="R585" i="11"/>
  <c r="S585" i="11"/>
  <c r="L586" i="11"/>
  <c r="M586" i="11"/>
  <c r="N586" i="11"/>
  <c r="P586" i="11"/>
  <c r="Q586" i="11"/>
  <c r="R586" i="11"/>
  <c r="S586" i="11"/>
  <c r="P587" i="11"/>
  <c r="L587" i="11"/>
  <c r="M587" i="11"/>
  <c r="N587" i="11"/>
  <c r="Q587" i="11"/>
  <c r="R587" i="11"/>
  <c r="S587" i="11"/>
  <c r="L588" i="11"/>
  <c r="M588" i="11"/>
  <c r="N588" i="11"/>
  <c r="P588" i="11"/>
  <c r="Q588" i="11"/>
  <c r="R588" i="11"/>
  <c r="S588" i="11"/>
  <c r="L589" i="11"/>
  <c r="M589" i="11"/>
  <c r="N589" i="11"/>
  <c r="Q589" i="11"/>
  <c r="R589" i="11"/>
  <c r="S589" i="11"/>
  <c r="P590" i="11"/>
  <c r="L590" i="11"/>
  <c r="M590" i="11"/>
  <c r="N590" i="11"/>
  <c r="Q590" i="11"/>
  <c r="R590" i="11"/>
  <c r="S590" i="11"/>
  <c r="P591" i="11"/>
  <c r="L591" i="11"/>
  <c r="M591" i="11"/>
  <c r="N591" i="11"/>
  <c r="Q591" i="11"/>
  <c r="R591" i="11"/>
  <c r="S591" i="11"/>
  <c r="L592" i="11"/>
  <c r="M592" i="11"/>
  <c r="N592" i="11"/>
  <c r="Q592" i="11"/>
  <c r="R592" i="11"/>
  <c r="S592" i="11"/>
  <c r="L593" i="11"/>
  <c r="M593" i="11"/>
  <c r="N593" i="11"/>
  <c r="Q593" i="11"/>
  <c r="R593" i="11"/>
  <c r="S593" i="11"/>
  <c r="L594" i="11"/>
  <c r="M594" i="11"/>
  <c r="N594" i="11"/>
  <c r="Q594" i="11"/>
  <c r="R594" i="11"/>
  <c r="S594" i="11"/>
  <c r="P595" i="11"/>
  <c r="L595" i="11"/>
  <c r="M595" i="11"/>
  <c r="N595" i="11"/>
  <c r="Q595" i="11"/>
  <c r="R595" i="11"/>
  <c r="S595" i="11"/>
  <c r="L596" i="11"/>
  <c r="M596" i="11"/>
  <c r="N596" i="11"/>
  <c r="P596" i="11"/>
  <c r="Q596" i="11"/>
  <c r="R596" i="11"/>
  <c r="S596" i="11"/>
  <c r="L597" i="11"/>
  <c r="M597" i="11"/>
  <c r="N597" i="11"/>
  <c r="Q597" i="11"/>
  <c r="R597" i="11"/>
  <c r="S597" i="11"/>
  <c r="L598" i="11"/>
  <c r="M598" i="11"/>
  <c r="N598" i="11"/>
  <c r="Q598" i="11"/>
  <c r="R598" i="11"/>
  <c r="S598" i="11"/>
  <c r="P599" i="11"/>
  <c r="L599" i="11"/>
  <c r="M599" i="11"/>
  <c r="N599" i="11"/>
  <c r="Q599" i="11"/>
  <c r="R599" i="11"/>
  <c r="S599" i="11"/>
  <c r="L600" i="11"/>
  <c r="M600" i="11"/>
  <c r="N600" i="11"/>
  <c r="Q600" i="11"/>
  <c r="R600" i="11"/>
  <c r="S600" i="11"/>
  <c r="L601" i="11"/>
  <c r="M601" i="11"/>
  <c r="N601" i="11"/>
  <c r="Q601" i="11"/>
  <c r="R601" i="11"/>
  <c r="S601" i="11"/>
  <c r="L602" i="11"/>
  <c r="M602" i="11"/>
  <c r="N602" i="11"/>
  <c r="Q602" i="11"/>
  <c r="R602" i="11"/>
  <c r="S602" i="11"/>
  <c r="L603" i="11"/>
  <c r="M603" i="11"/>
  <c r="N603" i="11"/>
  <c r="Q603" i="11"/>
  <c r="R603" i="11"/>
  <c r="S603" i="11"/>
  <c r="P604" i="11"/>
  <c r="L604" i="11"/>
  <c r="M604" i="11"/>
  <c r="N604" i="11"/>
  <c r="Q604" i="11"/>
  <c r="R604" i="11"/>
  <c r="S604" i="11"/>
  <c r="L605" i="11"/>
  <c r="M605" i="11"/>
  <c r="N605" i="11"/>
  <c r="Q605" i="11"/>
  <c r="R605" i="11"/>
  <c r="S605" i="11"/>
  <c r="L606" i="11"/>
  <c r="M606" i="11"/>
  <c r="N606" i="11"/>
  <c r="Q606" i="11"/>
  <c r="R606" i="11"/>
  <c r="S606" i="11"/>
  <c r="P607" i="11"/>
  <c r="L607" i="11"/>
  <c r="M607" i="11"/>
  <c r="N607" i="11"/>
  <c r="Q607" i="11"/>
  <c r="R607" i="11"/>
  <c r="S607" i="11"/>
  <c r="L608" i="11"/>
  <c r="M608" i="11"/>
  <c r="N608" i="11"/>
  <c r="Q608" i="11"/>
  <c r="R608" i="11"/>
  <c r="S608" i="11"/>
  <c r="P609" i="11"/>
  <c r="L609" i="11"/>
  <c r="M609" i="11"/>
  <c r="N609" i="11"/>
  <c r="Q609" i="11"/>
  <c r="R609" i="11"/>
  <c r="S609" i="11"/>
  <c r="P610" i="11"/>
  <c r="L610" i="11"/>
  <c r="M610" i="11"/>
  <c r="N610" i="11"/>
  <c r="Q610" i="11"/>
  <c r="R610" i="11"/>
  <c r="S610" i="11"/>
  <c r="L611" i="11"/>
  <c r="M611" i="11"/>
  <c r="N611" i="11"/>
  <c r="Q611" i="11"/>
  <c r="R611" i="11"/>
  <c r="S611" i="11"/>
  <c r="L612" i="11"/>
  <c r="M612" i="11"/>
  <c r="N612" i="11"/>
  <c r="Q612" i="11"/>
  <c r="R612" i="11"/>
  <c r="S612" i="11"/>
  <c r="L613" i="11"/>
  <c r="M613" i="11"/>
  <c r="N613" i="11"/>
  <c r="Q613" i="11"/>
  <c r="R613" i="11"/>
  <c r="S613" i="11"/>
  <c r="L614" i="11"/>
  <c r="M614" i="11"/>
  <c r="N614" i="11"/>
  <c r="Q614" i="11"/>
  <c r="R614" i="11"/>
  <c r="S614" i="11"/>
  <c r="L615" i="11"/>
  <c r="M615" i="11"/>
  <c r="N615" i="11"/>
  <c r="Q615" i="11"/>
  <c r="R615" i="11"/>
  <c r="S615" i="11"/>
  <c r="L616" i="11"/>
  <c r="M616" i="11"/>
  <c r="N616" i="11"/>
  <c r="P616" i="11"/>
  <c r="Q616" i="11"/>
  <c r="R616" i="11"/>
  <c r="S616" i="11"/>
  <c r="L617" i="11"/>
  <c r="M617" i="11"/>
  <c r="N617" i="11"/>
  <c r="Q617" i="11"/>
  <c r="R617" i="11"/>
  <c r="S617" i="11"/>
  <c r="L618" i="11"/>
  <c r="M618" i="11"/>
  <c r="N618" i="11"/>
  <c r="P618" i="11"/>
  <c r="Q618" i="11"/>
  <c r="R618" i="11"/>
  <c r="S618" i="11"/>
  <c r="P619" i="11"/>
  <c r="L619" i="11"/>
  <c r="M619" i="11"/>
  <c r="N619" i="11"/>
  <c r="Q619" i="11"/>
  <c r="R619" i="11"/>
  <c r="S619" i="11"/>
  <c r="L620" i="11"/>
  <c r="M620" i="11"/>
  <c r="N620" i="11"/>
  <c r="Q620" i="11"/>
  <c r="R620" i="11"/>
  <c r="S620" i="11"/>
  <c r="P621" i="11"/>
  <c r="L621" i="11"/>
  <c r="M621" i="11"/>
  <c r="N621" i="11"/>
  <c r="Q621" i="11"/>
  <c r="R621" i="11"/>
  <c r="S621" i="11"/>
  <c r="P622" i="11"/>
  <c r="L622" i="11"/>
  <c r="M622" i="11"/>
  <c r="N622" i="11"/>
  <c r="Q622" i="11"/>
  <c r="R622" i="11"/>
  <c r="S622" i="11"/>
  <c r="P623" i="11"/>
  <c r="L623" i="11"/>
  <c r="M623" i="11"/>
  <c r="N623" i="11"/>
  <c r="Q623" i="11"/>
  <c r="R623" i="11"/>
  <c r="S623" i="11"/>
  <c r="P624" i="11"/>
  <c r="L624" i="11"/>
  <c r="M624" i="11"/>
  <c r="N624" i="11"/>
  <c r="Q624" i="11"/>
  <c r="R624" i="11"/>
  <c r="S624" i="11"/>
  <c r="L625" i="11"/>
  <c r="M625" i="11"/>
  <c r="N625" i="11"/>
  <c r="Q625" i="11"/>
  <c r="R625" i="11"/>
  <c r="S625" i="11"/>
  <c r="L626" i="11"/>
  <c r="M626" i="11"/>
  <c r="N626" i="11"/>
  <c r="Q626" i="11"/>
  <c r="R626" i="11"/>
  <c r="S626" i="11"/>
  <c r="P627" i="11"/>
  <c r="L627" i="11"/>
  <c r="M627" i="11"/>
  <c r="N627" i="11"/>
  <c r="Q627" i="11"/>
  <c r="R627" i="11"/>
  <c r="S627" i="11"/>
  <c r="P628" i="11"/>
  <c r="L628" i="11"/>
  <c r="M628" i="11"/>
  <c r="N628" i="11"/>
  <c r="Q628" i="11"/>
  <c r="R628" i="11"/>
  <c r="S628" i="11"/>
  <c r="L629" i="11"/>
  <c r="M629" i="11"/>
  <c r="N629" i="11"/>
  <c r="Q629" i="11"/>
  <c r="R629" i="11"/>
  <c r="S629" i="11"/>
  <c r="L630" i="11"/>
  <c r="M630" i="11"/>
  <c r="N630" i="11"/>
  <c r="Q630" i="11"/>
  <c r="R630" i="11"/>
  <c r="S630" i="11"/>
  <c r="L631" i="11"/>
  <c r="M631" i="11"/>
  <c r="N631" i="11"/>
  <c r="Q631" i="11"/>
  <c r="R631" i="11"/>
  <c r="S631" i="11"/>
  <c r="P632" i="11"/>
  <c r="L632" i="11"/>
  <c r="M632" i="11"/>
  <c r="N632" i="11"/>
  <c r="Q632" i="11"/>
  <c r="R632" i="11"/>
  <c r="S632" i="11"/>
  <c r="L633" i="11"/>
  <c r="M633" i="11"/>
  <c r="N633" i="11"/>
  <c r="Q633" i="11"/>
  <c r="R633" i="11"/>
  <c r="S633" i="11"/>
  <c r="L634" i="11"/>
  <c r="M634" i="11"/>
  <c r="N634" i="11"/>
  <c r="Q634" i="11"/>
  <c r="R634" i="11"/>
  <c r="S634" i="11"/>
  <c r="L635" i="11"/>
  <c r="M635" i="11"/>
  <c r="N635" i="11"/>
  <c r="Q635" i="11"/>
  <c r="R635" i="11"/>
  <c r="S635" i="11"/>
  <c r="L636" i="11"/>
  <c r="M636" i="11"/>
  <c r="N636" i="11"/>
  <c r="Q636" i="11"/>
  <c r="R636" i="11"/>
  <c r="S636" i="11"/>
  <c r="P637" i="11"/>
  <c r="L637" i="11"/>
  <c r="M637" i="11"/>
  <c r="N637" i="11"/>
  <c r="Q637" i="11"/>
  <c r="R637" i="11"/>
  <c r="S637" i="11"/>
  <c r="P638" i="11"/>
  <c r="L638" i="11"/>
  <c r="M638" i="11"/>
  <c r="N638" i="11"/>
  <c r="Q638" i="11"/>
  <c r="R638" i="11"/>
  <c r="S638" i="11"/>
  <c r="P639" i="11"/>
  <c r="L639" i="11"/>
  <c r="M639" i="11"/>
  <c r="N639" i="11"/>
  <c r="Q639" i="11"/>
  <c r="R639" i="11"/>
  <c r="S639" i="11"/>
  <c r="L640" i="11"/>
  <c r="M640" i="11"/>
  <c r="N640" i="11"/>
  <c r="Q640" i="11"/>
  <c r="R640" i="11"/>
  <c r="S640" i="11"/>
  <c r="P641" i="11"/>
  <c r="L641" i="11"/>
  <c r="M641" i="11"/>
  <c r="N641" i="11"/>
  <c r="Q641" i="11"/>
  <c r="R641" i="11"/>
  <c r="S641" i="11"/>
  <c r="L642" i="11"/>
  <c r="M642" i="11"/>
  <c r="N642" i="11"/>
  <c r="Q642" i="11"/>
  <c r="R642" i="11"/>
  <c r="S642" i="11"/>
  <c r="L643" i="11"/>
  <c r="M643" i="11"/>
  <c r="N643" i="11"/>
  <c r="Q643" i="11"/>
  <c r="R643" i="11"/>
  <c r="S643" i="11"/>
  <c r="P644" i="11"/>
  <c r="L644" i="11"/>
  <c r="M644" i="11"/>
  <c r="N644" i="11"/>
  <c r="Q644" i="11"/>
  <c r="R644" i="11"/>
  <c r="S644" i="11"/>
  <c r="L645" i="11"/>
  <c r="M645" i="11"/>
  <c r="N645" i="11"/>
  <c r="Q645" i="11"/>
  <c r="R645" i="11"/>
  <c r="S645" i="11"/>
  <c r="P646" i="11"/>
  <c r="L646" i="11"/>
  <c r="M646" i="11"/>
  <c r="N646" i="11"/>
  <c r="Q646" i="11"/>
  <c r="R646" i="11"/>
  <c r="S646" i="11"/>
  <c r="L647" i="11"/>
  <c r="M647" i="11"/>
  <c r="N647" i="11"/>
  <c r="Q647" i="11"/>
  <c r="R647" i="11"/>
  <c r="S647" i="11"/>
  <c r="P648" i="11"/>
  <c r="L648" i="11"/>
  <c r="M648" i="11"/>
  <c r="N648" i="11"/>
  <c r="Q648" i="11"/>
  <c r="R648" i="11"/>
  <c r="S648" i="11"/>
  <c r="L649" i="11"/>
  <c r="M649" i="11"/>
  <c r="N649" i="11"/>
  <c r="Q649" i="11"/>
  <c r="R649" i="11"/>
  <c r="S649" i="11"/>
  <c r="P650" i="11"/>
  <c r="L650" i="11"/>
  <c r="M650" i="11"/>
  <c r="N650" i="11"/>
  <c r="Q650" i="11"/>
  <c r="R650" i="11"/>
  <c r="S650" i="11"/>
  <c r="L651" i="11"/>
  <c r="M651" i="11"/>
  <c r="N651" i="11"/>
  <c r="Q651" i="11"/>
  <c r="R651" i="11"/>
  <c r="S651" i="11"/>
  <c r="P652" i="11"/>
  <c r="L652" i="11"/>
  <c r="M652" i="11"/>
  <c r="N652" i="11"/>
  <c r="Q652" i="11"/>
  <c r="R652" i="11"/>
  <c r="S652" i="11"/>
  <c r="P653" i="11"/>
  <c r="L653" i="11"/>
  <c r="M653" i="11"/>
  <c r="N653" i="11"/>
  <c r="Q653" i="11"/>
  <c r="R653" i="11"/>
  <c r="S653" i="11"/>
  <c r="P654" i="11"/>
  <c r="L654" i="11"/>
  <c r="M654" i="11"/>
  <c r="N654" i="11"/>
  <c r="Q654" i="11"/>
  <c r="R654" i="11"/>
  <c r="S654" i="11"/>
  <c r="L655" i="11"/>
  <c r="M655" i="11"/>
  <c r="N655" i="11"/>
  <c r="Q655" i="11"/>
  <c r="R655" i="11"/>
  <c r="S655" i="11"/>
  <c r="L656" i="11"/>
  <c r="M656" i="11"/>
  <c r="N656" i="11"/>
  <c r="Q656" i="11"/>
  <c r="R656" i="11"/>
  <c r="S656" i="11"/>
  <c r="L657" i="11"/>
  <c r="M657" i="11"/>
  <c r="N657" i="11"/>
  <c r="Q657" i="11"/>
  <c r="R657" i="11"/>
  <c r="S657" i="11"/>
  <c r="L658" i="11"/>
  <c r="M658" i="11"/>
  <c r="N658" i="11"/>
  <c r="Q658" i="11"/>
  <c r="R658" i="11"/>
  <c r="S658" i="11"/>
  <c r="P659" i="11"/>
  <c r="L659" i="11"/>
  <c r="M659" i="11"/>
  <c r="N659" i="11"/>
  <c r="Q659" i="11"/>
  <c r="R659" i="11"/>
  <c r="S659" i="11"/>
  <c r="P660" i="11"/>
  <c r="L660" i="11"/>
  <c r="M660" i="11"/>
  <c r="N660" i="11"/>
  <c r="Q660" i="11"/>
  <c r="R660" i="11"/>
  <c r="S660" i="11"/>
  <c r="L661" i="11"/>
  <c r="M661" i="11"/>
  <c r="N661" i="11"/>
  <c r="Q661" i="11"/>
  <c r="R661" i="11"/>
  <c r="S661" i="11"/>
  <c r="L662" i="11"/>
  <c r="M662" i="11"/>
  <c r="N662" i="11"/>
  <c r="Q662" i="11"/>
  <c r="R662" i="11"/>
  <c r="S662" i="11"/>
  <c r="P663" i="11"/>
  <c r="L663" i="11"/>
  <c r="M663" i="11"/>
  <c r="N663" i="11"/>
  <c r="Q663" i="11"/>
  <c r="R663" i="11"/>
  <c r="S663" i="11"/>
  <c r="P664" i="11"/>
  <c r="L664" i="11"/>
  <c r="M664" i="11"/>
  <c r="N664" i="11"/>
  <c r="Q664" i="11"/>
  <c r="R664" i="11"/>
  <c r="S664" i="11"/>
  <c r="L665" i="11"/>
  <c r="M665" i="11"/>
  <c r="N665" i="11"/>
  <c r="Q665" i="11"/>
  <c r="R665" i="11"/>
  <c r="S665" i="11"/>
  <c r="L666" i="11"/>
  <c r="M666" i="11"/>
  <c r="N666" i="11"/>
  <c r="Q666" i="11"/>
  <c r="R666" i="11"/>
  <c r="S666" i="11"/>
  <c r="P667" i="11"/>
  <c r="L667" i="11"/>
  <c r="M667" i="11"/>
  <c r="N667" i="11"/>
  <c r="Q667" i="11"/>
  <c r="R667" i="11"/>
  <c r="S667" i="11"/>
  <c r="P668" i="11"/>
  <c r="L668" i="11"/>
  <c r="M668" i="11"/>
  <c r="N668" i="11"/>
  <c r="Q668" i="11"/>
  <c r="R668" i="11"/>
  <c r="S668" i="11"/>
  <c r="P669" i="11"/>
  <c r="L669" i="11"/>
  <c r="M669" i="11"/>
  <c r="N669" i="11"/>
  <c r="Q669" i="11"/>
  <c r="R669" i="11"/>
  <c r="S669" i="11"/>
  <c r="P670" i="11"/>
  <c r="L670" i="11"/>
  <c r="M670" i="11"/>
  <c r="N670" i="11"/>
  <c r="Q670" i="11"/>
  <c r="R670" i="11"/>
  <c r="S670" i="11"/>
  <c r="L671" i="11"/>
  <c r="M671" i="11"/>
  <c r="N671" i="11"/>
  <c r="Q671" i="11"/>
  <c r="R671" i="11"/>
  <c r="S671" i="11"/>
  <c r="P672" i="11"/>
  <c r="L672" i="11"/>
  <c r="M672" i="11"/>
  <c r="N672" i="11"/>
  <c r="Q672" i="11"/>
  <c r="R672" i="11"/>
  <c r="S672" i="11"/>
  <c r="L673" i="11"/>
  <c r="M673" i="11"/>
  <c r="N673" i="11"/>
  <c r="Q673" i="11"/>
  <c r="R673" i="11"/>
  <c r="S673" i="11"/>
  <c r="L674" i="11"/>
  <c r="M674" i="11"/>
  <c r="N674" i="11"/>
  <c r="Q674" i="11"/>
  <c r="R674" i="11"/>
  <c r="S674" i="11"/>
  <c r="L675" i="11"/>
  <c r="M675" i="11"/>
  <c r="N675" i="11"/>
  <c r="Q675" i="11"/>
  <c r="R675" i="11"/>
  <c r="S675" i="11"/>
  <c r="L676" i="11"/>
  <c r="M676" i="11"/>
  <c r="N676" i="11"/>
  <c r="Q676" i="11"/>
  <c r="R676" i="11"/>
  <c r="S676" i="11"/>
  <c r="L677" i="11"/>
  <c r="M677" i="11"/>
  <c r="N677" i="11"/>
  <c r="Q677" i="11"/>
  <c r="R677" i="11"/>
  <c r="S677" i="11"/>
  <c r="P678" i="11"/>
  <c r="L678" i="11"/>
  <c r="M678" i="11"/>
  <c r="N678" i="11"/>
  <c r="Q678" i="11"/>
  <c r="R678" i="11"/>
  <c r="S678" i="11"/>
  <c r="P679" i="11"/>
  <c r="L679" i="11"/>
  <c r="M679" i="11"/>
  <c r="N679" i="11"/>
  <c r="Q679" i="11"/>
  <c r="R679" i="11"/>
  <c r="S679" i="11"/>
  <c r="P680" i="11"/>
  <c r="L680" i="11"/>
  <c r="M680" i="11"/>
  <c r="N680" i="11"/>
  <c r="Q680" i="11"/>
  <c r="R680" i="11"/>
  <c r="S680" i="11"/>
  <c r="L681" i="11"/>
  <c r="M681" i="11"/>
  <c r="N681" i="11"/>
  <c r="Q681" i="11"/>
  <c r="R681" i="11"/>
  <c r="S681" i="11"/>
  <c r="P682" i="11"/>
  <c r="L682" i="11"/>
  <c r="M682" i="11"/>
  <c r="N682" i="11"/>
  <c r="Q682" i="11"/>
  <c r="R682" i="11"/>
  <c r="S682" i="11"/>
  <c r="P683" i="11"/>
  <c r="L683" i="11"/>
  <c r="M683" i="11"/>
  <c r="N683" i="11"/>
  <c r="Q683" i="11"/>
  <c r="R683" i="11"/>
  <c r="S683" i="11"/>
  <c r="L684" i="11"/>
  <c r="M684" i="11"/>
  <c r="N684" i="11"/>
  <c r="Q684" i="11"/>
  <c r="R684" i="11"/>
  <c r="S684" i="11"/>
  <c r="P685" i="11"/>
  <c r="L685" i="11"/>
  <c r="M685" i="11"/>
  <c r="N685" i="11"/>
  <c r="Q685" i="11"/>
  <c r="R685" i="11"/>
  <c r="S685" i="11"/>
  <c r="P686" i="11"/>
  <c r="L686" i="11"/>
  <c r="M686" i="11"/>
  <c r="N686" i="11"/>
  <c r="Q686" i="11"/>
  <c r="R686" i="11"/>
  <c r="S686" i="11"/>
  <c r="P687" i="11"/>
  <c r="L687" i="11"/>
  <c r="M687" i="11"/>
  <c r="N687" i="11"/>
  <c r="Q687" i="11"/>
  <c r="R687" i="11"/>
  <c r="S687" i="11"/>
  <c r="P688" i="11"/>
  <c r="L688" i="11"/>
  <c r="M688" i="11"/>
  <c r="N688" i="11"/>
  <c r="Q688" i="11"/>
  <c r="R688" i="11"/>
  <c r="S688" i="11"/>
  <c r="P689" i="11"/>
  <c r="L689" i="11"/>
  <c r="M689" i="11"/>
  <c r="N689" i="11"/>
  <c r="Q689" i="11"/>
  <c r="R689" i="11"/>
  <c r="S689" i="11"/>
  <c r="L690" i="11"/>
  <c r="M690" i="11"/>
  <c r="N690" i="11"/>
  <c r="Q690" i="11"/>
  <c r="R690" i="11"/>
  <c r="S690" i="11"/>
  <c r="L691" i="11"/>
  <c r="M691" i="11"/>
  <c r="N691" i="11"/>
  <c r="Q691" i="11"/>
  <c r="R691" i="11"/>
  <c r="S691" i="11"/>
  <c r="L692" i="11"/>
  <c r="M692" i="11"/>
  <c r="N692" i="11"/>
  <c r="Q692" i="11"/>
  <c r="R692" i="11"/>
  <c r="S692" i="11"/>
  <c r="L693" i="11"/>
  <c r="M693" i="11"/>
  <c r="N693" i="11"/>
  <c r="Q693" i="11"/>
  <c r="R693" i="11"/>
  <c r="S693" i="11"/>
  <c r="P694" i="11"/>
  <c r="L694" i="11"/>
  <c r="M694" i="11"/>
  <c r="N694" i="11"/>
  <c r="Q694" i="11"/>
  <c r="R694" i="11"/>
  <c r="S694" i="11"/>
  <c r="P695" i="11"/>
  <c r="L695" i="11"/>
  <c r="M695" i="11"/>
  <c r="N695" i="11"/>
  <c r="Q695" i="11"/>
  <c r="R695" i="11"/>
  <c r="S695" i="11"/>
  <c r="L696" i="11"/>
  <c r="M696" i="11"/>
  <c r="N696" i="11"/>
  <c r="Q696" i="11"/>
  <c r="R696" i="11"/>
  <c r="S696" i="11"/>
  <c r="L697" i="11"/>
  <c r="M697" i="11"/>
  <c r="N697" i="11"/>
  <c r="Q697" i="11"/>
  <c r="R697" i="11"/>
  <c r="S697" i="11"/>
  <c r="P698" i="11"/>
  <c r="L698" i="11"/>
  <c r="M698" i="11"/>
  <c r="N698" i="11"/>
  <c r="Q698" i="11"/>
  <c r="R698" i="11"/>
  <c r="S698" i="11"/>
  <c r="P699" i="11"/>
  <c r="L699" i="11"/>
  <c r="M699" i="11"/>
  <c r="N699" i="11"/>
  <c r="Q699" i="11"/>
  <c r="R699" i="11"/>
  <c r="S699" i="11"/>
  <c r="L700" i="11"/>
  <c r="M700" i="11"/>
  <c r="N700" i="11"/>
  <c r="Q700" i="11"/>
  <c r="R700" i="11"/>
  <c r="S700" i="11"/>
  <c r="L701" i="11"/>
  <c r="M701" i="11"/>
  <c r="N701" i="11"/>
  <c r="P701" i="11"/>
  <c r="Q701" i="11"/>
  <c r="R701" i="11"/>
  <c r="S701" i="11"/>
  <c r="P702" i="11"/>
  <c r="L702" i="11"/>
  <c r="M702" i="11"/>
  <c r="N702" i="11"/>
  <c r="Q702" i="11"/>
  <c r="R702" i="11"/>
  <c r="S702" i="11"/>
  <c r="L703" i="11"/>
  <c r="M703" i="11"/>
  <c r="N703" i="11"/>
  <c r="P703" i="11"/>
  <c r="Q703" i="11"/>
  <c r="R703" i="11"/>
  <c r="S703" i="11"/>
  <c r="P704" i="11"/>
  <c r="L704" i="11"/>
  <c r="M704" i="11"/>
  <c r="N704" i="11"/>
  <c r="Q704" i="11"/>
  <c r="R704" i="11"/>
  <c r="S704" i="11"/>
  <c r="L705" i="11"/>
  <c r="M705" i="11"/>
  <c r="N705" i="11"/>
  <c r="P705" i="11"/>
  <c r="Q705" i="11"/>
  <c r="R705" i="11"/>
  <c r="S705" i="11"/>
  <c r="P706" i="11"/>
  <c r="L706" i="11"/>
  <c r="M706" i="11"/>
  <c r="N706" i="11"/>
  <c r="Q706" i="11"/>
  <c r="R706" i="11"/>
  <c r="S706" i="11"/>
  <c r="L707" i="11"/>
  <c r="M707" i="11"/>
  <c r="N707" i="11"/>
  <c r="Q707" i="11"/>
  <c r="R707" i="11"/>
  <c r="S707" i="11"/>
  <c r="L708" i="11"/>
  <c r="M708" i="11"/>
  <c r="N708" i="11"/>
  <c r="Q708" i="11"/>
  <c r="R708" i="11"/>
  <c r="S708" i="11"/>
  <c r="L709" i="11"/>
  <c r="M709" i="11"/>
  <c r="N709" i="11"/>
  <c r="Q709" i="11"/>
  <c r="R709" i="11"/>
  <c r="S709" i="11"/>
  <c r="P710" i="11"/>
  <c r="L710" i="11"/>
  <c r="M710" i="11"/>
  <c r="N710" i="11"/>
  <c r="Q710" i="11"/>
  <c r="R710" i="11"/>
  <c r="S710" i="11"/>
  <c r="P711" i="11"/>
  <c r="L711" i="11"/>
  <c r="M711" i="11"/>
  <c r="N711" i="11"/>
  <c r="Q711" i="11"/>
  <c r="R711" i="11"/>
  <c r="S711" i="11"/>
  <c r="P712" i="11"/>
  <c r="L712" i="11"/>
  <c r="M712" i="11"/>
  <c r="N712" i="11"/>
  <c r="Q712" i="11"/>
  <c r="R712" i="11"/>
  <c r="S712" i="11"/>
  <c r="L713" i="11"/>
  <c r="M713" i="11"/>
  <c r="N713" i="11"/>
  <c r="Q713" i="11"/>
  <c r="R713" i="11"/>
  <c r="S713" i="11"/>
  <c r="P714" i="11"/>
  <c r="L714" i="11"/>
  <c r="M714" i="11"/>
  <c r="N714" i="11"/>
  <c r="Q714" i="11"/>
  <c r="R714" i="11"/>
  <c r="S714" i="11"/>
  <c r="P715" i="11"/>
  <c r="L715" i="11"/>
  <c r="M715" i="11"/>
  <c r="N715" i="11"/>
  <c r="Q715" i="11"/>
  <c r="R715" i="11"/>
  <c r="S715" i="11"/>
  <c r="P716" i="11"/>
  <c r="L716" i="11"/>
  <c r="M716" i="11"/>
  <c r="N716" i="11"/>
  <c r="Q716" i="11"/>
  <c r="R716" i="11"/>
  <c r="S716" i="11"/>
  <c r="P717" i="11"/>
  <c r="L717" i="11"/>
  <c r="M717" i="11"/>
  <c r="N717" i="11"/>
  <c r="Q717" i="11"/>
  <c r="R717" i="11"/>
  <c r="S717" i="11"/>
  <c r="P718" i="11"/>
  <c r="L718" i="11"/>
  <c r="M718" i="11"/>
  <c r="N718" i="11"/>
  <c r="Q718" i="11"/>
  <c r="R718" i="11"/>
  <c r="S718" i="11"/>
  <c r="L719" i="11"/>
  <c r="M719" i="11"/>
  <c r="N719" i="11"/>
  <c r="P719" i="11"/>
  <c r="Q719" i="11"/>
  <c r="R719" i="11"/>
  <c r="S719" i="11"/>
  <c r="P720" i="11"/>
  <c r="L720" i="11"/>
  <c r="M720" i="11"/>
  <c r="N720" i="11"/>
  <c r="Q720" i="11"/>
  <c r="R720" i="11"/>
  <c r="S720" i="11"/>
  <c r="L721" i="11"/>
  <c r="M721" i="11"/>
  <c r="N721" i="11"/>
  <c r="P721" i="11"/>
  <c r="Q721" i="11"/>
  <c r="R721" i="11"/>
  <c r="S721" i="11"/>
  <c r="L722" i="11"/>
  <c r="M722" i="11"/>
  <c r="N722" i="11"/>
  <c r="Q722" i="11"/>
  <c r="R722" i="11"/>
  <c r="S722" i="11"/>
  <c r="L723" i="11"/>
  <c r="M723" i="11"/>
  <c r="N723" i="11"/>
  <c r="P723" i="11"/>
  <c r="Q723" i="11"/>
  <c r="R723" i="11"/>
  <c r="S723" i="11"/>
  <c r="L724" i="11"/>
  <c r="M724" i="11"/>
  <c r="N724" i="11"/>
  <c r="Q724" i="11"/>
  <c r="R724" i="11"/>
  <c r="S724" i="11"/>
  <c r="L725" i="11"/>
  <c r="M725" i="11"/>
  <c r="N725" i="11"/>
  <c r="Q725" i="11"/>
  <c r="R725" i="11"/>
  <c r="S725" i="11"/>
  <c r="P726" i="11"/>
  <c r="L726" i="11"/>
  <c r="M726" i="11"/>
  <c r="N726" i="11"/>
  <c r="Q726" i="11"/>
  <c r="R726" i="11"/>
  <c r="S726" i="11"/>
  <c r="P727" i="11"/>
  <c r="L727" i="11"/>
  <c r="M727" i="11"/>
  <c r="N727" i="11"/>
  <c r="Q727" i="11"/>
  <c r="R727" i="11"/>
  <c r="S727" i="11"/>
  <c r="P728" i="11"/>
  <c r="L728" i="11"/>
  <c r="M728" i="11"/>
  <c r="N728" i="11"/>
  <c r="Q728" i="11"/>
  <c r="R728" i="11"/>
  <c r="S728" i="11"/>
  <c r="L729" i="11"/>
  <c r="M729" i="11"/>
  <c r="N729" i="11"/>
  <c r="Q729" i="11"/>
  <c r="R729" i="11"/>
  <c r="S729" i="11"/>
  <c r="P730" i="11"/>
  <c r="L730" i="11"/>
  <c r="M730" i="11"/>
  <c r="N730" i="11"/>
  <c r="Q730" i="11"/>
  <c r="R730" i="11"/>
  <c r="S730" i="11"/>
  <c r="P731" i="11"/>
  <c r="L731" i="11"/>
  <c r="M731" i="11"/>
  <c r="N731" i="11"/>
  <c r="Q731" i="11"/>
  <c r="R731" i="11"/>
  <c r="S731" i="11"/>
  <c r="P732" i="11"/>
  <c r="L732" i="11"/>
  <c r="M732" i="11"/>
  <c r="N732" i="11"/>
  <c r="Q732" i="11"/>
  <c r="R732" i="11"/>
  <c r="S732" i="11"/>
  <c r="L733" i="11"/>
  <c r="M733" i="11"/>
  <c r="N733" i="11"/>
  <c r="P733" i="11"/>
  <c r="Q733" i="11"/>
  <c r="R733" i="11"/>
  <c r="S733" i="11"/>
  <c r="P734" i="11"/>
  <c r="L734" i="11"/>
  <c r="M734" i="11"/>
  <c r="N734" i="11"/>
  <c r="Q734" i="11"/>
  <c r="R734" i="11"/>
  <c r="S734" i="11"/>
  <c r="L735" i="11"/>
  <c r="M735" i="11"/>
  <c r="N735" i="11"/>
  <c r="Q735" i="11"/>
  <c r="R735" i="11"/>
  <c r="S735" i="11"/>
  <c r="P736" i="11"/>
  <c r="L736" i="11"/>
  <c r="M736" i="11"/>
  <c r="N736" i="11"/>
  <c r="Q736" i="11"/>
  <c r="R736" i="11"/>
  <c r="S736" i="11"/>
  <c r="L737" i="11"/>
  <c r="M737" i="11"/>
  <c r="N737" i="11"/>
  <c r="P737" i="11"/>
  <c r="Q737" i="11"/>
  <c r="R737" i="11"/>
  <c r="S737" i="11"/>
  <c r="P738" i="11"/>
  <c r="L738" i="11"/>
  <c r="M738" i="11"/>
  <c r="N738" i="11"/>
  <c r="Q738" i="11"/>
  <c r="R738" i="11"/>
  <c r="S738" i="11"/>
  <c r="L739" i="11"/>
  <c r="M739" i="11"/>
  <c r="N739" i="11"/>
  <c r="Q739" i="11"/>
  <c r="R739" i="11"/>
  <c r="S739" i="11"/>
  <c r="P740" i="11"/>
  <c r="L740" i="11"/>
  <c r="M740" i="11"/>
  <c r="N740" i="11"/>
  <c r="Q740" i="11"/>
  <c r="R740" i="11"/>
  <c r="S740" i="11"/>
  <c r="L741" i="11"/>
  <c r="M741" i="11"/>
  <c r="N741" i="11"/>
  <c r="Q741" i="11"/>
  <c r="R741" i="11"/>
  <c r="S741" i="11"/>
  <c r="P742" i="11"/>
  <c r="L742" i="11"/>
  <c r="M742" i="11"/>
  <c r="N742" i="11"/>
  <c r="Q742" i="11"/>
  <c r="R742" i="11"/>
  <c r="S742" i="11"/>
  <c r="P743" i="11"/>
  <c r="L743" i="11"/>
  <c r="M743" i="11"/>
  <c r="N743" i="11"/>
  <c r="Q743" i="11"/>
  <c r="R743" i="11"/>
  <c r="S743" i="11"/>
  <c r="P744" i="11"/>
  <c r="L744" i="11"/>
  <c r="M744" i="11"/>
  <c r="N744" i="11"/>
  <c r="Q744" i="11"/>
  <c r="R744" i="11"/>
  <c r="S744" i="11"/>
  <c r="L745" i="11"/>
  <c r="M745" i="11"/>
  <c r="N745" i="11"/>
  <c r="Q745" i="11"/>
  <c r="R745" i="11"/>
  <c r="S745" i="11"/>
  <c r="P746" i="11"/>
  <c r="L746" i="11"/>
  <c r="M746" i="11"/>
  <c r="N746" i="11"/>
  <c r="Q746" i="11"/>
  <c r="R746" i="11"/>
  <c r="S746" i="11"/>
  <c r="P747" i="11"/>
  <c r="L747" i="11"/>
  <c r="M747" i="11"/>
  <c r="N747" i="11"/>
  <c r="Q747" i="11"/>
  <c r="R747" i="11"/>
  <c r="S747" i="11"/>
  <c r="P748" i="11"/>
  <c r="L748" i="11"/>
  <c r="M748" i="11"/>
  <c r="N748" i="11"/>
  <c r="Q748" i="11"/>
  <c r="R748" i="11"/>
  <c r="S748" i="11"/>
  <c r="L749" i="11"/>
  <c r="M749" i="11"/>
  <c r="N749" i="11"/>
  <c r="Q749" i="11"/>
  <c r="R749" i="11"/>
  <c r="S749" i="11"/>
  <c r="P750" i="11"/>
  <c r="L750" i="11"/>
  <c r="M750" i="11"/>
  <c r="N750" i="11"/>
  <c r="Q750" i="11"/>
  <c r="R750" i="11"/>
  <c r="S750" i="11"/>
  <c r="L751" i="11"/>
  <c r="M751" i="11"/>
  <c r="N751" i="11"/>
  <c r="P751" i="11"/>
  <c r="Q751" i="11"/>
  <c r="R751" i="11"/>
  <c r="S751" i="11"/>
  <c r="L752" i="11"/>
  <c r="M752" i="11"/>
  <c r="N752" i="11"/>
  <c r="Q752" i="11"/>
  <c r="R752" i="11"/>
  <c r="S752" i="11"/>
  <c r="L753" i="11"/>
  <c r="M753" i="11"/>
  <c r="N753" i="11"/>
  <c r="P753" i="11"/>
  <c r="Q753" i="11"/>
  <c r="R753" i="11"/>
  <c r="S753" i="11"/>
  <c r="L754" i="11"/>
  <c r="M754" i="11"/>
  <c r="N754" i="11"/>
  <c r="Q754" i="11"/>
  <c r="R754" i="11"/>
  <c r="S754" i="11"/>
  <c r="L755" i="11"/>
  <c r="M755" i="11"/>
  <c r="N755" i="11"/>
  <c r="Q755" i="11"/>
  <c r="R755" i="11"/>
  <c r="S755" i="11"/>
  <c r="P756" i="11"/>
  <c r="L756" i="11"/>
  <c r="M756" i="11"/>
  <c r="N756" i="11"/>
  <c r="Q756" i="11"/>
  <c r="R756" i="11"/>
  <c r="S756" i="11"/>
  <c r="L757" i="11"/>
  <c r="M757" i="11"/>
  <c r="N757" i="11"/>
  <c r="Q757" i="11"/>
  <c r="R757" i="11"/>
  <c r="S757" i="11"/>
  <c r="P758" i="11"/>
  <c r="L758" i="11"/>
  <c r="M758" i="11"/>
  <c r="N758" i="11"/>
  <c r="Q758" i="11"/>
  <c r="R758" i="11"/>
  <c r="S758" i="11"/>
  <c r="P759" i="11"/>
  <c r="L759" i="11"/>
  <c r="M759" i="11"/>
  <c r="N759" i="11"/>
  <c r="Q759" i="11"/>
  <c r="R759" i="11"/>
  <c r="S759" i="11"/>
  <c r="P760" i="11"/>
  <c r="L760" i="11"/>
  <c r="M760" i="11"/>
  <c r="N760" i="11"/>
  <c r="Q760" i="11"/>
  <c r="R760" i="11"/>
  <c r="S760" i="11"/>
  <c r="L761" i="11"/>
  <c r="M761" i="11"/>
  <c r="N761" i="11"/>
  <c r="Q761" i="11"/>
  <c r="R761" i="11"/>
  <c r="S761" i="11"/>
  <c r="P762" i="11"/>
  <c r="L762" i="11"/>
  <c r="M762" i="11"/>
  <c r="N762" i="11"/>
  <c r="Q762" i="11"/>
  <c r="R762" i="11"/>
  <c r="S762" i="11"/>
  <c r="P763" i="11"/>
  <c r="L763" i="11"/>
  <c r="M763" i="11"/>
  <c r="N763" i="11"/>
  <c r="Q763" i="11"/>
  <c r="R763" i="11"/>
  <c r="S763" i="11"/>
  <c r="L764" i="11"/>
  <c r="M764" i="11"/>
  <c r="N764" i="11"/>
  <c r="Q764" i="11"/>
  <c r="R764" i="11"/>
  <c r="S764" i="11"/>
  <c r="L765" i="11"/>
  <c r="M765" i="11"/>
  <c r="N765" i="11"/>
  <c r="P765" i="11"/>
  <c r="Q765" i="11"/>
  <c r="R765" i="11"/>
  <c r="S765" i="11"/>
  <c r="P766" i="11"/>
  <c r="L766" i="11"/>
  <c r="M766" i="11"/>
  <c r="N766" i="11"/>
  <c r="Q766" i="11"/>
  <c r="R766" i="11"/>
  <c r="S766" i="11"/>
  <c r="L767" i="11"/>
  <c r="M767" i="11"/>
  <c r="N767" i="11"/>
  <c r="P767" i="11"/>
  <c r="Q767" i="11"/>
  <c r="R767" i="11"/>
  <c r="S767" i="11"/>
  <c r="P768" i="11"/>
  <c r="L768" i="11"/>
  <c r="M768" i="11"/>
  <c r="N768" i="11"/>
  <c r="Q768" i="11"/>
  <c r="R768" i="11"/>
  <c r="S768" i="11"/>
  <c r="L769" i="11"/>
  <c r="M769" i="11"/>
  <c r="N769" i="11"/>
  <c r="P769" i="11"/>
  <c r="Q769" i="11"/>
  <c r="R769" i="11"/>
  <c r="S769" i="11"/>
  <c r="P770" i="11"/>
  <c r="L770" i="11"/>
  <c r="M770" i="11"/>
  <c r="N770" i="11"/>
  <c r="Q770" i="11"/>
  <c r="R770" i="11"/>
  <c r="S770" i="11"/>
  <c r="L771" i="11"/>
  <c r="M771" i="11"/>
  <c r="N771" i="11"/>
  <c r="Q771" i="11"/>
  <c r="R771" i="11"/>
  <c r="S771" i="11"/>
  <c r="L772" i="11"/>
  <c r="M772" i="11"/>
  <c r="N772" i="11"/>
  <c r="Q772" i="11"/>
  <c r="R772" i="11"/>
  <c r="S772" i="11"/>
  <c r="L773" i="11"/>
  <c r="M773" i="11"/>
  <c r="N773" i="11"/>
  <c r="Q773" i="11"/>
  <c r="R773" i="11"/>
  <c r="S773" i="11"/>
  <c r="L774" i="11"/>
  <c r="M774" i="11"/>
  <c r="N774" i="11"/>
  <c r="Q774" i="11"/>
  <c r="R774" i="11"/>
  <c r="S774" i="11"/>
  <c r="P775" i="11"/>
  <c r="L775" i="11"/>
  <c r="M775" i="11"/>
  <c r="N775" i="11"/>
  <c r="Q775" i="11"/>
  <c r="R775" i="11"/>
  <c r="S775" i="11"/>
  <c r="L776" i="11"/>
  <c r="M776" i="11"/>
  <c r="N776" i="11"/>
  <c r="Q776" i="11"/>
  <c r="R776" i="11"/>
  <c r="S776" i="11"/>
  <c r="L777" i="11"/>
  <c r="M777" i="11"/>
  <c r="N777" i="11"/>
  <c r="Q777" i="11"/>
  <c r="R777" i="11"/>
  <c r="S777" i="11"/>
  <c r="P778" i="11"/>
  <c r="L778" i="11"/>
  <c r="M778" i="11"/>
  <c r="N778" i="11"/>
  <c r="Q778" i="11"/>
  <c r="R778" i="11"/>
  <c r="S778" i="11"/>
  <c r="P779" i="11"/>
  <c r="L779" i="11"/>
  <c r="M779" i="11"/>
  <c r="N779" i="11"/>
  <c r="Q779" i="11"/>
  <c r="R779" i="11"/>
  <c r="S779" i="11"/>
  <c r="P780" i="11"/>
  <c r="L780" i="11"/>
  <c r="M780" i="11"/>
  <c r="N780" i="11"/>
  <c r="Q780" i="11"/>
  <c r="R780" i="11"/>
  <c r="S780" i="11"/>
  <c r="P781" i="11"/>
  <c r="L781" i="11"/>
  <c r="M781" i="11"/>
  <c r="N781" i="11"/>
  <c r="Q781" i="11"/>
  <c r="R781" i="11"/>
  <c r="S781" i="11"/>
  <c r="P782" i="11"/>
  <c r="L782" i="11"/>
  <c r="M782" i="11"/>
  <c r="N782" i="11"/>
  <c r="Q782" i="11"/>
  <c r="R782" i="11"/>
  <c r="S782" i="11"/>
  <c r="L783" i="11"/>
  <c r="M783" i="11"/>
  <c r="N783" i="11"/>
  <c r="Q783" i="11"/>
  <c r="R783" i="11"/>
  <c r="S783" i="11"/>
  <c r="P784" i="11"/>
  <c r="L784" i="11"/>
  <c r="M784" i="11"/>
  <c r="N784" i="11"/>
  <c r="Q784" i="11"/>
  <c r="R784" i="11"/>
  <c r="S784" i="11"/>
  <c r="L785" i="11"/>
  <c r="M785" i="11"/>
  <c r="N785" i="11"/>
  <c r="P785" i="11"/>
  <c r="Q785" i="11"/>
  <c r="R785" i="11"/>
  <c r="S785" i="11"/>
  <c r="L786" i="11"/>
  <c r="M786" i="11"/>
  <c r="N786" i="11"/>
  <c r="Q786" i="11"/>
  <c r="R786" i="11"/>
  <c r="S786" i="11"/>
  <c r="L787" i="11"/>
  <c r="M787" i="11"/>
  <c r="N787" i="11"/>
  <c r="Q787" i="11"/>
  <c r="R787" i="11"/>
  <c r="S787" i="11"/>
  <c r="L788" i="11"/>
  <c r="M788" i="11"/>
  <c r="N788" i="11"/>
  <c r="Q788" i="11"/>
  <c r="R788" i="11"/>
  <c r="S788" i="11"/>
  <c r="L789" i="11"/>
  <c r="M789" i="11"/>
  <c r="N789" i="11"/>
  <c r="Q789" i="11"/>
  <c r="R789" i="11"/>
  <c r="S789" i="11"/>
  <c r="L790" i="11"/>
  <c r="M790" i="11"/>
  <c r="N790" i="11"/>
  <c r="P790" i="11"/>
  <c r="Q790" i="11"/>
  <c r="R790" i="11"/>
  <c r="S790" i="11"/>
  <c r="L791" i="11"/>
  <c r="M791" i="11"/>
  <c r="N791" i="11"/>
  <c r="P791" i="11"/>
  <c r="Q791" i="11"/>
  <c r="R791" i="11"/>
  <c r="S791" i="11"/>
  <c r="L792" i="11"/>
  <c r="M792" i="11"/>
  <c r="N792" i="11"/>
  <c r="P792" i="11"/>
  <c r="Q792" i="11"/>
  <c r="R792" i="11"/>
  <c r="S792" i="11"/>
  <c r="L793" i="11"/>
  <c r="M793" i="11"/>
  <c r="N793" i="11"/>
  <c r="Q793" i="11"/>
  <c r="R793" i="11"/>
  <c r="S793" i="11"/>
  <c r="L794" i="11"/>
  <c r="M794" i="11"/>
  <c r="N794" i="11"/>
  <c r="P794" i="11"/>
  <c r="Q794" i="11"/>
  <c r="R794" i="11"/>
  <c r="S794" i="11"/>
  <c r="L795" i="11"/>
  <c r="M795" i="11"/>
  <c r="N795" i="11"/>
  <c r="P795" i="11"/>
  <c r="Q795" i="11"/>
  <c r="R795" i="11"/>
  <c r="S795" i="11"/>
  <c r="L796" i="11"/>
  <c r="M796" i="11"/>
  <c r="N796" i="11"/>
  <c r="P796" i="11"/>
  <c r="Q796" i="11"/>
  <c r="R796" i="11"/>
  <c r="S796" i="11"/>
  <c r="L797" i="11"/>
  <c r="M797" i="11"/>
  <c r="N797" i="11"/>
  <c r="P797" i="11"/>
  <c r="Q797" i="11"/>
  <c r="R797" i="11"/>
  <c r="S797" i="11"/>
  <c r="L798" i="11"/>
  <c r="M798" i="11"/>
  <c r="N798" i="11"/>
  <c r="P798" i="11"/>
  <c r="Q798" i="11"/>
  <c r="R798" i="11"/>
  <c r="S798" i="11"/>
  <c r="L799" i="11"/>
  <c r="M799" i="11"/>
  <c r="N799" i="11"/>
  <c r="P799" i="11"/>
  <c r="Q799" i="11"/>
  <c r="R799" i="11"/>
  <c r="S799" i="11"/>
  <c r="L800" i="11"/>
  <c r="M800" i="11"/>
  <c r="N800" i="11"/>
  <c r="P800" i="11"/>
  <c r="Q800" i="11"/>
  <c r="R800" i="11"/>
  <c r="S800" i="11"/>
  <c r="L801" i="11"/>
  <c r="M801" i="11"/>
  <c r="N801" i="11"/>
  <c r="Q801" i="11"/>
  <c r="R801" i="11"/>
  <c r="S801" i="11"/>
  <c r="L802" i="11"/>
  <c r="M802" i="11"/>
  <c r="N802" i="11"/>
  <c r="P802" i="11"/>
  <c r="Q802" i="11"/>
  <c r="R802" i="11"/>
  <c r="S802" i="11"/>
  <c r="L803" i="11"/>
  <c r="M803" i="11"/>
  <c r="N803" i="11"/>
  <c r="P803" i="11"/>
  <c r="Q803" i="11"/>
  <c r="R803" i="11"/>
  <c r="S803" i="11"/>
  <c r="L804" i="11"/>
  <c r="M804" i="11"/>
  <c r="N804" i="11"/>
  <c r="Q804" i="11"/>
  <c r="R804" i="11"/>
  <c r="S804" i="11"/>
  <c r="L805" i="11"/>
  <c r="M805" i="11"/>
  <c r="N805" i="11"/>
  <c r="Q805" i="11"/>
  <c r="R805" i="11"/>
  <c r="S805" i="11"/>
  <c r="L806" i="11"/>
  <c r="M806" i="11"/>
  <c r="N806" i="11"/>
  <c r="P806" i="11"/>
  <c r="Q806" i="11"/>
  <c r="R806" i="11"/>
  <c r="S806" i="11"/>
  <c r="L807" i="11"/>
  <c r="M807" i="11"/>
  <c r="N807" i="11"/>
  <c r="P807" i="11"/>
  <c r="Q807" i="11"/>
  <c r="R807" i="11"/>
  <c r="S807" i="11"/>
  <c r="L808" i="11"/>
  <c r="M808" i="11"/>
  <c r="N808" i="11"/>
  <c r="P808" i="11"/>
  <c r="Q808" i="11"/>
  <c r="R808" i="11"/>
  <c r="S808" i="11"/>
  <c r="L809" i="11"/>
  <c r="M809" i="11"/>
  <c r="N809" i="11"/>
  <c r="Q809" i="11"/>
  <c r="R809" i="11"/>
  <c r="S809" i="11"/>
  <c r="L810" i="11"/>
  <c r="M810" i="11"/>
  <c r="N810" i="11"/>
  <c r="P810" i="11"/>
  <c r="Q810" i="11"/>
  <c r="R810" i="11"/>
  <c r="S810" i="11"/>
  <c r="L811" i="11"/>
  <c r="M811" i="11"/>
  <c r="N811" i="11"/>
  <c r="P811" i="11"/>
  <c r="Q811" i="11"/>
  <c r="R811" i="11"/>
  <c r="S811" i="11"/>
  <c r="L812" i="11"/>
  <c r="M812" i="11"/>
  <c r="N812" i="11"/>
  <c r="P812" i="11"/>
  <c r="Q812" i="11"/>
  <c r="R812" i="11"/>
  <c r="S812" i="11"/>
  <c r="L813" i="11"/>
  <c r="M813" i="11"/>
  <c r="N813" i="11"/>
  <c r="P813" i="11"/>
  <c r="Q813" i="11"/>
  <c r="R813" i="11"/>
  <c r="S813" i="11"/>
  <c r="L814" i="11"/>
  <c r="M814" i="11"/>
  <c r="N814" i="11"/>
  <c r="Q814" i="11"/>
  <c r="R814" i="11"/>
  <c r="S814" i="11"/>
  <c r="L815" i="11"/>
  <c r="M815" i="11"/>
  <c r="N815" i="11"/>
  <c r="P815" i="11"/>
  <c r="Q815" i="11"/>
  <c r="R815" i="11"/>
  <c r="S815" i="11"/>
  <c r="L816" i="11"/>
  <c r="M816" i="11"/>
  <c r="N816" i="11"/>
  <c r="P816" i="11"/>
  <c r="Q816" i="11"/>
  <c r="R816" i="11"/>
  <c r="S816" i="11"/>
  <c r="L817" i="11"/>
  <c r="M817" i="11"/>
  <c r="N817" i="11"/>
  <c r="P817" i="11"/>
  <c r="Q817" i="11"/>
  <c r="R817" i="11"/>
  <c r="S817" i="11"/>
  <c r="L818" i="11"/>
  <c r="M818" i="11"/>
  <c r="N818" i="11"/>
  <c r="P818" i="11"/>
  <c r="Q818" i="11"/>
  <c r="R818" i="11"/>
  <c r="S818" i="11"/>
  <c r="L819" i="11"/>
  <c r="M819" i="11"/>
  <c r="N819" i="11"/>
  <c r="P819" i="11"/>
  <c r="Q819" i="11"/>
  <c r="R819" i="11"/>
  <c r="S819" i="11"/>
  <c r="L820" i="11"/>
  <c r="M820" i="11"/>
  <c r="N820" i="11"/>
  <c r="Q820" i="11"/>
  <c r="R820" i="11"/>
  <c r="S820" i="11"/>
  <c r="L821" i="11"/>
  <c r="M821" i="11"/>
  <c r="N821" i="11"/>
  <c r="Q821" i="11"/>
  <c r="R821" i="11"/>
  <c r="S821" i="11"/>
  <c r="L822" i="11"/>
  <c r="M822" i="11"/>
  <c r="N822" i="11"/>
  <c r="P822" i="11"/>
  <c r="Q822" i="11"/>
  <c r="R822" i="11"/>
  <c r="S822" i="11"/>
  <c r="L823" i="11"/>
  <c r="M823" i="11"/>
  <c r="N823" i="11"/>
  <c r="P823" i="11"/>
  <c r="Q823" i="11"/>
  <c r="R823" i="11"/>
  <c r="S823" i="11"/>
  <c r="L824" i="11"/>
  <c r="M824" i="11"/>
  <c r="N824" i="11"/>
  <c r="P824" i="11"/>
  <c r="Q824" i="11"/>
  <c r="R824" i="11"/>
  <c r="S824" i="11"/>
  <c r="L825" i="11"/>
  <c r="M825" i="11"/>
  <c r="N825" i="11"/>
  <c r="Q825" i="11"/>
  <c r="R825" i="11"/>
  <c r="S825" i="11"/>
  <c r="L826" i="11"/>
  <c r="M826" i="11"/>
  <c r="N826" i="11"/>
  <c r="Q826" i="11"/>
  <c r="R826" i="11"/>
  <c r="S826" i="11"/>
  <c r="L827" i="11"/>
  <c r="M827" i="11"/>
  <c r="N827" i="11"/>
  <c r="Q827" i="11"/>
  <c r="R827" i="11"/>
  <c r="S827" i="11"/>
  <c r="L828" i="11"/>
  <c r="M828" i="11"/>
  <c r="N828" i="11"/>
  <c r="P828" i="11"/>
  <c r="Q828" i="11"/>
  <c r="R828" i="11"/>
  <c r="S828" i="11"/>
  <c r="L829" i="11"/>
  <c r="M829" i="11"/>
  <c r="N829" i="11"/>
  <c r="P829" i="11"/>
  <c r="Q829" i="11"/>
  <c r="R829" i="11"/>
  <c r="S829" i="11"/>
  <c r="L830" i="11"/>
  <c r="M830" i="11"/>
  <c r="N830" i="11"/>
  <c r="P830" i="11"/>
  <c r="Q830" i="11"/>
  <c r="R830" i="11"/>
  <c r="S830" i="11"/>
  <c r="L831" i="11"/>
  <c r="M831" i="11"/>
  <c r="N831" i="11"/>
  <c r="P831" i="11"/>
  <c r="Q831" i="11"/>
  <c r="R831" i="11"/>
  <c r="S831" i="11"/>
  <c r="L832" i="11"/>
  <c r="M832" i="11"/>
  <c r="N832" i="11"/>
  <c r="P832" i="11"/>
  <c r="Q832" i="11"/>
  <c r="R832" i="11"/>
  <c r="S832" i="11"/>
  <c r="L833" i="11"/>
  <c r="M833" i="11"/>
  <c r="N833" i="11"/>
  <c r="P833" i="11"/>
  <c r="Q833" i="11"/>
  <c r="R833" i="11"/>
  <c r="S833" i="11"/>
  <c r="L834" i="11"/>
  <c r="M834" i="11"/>
  <c r="N834" i="11"/>
  <c r="Q834" i="11"/>
  <c r="R834" i="11"/>
  <c r="S834" i="11"/>
  <c r="L835" i="11"/>
  <c r="M835" i="11"/>
  <c r="N835" i="11"/>
  <c r="Q835" i="11"/>
  <c r="R835" i="11"/>
  <c r="S835" i="11"/>
  <c r="L836" i="11"/>
  <c r="M836" i="11"/>
  <c r="N836" i="11"/>
  <c r="Q836" i="11"/>
  <c r="R836" i="11"/>
  <c r="S836" i="11"/>
  <c r="L837" i="11"/>
  <c r="M837" i="11"/>
  <c r="N837" i="11"/>
  <c r="P837" i="11"/>
  <c r="Q837" i="11"/>
  <c r="R837" i="11"/>
  <c r="S837" i="11"/>
  <c r="L838" i="11"/>
  <c r="M838" i="11"/>
  <c r="N838" i="11"/>
  <c r="Q838" i="11"/>
  <c r="R838" i="11"/>
  <c r="S838" i="11"/>
  <c r="L839" i="11"/>
  <c r="M839" i="11"/>
  <c r="N839" i="11"/>
  <c r="P839" i="11"/>
  <c r="Q839" i="11"/>
  <c r="R839" i="11"/>
  <c r="S839" i="11"/>
  <c r="L840" i="11"/>
  <c r="M840" i="11"/>
  <c r="N840" i="11"/>
  <c r="Q840" i="11"/>
  <c r="R840" i="11"/>
  <c r="S840" i="11"/>
  <c r="L841" i="11"/>
  <c r="M841" i="11"/>
  <c r="N841" i="11"/>
  <c r="Q841" i="11"/>
  <c r="R841" i="11"/>
  <c r="S841" i="11"/>
  <c r="L842" i="11"/>
  <c r="M842" i="11"/>
  <c r="N842" i="11"/>
  <c r="P842" i="11"/>
  <c r="Q842" i="11"/>
  <c r="R842" i="11"/>
  <c r="S842" i="11"/>
  <c r="L843" i="11"/>
  <c r="M843" i="11"/>
  <c r="N843" i="11"/>
  <c r="P843" i="11"/>
  <c r="Q843" i="11"/>
  <c r="R843" i="11"/>
  <c r="S843" i="11"/>
  <c r="L844" i="11"/>
  <c r="M844" i="11"/>
  <c r="N844" i="11"/>
  <c r="P844" i="11"/>
  <c r="Q844" i="11"/>
  <c r="R844" i="11"/>
  <c r="S844" i="11"/>
  <c r="L845" i="11"/>
  <c r="M845" i="11"/>
  <c r="N845" i="11"/>
  <c r="P845" i="11"/>
  <c r="Q845" i="11"/>
  <c r="R845" i="11"/>
  <c r="S845" i="11"/>
  <c r="L846" i="11"/>
  <c r="M846" i="11"/>
  <c r="N846" i="11"/>
  <c r="P846" i="11"/>
  <c r="Q846" i="11"/>
  <c r="R846" i="11"/>
  <c r="S846" i="11"/>
  <c r="L847" i="11"/>
  <c r="M847" i="11"/>
  <c r="N847" i="11"/>
  <c r="P847" i="11"/>
  <c r="Q847" i="11"/>
  <c r="R847" i="11"/>
  <c r="S847" i="11"/>
  <c r="L848" i="11"/>
  <c r="M848" i="11"/>
  <c r="N848" i="11"/>
  <c r="Q848" i="11"/>
  <c r="R848" i="11"/>
  <c r="S848" i="11"/>
  <c r="L849" i="11"/>
  <c r="M849" i="11"/>
  <c r="N849" i="11"/>
  <c r="P849" i="11"/>
  <c r="Q849" i="11"/>
  <c r="R849" i="11"/>
  <c r="S849" i="11"/>
  <c r="L850" i="11"/>
  <c r="M850" i="11"/>
  <c r="N850" i="11"/>
  <c r="Q850" i="11"/>
  <c r="R850" i="11"/>
  <c r="S850" i="11"/>
  <c r="L851" i="11"/>
  <c r="M851" i="11"/>
  <c r="N851" i="11"/>
  <c r="P851" i="11"/>
  <c r="Q851" i="11"/>
  <c r="R851" i="11"/>
  <c r="S851" i="11"/>
  <c r="L852" i="11"/>
  <c r="M852" i="11"/>
  <c r="N852" i="11"/>
  <c r="P852" i="11"/>
  <c r="Q852" i="11"/>
  <c r="R852" i="11"/>
  <c r="S852" i="11"/>
  <c r="L853" i="11"/>
  <c r="M853" i="11"/>
  <c r="N853" i="11"/>
  <c r="Q853" i="11"/>
  <c r="R853" i="11"/>
  <c r="S853" i="11"/>
  <c r="L854" i="11"/>
  <c r="M854" i="11"/>
  <c r="N854" i="11"/>
  <c r="P854" i="11"/>
  <c r="Q854" i="11"/>
  <c r="R854" i="11"/>
  <c r="S854" i="11"/>
  <c r="L855" i="11"/>
  <c r="M855" i="11"/>
  <c r="N855" i="11"/>
  <c r="P855" i="11"/>
  <c r="Q855" i="11"/>
  <c r="R855" i="11"/>
  <c r="S855" i="11"/>
  <c r="L856" i="11"/>
  <c r="M856" i="11"/>
  <c r="N856" i="11"/>
  <c r="P856" i="11"/>
  <c r="Q856" i="11"/>
  <c r="R856" i="11"/>
  <c r="S856" i="11"/>
  <c r="L857" i="11"/>
  <c r="M857" i="11"/>
  <c r="N857" i="11"/>
  <c r="Q857" i="11"/>
  <c r="R857" i="11"/>
  <c r="S857" i="11"/>
  <c r="L858" i="11"/>
  <c r="M858" i="11"/>
  <c r="N858" i="11"/>
  <c r="P858" i="11"/>
  <c r="Q858" i="11"/>
  <c r="R858" i="11"/>
  <c r="S858" i="11"/>
  <c r="L859" i="11"/>
  <c r="M859" i="11"/>
  <c r="N859" i="11"/>
  <c r="P859" i="11"/>
  <c r="Q859" i="11"/>
  <c r="R859" i="11"/>
  <c r="S859" i="11"/>
  <c r="L860" i="11"/>
  <c r="M860" i="11"/>
  <c r="N860" i="11"/>
  <c r="P860" i="11"/>
  <c r="Q860" i="11"/>
  <c r="R860" i="11"/>
  <c r="S860" i="11"/>
  <c r="L861" i="11"/>
  <c r="M861" i="11"/>
  <c r="N861" i="11"/>
  <c r="P861" i="11"/>
  <c r="Q861" i="11"/>
  <c r="R861" i="11"/>
  <c r="S861" i="11"/>
  <c r="L862" i="11"/>
  <c r="M862" i="11"/>
  <c r="N862" i="11"/>
  <c r="P862" i="11"/>
  <c r="Q862" i="11"/>
  <c r="R862" i="11"/>
  <c r="S862" i="11"/>
  <c r="L863" i="11"/>
  <c r="M863" i="11"/>
  <c r="N863" i="11"/>
  <c r="P863" i="11"/>
  <c r="Q863" i="11"/>
  <c r="R863" i="11"/>
  <c r="S863" i="11"/>
  <c r="L864" i="11"/>
  <c r="M864" i="11"/>
  <c r="N864" i="11"/>
  <c r="Q864" i="11"/>
  <c r="R864" i="11"/>
  <c r="S864" i="11"/>
  <c r="L865" i="11"/>
  <c r="M865" i="11"/>
  <c r="N865" i="11"/>
  <c r="P865" i="11"/>
  <c r="Q865" i="11"/>
  <c r="R865" i="11"/>
  <c r="S865" i="11"/>
  <c r="L866" i="11"/>
  <c r="M866" i="11"/>
  <c r="N866" i="11"/>
  <c r="Q866" i="11"/>
  <c r="R866" i="11"/>
  <c r="S866" i="11"/>
  <c r="L867" i="11"/>
  <c r="M867" i="11"/>
  <c r="N867" i="11"/>
  <c r="Q867" i="11"/>
  <c r="R867" i="11"/>
  <c r="S867" i="11"/>
  <c r="L868" i="11"/>
  <c r="M868" i="11"/>
  <c r="N868" i="11"/>
  <c r="Q868" i="11"/>
  <c r="R868" i="11"/>
  <c r="S868" i="11"/>
  <c r="L869" i="11"/>
  <c r="M869" i="11"/>
  <c r="N869" i="11"/>
  <c r="Q869" i="11"/>
  <c r="R869" i="11"/>
  <c r="S869" i="11"/>
  <c r="L870" i="11"/>
  <c r="M870" i="11"/>
  <c r="N870" i="11"/>
  <c r="P870" i="11"/>
  <c r="Q870" i="11"/>
  <c r="R870" i="11"/>
  <c r="S870" i="11"/>
  <c r="L871" i="11"/>
  <c r="M871" i="11"/>
  <c r="N871" i="11"/>
  <c r="P871" i="11"/>
  <c r="Q871" i="11"/>
  <c r="R871" i="11"/>
  <c r="S871" i="11"/>
  <c r="L872" i="11"/>
  <c r="M872" i="11"/>
  <c r="N872" i="11"/>
  <c r="P872" i="11"/>
  <c r="Q872" i="11"/>
  <c r="R872" i="11"/>
  <c r="S872" i="11"/>
  <c r="L873" i="11"/>
  <c r="M873" i="11"/>
  <c r="N873" i="11"/>
  <c r="Q873" i="11"/>
  <c r="R873" i="11"/>
  <c r="S873" i="11"/>
  <c r="L874" i="11"/>
  <c r="M874" i="11"/>
  <c r="N874" i="11"/>
  <c r="P874" i="11"/>
  <c r="Q874" i="11"/>
  <c r="R874" i="11"/>
  <c r="S874" i="11"/>
  <c r="L875" i="11"/>
  <c r="M875" i="11"/>
  <c r="N875" i="11"/>
  <c r="Q875" i="11"/>
  <c r="R875" i="11"/>
  <c r="S875" i="11"/>
  <c r="L876" i="11"/>
  <c r="M876" i="11"/>
  <c r="N876" i="11"/>
  <c r="P876" i="11"/>
  <c r="Q876" i="11"/>
  <c r="R876" i="11"/>
  <c r="S876" i="11"/>
  <c r="L877" i="11"/>
  <c r="M877" i="11"/>
  <c r="N877" i="11"/>
  <c r="Q877" i="11"/>
  <c r="R877" i="11"/>
  <c r="S877" i="11"/>
  <c r="L878" i="11"/>
  <c r="M878" i="11"/>
  <c r="N878" i="11"/>
  <c r="Q878" i="11"/>
  <c r="R878" i="11"/>
  <c r="S878" i="11"/>
  <c r="P879" i="11"/>
  <c r="L879" i="11"/>
  <c r="M879" i="11"/>
  <c r="N879" i="11"/>
  <c r="Q879" i="11"/>
  <c r="R879" i="11"/>
  <c r="S879" i="11"/>
  <c r="L880" i="11"/>
  <c r="M880" i="11"/>
  <c r="N880" i="11"/>
  <c r="P880" i="11"/>
  <c r="Q880" i="11"/>
  <c r="R880" i="11"/>
  <c r="S880" i="11"/>
  <c r="L881" i="11"/>
  <c r="M881" i="11"/>
  <c r="N881" i="11"/>
  <c r="Q881" i="11"/>
  <c r="R881" i="11"/>
  <c r="S881" i="11"/>
  <c r="P882" i="11"/>
  <c r="L882" i="11"/>
  <c r="M882" i="11"/>
  <c r="N882" i="11"/>
  <c r="Q882" i="11"/>
  <c r="R882" i="11"/>
  <c r="S882" i="11"/>
  <c r="P883" i="11"/>
  <c r="L883" i="11"/>
  <c r="M883" i="11"/>
  <c r="N883" i="11"/>
  <c r="Q883" i="11"/>
  <c r="R883" i="11"/>
  <c r="S883" i="11"/>
  <c r="L884" i="11"/>
  <c r="M884" i="11"/>
  <c r="N884" i="11"/>
  <c r="Q884" i="11"/>
  <c r="R884" i="11"/>
  <c r="S884" i="11"/>
  <c r="L885" i="11"/>
  <c r="M885" i="11"/>
  <c r="N885" i="11"/>
  <c r="Q885" i="11"/>
  <c r="R885" i="11"/>
  <c r="S885" i="11"/>
  <c r="L886" i="11"/>
  <c r="M886" i="11"/>
  <c r="N886" i="11"/>
  <c r="Q886" i="11"/>
  <c r="R886" i="11"/>
  <c r="S886" i="11"/>
  <c r="L887" i="11"/>
  <c r="M887" i="11"/>
  <c r="N887" i="11"/>
  <c r="Q887" i="11"/>
  <c r="R887" i="11"/>
  <c r="S887" i="11"/>
  <c r="P888" i="11"/>
  <c r="L888" i="11"/>
  <c r="M888" i="11"/>
  <c r="N888" i="11"/>
  <c r="Q888" i="11"/>
  <c r="R888" i="11"/>
  <c r="S888" i="11"/>
  <c r="L889" i="11"/>
  <c r="M889" i="11"/>
  <c r="N889" i="11"/>
  <c r="Q889" i="11"/>
  <c r="R889" i="11"/>
  <c r="S889" i="11"/>
  <c r="P890" i="11"/>
  <c r="L890" i="11"/>
  <c r="M890" i="11"/>
  <c r="N890" i="11"/>
  <c r="Q890" i="11"/>
  <c r="R890" i="11"/>
  <c r="S890" i="11"/>
  <c r="P891" i="11"/>
  <c r="L891" i="11"/>
  <c r="M891" i="11"/>
  <c r="N891" i="11"/>
  <c r="Q891" i="11"/>
  <c r="R891" i="11"/>
  <c r="S891" i="11"/>
  <c r="P892" i="11"/>
  <c r="L892" i="11"/>
  <c r="M892" i="11"/>
  <c r="N892" i="11"/>
  <c r="Q892" i="11"/>
  <c r="R892" i="11"/>
  <c r="S892" i="11"/>
  <c r="P893" i="11"/>
  <c r="L893" i="11"/>
  <c r="M893" i="11"/>
  <c r="N893" i="11"/>
  <c r="Q893" i="11"/>
  <c r="R893" i="11"/>
  <c r="S893" i="11"/>
  <c r="P894" i="11"/>
  <c r="L894" i="11"/>
  <c r="M894" i="11"/>
  <c r="N894" i="11"/>
  <c r="Q894" i="11"/>
  <c r="R894" i="11"/>
  <c r="S894" i="11"/>
  <c r="P895" i="11"/>
  <c r="L895" i="11"/>
  <c r="M895" i="11"/>
  <c r="N895" i="11"/>
  <c r="Q895" i="11"/>
  <c r="R895" i="11"/>
  <c r="S895" i="11"/>
  <c r="P896" i="11"/>
  <c r="L896" i="11"/>
  <c r="M896" i="11"/>
  <c r="N896" i="11"/>
  <c r="Q896" i="11"/>
  <c r="R896" i="11"/>
  <c r="S896" i="11"/>
  <c r="P897" i="11"/>
  <c r="L897" i="11"/>
  <c r="M897" i="11"/>
  <c r="N897" i="11"/>
  <c r="Q897" i="11"/>
  <c r="R897" i="11"/>
  <c r="S897" i="11"/>
  <c r="P898" i="11"/>
  <c r="L898" i="11"/>
  <c r="M898" i="11"/>
  <c r="N898" i="11"/>
  <c r="Q898" i="11"/>
  <c r="R898" i="11"/>
  <c r="S898" i="11"/>
  <c r="L899" i="11"/>
  <c r="M899" i="11"/>
  <c r="N899" i="11"/>
  <c r="Q899" i="11"/>
  <c r="R899" i="11"/>
  <c r="S899" i="11"/>
  <c r="L900" i="11"/>
  <c r="M900" i="11"/>
  <c r="N900" i="11"/>
  <c r="Q900" i="11"/>
  <c r="R900" i="11"/>
  <c r="S900" i="11"/>
  <c r="L901" i="11"/>
  <c r="M901" i="11"/>
  <c r="N901" i="11"/>
  <c r="Q901" i="11"/>
  <c r="R901" i="11"/>
  <c r="S901" i="11"/>
  <c r="L902" i="11"/>
  <c r="M902" i="11"/>
  <c r="N902" i="11"/>
  <c r="Q902" i="11"/>
  <c r="R902" i="11"/>
  <c r="S902" i="11"/>
  <c r="L903" i="11"/>
  <c r="M903" i="11"/>
  <c r="N903" i="11"/>
  <c r="Q903" i="11"/>
  <c r="R903" i="11"/>
  <c r="S903" i="11"/>
  <c r="P904" i="11"/>
  <c r="L904" i="11"/>
  <c r="M904" i="11"/>
  <c r="N904" i="11"/>
  <c r="Q904" i="11"/>
  <c r="R904" i="11"/>
  <c r="S904" i="11"/>
  <c r="L905" i="11"/>
  <c r="M905" i="11"/>
  <c r="N905" i="11"/>
  <c r="Q905" i="11"/>
  <c r="R905" i="11"/>
  <c r="S905" i="11"/>
  <c r="P906" i="11"/>
  <c r="L906" i="11"/>
  <c r="M906" i="11"/>
  <c r="N906" i="11"/>
  <c r="Q906" i="11"/>
  <c r="R906" i="11"/>
  <c r="S906" i="11"/>
  <c r="P907" i="11"/>
  <c r="L907" i="11"/>
  <c r="M907" i="11"/>
  <c r="N907" i="11"/>
  <c r="Q907" i="11"/>
  <c r="R907" i="11"/>
  <c r="S907" i="11"/>
  <c r="P908" i="11"/>
  <c r="L908" i="11"/>
  <c r="M908" i="11"/>
  <c r="N908" i="11"/>
  <c r="Q908" i="11"/>
  <c r="R908" i="11"/>
  <c r="S908" i="11"/>
  <c r="P909" i="11"/>
  <c r="L909" i="11"/>
  <c r="M909" i="11"/>
  <c r="N909" i="11"/>
  <c r="Q909" i="11"/>
  <c r="R909" i="11"/>
  <c r="S909" i="11"/>
  <c r="L910" i="11"/>
  <c r="M910" i="11"/>
  <c r="N910" i="11"/>
  <c r="Q910" i="11"/>
  <c r="R910" i="11"/>
  <c r="S910" i="11"/>
  <c r="P911" i="11"/>
  <c r="L911" i="11"/>
  <c r="M911" i="11"/>
  <c r="N911" i="11"/>
  <c r="Q911" i="11"/>
  <c r="R911" i="11"/>
  <c r="S911" i="11"/>
  <c r="P912" i="11"/>
  <c r="L912" i="11"/>
  <c r="M912" i="11"/>
  <c r="N912" i="11"/>
  <c r="Q912" i="11"/>
  <c r="R912" i="11"/>
  <c r="S912" i="11"/>
  <c r="P913" i="11"/>
  <c r="L913" i="11"/>
  <c r="M913" i="11"/>
  <c r="N913" i="11"/>
  <c r="Q913" i="11"/>
  <c r="R913" i="11"/>
  <c r="S913" i="11"/>
  <c r="P914" i="11"/>
  <c r="L914" i="11"/>
  <c r="M914" i="11"/>
  <c r="N914" i="11"/>
  <c r="Q914" i="11"/>
  <c r="R914" i="11"/>
  <c r="S914" i="11"/>
  <c r="L915" i="11"/>
  <c r="M915" i="11"/>
  <c r="N915" i="11"/>
  <c r="Q915" i="11"/>
  <c r="R915" i="11"/>
  <c r="S915" i="11"/>
  <c r="L916" i="11"/>
  <c r="M916" i="11"/>
  <c r="N916" i="11"/>
  <c r="Q916" i="11"/>
  <c r="R916" i="11"/>
  <c r="S916" i="11"/>
  <c r="L917" i="11"/>
  <c r="M917" i="11"/>
  <c r="N917" i="11"/>
  <c r="Q917" i="11"/>
  <c r="R917" i="11"/>
  <c r="S917" i="11"/>
  <c r="P918" i="11"/>
  <c r="L918" i="11"/>
  <c r="M918" i="11"/>
  <c r="N918" i="11"/>
  <c r="Q918" i="11"/>
  <c r="R918" i="11"/>
  <c r="S918" i="11"/>
  <c r="P919" i="11"/>
  <c r="L919" i="11"/>
  <c r="M919" i="11"/>
  <c r="N919" i="11"/>
  <c r="Q919" i="11"/>
  <c r="R919" i="11"/>
  <c r="S919" i="11"/>
  <c r="P920" i="11"/>
  <c r="L920" i="11"/>
  <c r="M920" i="11"/>
  <c r="N920" i="11"/>
  <c r="Q920" i="11"/>
  <c r="R920" i="11"/>
  <c r="S920" i="11"/>
  <c r="L921" i="11"/>
  <c r="M921" i="11"/>
  <c r="N921" i="11"/>
  <c r="Q921" i="11"/>
  <c r="R921" i="11"/>
  <c r="S921" i="11"/>
  <c r="L922" i="11"/>
  <c r="M922" i="11"/>
  <c r="N922" i="11"/>
  <c r="Q922" i="11"/>
  <c r="R922" i="11"/>
  <c r="S922" i="11"/>
  <c r="P923" i="11"/>
  <c r="L923" i="11"/>
  <c r="M923" i="11"/>
  <c r="N923" i="11"/>
  <c r="Q923" i="11"/>
  <c r="R923" i="11"/>
  <c r="S923" i="11"/>
  <c r="P924" i="11"/>
  <c r="L924" i="11"/>
  <c r="M924" i="11"/>
  <c r="N924" i="11"/>
  <c r="Q924" i="11"/>
  <c r="R924" i="11"/>
  <c r="S924" i="11"/>
  <c r="P925" i="11"/>
  <c r="L925" i="11"/>
  <c r="M925" i="11"/>
  <c r="N925" i="11"/>
  <c r="Q925" i="11"/>
  <c r="R925" i="11"/>
  <c r="S925" i="11"/>
  <c r="P926" i="11"/>
  <c r="L926" i="11"/>
  <c r="M926" i="11"/>
  <c r="N926" i="11"/>
  <c r="Q926" i="11"/>
  <c r="R926" i="11"/>
  <c r="S926" i="11"/>
  <c r="P927" i="11"/>
  <c r="L927" i="11"/>
  <c r="M927" i="11"/>
  <c r="N927" i="11"/>
  <c r="Q927" i="11"/>
  <c r="R927" i="11"/>
  <c r="S927" i="11"/>
  <c r="L928" i="11"/>
  <c r="M928" i="11"/>
  <c r="N928" i="11"/>
  <c r="Q928" i="11"/>
  <c r="R928" i="11"/>
  <c r="S928" i="11"/>
  <c r="P929" i="11"/>
  <c r="L929" i="11"/>
  <c r="M929" i="11"/>
  <c r="N929" i="11"/>
  <c r="Q929" i="11"/>
  <c r="R929" i="11"/>
  <c r="S929" i="11"/>
  <c r="P930" i="11"/>
  <c r="L930" i="11"/>
  <c r="M930" i="11"/>
  <c r="N930" i="11"/>
  <c r="Q930" i="11"/>
  <c r="R930" i="11"/>
  <c r="S930" i="11"/>
  <c r="L931" i="11"/>
  <c r="M931" i="11"/>
  <c r="N931" i="11"/>
  <c r="Q931" i="11"/>
  <c r="R931" i="11"/>
  <c r="S931" i="11"/>
  <c r="L932" i="11"/>
  <c r="M932" i="11"/>
  <c r="N932" i="11"/>
  <c r="Q932" i="11"/>
  <c r="R932" i="11"/>
  <c r="S932" i="11"/>
  <c r="L933" i="11"/>
  <c r="M933" i="11"/>
  <c r="N933" i="11"/>
  <c r="Q933" i="11"/>
  <c r="R933" i="11"/>
  <c r="S933" i="11"/>
  <c r="L934" i="11"/>
  <c r="M934" i="11"/>
  <c r="N934" i="11"/>
  <c r="Q934" i="11"/>
  <c r="R934" i="11"/>
  <c r="S934" i="11"/>
  <c r="P935" i="11"/>
  <c r="L935" i="11"/>
  <c r="M935" i="11"/>
  <c r="N935" i="11"/>
  <c r="Q935" i="11"/>
  <c r="R935" i="11"/>
  <c r="S935" i="11"/>
  <c r="P936" i="11"/>
  <c r="L936" i="11"/>
  <c r="M936" i="11"/>
  <c r="N936" i="11"/>
  <c r="Q936" i="11"/>
  <c r="R936" i="11"/>
  <c r="S936" i="11"/>
  <c r="L937" i="11"/>
  <c r="M937" i="11"/>
  <c r="N937" i="11"/>
  <c r="Q937" i="11"/>
  <c r="R937" i="11"/>
  <c r="S937" i="11"/>
  <c r="P938" i="11"/>
  <c r="L938" i="11"/>
  <c r="M938" i="11"/>
  <c r="N938" i="11"/>
  <c r="Q938" i="11"/>
  <c r="R938" i="11"/>
  <c r="S938" i="11"/>
  <c r="P939" i="11"/>
  <c r="L939" i="11"/>
  <c r="M939" i="11"/>
  <c r="N939" i="11"/>
  <c r="Q939" i="11"/>
  <c r="R939" i="11"/>
  <c r="S939" i="11"/>
  <c r="L940" i="11"/>
  <c r="M940" i="11"/>
  <c r="N940" i="11"/>
  <c r="Q940" i="11"/>
  <c r="R940" i="11"/>
  <c r="S940" i="11"/>
  <c r="P941" i="11"/>
  <c r="L941" i="11"/>
  <c r="M941" i="11"/>
  <c r="N941" i="11"/>
  <c r="Q941" i="11"/>
  <c r="R941" i="11"/>
  <c r="S941" i="11"/>
  <c r="P942" i="11"/>
  <c r="L942" i="11"/>
  <c r="M942" i="11"/>
  <c r="N942" i="11"/>
  <c r="Q942" i="11"/>
  <c r="R942" i="11"/>
  <c r="S942" i="11"/>
  <c r="P943" i="11"/>
  <c r="L943" i="11"/>
  <c r="M943" i="11"/>
  <c r="N943" i="11"/>
  <c r="Q943" i="11"/>
  <c r="R943" i="11"/>
  <c r="S943" i="11"/>
  <c r="P944" i="11"/>
  <c r="L944" i="11"/>
  <c r="M944" i="11"/>
  <c r="N944" i="11"/>
  <c r="Q944" i="11"/>
  <c r="R944" i="11"/>
  <c r="S944" i="11"/>
  <c r="P945" i="11"/>
  <c r="L945" i="11"/>
  <c r="M945" i="11"/>
  <c r="N945" i="11"/>
  <c r="Q945" i="11"/>
  <c r="R945" i="11"/>
  <c r="S945" i="11"/>
  <c r="L946" i="11"/>
  <c r="M946" i="11"/>
  <c r="N946" i="11"/>
  <c r="Q946" i="11"/>
  <c r="R946" i="11"/>
  <c r="S946" i="11"/>
  <c r="L947" i="11"/>
  <c r="M947" i="11"/>
  <c r="N947" i="11"/>
  <c r="Q947" i="11"/>
  <c r="R947" i="11"/>
  <c r="S947" i="11"/>
  <c r="L948" i="11"/>
  <c r="M948" i="11"/>
  <c r="N948" i="11"/>
  <c r="Q948" i="11"/>
  <c r="R948" i="11"/>
  <c r="S948" i="11"/>
  <c r="L949" i="11"/>
  <c r="M949" i="11"/>
  <c r="N949" i="11"/>
  <c r="Q949" i="11"/>
  <c r="R949" i="11"/>
  <c r="S949" i="11"/>
  <c r="P950" i="11"/>
  <c r="L950" i="11"/>
  <c r="M950" i="11"/>
  <c r="N950" i="11"/>
  <c r="Q950" i="11"/>
  <c r="R950" i="11"/>
  <c r="S950" i="11"/>
  <c r="P951" i="11"/>
  <c r="L951" i="11"/>
  <c r="M951" i="11"/>
  <c r="N951" i="11"/>
  <c r="Q951" i="11"/>
  <c r="R951" i="11"/>
  <c r="S951" i="11"/>
  <c r="P952" i="11"/>
  <c r="L952" i="11"/>
  <c r="M952" i="11"/>
  <c r="N952" i="11"/>
  <c r="Q952" i="11"/>
  <c r="R952" i="11"/>
  <c r="S952" i="11"/>
  <c r="L953" i="11"/>
  <c r="M953" i="11"/>
  <c r="N953" i="11"/>
  <c r="Q953" i="11"/>
  <c r="R953" i="11"/>
  <c r="S953" i="11"/>
  <c r="P954" i="11"/>
  <c r="L954" i="11"/>
  <c r="M954" i="11"/>
  <c r="N954" i="11"/>
  <c r="Q954" i="11"/>
  <c r="R954" i="11"/>
  <c r="S954" i="11"/>
  <c r="P955" i="11"/>
  <c r="L955" i="11"/>
  <c r="M955" i="11"/>
  <c r="N955" i="11"/>
  <c r="Q955" i="11"/>
  <c r="R955" i="11"/>
  <c r="S955" i="11"/>
  <c r="P956" i="11"/>
  <c r="L956" i="11"/>
  <c r="M956" i="11"/>
  <c r="N956" i="11"/>
  <c r="Q956" i="11"/>
  <c r="R956" i="11"/>
  <c r="S956" i="11"/>
  <c r="P957" i="11"/>
  <c r="L957" i="11"/>
  <c r="M957" i="11"/>
  <c r="N957" i="11"/>
  <c r="Q957" i="11"/>
  <c r="R957" i="11"/>
  <c r="S957" i="11"/>
  <c r="P958" i="11"/>
  <c r="L958" i="11"/>
  <c r="M958" i="11"/>
  <c r="N958" i="11"/>
  <c r="Q958" i="11"/>
  <c r="R958" i="11"/>
  <c r="S958" i="11"/>
  <c r="P959" i="11"/>
  <c r="L959" i="11"/>
  <c r="M959" i="11"/>
  <c r="N959" i="11"/>
  <c r="Q959" i="11"/>
  <c r="R959" i="11"/>
  <c r="S959" i="11"/>
  <c r="L960" i="11"/>
  <c r="M960" i="11"/>
  <c r="N960" i="11"/>
  <c r="Q960" i="11"/>
  <c r="R960" i="11"/>
  <c r="S960" i="11"/>
  <c r="L961" i="11"/>
  <c r="M961" i="11"/>
  <c r="N961" i="11"/>
  <c r="Q961" i="11"/>
  <c r="R961" i="11"/>
  <c r="S961" i="11"/>
  <c r="P962" i="11"/>
  <c r="L962" i="11"/>
  <c r="M962" i="11"/>
  <c r="N962" i="11"/>
  <c r="Q962" i="11"/>
  <c r="R962" i="11"/>
  <c r="S962" i="11"/>
  <c r="P963" i="11"/>
  <c r="L963" i="11"/>
  <c r="M963" i="11"/>
  <c r="N963" i="11"/>
  <c r="Q963" i="11"/>
  <c r="R963" i="11"/>
  <c r="S963" i="11"/>
  <c r="P964" i="11"/>
  <c r="L964" i="11"/>
  <c r="M964" i="11"/>
  <c r="N964" i="11"/>
  <c r="Q964" i="11"/>
  <c r="R964" i="11"/>
  <c r="S964" i="11"/>
  <c r="L965" i="11"/>
  <c r="M965" i="11"/>
  <c r="N965" i="11"/>
  <c r="Q965" i="11"/>
  <c r="R965" i="11"/>
  <c r="S965" i="11"/>
  <c r="P966" i="11"/>
  <c r="L966" i="11"/>
  <c r="M966" i="11"/>
  <c r="N966" i="11"/>
  <c r="Q966" i="11"/>
  <c r="R966" i="11"/>
  <c r="S966" i="11"/>
  <c r="P967" i="11"/>
  <c r="L967" i="11"/>
  <c r="M967" i="11"/>
  <c r="N967" i="11"/>
  <c r="Q967" i="11"/>
  <c r="R967" i="11"/>
  <c r="S967" i="11"/>
  <c r="L968" i="11"/>
  <c r="M968" i="11"/>
  <c r="N968" i="11"/>
  <c r="P968" i="11"/>
  <c r="Q968" i="11"/>
  <c r="R968" i="11"/>
  <c r="S968" i="11"/>
  <c r="L969" i="11"/>
  <c r="M969" i="11"/>
  <c r="N969" i="11"/>
  <c r="Q969" i="11"/>
  <c r="R969" i="11"/>
  <c r="S969" i="11"/>
  <c r="L970" i="11"/>
  <c r="M970" i="11"/>
  <c r="N970" i="11"/>
  <c r="P970" i="11"/>
  <c r="Q970" i="11"/>
  <c r="R970" i="11"/>
  <c r="S970" i="11"/>
  <c r="P971" i="11"/>
  <c r="L971" i="11"/>
  <c r="M971" i="11"/>
  <c r="N971" i="11"/>
  <c r="Q971" i="11"/>
  <c r="R971" i="11"/>
  <c r="S971" i="11"/>
  <c r="L972" i="11"/>
  <c r="M972" i="11"/>
  <c r="N972" i="11"/>
  <c r="Q972" i="11"/>
  <c r="R972" i="11"/>
  <c r="S972" i="11"/>
  <c r="P973" i="11"/>
  <c r="L973" i="11"/>
  <c r="M973" i="11"/>
  <c r="N973" i="11"/>
  <c r="Q973" i="11"/>
  <c r="R973" i="11"/>
  <c r="S973" i="11"/>
  <c r="P974" i="11"/>
  <c r="L974" i="11"/>
  <c r="M974" i="11"/>
  <c r="N974" i="11"/>
  <c r="Q974" i="11"/>
  <c r="R974" i="11"/>
  <c r="S974" i="11"/>
  <c r="L975" i="11"/>
  <c r="M975" i="11"/>
  <c r="N975" i="11"/>
  <c r="Q975" i="11"/>
  <c r="R975" i="11"/>
  <c r="S975" i="11"/>
  <c r="P976" i="11"/>
  <c r="L976" i="11"/>
  <c r="M976" i="11"/>
  <c r="N976" i="11"/>
  <c r="Q976" i="11"/>
  <c r="R976" i="11"/>
  <c r="S976" i="11"/>
  <c r="P977" i="11"/>
  <c r="L977" i="11"/>
  <c r="M977" i="11"/>
  <c r="N977" i="11"/>
  <c r="Q977" i="11"/>
  <c r="R977" i="11"/>
  <c r="S977" i="11"/>
  <c r="P978" i="11"/>
  <c r="L978" i="11"/>
  <c r="M978" i="11"/>
  <c r="N978" i="11"/>
  <c r="Q978" i="11"/>
  <c r="R978" i="11"/>
  <c r="S978" i="11"/>
  <c r="L979" i="11"/>
  <c r="M979" i="11"/>
  <c r="N979" i="11"/>
  <c r="Q979" i="11"/>
  <c r="R979" i="11"/>
  <c r="S979" i="11"/>
  <c r="L980" i="11"/>
  <c r="M980" i="11"/>
  <c r="N980" i="11"/>
  <c r="Q980" i="11"/>
  <c r="R980" i="11"/>
  <c r="S980" i="11"/>
  <c r="L981" i="11"/>
  <c r="M981" i="11"/>
  <c r="N981" i="11"/>
  <c r="Q981" i="11"/>
  <c r="R981" i="11"/>
  <c r="S981" i="11"/>
  <c r="L982" i="11"/>
  <c r="M982" i="11"/>
  <c r="N982" i="11"/>
  <c r="P982" i="11"/>
  <c r="Q982" i="11"/>
  <c r="R982" i="11"/>
  <c r="S982" i="11"/>
  <c r="P983" i="11"/>
  <c r="L983" i="11"/>
  <c r="M983" i="11"/>
  <c r="N983" i="11"/>
  <c r="Q983" i="11"/>
  <c r="R983" i="11"/>
  <c r="S983" i="11"/>
  <c r="L984" i="11"/>
  <c r="M984" i="11"/>
  <c r="N984" i="11"/>
  <c r="Q984" i="11"/>
  <c r="R984" i="11"/>
  <c r="S984" i="11"/>
  <c r="L985" i="11"/>
  <c r="M985" i="11"/>
  <c r="N985" i="11"/>
  <c r="Q985" i="11"/>
  <c r="R985" i="11"/>
  <c r="S985" i="11"/>
  <c r="P986" i="11"/>
  <c r="L986" i="11"/>
  <c r="M986" i="11"/>
  <c r="N986" i="11"/>
  <c r="Q986" i="11"/>
  <c r="R986" i="11"/>
  <c r="S986" i="11"/>
  <c r="P987" i="11"/>
  <c r="L987" i="11"/>
  <c r="M987" i="11"/>
  <c r="N987" i="11"/>
  <c r="Q987" i="11"/>
  <c r="R987" i="11"/>
  <c r="S987" i="11"/>
  <c r="L988" i="11"/>
  <c r="M988" i="11"/>
  <c r="N988" i="11"/>
  <c r="P988" i="11"/>
  <c r="Q988" i="11"/>
  <c r="R988" i="11"/>
  <c r="S988" i="11"/>
  <c r="P989" i="11"/>
  <c r="L989" i="11"/>
  <c r="M989" i="11"/>
  <c r="N989" i="11"/>
  <c r="Q989" i="11"/>
  <c r="R989" i="11"/>
  <c r="S989" i="11"/>
  <c r="P990" i="11"/>
  <c r="L990" i="11"/>
  <c r="M990" i="11"/>
  <c r="N990" i="11"/>
  <c r="Q990" i="11"/>
  <c r="R990" i="11"/>
  <c r="S990" i="11"/>
  <c r="L991" i="11"/>
  <c r="M991" i="11"/>
  <c r="N991" i="11"/>
  <c r="Q991" i="11"/>
  <c r="R991" i="11"/>
  <c r="S991" i="11"/>
  <c r="P992" i="11"/>
  <c r="L992" i="11"/>
  <c r="M992" i="11"/>
  <c r="N992" i="11"/>
  <c r="Q992" i="11"/>
  <c r="R992" i="11"/>
  <c r="S992" i="11"/>
  <c r="P993" i="11"/>
  <c r="L993" i="11"/>
  <c r="M993" i="11"/>
  <c r="N993" i="11"/>
  <c r="Q993" i="11"/>
  <c r="R993" i="11"/>
  <c r="S993" i="11"/>
  <c r="L994" i="11"/>
  <c r="M994" i="11"/>
  <c r="N994" i="11"/>
  <c r="Q994" i="11"/>
  <c r="R994" i="11"/>
  <c r="S994" i="11"/>
  <c r="P995" i="11"/>
  <c r="L995" i="11"/>
  <c r="M995" i="11"/>
  <c r="N995" i="11"/>
  <c r="Q995" i="11"/>
  <c r="R995" i="11"/>
  <c r="S995" i="11"/>
  <c r="P996" i="11"/>
  <c r="L996" i="11"/>
  <c r="M996" i="11"/>
  <c r="N996" i="11"/>
  <c r="Q996" i="11"/>
  <c r="R996" i="11"/>
  <c r="S996" i="11"/>
  <c r="L997" i="11"/>
  <c r="M997" i="11"/>
  <c r="N997" i="11"/>
  <c r="Q997" i="11"/>
  <c r="R997" i="11"/>
  <c r="S997" i="11"/>
  <c r="P998" i="11"/>
  <c r="L998" i="11"/>
  <c r="M998" i="11"/>
  <c r="N998" i="11"/>
  <c r="Q998" i="11"/>
  <c r="R998" i="11"/>
  <c r="S998" i="11"/>
  <c r="L999" i="11"/>
  <c r="M999" i="11"/>
  <c r="N999" i="11"/>
  <c r="Q999" i="11"/>
  <c r="R999" i="11"/>
  <c r="S999" i="11"/>
  <c r="L1000" i="11"/>
  <c r="M1000" i="11"/>
  <c r="N1000" i="11"/>
  <c r="P1000" i="11"/>
  <c r="Q1000" i="11"/>
  <c r="R1000" i="11"/>
  <c r="S1000" i="11"/>
  <c r="L1001" i="11"/>
  <c r="M1001" i="11"/>
  <c r="N1001" i="11"/>
  <c r="Q1001" i="11"/>
  <c r="R1001" i="11"/>
  <c r="S1001" i="11"/>
  <c r="L1002" i="11"/>
  <c r="M1002" i="11"/>
  <c r="N1002" i="11"/>
  <c r="P1002" i="11"/>
  <c r="Q1002" i="11"/>
  <c r="R1002" i="11"/>
  <c r="S1002" i="11"/>
  <c r="L1003" i="11"/>
  <c r="M1003" i="11"/>
  <c r="N1003" i="11"/>
  <c r="Q1003" i="11"/>
  <c r="R1003" i="11"/>
  <c r="S1003" i="11"/>
  <c r="L1004" i="11"/>
  <c r="M1004" i="11"/>
  <c r="N1004" i="11"/>
  <c r="P1004" i="11"/>
  <c r="Q1004" i="11"/>
  <c r="R1004" i="11"/>
  <c r="S1004" i="11"/>
  <c r="P1005" i="11"/>
  <c r="L1005" i="11"/>
  <c r="M1005" i="11"/>
  <c r="N1005" i="11"/>
  <c r="Q1005" i="11"/>
  <c r="R1005" i="11"/>
  <c r="S1005" i="11"/>
  <c r="L1006" i="11"/>
  <c r="M1006" i="11"/>
  <c r="N1006" i="11"/>
  <c r="P1006" i="11"/>
  <c r="Q1006" i="11"/>
  <c r="R1006" i="11"/>
  <c r="S1006" i="11"/>
  <c r="P1007" i="11"/>
  <c r="L1007" i="11"/>
  <c r="M1007" i="11"/>
  <c r="N1007" i="11"/>
  <c r="Q1007" i="11"/>
  <c r="R1007" i="11"/>
  <c r="S1007" i="11"/>
  <c r="P1008" i="11"/>
  <c r="L1008" i="11"/>
  <c r="M1008" i="11"/>
  <c r="N1008" i="11"/>
  <c r="Q1008" i="11"/>
  <c r="R1008" i="11"/>
  <c r="S1008" i="11"/>
  <c r="L1009" i="11"/>
  <c r="M1009" i="11"/>
  <c r="N1009" i="11"/>
  <c r="Q1009" i="11"/>
  <c r="R1009" i="11"/>
  <c r="S1009" i="11"/>
  <c r="L1010" i="11"/>
  <c r="M1010" i="11"/>
  <c r="N1010" i="11"/>
  <c r="Q1010" i="11"/>
  <c r="R1010" i="11"/>
  <c r="S1010" i="11"/>
  <c r="L1011" i="11"/>
  <c r="M1011" i="11"/>
  <c r="N1011" i="11"/>
  <c r="Q1011" i="11"/>
  <c r="R1011" i="11"/>
  <c r="S1011" i="11"/>
  <c r="P1012" i="11"/>
  <c r="L1012" i="11"/>
  <c r="M1012" i="11"/>
  <c r="N1012" i="11"/>
  <c r="Q1012" i="11"/>
  <c r="R1012" i="11"/>
  <c r="S1012" i="11"/>
  <c r="L1013" i="11"/>
  <c r="M1013" i="11"/>
  <c r="N1013" i="11"/>
  <c r="Q1013" i="11"/>
  <c r="R1013" i="11"/>
  <c r="S1013" i="11"/>
  <c r="L1014" i="11"/>
  <c r="M1014" i="11"/>
  <c r="N1014" i="11"/>
  <c r="P1014" i="11"/>
  <c r="Q1014" i="11"/>
  <c r="R1014" i="11"/>
  <c r="S1014" i="11"/>
  <c r="P1015" i="11"/>
  <c r="L1015" i="11"/>
  <c r="M1015" i="11"/>
  <c r="N1015" i="11"/>
  <c r="Q1015" i="11"/>
  <c r="R1015" i="11"/>
  <c r="S1015" i="11"/>
  <c r="L1016" i="11"/>
  <c r="M1016" i="11"/>
  <c r="N1016" i="11"/>
  <c r="P1016" i="11"/>
  <c r="Q1016" i="11"/>
  <c r="R1016" i="11"/>
  <c r="S1016" i="11"/>
  <c r="L1017" i="11"/>
  <c r="M1017" i="11"/>
  <c r="N1017" i="11"/>
  <c r="Q1017" i="11"/>
  <c r="R1017" i="11"/>
  <c r="S1017" i="11"/>
  <c r="P1018" i="11"/>
  <c r="L1018" i="11"/>
  <c r="M1018" i="11"/>
  <c r="N1018" i="11"/>
  <c r="Q1018" i="11"/>
  <c r="R1018" i="11"/>
  <c r="S1018" i="11"/>
  <c r="P1019" i="11"/>
  <c r="L1019" i="11"/>
  <c r="M1019" i="11"/>
  <c r="N1019" i="11"/>
  <c r="Q1019" i="11"/>
  <c r="R1019" i="11"/>
  <c r="S1019" i="11"/>
  <c r="L1020" i="11"/>
  <c r="M1020" i="11"/>
  <c r="N1020" i="11"/>
  <c r="P1020" i="11"/>
  <c r="Q1020" i="11"/>
  <c r="R1020" i="11"/>
  <c r="S1020" i="11"/>
  <c r="L1021" i="11"/>
  <c r="M1021" i="11"/>
  <c r="N1021" i="11"/>
  <c r="Q1021" i="11"/>
  <c r="R1021" i="11"/>
  <c r="S1021" i="11"/>
  <c r="P1022" i="11"/>
  <c r="L1022" i="11"/>
  <c r="M1022" i="11"/>
  <c r="N1022" i="11"/>
  <c r="Q1022" i="11"/>
  <c r="R1022" i="11"/>
  <c r="S1022" i="11"/>
  <c r="P1023" i="11"/>
  <c r="L1023" i="11"/>
  <c r="M1023" i="11"/>
  <c r="N1023" i="11"/>
  <c r="Q1023" i="11"/>
  <c r="R1023" i="11"/>
  <c r="S1023" i="11"/>
  <c r="P1024" i="11"/>
  <c r="L1024" i="11"/>
  <c r="M1024" i="11"/>
  <c r="N1024" i="11"/>
  <c r="Q1024" i="11"/>
  <c r="R1024" i="11"/>
  <c r="S1024" i="11"/>
  <c r="P1025" i="11"/>
  <c r="L1025" i="11"/>
  <c r="M1025" i="11"/>
  <c r="N1025" i="11"/>
  <c r="Q1025" i="11"/>
  <c r="R1025" i="11"/>
  <c r="S1025" i="11"/>
  <c r="L1026" i="11"/>
  <c r="M1026" i="11"/>
  <c r="N1026" i="11"/>
  <c r="P1026" i="11"/>
  <c r="Q1026" i="11"/>
  <c r="R1026" i="11"/>
  <c r="S1026" i="11"/>
  <c r="P1027" i="11"/>
  <c r="L1027" i="11"/>
  <c r="M1027" i="11"/>
  <c r="N1027" i="11"/>
  <c r="Q1027" i="11"/>
  <c r="R1027" i="11"/>
  <c r="S1027" i="11"/>
  <c r="P1028" i="11"/>
  <c r="L1028" i="11"/>
  <c r="M1028" i="11"/>
  <c r="N1028" i="11"/>
  <c r="Q1028" i="11"/>
  <c r="R1028" i="11"/>
  <c r="S1028" i="11"/>
  <c r="L1029" i="11"/>
  <c r="M1029" i="11"/>
  <c r="N1029" i="11"/>
  <c r="Q1029" i="11"/>
  <c r="R1029" i="11"/>
  <c r="S1029" i="11"/>
  <c r="L1030" i="11"/>
  <c r="M1030" i="11"/>
  <c r="N1030" i="11"/>
  <c r="P1030" i="11"/>
  <c r="Q1030" i="11"/>
  <c r="R1030" i="11"/>
  <c r="S1030" i="11"/>
  <c r="P1031" i="11"/>
  <c r="L1031" i="11"/>
  <c r="M1031" i="11"/>
  <c r="N1031" i="11"/>
  <c r="Q1031" i="11"/>
  <c r="R1031" i="11"/>
  <c r="S1031" i="11"/>
  <c r="L1032" i="11"/>
  <c r="M1032" i="11"/>
  <c r="N1032" i="11"/>
  <c r="P1032" i="11"/>
  <c r="Q1032" i="11"/>
  <c r="R1032" i="11"/>
  <c r="S1032" i="11"/>
  <c r="L1033" i="11"/>
  <c r="M1033" i="11"/>
  <c r="N1033" i="11"/>
  <c r="Q1033" i="11"/>
  <c r="R1033" i="11"/>
  <c r="S1033" i="11"/>
  <c r="L1034" i="11"/>
  <c r="M1034" i="11"/>
  <c r="N1034" i="11"/>
  <c r="P1034" i="11"/>
  <c r="Q1034" i="11"/>
  <c r="R1034" i="11"/>
  <c r="S1034" i="11"/>
  <c r="L1035" i="11"/>
  <c r="M1035" i="11"/>
  <c r="N1035" i="11"/>
  <c r="Q1035" i="11"/>
  <c r="R1035" i="11"/>
  <c r="S1035" i="11"/>
  <c r="L1036" i="11"/>
  <c r="M1036" i="11"/>
  <c r="N1036" i="11"/>
  <c r="P1036" i="11"/>
  <c r="Q1036" i="11"/>
  <c r="R1036" i="11"/>
  <c r="S1036" i="11"/>
  <c r="P1037" i="11"/>
  <c r="L1037" i="11"/>
  <c r="M1037" i="11"/>
  <c r="N1037" i="11"/>
  <c r="Q1037" i="11"/>
  <c r="R1037" i="11"/>
  <c r="S1037" i="11"/>
  <c r="L1038" i="11"/>
  <c r="M1038" i="11"/>
  <c r="N1038" i="11"/>
  <c r="P1038" i="11"/>
  <c r="Q1038" i="11"/>
  <c r="R1038" i="11"/>
  <c r="S1038" i="11"/>
  <c r="P1039" i="11"/>
  <c r="L1039" i="11"/>
  <c r="M1039" i="11"/>
  <c r="N1039" i="11"/>
  <c r="Q1039" i="11"/>
  <c r="R1039" i="11"/>
  <c r="S1039" i="11"/>
  <c r="P1040" i="11"/>
  <c r="L1040" i="11"/>
  <c r="M1040" i="11"/>
  <c r="N1040" i="11"/>
  <c r="Q1040" i="11"/>
  <c r="R1040" i="11"/>
  <c r="S1040" i="11"/>
  <c r="P1041" i="11"/>
  <c r="L1041" i="11"/>
  <c r="M1041" i="11"/>
  <c r="N1041" i="11"/>
  <c r="Q1041" i="11"/>
  <c r="R1041" i="11"/>
  <c r="S1041" i="11"/>
  <c r="P1042" i="11"/>
  <c r="L1042" i="11"/>
  <c r="M1042" i="11"/>
  <c r="N1042" i="11"/>
  <c r="Q1042" i="11"/>
  <c r="R1042" i="11"/>
  <c r="S1042" i="11"/>
  <c r="P1043" i="11"/>
  <c r="L1043" i="11"/>
  <c r="M1043" i="11"/>
  <c r="N1043" i="11"/>
  <c r="Q1043" i="11"/>
  <c r="R1043" i="11"/>
  <c r="S1043" i="11"/>
  <c r="P1044" i="11"/>
  <c r="L1044" i="11"/>
  <c r="M1044" i="11"/>
  <c r="N1044" i="11"/>
  <c r="Q1044" i="11"/>
  <c r="R1044" i="11"/>
  <c r="S1044" i="11"/>
  <c r="L1045" i="11"/>
  <c r="M1045" i="11"/>
  <c r="N1045" i="11"/>
  <c r="Q1045" i="11"/>
  <c r="R1045" i="11"/>
  <c r="S1045" i="11"/>
  <c r="P1046" i="11"/>
  <c r="L1046" i="11"/>
  <c r="M1046" i="11"/>
  <c r="N1046" i="11"/>
  <c r="Q1046" i="11"/>
  <c r="R1046" i="11"/>
  <c r="S1046" i="11"/>
  <c r="P1047" i="11"/>
  <c r="L1047" i="11"/>
  <c r="M1047" i="11"/>
  <c r="N1047" i="11"/>
  <c r="Q1047" i="11"/>
  <c r="R1047" i="11"/>
  <c r="S1047" i="11"/>
  <c r="P1048" i="11"/>
  <c r="L1048" i="11"/>
  <c r="M1048" i="11"/>
  <c r="N1048" i="11"/>
  <c r="Q1048" i="11"/>
  <c r="R1048" i="11"/>
  <c r="S1048" i="11"/>
  <c r="L1049" i="11"/>
  <c r="M1049" i="11"/>
  <c r="N1049" i="11"/>
  <c r="Q1049" i="11"/>
  <c r="R1049" i="11"/>
  <c r="S1049" i="11"/>
  <c r="P1050" i="11"/>
  <c r="L1050" i="11"/>
  <c r="M1050" i="11"/>
  <c r="N1050" i="11"/>
  <c r="Q1050" i="11"/>
  <c r="R1050" i="11"/>
  <c r="S1050" i="11"/>
  <c r="P1051" i="11"/>
  <c r="L1051" i="11"/>
  <c r="M1051" i="11"/>
  <c r="N1051" i="11"/>
  <c r="Q1051" i="11"/>
  <c r="R1051" i="11"/>
  <c r="S1051" i="11"/>
  <c r="P1052" i="11"/>
  <c r="L1052" i="11"/>
  <c r="M1052" i="11"/>
  <c r="N1052" i="11"/>
  <c r="Q1052" i="11"/>
  <c r="R1052" i="11"/>
  <c r="S1052" i="11"/>
  <c r="P1053" i="11"/>
  <c r="L1053" i="11"/>
  <c r="M1053" i="11"/>
  <c r="N1053" i="11"/>
  <c r="Q1053" i="11"/>
  <c r="R1053" i="11"/>
  <c r="S1053" i="11"/>
  <c r="P1054" i="11"/>
  <c r="L1054" i="11"/>
  <c r="M1054" i="11"/>
  <c r="N1054" i="11"/>
  <c r="Q1054" i="11"/>
  <c r="R1054" i="11"/>
  <c r="S1054" i="11"/>
  <c r="P1055" i="11"/>
  <c r="L1055" i="11"/>
  <c r="M1055" i="11"/>
  <c r="N1055" i="11"/>
  <c r="Q1055" i="11"/>
  <c r="R1055" i="11"/>
  <c r="S1055" i="11"/>
  <c r="P1056" i="11"/>
  <c r="L1056" i="11"/>
  <c r="M1056" i="11"/>
  <c r="N1056" i="11"/>
  <c r="Q1056" i="11"/>
  <c r="R1056" i="11"/>
  <c r="S1056" i="11"/>
  <c r="P1057" i="11"/>
  <c r="L1057" i="11"/>
  <c r="M1057" i="11"/>
  <c r="N1057" i="11"/>
  <c r="Q1057" i="11"/>
  <c r="R1057" i="11"/>
  <c r="S1057" i="11"/>
  <c r="P1058" i="11"/>
  <c r="L1058" i="11"/>
  <c r="M1058" i="11"/>
  <c r="N1058" i="11"/>
  <c r="Q1058" i="11"/>
  <c r="R1058" i="11"/>
  <c r="S1058" i="11"/>
  <c r="P1059" i="11"/>
  <c r="L1059" i="11"/>
  <c r="M1059" i="11"/>
  <c r="N1059" i="11"/>
  <c r="Q1059" i="11"/>
  <c r="R1059" i="11"/>
  <c r="S1059" i="11"/>
  <c r="P1060" i="11"/>
  <c r="L1060" i="11"/>
  <c r="M1060" i="11"/>
  <c r="N1060" i="11"/>
  <c r="Q1060" i="11"/>
  <c r="R1060" i="11"/>
  <c r="S1060" i="11"/>
  <c r="L1061" i="11"/>
  <c r="M1061" i="11"/>
  <c r="N1061" i="11"/>
  <c r="Q1061" i="11"/>
  <c r="R1061" i="11"/>
  <c r="S1061" i="11"/>
  <c r="P1062" i="11"/>
  <c r="L1062" i="11"/>
  <c r="M1062" i="11"/>
  <c r="N1062" i="11"/>
  <c r="Q1062" i="11"/>
  <c r="R1062" i="11"/>
  <c r="S1062" i="11"/>
  <c r="P1063" i="11"/>
  <c r="L1063" i="11"/>
  <c r="M1063" i="11"/>
  <c r="N1063" i="11"/>
  <c r="Q1063" i="11"/>
  <c r="R1063" i="11"/>
  <c r="S1063" i="11"/>
  <c r="L1064" i="11"/>
  <c r="M1064" i="11"/>
  <c r="N1064" i="11"/>
  <c r="Q1064" i="11"/>
  <c r="R1064" i="11"/>
  <c r="S1064" i="11"/>
  <c r="L1065" i="11"/>
  <c r="M1065" i="11"/>
  <c r="N1065" i="11"/>
  <c r="Q1065" i="11"/>
  <c r="R1065" i="11"/>
  <c r="S1065" i="11"/>
  <c r="P1066" i="11"/>
  <c r="L1066" i="11"/>
  <c r="M1066" i="11"/>
  <c r="N1066" i="11"/>
  <c r="Q1066" i="11"/>
  <c r="R1066" i="11"/>
  <c r="S1066" i="11"/>
  <c r="P1067" i="11"/>
  <c r="L1067" i="11"/>
  <c r="M1067" i="11"/>
  <c r="N1067" i="11"/>
  <c r="Q1067" i="11"/>
  <c r="R1067" i="11"/>
  <c r="S1067" i="11"/>
  <c r="P1068" i="11"/>
  <c r="L1068" i="11"/>
  <c r="M1068" i="11"/>
  <c r="N1068" i="11"/>
  <c r="Q1068" i="11"/>
  <c r="R1068" i="11"/>
  <c r="S1068" i="11"/>
  <c r="P1069" i="11"/>
  <c r="L1069" i="11"/>
  <c r="M1069" i="11"/>
  <c r="N1069" i="11"/>
  <c r="Q1069" i="11"/>
  <c r="R1069" i="11"/>
  <c r="S1069" i="11"/>
  <c r="P1070" i="11"/>
  <c r="L1070" i="11"/>
  <c r="M1070" i="11"/>
  <c r="N1070" i="11"/>
  <c r="Q1070" i="11"/>
  <c r="R1070" i="11"/>
  <c r="S1070" i="11"/>
  <c r="P1071" i="11"/>
  <c r="L1071" i="11"/>
  <c r="M1071" i="11"/>
  <c r="N1071" i="11"/>
  <c r="Q1071" i="11"/>
  <c r="R1071" i="11"/>
  <c r="S1071" i="11"/>
  <c r="P1072" i="11"/>
  <c r="L1072" i="11"/>
  <c r="M1072" i="11"/>
  <c r="N1072" i="11"/>
  <c r="Q1072" i="11"/>
  <c r="R1072" i="11"/>
  <c r="S1072" i="11"/>
  <c r="P1073" i="11"/>
  <c r="L1073" i="11"/>
  <c r="M1073" i="11"/>
  <c r="N1073" i="11"/>
  <c r="Q1073" i="11"/>
  <c r="R1073" i="11"/>
  <c r="S1073" i="11"/>
  <c r="P1074" i="11"/>
  <c r="L1074" i="11"/>
  <c r="M1074" i="11"/>
  <c r="N1074" i="11"/>
  <c r="Q1074" i="11"/>
  <c r="R1074" i="11"/>
  <c r="S1074" i="11"/>
  <c r="P1075" i="11"/>
  <c r="L1075" i="11"/>
  <c r="M1075" i="11"/>
  <c r="N1075" i="11"/>
  <c r="Q1075" i="11"/>
  <c r="R1075" i="11"/>
  <c r="S1075" i="11"/>
  <c r="P1076" i="11"/>
  <c r="L1076" i="11"/>
  <c r="M1076" i="11"/>
  <c r="N1076" i="11"/>
  <c r="Q1076" i="11"/>
  <c r="R1076" i="11"/>
  <c r="S1076" i="11"/>
  <c r="L1077" i="11"/>
  <c r="M1077" i="11"/>
  <c r="N1077" i="11"/>
  <c r="Q1077" i="11"/>
  <c r="R1077" i="11"/>
  <c r="S1077" i="11"/>
  <c r="L1078" i="11"/>
  <c r="M1078" i="11"/>
  <c r="N1078" i="11"/>
  <c r="Q1078" i="11"/>
  <c r="R1078" i="11"/>
  <c r="S1078" i="11"/>
  <c r="P1079" i="11"/>
  <c r="L1079" i="11"/>
  <c r="M1079" i="11"/>
  <c r="N1079" i="11"/>
  <c r="Q1079" i="11"/>
  <c r="R1079" i="11"/>
  <c r="S1079" i="11"/>
  <c r="P1080" i="11"/>
  <c r="L1080" i="11"/>
  <c r="M1080" i="11"/>
  <c r="N1080" i="11"/>
  <c r="Q1080" i="11"/>
  <c r="R1080" i="11"/>
  <c r="S1080" i="11"/>
  <c r="L1081" i="11"/>
  <c r="M1081" i="11"/>
  <c r="N1081" i="11"/>
  <c r="Q1081" i="11"/>
  <c r="R1081" i="11"/>
  <c r="S1081" i="11"/>
  <c r="P1082" i="11"/>
  <c r="L1082" i="11"/>
  <c r="M1082" i="11"/>
  <c r="N1082" i="11"/>
  <c r="Q1082" i="11"/>
  <c r="R1082" i="11"/>
  <c r="S1082" i="11"/>
  <c r="P1083" i="11"/>
  <c r="L1083" i="11"/>
  <c r="M1083" i="11"/>
  <c r="N1083" i="11"/>
  <c r="Q1083" i="11"/>
  <c r="R1083" i="11"/>
  <c r="S1083" i="11"/>
  <c r="P1084" i="11"/>
  <c r="L1084" i="11"/>
  <c r="M1084" i="11"/>
  <c r="N1084" i="11"/>
  <c r="Q1084" i="11"/>
  <c r="R1084" i="11"/>
  <c r="S1084" i="11"/>
  <c r="P1085" i="11"/>
  <c r="L1085" i="11"/>
  <c r="M1085" i="11"/>
  <c r="N1085" i="11"/>
  <c r="Q1085" i="11"/>
  <c r="R1085" i="11"/>
  <c r="S1085" i="11"/>
  <c r="P1086" i="11"/>
  <c r="L1086" i="11"/>
  <c r="M1086" i="11"/>
  <c r="N1086" i="11"/>
  <c r="Q1086" i="11"/>
  <c r="R1086" i="11"/>
  <c r="S1086" i="11"/>
  <c r="P1087" i="11"/>
  <c r="L1087" i="11"/>
  <c r="M1087" i="11"/>
  <c r="N1087" i="11"/>
  <c r="Q1087" i="11"/>
  <c r="R1087" i="11"/>
  <c r="S1087" i="11"/>
  <c r="P1088" i="11"/>
  <c r="L1088" i="11"/>
  <c r="M1088" i="11"/>
  <c r="N1088" i="11"/>
  <c r="Q1088" i="11"/>
  <c r="R1088" i="11"/>
  <c r="S1088" i="11"/>
  <c r="P1089" i="11"/>
  <c r="L1089" i="11"/>
  <c r="M1089" i="11"/>
  <c r="N1089" i="11"/>
  <c r="Q1089" i="11"/>
  <c r="R1089" i="11"/>
  <c r="S1089" i="11"/>
  <c r="P1090" i="11"/>
  <c r="L1090" i="11"/>
  <c r="M1090" i="11"/>
  <c r="N1090" i="11"/>
  <c r="Q1090" i="11"/>
  <c r="R1090" i="11"/>
  <c r="S1090" i="11"/>
  <c r="P1091" i="11"/>
  <c r="L1091" i="11"/>
  <c r="M1091" i="11"/>
  <c r="N1091" i="11"/>
  <c r="Q1091" i="11"/>
  <c r="R1091" i="11"/>
  <c r="S1091" i="11"/>
  <c r="P1092" i="11"/>
  <c r="L1092" i="11"/>
  <c r="M1092" i="11"/>
  <c r="N1092" i="11"/>
  <c r="Q1092" i="11"/>
  <c r="R1092" i="11"/>
  <c r="S1092" i="11"/>
  <c r="L1093" i="11"/>
  <c r="M1093" i="11"/>
  <c r="N1093" i="11"/>
  <c r="Q1093" i="11"/>
  <c r="R1093" i="11"/>
  <c r="S1093" i="11"/>
  <c r="P1094" i="11"/>
  <c r="L1094" i="11"/>
  <c r="M1094" i="11"/>
  <c r="N1094" i="11"/>
  <c r="Q1094" i="11"/>
  <c r="R1094" i="11"/>
  <c r="S1094" i="11"/>
  <c r="P1095" i="11"/>
  <c r="L1095" i="11"/>
  <c r="M1095" i="11"/>
  <c r="N1095" i="11"/>
  <c r="Q1095" i="11"/>
  <c r="R1095" i="11"/>
  <c r="S1095" i="11"/>
  <c r="P1096" i="11"/>
  <c r="L1096" i="11"/>
  <c r="M1096" i="11"/>
  <c r="N1096" i="11"/>
  <c r="Q1096" i="11"/>
  <c r="R1096" i="11"/>
  <c r="S1096" i="11"/>
  <c r="L1097" i="11"/>
  <c r="M1097" i="11"/>
  <c r="N1097" i="11"/>
  <c r="Q1097" i="11"/>
  <c r="R1097" i="11"/>
  <c r="S1097" i="11"/>
  <c r="P1098" i="11"/>
  <c r="L1098" i="11"/>
  <c r="M1098" i="11"/>
  <c r="N1098" i="11"/>
  <c r="Q1098" i="11"/>
  <c r="R1098" i="11"/>
  <c r="S1098" i="11"/>
  <c r="P1099" i="11"/>
  <c r="L1099" i="11"/>
  <c r="M1099" i="11"/>
  <c r="N1099" i="11"/>
  <c r="Q1099" i="11"/>
  <c r="R1099" i="11"/>
  <c r="S1099" i="11"/>
  <c r="P1100" i="11"/>
  <c r="L1100" i="11"/>
  <c r="M1100" i="11"/>
  <c r="N1100" i="11"/>
  <c r="Q1100" i="11"/>
  <c r="R1100" i="11"/>
  <c r="S1100" i="11"/>
  <c r="P1101" i="11"/>
  <c r="L1101" i="11"/>
  <c r="M1101" i="11"/>
  <c r="N1101" i="11"/>
  <c r="Q1101" i="11"/>
  <c r="R1101" i="11"/>
  <c r="S1101" i="11"/>
  <c r="P1102" i="11"/>
  <c r="L1102" i="11"/>
  <c r="M1102" i="11"/>
  <c r="N1102" i="11"/>
  <c r="Q1102" i="11"/>
  <c r="R1102" i="11"/>
  <c r="S1102" i="11"/>
  <c r="P1103" i="11"/>
  <c r="L1103" i="11"/>
  <c r="M1103" i="11"/>
  <c r="N1103" i="11"/>
  <c r="Q1103" i="11"/>
  <c r="R1103" i="11"/>
  <c r="S1103" i="11"/>
  <c r="P1104" i="11"/>
  <c r="L1104" i="11"/>
  <c r="M1104" i="11"/>
  <c r="N1104" i="11"/>
  <c r="Q1104" i="11"/>
  <c r="R1104" i="11"/>
  <c r="S1104" i="11"/>
  <c r="P1105" i="11"/>
  <c r="L1105" i="11"/>
  <c r="M1105" i="11"/>
  <c r="N1105" i="11"/>
  <c r="Q1105" i="11"/>
  <c r="R1105" i="11"/>
  <c r="S1105" i="11"/>
  <c r="P1106" i="11"/>
  <c r="L1106" i="11"/>
  <c r="M1106" i="11"/>
  <c r="N1106" i="11"/>
  <c r="Q1106" i="11"/>
  <c r="R1106" i="11"/>
  <c r="S1106" i="11"/>
  <c r="L1107" i="11"/>
  <c r="M1107" i="11"/>
  <c r="N1107" i="11"/>
  <c r="Q1107" i="11"/>
  <c r="R1107" i="11"/>
  <c r="S1107" i="11"/>
  <c r="P1108" i="11"/>
  <c r="L1108" i="11"/>
  <c r="M1108" i="11"/>
  <c r="N1108" i="11"/>
  <c r="Q1108" i="11"/>
  <c r="R1108" i="11"/>
  <c r="S1108" i="11"/>
  <c r="L1109" i="11"/>
  <c r="M1109" i="11"/>
  <c r="N1109" i="11"/>
  <c r="P1109" i="11"/>
  <c r="Q1109" i="11"/>
  <c r="R1109" i="11"/>
  <c r="S1109" i="11"/>
  <c r="P1110" i="11"/>
  <c r="L1110" i="11"/>
  <c r="M1110" i="11"/>
  <c r="N1110" i="11"/>
  <c r="Q1110" i="11"/>
  <c r="R1110" i="11"/>
  <c r="S1110" i="11"/>
  <c r="L1111" i="11"/>
  <c r="M1111" i="11"/>
  <c r="N1111" i="11"/>
  <c r="P1111" i="11"/>
  <c r="Q1111" i="11"/>
  <c r="R1111" i="11"/>
  <c r="S1111" i="11"/>
  <c r="P1112" i="11"/>
  <c r="L1112" i="11"/>
  <c r="M1112" i="11"/>
  <c r="N1112" i="11"/>
  <c r="Q1112" i="11"/>
  <c r="R1112" i="11"/>
  <c r="S1112" i="11"/>
  <c r="L1113" i="11"/>
  <c r="M1113" i="11"/>
  <c r="N1113" i="11"/>
  <c r="Q1113" i="11"/>
  <c r="R1113" i="11"/>
  <c r="S1113" i="11"/>
  <c r="P1114" i="11"/>
  <c r="L1114" i="11"/>
  <c r="M1114" i="11"/>
  <c r="N1114" i="11"/>
  <c r="Q1114" i="11"/>
  <c r="R1114" i="11"/>
  <c r="S1114" i="11"/>
  <c r="L1115" i="11"/>
  <c r="M1115" i="11"/>
  <c r="N1115" i="11"/>
  <c r="P1115" i="11"/>
  <c r="Q1115" i="11"/>
  <c r="R1115" i="11"/>
  <c r="S1115" i="11"/>
  <c r="P1116" i="11"/>
  <c r="L1116" i="11"/>
  <c r="M1116" i="11"/>
  <c r="N1116" i="11"/>
  <c r="Q1116" i="11"/>
  <c r="R1116" i="11"/>
  <c r="S1116" i="11"/>
  <c r="P1117" i="11"/>
  <c r="L1117" i="11"/>
  <c r="M1117" i="11"/>
  <c r="N1117" i="11"/>
  <c r="Q1117" i="11"/>
  <c r="R1117" i="11"/>
  <c r="S1117" i="11"/>
  <c r="P1118" i="11"/>
  <c r="L1118" i="11"/>
  <c r="M1118" i="11"/>
  <c r="N1118" i="11"/>
  <c r="Q1118" i="11"/>
  <c r="R1118" i="11"/>
  <c r="S1118" i="11"/>
  <c r="P1119" i="11"/>
  <c r="L1119" i="11"/>
  <c r="M1119" i="11"/>
  <c r="N1119" i="11"/>
  <c r="Q1119" i="11"/>
  <c r="R1119" i="11"/>
  <c r="S1119" i="11"/>
  <c r="P1120" i="11"/>
  <c r="L1120" i="11"/>
  <c r="M1120" i="11"/>
  <c r="N1120" i="11"/>
  <c r="Q1120" i="11"/>
  <c r="R1120" i="11"/>
  <c r="S1120" i="11"/>
  <c r="P1121" i="11"/>
  <c r="L1121" i="11"/>
  <c r="M1121" i="11"/>
  <c r="N1121" i="11"/>
  <c r="Q1121" i="11"/>
  <c r="R1121" i="11"/>
  <c r="S1121" i="11"/>
  <c r="L1122" i="11"/>
  <c r="M1122" i="11"/>
  <c r="N1122" i="11"/>
  <c r="Q1122" i="11"/>
  <c r="R1122" i="11"/>
  <c r="S1122" i="11"/>
  <c r="P1123" i="11"/>
  <c r="L1123" i="11"/>
  <c r="M1123" i="11"/>
  <c r="N1123" i="11"/>
  <c r="Q1123" i="11"/>
  <c r="R1123" i="11"/>
  <c r="S1123" i="11"/>
  <c r="P1124" i="11"/>
  <c r="L1124" i="11"/>
  <c r="M1124" i="11"/>
  <c r="N1124" i="11"/>
  <c r="Q1124" i="11"/>
  <c r="R1124" i="11"/>
  <c r="S1124" i="11"/>
  <c r="L1125" i="11"/>
  <c r="M1125" i="11"/>
  <c r="N1125" i="11"/>
  <c r="P1125" i="11"/>
  <c r="Q1125" i="11"/>
  <c r="R1125" i="11"/>
  <c r="S1125" i="11"/>
  <c r="P1126" i="11"/>
  <c r="L1126" i="11"/>
  <c r="M1126" i="11"/>
  <c r="N1126" i="11"/>
  <c r="Q1126" i="11"/>
  <c r="R1126" i="11"/>
  <c r="S1126" i="11"/>
  <c r="L1127" i="11"/>
  <c r="M1127" i="11"/>
  <c r="N1127" i="11"/>
  <c r="P1127" i="11"/>
  <c r="Q1127" i="11"/>
  <c r="R1127" i="11"/>
  <c r="S1127" i="11"/>
  <c r="P1128" i="11"/>
  <c r="L1128" i="11"/>
  <c r="M1128" i="11"/>
  <c r="N1128" i="11"/>
  <c r="Q1128" i="11"/>
  <c r="R1128" i="11"/>
  <c r="S1128" i="11"/>
  <c r="L1129" i="11"/>
  <c r="M1129" i="11"/>
  <c r="N1129" i="11"/>
  <c r="Q1129" i="11"/>
  <c r="R1129" i="11"/>
  <c r="S1129" i="11"/>
  <c r="P1130" i="11"/>
  <c r="L1130" i="11"/>
  <c r="M1130" i="11"/>
  <c r="N1130" i="11"/>
  <c r="Q1130" i="11"/>
  <c r="R1130" i="11"/>
  <c r="S1130" i="11"/>
  <c r="L1131" i="11"/>
  <c r="M1131" i="11"/>
  <c r="N1131" i="11"/>
  <c r="P1131" i="11"/>
  <c r="Q1131" i="11"/>
  <c r="R1131" i="11"/>
  <c r="S1131" i="11"/>
  <c r="P1132" i="11"/>
  <c r="L1132" i="11"/>
  <c r="M1132" i="11"/>
  <c r="N1132" i="11"/>
  <c r="Q1132" i="11"/>
  <c r="R1132" i="11"/>
  <c r="S1132" i="11"/>
  <c r="P1133" i="11"/>
  <c r="L1133" i="11"/>
  <c r="M1133" i="11"/>
  <c r="N1133" i="11"/>
  <c r="Q1133" i="11"/>
  <c r="R1133" i="11"/>
  <c r="S1133" i="11"/>
  <c r="P1134" i="11"/>
  <c r="L1134" i="11"/>
  <c r="M1134" i="11"/>
  <c r="N1134" i="11"/>
  <c r="Q1134" i="11"/>
  <c r="R1134" i="11"/>
  <c r="S1134" i="11"/>
  <c r="P1135" i="11"/>
  <c r="L1135" i="11"/>
  <c r="M1135" i="11"/>
  <c r="N1135" i="11"/>
  <c r="Q1135" i="11"/>
  <c r="R1135" i="11"/>
  <c r="S1135" i="11"/>
  <c r="P1136" i="11"/>
  <c r="L1136" i="11"/>
  <c r="M1136" i="11"/>
  <c r="N1136" i="11"/>
  <c r="Q1136" i="11"/>
  <c r="R1136" i="11"/>
  <c r="S1136" i="11"/>
  <c r="L1137" i="11"/>
  <c r="M1137" i="11"/>
  <c r="N1137" i="11"/>
  <c r="Q1137" i="11"/>
  <c r="R1137" i="11"/>
  <c r="S1137" i="11"/>
  <c r="P1138" i="11"/>
  <c r="L1138" i="11"/>
  <c r="M1138" i="11"/>
  <c r="N1138" i="11"/>
  <c r="Q1138" i="11"/>
  <c r="R1138" i="11"/>
  <c r="S1138" i="11"/>
  <c r="L1139" i="11"/>
  <c r="M1139" i="11"/>
  <c r="N1139" i="11"/>
  <c r="P1139" i="11"/>
  <c r="Q1139" i="11"/>
  <c r="R1139" i="11"/>
  <c r="S1139" i="11"/>
  <c r="P1140" i="11"/>
  <c r="L1140" i="11"/>
  <c r="M1140" i="11"/>
  <c r="N1140" i="11"/>
  <c r="Q1140" i="11"/>
  <c r="R1140" i="11"/>
  <c r="S1140" i="11"/>
  <c r="L1141" i="11"/>
  <c r="M1141" i="11"/>
  <c r="N1141" i="11"/>
  <c r="P1141" i="11"/>
  <c r="Q1141" i="11"/>
  <c r="R1141" i="11"/>
  <c r="S1141" i="11"/>
  <c r="P1142" i="11"/>
  <c r="L1142" i="11"/>
  <c r="M1142" i="11"/>
  <c r="N1142" i="11"/>
  <c r="Q1142" i="11"/>
  <c r="R1142" i="11"/>
  <c r="S1142" i="11"/>
  <c r="L1143" i="11"/>
  <c r="M1143" i="11"/>
  <c r="N1143" i="11"/>
  <c r="P1143" i="11"/>
  <c r="Q1143" i="11"/>
  <c r="R1143" i="11"/>
  <c r="S1143" i="11"/>
  <c r="P1144" i="11"/>
  <c r="L1144" i="11"/>
  <c r="M1144" i="11"/>
  <c r="N1144" i="11"/>
  <c r="Q1144" i="11"/>
  <c r="R1144" i="11"/>
  <c r="S1144" i="11"/>
  <c r="L1145" i="11"/>
  <c r="M1145" i="11"/>
  <c r="N1145" i="11"/>
  <c r="Q1145" i="11"/>
  <c r="R1145" i="11"/>
  <c r="S1145" i="11"/>
  <c r="P1146" i="11"/>
  <c r="L1146" i="11"/>
  <c r="M1146" i="11"/>
  <c r="N1146" i="11"/>
  <c r="Q1146" i="11"/>
  <c r="R1146" i="11"/>
  <c r="S1146" i="11"/>
  <c r="L1147" i="11"/>
  <c r="M1147" i="11"/>
  <c r="N1147" i="11"/>
  <c r="P1147" i="11"/>
  <c r="Q1147" i="11"/>
  <c r="R1147" i="11"/>
  <c r="S1147" i="11"/>
  <c r="P1148" i="11"/>
  <c r="L1148" i="11"/>
  <c r="M1148" i="11"/>
  <c r="N1148" i="11"/>
  <c r="Q1148" i="11"/>
  <c r="R1148" i="11"/>
  <c r="S1148" i="11"/>
  <c r="P1149" i="11"/>
  <c r="L1149" i="11"/>
  <c r="M1149" i="11"/>
  <c r="N1149" i="11"/>
  <c r="Q1149" i="11"/>
  <c r="R1149" i="11"/>
  <c r="S1149" i="11"/>
  <c r="P1150" i="11"/>
  <c r="L1150" i="11"/>
  <c r="M1150" i="11"/>
  <c r="N1150" i="11"/>
  <c r="Q1150" i="11"/>
  <c r="R1150" i="11"/>
  <c r="S1150" i="11"/>
  <c r="P1151" i="11"/>
  <c r="L1151" i="11"/>
  <c r="M1151" i="11"/>
  <c r="N1151" i="11"/>
  <c r="Q1151" i="11"/>
  <c r="R1151" i="11"/>
  <c r="S1151" i="11"/>
  <c r="L1152" i="11"/>
  <c r="M1152" i="11"/>
  <c r="N1152" i="11"/>
  <c r="Q1152" i="11"/>
  <c r="R1152" i="11"/>
  <c r="S1152" i="11"/>
  <c r="P1153" i="11"/>
  <c r="L1153" i="11"/>
  <c r="M1153" i="11"/>
  <c r="N1153" i="11"/>
  <c r="Q1153" i="11"/>
  <c r="R1153" i="11"/>
  <c r="S1153" i="11"/>
  <c r="P1154" i="11"/>
  <c r="L1154" i="11"/>
  <c r="M1154" i="11"/>
  <c r="N1154" i="11"/>
  <c r="Q1154" i="11"/>
  <c r="R1154" i="11"/>
  <c r="S1154" i="11"/>
  <c r="P1155" i="11"/>
  <c r="L1155" i="11"/>
  <c r="M1155" i="11"/>
  <c r="N1155" i="11"/>
  <c r="Q1155" i="11"/>
  <c r="R1155" i="11"/>
  <c r="S1155" i="11"/>
  <c r="P1156" i="11"/>
  <c r="L1156" i="11"/>
  <c r="M1156" i="11"/>
  <c r="N1156" i="11"/>
  <c r="Q1156" i="11"/>
  <c r="R1156" i="11"/>
  <c r="S1156" i="11"/>
  <c r="L1157" i="11"/>
  <c r="M1157" i="11"/>
  <c r="N1157" i="11"/>
  <c r="P1157" i="11"/>
  <c r="Q1157" i="11"/>
  <c r="R1157" i="11"/>
  <c r="S1157" i="11"/>
  <c r="P1158" i="11"/>
  <c r="L1158" i="11"/>
  <c r="M1158" i="11"/>
  <c r="N1158" i="11"/>
  <c r="Q1158" i="11"/>
  <c r="R1158" i="11"/>
  <c r="S1158" i="11"/>
  <c r="L1159" i="11"/>
  <c r="M1159" i="11"/>
  <c r="N1159" i="11"/>
  <c r="P1159" i="11"/>
  <c r="Q1159" i="11"/>
  <c r="R1159" i="11"/>
  <c r="S1159" i="11"/>
  <c r="P1160" i="11"/>
  <c r="L1160" i="11"/>
  <c r="M1160" i="11"/>
  <c r="N1160" i="11"/>
  <c r="Q1160" i="11"/>
  <c r="R1160" i="11"/>
  <c r="S1160" i="11"/>
  <c r="L1161" i="11"/>
  <c r="M1161" i="11"/>
  <c r="N1161" i="11"/>
  <c r="Q1161" i="11"/>
  <c r="R1161" i="11"/>
  <c r="S1161" i="11"/>
  <c r="P1162" i="11"/>
  <c r="L1162" i="11"/>
  <c r="M1162" i="11"/>
  <c r="N1162" i="11"/>
  <c r="Q1162" i="11"/>
  <c r="R1162" i="11"/>
  <c r="S1162" i="11"/>
  <c r="L1163" i="11"/>
  <c r="M1163" i="11"/>
  <c r="N1163" i="11"/>
  <c r="P1163" i="11"/>
  <c r="Q1163" i="11"/>
  <c r="R1163" i="11"/>
  <c r="S1163" i="11"/>
  <c r="P1164" i="11"/>
  <c r="L1164" i="11"/>
  <c r="M1164" i="11"/>
  <c r="N1164" i="11"/>
  <c r="Q1164" i="11"/>
  <c r="R1164" i="11"/>
  <c r="S1164" i="11"/>
  <c r="P1165" i="11"/>
  <c r="L1165" i="11"/>
  <c r="M1165" i="11"/>
  <c r="N1165" i="11"/>
  <c r="Q1165" i="11"/>
  <c r="R1165" i="11"/>
  <c r="S1165" i="11"/>
  <c r="P1166" i="11"/>
  <c r="L1166" i="11"/>
  <c r="M1166" i="11"/>
  <c r="N1166" i="11"/>
  <c r="Q1166" i="11"/>
  <c r="R1166" i="11"/>
  <c r="S1166" i="11"/>
  <c r="L1167" i="11"/>
  <c r="M1167" i="11"/>
  <c r="N1167" i="11"/>
  <c r="Q1167" i="11"/>
  <c r="R1167" i="11"/>
  <c r="S1167" i="11"/>
  <c r="P1168" i="11"/>
  <c r="L1168" i="11"/>
  <c r="M1168" i="11"/>
  <c r="N1168" i="11"/>
  <c r="Q1168" i="11"/>
  <c r="R1168" i="11"/>
  <c r="S1168" i="11"/>
  <c r="L1169" i="11"/>
  <c r="M1169" i="11"/>
  <c r="N1169" i="11"/>
  <c r="P1169" i="11"/>
  <c r="Q1169" i="11"/>
  <c r="R1169" i="11"/>
  <c r="S1169" i="11"/>
  <c r="P1170" i="11"/>
  <c r="L1170" i="11"/>
  <c r="M1170" i="11"/>
  <c r="N1170" i="11"/>
  <c r="Q1170" i="11"/>
  <c r="R1170" i="11"/>
  <c r="S1170" i="11"/>
  <c r="L1171" i="11"/>
  <c r="M1171" i="11"/>
  <c r="N1171" i="11"/>
  <c r="P1171" i="11"/>
  <c r="Q1171" i="11"/>
  <c r="R1171" i="11"/>
  <c r="S1171" i="11"/>
  <c r="P1172" i="11"/>
  <c r="L1172" i="11"/>
  <c r="M1172" i="11"/>
  <c r="N1172" i="11"/>
  <c r="Q1172" i="11"/>
  <c r="R1172" i="11"/>
  <c r="S1172" i="11"/>
  <c r="L1173" i="11"/>
  <c r="M1173" i="11"/>
  <c r="N1173" i="11"/>
  <c r="P1173" i="11"/>
  <c r="Q1173" i="11"/>
  <c r="R1173" i="11"/>
  <c r="S1173" i="11"/>
  <c r="P1174" i="11"/>
  <c r="L1174" i="11"/>
  <c r="M1174" i="11"/>
  <c r="N1174" i="11"/>
  <c r="Q1174" i="11"/>
  <c r="R1174" i="11"/>
  <c r="S1174" i="11"/>
  <c r="L1175" i="11"/>
  <c r="M1175" i="11"/>
  <c r="N1175" i="11"/>
  <c r="P1175" i="11"/>
  <c r="Q1175" i="11"/>
  <c r="R1175" i="11"/>
  <c r="S1175" i="11"/>
  <c r="P1176" i="11"/>
  <c r="L1176" i="11"/>
  <c r="M1176" i="11"/>
  <c r="N1176" i="11"/>
  <c r="Q1176" i="11"/>
  <c r="R1176" i="11"/>
  <c r="S1176" i="11"/>
  <c r="L1177" i="11"/>
  <c r="M1177" i="11"/>
  <c r="N1177" i="11"/>
  <c r="Q1177" i="11"/>
  <c r="R1177" i="11"/>
  <c r="S1177" i="11"/>
  <c r="P1178" i="11"/>
  <c r="L1178" i="11"/>
  <c r="M1178" i="11"/>
  <c r="N1178" i="11"/>
  <c r="Q1178" i="11"/>
  <c r="R1178" i="11"/>
  <c r="S1178" i="11"/>
  <c r="L1179" i="11"/>
  <c r="M1179" i="11"/>
  <c r="N1179" i="11"/>
  <c r="P1179" i="11"/>
  <c r="Q1179" i="11"/>
  <c r="R1179" i="11"/>
  <c r="S1179" i="11"/>
  <c r="P1180" i="11"/>
  <c r="L1180" i="11"/>
  <c r="M1180" i="11"/>
  <c r="N1180" i="11"/>
  <c r="Q1180" i="11"/>
  <c r="R1180" i="11"/>
  <c r="S1180" i="11"/>
  <c r="P1181" i="11"/>
  <c r="L1181" i="11"/>
  <c r="M1181" i="11"/>
  <c r="N1181" i="11"/>
  <c r="Q1181" i="11"/>
  <c r="R1181" i="11"/>
  <c r="S1181" i="11"/>
  <c r="L1182" i="11"/>
  <c r="M1182" i="11"/>
  <c r="N1182" i="11"/>
  <c r="Q1182" i="11"/>
  <c r="R1182" i="11"/>
  <c r="S1182" i="11"/>
  <c r="P1183" i="11"/>
  <c r="L1183" i="11"/>
  <c r="M1183" i="11"/>
  <c r="N1183" i="11"/>
  <c r="Q1183" i="11"/>
  <c r="R1183" i="11"/>
  <c r="S1183" i="11"/>
  <c r="P1184" i="11"/>
  <c r="L1184" i="11"/>
  <c r="M1184" i="11"/>
  <c r="N1184" i="11"/>
  <c r="Q1184" i="11"/>
  <c r="R1184" i="11"/>
  <c r="S1184" i="11"/>
  <c r="P1185" i="11"/>
  <c r="L1185" i="11"/>
  <c r="M1185" i="11"/>
  <c r="N1185" i="11"/>
  <c r="Q1185" i="11"/>
  <c r="R1185" i="11"/>
  <c r="S1185" i="11"/>
  <c r="P1186" i="11"/>
  <c r="L1186" i="11"/>
  <c r="M1186" i="11"/>
  <c r="N1186" i="11"/>
  <c r="Q1186" i="11"/>
  <c r="R1186" i="11"/>
  <c r="S1186" i="11"/>
  <c r="P1187" i="11"/>
  <c r="L1187" i="11"/>
  <c r="M1187" i="11"/>
  <c r="N1187" i="11"/>
  <c r="Q1187" i="11"/>
  <c r="R1187" i="11"/>
  <c r="S1187" i="11"/>
  <c r="P1188" i="11"/>
  <c r="L1188" i="11"/>
  <c r="M1188" i="11"/>
  <c r="N1188" i="11"/>
  <c r="Q1188" i="11"/>
  <c r="R1188" i="11"/>
  <c r="S1188" i="11"/>
  <c r="L1189" i="11"/>
  <c r="M1189" i="11"/>
  <c r="N1189" i="11"/>
  <c r="P1189" i="11"/>
  <c r="Q1189" i="11"/>
  <c r="R1189" i="11"/>
  <c r="S1189" i="11"/>
  <c r="P1190" i="11"/>
  <c r="L1190" i="11"/>
  <c r="M1190" i="11"/>
  <c r="N1190" i="11"/>
  <c r="Q1190" i="11"/>
  <c r="R1190" i="11"/>
  <c r="S1190" i="11"/>
  <c r="L1191" i="11"/>
  <c r="M1191" i="11"/>
  <c r="N1191" i="11"/>
  <c r="P1191" i="11"/>
  <c r="Q1191" i="11"/>
  <c r="R1191" i="11"/>
  <c r="S1191" i="11"/>
  <c r="P1192" i="11"/>
  <c r="L1192" i="11"/>
  <c r="M1192" i="11"/>
  <c r="N1192" i="11"/>
  <c r="Q1192" i="11"/>
  <c r="R1192" i="11"/>
  <c r="S1192" i="11"/>
  <c r="L1193" i="11"/>
  <c r="M1193" i="11"/>
  <c r="N1193" i="11"/>
  <c r="Q1193" i="11"/>
  <c r="R1193" i="11"/>
  <c r="S1193" i="11"/>
  <c r="P1194" i="11"/>
  <c r="L1194" i="11"/>
  <c r="M1194" i="11"/>
  <c r="N1194" i="11"/>
  <c r="Q1194" i="11"/>
  <c r="R1194" i="11"/>
  <c r="S1194" i="11"/>
  <c r="L1195" i="11"/>
  <c r="M1195" i="11"/>
  <c r="N1195" i="11"/>
  <c r="P1195" i="11"/>
  <c r="Q1195" i="11"/>
  <c r="R1195" i="11"/>
  <c r="S1195" i="11"/>
  <c r="P1196" i="11"/>
  <c r="L1196" i="11"/>
  <c r="M1196" i="11"/>
  <c r="N1196" i="11"/>
  <c r="Q1196" i="11"/>
  <c r="R1196" i="11"/>
  <c r="S1196" i="11"/>
  <c r="L1197" i="11"/>
  <c r="M1197" i="11"/>
  <c r="N1197" i="11"/>
  <c r="Q1197" i="11"/>
  <c r="R1197" i="11"/>
  <c r="S1197" i="11"/>
  <c r="P1198" i="11"/>
  <c r="L1198" i="11"/>
  <c r="M1198" i="11"/>
  <c r="N1198" i="11"/>
  <c r="Q1198" i="11"/>
  <c r="R1198" i="11"/>
  <c r="S1198" i="11"/>
  <c r="P1199" i="11"/>
  <c r="L1199" i="11"/>
  <c r="M1199" i="11"/>
  <c r="N1199" i="11"/>
  <c r="Q1199" i="11"/>
  <c r="R1199" i="11"/>
  <c r="S1199" i="11"/>
  <c r="P1200" i="11"/>
  <c r="L1200" i="11"/>
  <c r="M1200" i="11"/>
  <c r="N1200" i="11"/>
  <c r="Q1200" i="11"/>
  <c r="R1200" i="11"/>
  <c r="S1200" i="11"/>
  <c r="L1201" i="11"/>
  <c r="M1201" i="11"/>
  <c r="N1201" i="11"/>
  <c r="P1201" i="11"/>
  <c r="Q1201" i="11"/>
  <c r="R1201" i="11"/>
  <c r="S1201" i="11"/>
  <c r="P1202" i="11"/>
  <c r="L1202" i="11"/>
  <c r="M1202" i="11"/>
  <c r="N1202" i="11"/>
  <c r="Q1202" i="11"/>
  <c r="R1202" i="11"/>
  <c r="S1202" i="11"/>
  <c r="L1203" i="11"/>
  <c r="M1203" i="11"/>
  <c r="N1203" i="11"/>
  <c r="P1203" i="11"/>
  <c r="Q1203" i="11"/>
  <c r="R1203" i="11"/>
  <c r="S1203" i="11"/>
  <c r="P1204" i="11"/>
  <c r="L1204" i="11"/>
  <c r="M1204" i="11"/>
  <c r="N1204" i="11"/>
  <c r="Q1204" i="11"/>
  <c r="R1204" i="11"/>
  <c r="S1204" i="11"/>
  <c r="L1205" i="11"/>
  <c r="M1205" i="11"/>
  <c r="N1205" i="11"/>
  <c r="P1205" i="11"/>
  <c r="Q1205" i="11"/>
  <c r="R1205" i="11"/>
  <c r="S1205" i="11"/>
  <c r="P1206" i="11"/>
  <c r="L1206" i="11"/>
  <c r="M1206" i="11"/>
  <c r="N1206" i="11"/>
  <c r="Q1206" i="11"/>
  <c r="R1206" i="11"/>
  <c r="S1206" i="11"/>
  <c r="L1207" i="11"/>
  <c r="M1207" i="11"/>
  <c r="N1207" i="11"/>
  <c r="P1207" i="11"/>
  <c r="Q1207" i="11"/>
  <c r="R1207" i="11"/>
  <c r="S1207" i="11"/>
  <c r="P1208" i="11"/>
  <c r="L1208" i="11"/>
  <c r="M1208" i="11"/>
  <c r="N1208" i="11"/>
  <c r="Q1208" i="11"/>
  <c r="R1208" i="11"/>
  <c r="S1208" i="11"/>
  <c r="L1209" i="11"/>
  <c r="M1209" i="11"/>
  <c r="N1209" i="11"/>
  <c r="Q1209" i="11"/>
  <c r="R1209" i="11"/>
  <c r="S1209" i="11"/>
  <c r="P1210" i="11"/>
  <c r="L1210" i="11"/>
  <c r="M1210" i="11"/>
  <c r="N1210" i="11"/>
  <c r="Q1210" i="11"/>
  <c r="R1210" i="11"/>
  <c r="S1210" i="11"/>
  <c r="S10" i="11"/>
  <c r="R10" i="11"/>
  <c r="Q10" i="11"/>
  <c r="M10" i="11"/>
  <c r="N10" i="11"/>
  <c r="L10" i="11"/>
  <c r="C33" i="9"/>
  <c r="I33" i="9" s="1"/>
  <c r="C32" i="9"/>
  <c r="I32" i="9" s="1"/>
  <c r="C31" i="9"/>
  <c r="E31" i="9" s="1"/>
  <c r="C30" i="9"/>
  <c r="E30" i="9" s="1"/>
  <c r="C29" i="9"/>
  <c r="I29" i="9" s="1"/>
  <c r="C28" i="9"/>
  <c r="H28" i="9" s="1"/>
  <c r="C27" i="9"/>
  <c r="H27" i="9" s="1"/>
  <c r="C26" i="9"/>
  <c r="I26" i="9"/>
  <c r="C25" i="9"/>
  <c r="I25" i="9" s="1"/>
  <c r="C24" i="9"/>
  <c r="I24" i="9" s="1"/>
  <c r="C23" i="9"/>
  <c r="E23" i="9" s="1"/>
  <c r="C22" i="9"/>
  <c r="I22" i="9"/>
  <c r="C21" i="9"/>
  <c r="H21" i="9" s="1"/>
  <c r="C20" i="9"/>
  <c r="D20" i="9" s="1"/>
  <c r="C19" i="9"/>
  <c r="C18" i="9"/>
  <c r="I18" i="9" s="1"/>
  <c r="C17" i="9"/>
  <c r="I17" i="9" s="1"/>
  <c r="C16" i="9"/>
  <c r="I16" i="9"/>
  <c r="C15" i="9"/>
  <c r="H15" i="9"/>
  <c r="C14" i="9"/>
  <c r="I14" i="9"/>
  <c r="C13" i="9"/>
  <c r="G13" i="9" s="1"/>
  <c r="C12" i="9"/>
  <c r="G12" i="9" s="1"/>
  <c r="C11" i="9"/>
  <c r="F11" i="9" s="1"/>
  <c r="C17" i="8"/>
  <c r="C16" i="8"/>
  <c r="L16" i="8" s="1"/>
  <c r="C15" i="8"/>
  <c r="D15" i="8"/>
  <c r="C14" i="8"/>
  <c r="C13" i="8"/>
  <c r="J13" i="8" s="1"/>
  <c r="C12" i="8"/>
  <c r="J12" i="8" s="1"/>
  <c r="C11" i="8"/>
  <c r="G11" i="8" s="1"/>
  <c r="N4" i="13"/>
  <c r="M4" i="13"/>
  <c r="K4" i="13"/>
  <c r="P13" i="8"/>
  <c r="P12" i="8"/>
  <c r="P14" i="8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S42" i="13"/>
  <c r="S43" i="13"/>
  <c r="S44" i="13"/>
  <c r="S45" i="13"/>
  <c r="S46" i="13"/>
  <c r="S47" i="13"/>
  <c r="S48" i="13"/>
  <c r="S49" i="13"/>
  <c r="S50" i="13"/>
  <c r="S51" i="13"/>
  <c r="S52" i="13"/>
  <c r="S53" i="13"/>
  <c r="S54" i="13"/>
  <c r="S55" i="13"/>
  <c r="S56" i="13"/>
  <c r="S57" i="13"/>
  <c r="S58" i="13"/>
  <c r="S59" i="13"/>
  <c r="S60" i="13"/>
  <c r="S61" i="13"/>
  <c r="S62" i="13"/>
  <c r="S63" i="13"/>
  <c r="S64" i="13"/>
  <c r="S65" i="13"/>
  <c r="S66" i="13"/>
  <c r="S67" i="13"/>
  <c r="S68" i="13"/>
  <c r="S69" i="13"/>
  <c r="S70" i="13"/>
  <c r="S71" i="13"/>
  <c r="S72" i="13"/>
  <c r="S73" i="13"/>
  <c r="S74" i="13"/>
  <c r="S75" i="13"/>
  <c r="S76" i="13"/>
  <c r="S77" i="13"/>
  <c r="S78" i="13"/>
  <c r="S79" i="13"/>
  <c r="S80" i="13"/>
  <c r="S81" i="13"/>
  <c r="S82" i="13"/>
  <c r="S83" i="13"/>
  <c r="S84" i="13"/>
  <c r="S85" i="13"/>
  <c r="S86" i="13"/>
  <c r="S87" i="13"/>
  <c r="S88" i="13"/>
  <c r="S89" i="13"/>
  <c r="S90" i="13"/>
  <c r="S91" i="13"/>
  <c r="S92" i="13"/>
  <c r="S93" i="13"/>
  <c r="S94" i="13"/>
  <c r="S95" i="13"/>
  <c r="S96" i="13"/>
  <c r="S97" i="13"/>
  <c r="S98" i="13"/>
  <c r="S99" i="13"/>
  <c r="S100" i="13"/>
  <c r="S101" i="13"/>
  <c r="S102" i="13"/>
  <c r="S103" i="13"/>
  <c r="S104" i="13"/>
  <c r="S105" i="13"/>
  <c r="S106" i="13"/>
  <c r="S107" i="13"/>
  <c r="S108" i="13"/>
  <c r="S109" i="13"/>
  <c r="S110" i="13"/>
  <c r="S111" i="13"/>
  <c r="S112" i="13"/>
  <c r="S113" i="13"/>
  <c r="S114" i="13"/>
  <c r="S115" i="13"/>
  <c r="S116" i="13"/>
  <c r="S117" i="13"/>
  <c r="S118" i="13"/>
  <c r="S119" i="13"/>
  <c r="S120" i="13"/>
  <c r="S121" i="13"/>
  <c r="S122" i="13"/>
  <c r="S123" i="13"/>
  <c r="S124" i="13"/>
  <c r="S125" i="13"/>
  <c r="S126" i="13"/>
  <c r="S127" i="13"/>
  <c r="S128" i="13"/>
  <c r="S129" i="13"/>
  <c r="S130" i="13"/>
  <c r="S131" i="13"/>
  <c r="S132" i="13"/>
  <c r="S133" i="13"/>
  <c r="S134" i="13"/>
  <c r="S135" i="13"/>
  <c r="S136" i="13"/>
  <c r="S137" i="13"/>
  <c r="S138" i="13"/>
  <c r="S139" i="13"/>
  <c r="S140" i="13"/>
  <c r="S141" i="13"/>
  <c r="S142" i="13"/>
  <c r="S143" i="13"/>
  <c r="S144" i="13"/>
  <c r="S145" i="13"/>
  <c r="S146" i="13"/>
  <c r="S147" i="13"/>
  <c r="S148" i="13"/>
  <c r="S149" i="13"/>
  <c r="S150" i="13"/>
  <c r="S151" i="13"/>
  <c r="S152" i="13"/>
  <c r="S153" i="13"/>
  <c r="S154" i="13"/>
  <c r="S155" i="13"/>
  <c r="S156" i="13"/>
  <c r="S157" i="13"/>
  <c r="S158" i="13"/>
  <c r="S159" i="13"/>
  <c r="S160" i="13"/>
  <c r="S161" i="13"/>
  <c r="S162" i="13"/>
  <c r="S163" i="13"/>
  <c r="S164" i="13"/>
  <c r="S165" i="13"/>
  <c r="S166" i="13"/>
  <c r="S167" i="13"/>
  <c r="S168" i="13"/>
  <c r="S169" i="13"/>
  <c r="S170" i="13"/>
  <c r="S171" i="13"/>
  <c r="S172" i="13"/>
  <c r="S173" i="13"/>
  <c r="S174" i="13"/>
  <c r="S175" i="13"/>
  <c r="S176" i="13"/>
  <c r="S177" i="13"/>
  <c r="S178" i="13"/>
  <c r="S179" i="13"/>
  <c r="S180" i="13"/>
  <c r="S181" i="13"/>
  <c r="S182" i="13"/>
  <c r="S183" i="13"/>
  <c r="S184" i="13"/>
  <c r="S185" i="13"/>
  <c r="S186" i="13"/>
  <c r="S187" i="13"/>
  <c r="S188" i="13"/>
  <c r="S189" i="13"/>
  <c r="S190" i="13"/>
  <c r="S191" i="13"/>
  <c r="S192" i="13"/>
  <c r="S193" i="13"/>
  <c r="S194" i="13"/>
  <c r="S195" i="13"/>
  <c r="S196" i="13"/>
  <c r="S197" i="13"/>
  <c r="S198" i="13"/>
  <c r="S199" i="13"/>
  <c r="S200" i="13"/>
  <c r="S201" i="13"/>
  <c r="S202" i="13"/>
  <c r="S203" i="13"/>
  <c r="S204" i="13"/>
  <c r="S205" i="13"/>
  <c r="S206" i="13"/>
  <c r="S207" i="13"/>
  <c r="S208" i="13"/>
  <c r="S209" i="13"/>
  <c r="S210" i="13"/>
  <c r="S211" i="13"/>
  <c r="S212" i="13"/>
  <c r="S213" i="13"/>
  <c r="S214" i="13"/>
  <c r="S215" i="13"/>
  <c r="S216" i="13"/>
  <c r="S217" i="13"/>
  <c r="S218" i="13"/>
  <c r="S219" i="13"/>
  <c r="S220" i="13"/>
  <c r="S221" i="13"/>
  <c r="S222" i="13"/>
  <c r="S223" i="13"/>
  <c r="S224" i="13"/>
  <c r="S225" i="13"/>
  <c r="S226" i="13"/>
  <c r="S227" i="13"/>
  <c r="S228" i="13"/>
  <c r="S229" i="13"/>
  <c r="S230" i="13"/>
  <c r="S231" i="13"/>
  <c r="S232" i="13"/>
  <c r="S233" i="13"/>
  <c r="S234" i="13"/>
  <c r="S235" i="13"/>
  <c r="S236" i="13"/>
  <c r="S237" i="13"/>
  <c r="S238" i="13"/>
  <c r="S239" i="13"/>
  <c r="S240" i="13"/>
  <c r="S241" i="13"/>
  <c r="S242" i="13"/>
  <c r="S243" i="13"/>
  <c r="S244" i="13"/>
  <c r="S245" i="13"/>
  <c r="S246" i="13"/>
  <c r="S247" i="13"/>
  <c r="S248" i="13"/>
  <c r="S249" i="13"/>
  <c r="S250" i="13"/>
  <c r="S251" i="13"/>
  <c r="S252" i="13"/>
  <c r="S253" i="13"/>
  <c r="S254" i="13"/>
  <c r="S255" i="13"/>
  <c r="S256" i="13"/>
  <c r="S257" i="13"/>
  <c r="S258" i="13"/>
  <c r="S259" i="13"/>
  <c r="S260" i="13"/>
  <c r="S261" i="13"/>
  <c r="S262" i="13"/>
  <c r="S263" i="13"/>
  <c r="S264" i="13"/>
  <c r="S265" i="13"/>
  <c r="S266" i="13"/>
  <c r="S267" i="13"/>
  <c r="S268" i="13"/>
  <c r="S269" i="13"/>
  <c r="S270" i="13"/>
  <c r="S6" i="13"/>
  <c r="S7" i="13"/>
  <c r="S8" i="13"/>
  <c r="S9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5" i="13"/>
  <c r="L39" i="3"/>
  <c r="L40" i="3"/>
  <c r="F5" i="13"/>
  <c r="K1416" i="13"/>
  <c r="K1417" i="13"/>
  <c r="K1418" i="13"/>
  <c r="K1419" i="13"/>
  <c r="K1420" i="13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4" i="13"/>
  <c r="K2885" i="13"/>
  <c r="K2886" i="13"/>
  <c r="K2887" i="13"/>
  <c r="K2888" i="13"/>
  <c r="K2889" i="13"/>
  <c r="K2890" i="13"/>
  <c r="K2891" i="13"/>
  <c r="K2892" i="13"/>
  <c r="K2893" i="13"/>
  <c r="K2894" i="13"/>
  <c r="K2895" i="13"/>
  <c r="K2896" i="13"/>
  <c r="K2897" i="13"/>
  <c r="K2898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194" i="13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581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4669" i="13"/>
  <c r="K4670" i="13"/>
  <c r="K4671" i="13"/>
  <c r="K4672" i="13"/>
  <c r="K4673" i="13"/>
  <c r="K4674" i="13"/>
  <c r="K4675" i="13"/>
  <c r="K4676" i="13"/>
  <c r="K4677" i="13"/>
  <c r="K4678" i="13"/>
  <c r="K4679" i="13"/>
  <c r="K4680" i="13"/>
  <c r="K4681" i="13"/>
  <c r="K4682" i="13"/>
  <c r="K4683" i="13"/>
  <c r="K4684" i="13"/>
  <c r="K4685" i="13"/>
  <c r="K4686" i="13"/>
  <c r="K4687" i="13"/>
  <c r="K4688" i="13"/>
  <c r="K4689" i="13"/>
  <c r="K4690" i="13"/>
  <c r="K4691" i="13"/>
  <c r="K4692" i="13"/>
  <c r="K4693" i="13"/>
  <c r="K4694" i="13"/>
  <c r="K4695" i="13"/>
  <c r="K4696" i="13"/>
  <c r="K4697" i="13"/>
  <c r="K4698" i="13"/>
  <c r="K4699" i="13"/>
  <c r="K4700" i="13"/>
  <c r="K4701" i="13"/>
  <c r="K4702" i="13"/>
  <c r="K4703" i="13"/>
  <c r="K4704" i="13"/>
  <c r="K4705" i="13"/>
  <c r="K4706" i="13"/>
  <c r="K4707" i="13"/>
  <c r="K4708" i="13"/>
  <c r="K4709" i="13"/>
  <c r="K4710" i="13"/>
  <c r="K4711" i="13"/>
  <c r="K4712" i="13"/>
  <c r="K4713" i="13"/>
  <c r="K4714" i="13"/>
  <c r="K4715" i="13"/>
  <c r="K4716" i="13"/>
  <c r="K4717" i="13"/>
  <c r="K4718" i="13"/>
  <c r="K4719" i="13"/>
  <c r="K4720" i="13"/>
  <c r="K4721" i="13"/>
  <c r="K4722" i="13"/>
  <c r="K4723" i="13"/>
  <c r="K4724" i="13"/>
  <c r="K4725" i="13"/>
  <c r="K4726" i="13"/>
  <c r="K4727" i="13"/>
  <c r="K4728" i="13"/>
  <c r="K4729" i="13"/>
  <c r="K4730" i="13"/>
  <c r="K4731" i="13"/>
  <c r="K4732" i="13"/>
  <c r="K4733" i="13"/>
  <c r="K4734" i="13"/>
  <c r="K4735" i="13"/>
  <c r="K4736" i="13"/>
  <c r="K4737" i="13"/>
  <c r="K4738" i="13"/>
  <c r="K4739" i="13"/>
  <c r="K4740" i="13"/>
  <c r="K4741" i="13"/>
  <c r="K4742" i="13"/>
  <c r="K4743" i="13"/>
  <c r="K4744" i="13"/>
  <c r="K4745" i="13"/>
  <c r="K4746" i="13"/>
  <c r="K4747" i="13"/>
  <c r="K4748" i="13"/>
  <c r="K4749" i="13"/>
  <c r="K4750" i="13"/>
  <c r="K4751" i="13"/>
  <c r="K4752" i="13"/>
  <c r="K4753" i="13"/>
  <c r="K4754" i="13"/>
  <c r="K4755" i="13"/>
  <c r="K4756" i="13"/>
  <c r="K4757" i="13"/>
  <c r="K4758" i="13"/>
  <c r="K4759" i="13"/>
  <c r="K4760" i="13"/>
  <c r="K4761" i="13"/>
  <c r="K4762" i="13"/>
  <c r="K4763" i="13"/>
  <c r="K4764" i="13"/>
  <c r="K4765" i="13"/>
  <c r="K4766" i="13"/>
  <c r="K4767" i="13"/>
  <c r="K4768" i="13"/>
  <c r="K4769" i="13"/>
  <c r="K4770" i="13"/>
  <c r="K4771" i="13"/>
  <c r="K4772" i="13"/>
  <c r="K4773" i="13"/>
  <c r="K4774" i="13"/>
  <c r="K4775" i="13"/>
  <c r="K4776" i="13"/>
  <c r="K4777" i="13"/>
  <c r="K4778" i="13"/>
  <c r="K4779" i="13"/>
  <c r="K4780" i="13"/>
  <c r="K4781" i="13"/>
  <c r="K4782" i="13"/>
  <c r="K4783" i="13"/>
  <c r="K4784" i="13"/>
  <c r="K4785" i="13"/>
  <c r="K4786" i="13"/>
  <c r="K4787" i="13"/>
  <c r="K4788" i="13"/>
  <c r="K4789" i="13"/>
  <c r="K4790" i="13"/>
  <c r="K4791" i="13"/>
  <c r="K4792" i="13"/>
  <c r="K4793" i="13"/>
  <c r="K4794" i="13"/>
  <c r="K4795" i="13"/>
  <c r="K4796" i="13"/>
  <c r="K4797" i="13"/>
  <c r="K4798" i="13"/>
  <c r="K4799" i="13"/>
  <c r="K4800" i="13"/>
  <c r="K4801" i="13"/>
  <c r="K4802" i="13"/>
  <c r="K4803" i="13"/>
  <c r="K4804" i="13"/>
  <c r="K4805" i="13"/>
  <c r="K4806" i="13"/>
  <c r="K4807" i="13"/>
  <c r="K4808" i="13"/>
  <c r="K4809" i="13"/>
  <c r="K4810" i="13"/>
  <c r="K4811" i="13"/>
  <c r="K4812" i="13"/>
  <c r="K4813" i="13"/>
  <c r="K4814" i="13"/>
  <c r="K4815" i="13"/>
  <c r="K4816" i="13"/>
  <c r="K4817" i="13"/>
  <c r="K4818" i="13"/>
  <c r="K4819" i="13"/>
  <c r="K4820" i="13"/>
  <c r="K4821" i="13"/>
  <c r="K4822" i="13"/>
  <c r="K4823" i="13"/>
  <c r="K4824" i="13"/>
  <c r="K4825" i="13"/>
  <c r="K4826" i="13"/>
  <c r="K4827" i="13"/>
  <c r="K4828" i="13"/>
  <c r="K4829" i="13"/>
  <c r="K4830" i="13"/>
  <c r="K4831" i="13"/>
  <c r="K4832" i="13"/>
  <c r="K4833" i="13"/>
  <c r="K4834" i="13"/>
  <c r="K4835" i="13"/>
  <c r="K4836" i="13"/>
  <c r="K4837" i="13"/>
  <c r="K4838" i="13"/>
  <c r="K4839" i="13"/>
  <c r="K4840" i="13"/>
  <c r="K4841" i="13"/>
  <c r="K4842" i="13"/>
  <c r="K4843" i="13"/>
  <c r="K4844" i="13"/>
  <c r="K4845" i="13"/>
  <c r="K4846" i="13"/>
  <c r="K4847" i="13"/>
  <c r="K4848" i="13"/>
  <c r="K4849" i="13"/>
  <c r="K4850" i="13"/>
  <c r="K4851" i="13"/>
  <c r="K4852" i="13"/>
  <c r="K4853" i="13"/>
  <c r="K4854" i="13"/>
  <c r="K4855" i="13"/>
  <c r="K4856" i="13"/>
  <c r="K4857" i="13"/>
  <c r="K4858" i="13"/>
  <c r="K4859" i="13"/>
  <c r="K4860" i="13"/>
  <c r="K4861" i="13"/>
  <c r="K4862" i="13"/>
  <c r="K4863" i="13"/>
  <c r="K4864" i="13"/>
  <c r="K4865" i="13"/>
  <c r="K4866" i="13"/>
  <c r="K4867" i="13"/>
  <c r="K4868" i="13"/>
  <c r="K4869" i="13"/>
  <c r="K4870" i="13"/>
  <c r="K4871" i="13"/>
  <c r="K4872" i="13"/>
  <c r="K4873" i="13"/>
  <c r="K4874" i="13"/>
  <c r="K4875" i="13"/>
  <c r="K4876" i="13"/>
  <c r="K4877" i="13"/>
  <c r="K4878" i="13"/>
  <c r="K4879" i="13"/>
  <c r="K4880" i="13"/>
  <c r="K4881" i="13"/>
  <c r="K4882" i="13"/>
  <c r="K4883" i="13"/>
  <c r="K4884" i="13"/>
  <c r="K4885" i="13"/>
  <c r="K4886" i="13"/>
  <c r="K4887" i="13"/>
  <c r="K4888" i="13"/>
  <c r="K4889" i="13"/>
  <c r="K4890" i="13"/>
  <c r="K4891" i="13"/>
  <c r="K4892" i="13"/>
  <c r="K4893" i="13"/>
  <c r="K4894" i="13"/>
  <c r="K4895" i="13"/>
  <c r="K4896" i="13"/>
  <c r="K4897" i="13"/>
  <c r="K4898" i="13"/>
  <c r="K4899" i="13"/>
  <c r="K4900" i="13"/>
  <c r="K4901" i="13"/>
  <c r="K4902" i="13"/>
  <c r="K4903" i="13"/>
  <c r="K4904" i="13"/>
  <c r="K4905" i="13"/>
  <c r="K4906" i="13"/>
  <c r="K4907" i="13"/>
  <c r="K4908" i="13"/>
  <c r="K4909" i="13"/>
  <c r="K4910" i="13"/>
  <c r="K4911" i="13"/>
  <c r="K4912" i="13"/>
  <c r="K4913" i="13"/>
  <c r="K4914" i="13"/>
  <c r="K4915" i="13"/>
  <c r="K4916" i="13"/>
  <c r="K4917" i="13"/>
  <c r="K4918" i="13"/>
  <c r="K4919" i="13"/>
  <c r="K4920" i="13"/>
  <c r="K4921" i="13"/>
  <c r="K4922" i="13"/>
  <c r="K4923" i="13"/>
  <c r="K4924" i="13"/>
  <c r="K4925" i="13"/>
  <c r="K4926" i="13"/>
  <c r="K4927" i="13"/>
  <c r="K4928" i="13"/>
  <c r="K4929" i="13"/>
  <c r="K4930" i="13"/>
  <c r="K4931" i="13"/>
  <c r="K4932" i="13"/>
  <c r="K4933" i="13"/>
  <c r="K4934" i="13"/>
  <c r="K4935" i="13"/>
  <c r="K4936" i="13"/>
  <c r="K4937" i="13"/>
  <c r="K4938" i="13"/>
  <c r="K4939" i="13"/>
  <c r="K4940" i="13"/>
  <c r="K4941" i="13"/>
  <c r="K4942" i="13"/>
  <c r="K4943" i="13"/>
  <c r="K4944" i="13"/>
  <c r="K4945" i="13"/>
  <c r="K4946" i="13"/>
  <c r="K4947" i="13"/>
  <c r="K4948" i="13"/>
  <c r="K4949" i="13"/>
  <c r="K4950" i="13"/>
  <c r="K4951" i="13"/>
  <c r="K4952" i="13"/>
  <c r="K4953" i="13"/>
  <c r="K4954" i="13"/>
  <c r="K4955" i="13"/>
  <c r="K4956" i="13"/>
  <c r="K4957" i="13"/>
  <c r="K4958" i="13"/>
  <c r="K4959" i="13"/>
  <c r="K4960" i="13"/>
  <c r="K4961" i="13"/>
  <c r="K4962" i="13"/>
  <c r="K4963" i="13"/>
  <c r="K4964" i="13"/>
  <c r="K4965" i="13"/>
  <c r="K4966" i="13"/>
  <c r="K4967" i="13"/>
  <c r="K4968" i="13"/>
  <c r="K4969" i="13"/>
  <c r="K4970" i="13"/>
  <c r="K4971" i="13"/>
  <c r="K4972" i="13"/>
  <c r="K4973" i="13"/>
  <c r="K4974" i="13"/>
  <c r="K4975" i="13"/>
  <c r="K4976" i="13"/>
  <c r="K4977" i="13"/>
  <c r="K4978" i="13"/>
  <c r="K4979" i="13"/>
  <c r="K4980" i="13"/>
  <c r="K4981" i="13"/>
  <c r="K4982" i="13"/>
  <c r="K4983" i="13"/>
  <c r="K4984" i="13"/>
  <c r="K4985" i="13"/>
  <c r="K4986" i="13"/>
  <c r="K4987" i="13"/>
  <c r="K4988" i="13"/>
  <c r="K4989" i="13"/>
  <c r="K4990" i="13"/>
  <c r="K4991" i="13"/>
  <c r="K4992" i="13"/>
  <c r="K4993" i="13"/>
  <c r="K4994" i="13"/>
  <c r="K4995" i="13"/>
  <c r="K4996" i="13"/>
  <c r="K4997" i="13"/>
  <c r="K4998" i="13"/>
  <c r="K4999" i="13"/>
  <c r="K5000" i="13"/>
  <c r="K5001" i="13"/>
  <c r="K5002" i="13"/>
  <c r="K5003" i="13"/>
  <c r="K5004" i="13"/>
  <c r="K5005" i="13"/>
  <c r="K5006" i="13"/>
  <c r="K5007" i="13"/>
  <c r="K5008" i="13"/>
  <c r="K5009" i="13"/>
  <c r="K5010" i="13"/>
  <c r="K5011" i="13"/>
  <c r="K5012" i="13"/>
  <c r="K5013" i="13"/>
  <c r="K5014" i="13"/>
  <c r="K5015" i="13"/>
  <c r="K5016" i="13"/>
  <c r="K5017" i="13"/>
  <c r="K5018" i="13"/>
  <c r="K5019" i="13"/>
  <c r="K5020" i="13"/>
  <c r="K5021" i="13"/>
  <c r="K5022" i="13"/>
  <c r="K5023" i="13"/>
  <c r="K5024" i="13"/>
  <c r="K5025" i="13"/>
  <c r="K5026" i="13"/>
  <c r="K5027" i="13"/>
  <c r="K5028" i="13"/>
  <c r="K5029" i="13"/>
  <c r="K5030" i="13"/>
  <c r="K5031" i="13"/>
  <c r="K5032" i="13"/>
  <c r="K5033" i="13"/>
  <c r="K5034" i="13"/>
  <c r="K5035" i="13"/>
  <c r="K5036" i="13"/>
  <c r="K5037" i="13"/>
  <c r="K5038" i="13"/>
  <c r="K5039" i="13"/>
  <c r="K5040" i="13"/>
  <c r="K5041" i="13"/>
  <c r="K5042" i="13"/>
  <c r="K5043" i="13"/>
  <c r="K5044" i="13"/>
  <c r="K5045" i="13"/>
  <c r="K5046" i="13"/>
  <c r="K5047" i="13"/>
  <c r="K5048" i="13"/>
  <c r="K5049" i="13"/>
  <c r="K5050" i="13"/>
  <c r="K5051" i="13"/>
  <c r="K5052" i="13"/>
  <c r="K5053" i="13"/>
  <c r="K5054" i="13"/>
  <c r="K5055" i="13"/>
  <c r="K5056" i="13"/>
  <c r="K5057" i="13"/>
  <c r="K5058" i="13"/>
  <c r="K5059" i="13"/>
  <c r="K5060" i="13"/>
  <c r="K5061" i="13"/>
  <c r="K5062" i="13"/>
  <c r="K5063" i="13"/>
  <c r="K5064" i="13"/>
  <c r="K5065" i="13"/>
  <c r="K5066" i="13"/>
  <c r="K5067" i="13"/>
  <c r="K5068" i="13"/>
  <c r="K5069" i="13"/>
  <c r="K5070" i="13"/>
  <c r="K5071" i="13"/>
  <c r="K5072" i="13"/>
  <c r="K5073" i="13"/>
  <c r="K5074" i="13"/>
  <c r="K5075" i="13"/>
  <c r="K5076" i="13"/>
  <c r="K5077" i="13"/>
  <c r="K5078" i="13"/>
  <c r="K5079" i="13"/>
  <c r="K5080" i="13"/>
  <c r="K5081" i="13"/>
  <c r="K5082" i="13"/>
  <c r="K5083" i="13"/>
  <c r="K5084" i="13"/>
  <c r="K5085" i="13"/>
  <c r="K5086" i="13"/>
  <c r="K5087" i="13"/>
  <c r="K5088" i="13"/>
  <c r="K5089" i="13"/>
  <c r="K5090" i="13"/>
  <c r="K5091" i="13"/>
  <c r="K5092" i="13"/>
  <c r="K5093" i="13"/>
  <c r="K5094" i="13"/>
  <c r="K5095" i="13"/>
  <c r="K5096" i="13"/>
  <c r="K5097" i="13"/>
  <c r="K5098" i="13"/>
  <c r="K5099" i="13"/>
  <c r="K5100" i="13"/>
  <c r="K5101" i="13"/>
  <c r="K5102" i="13"/>
  <c r="K5103" i="13"/>
  <c r="K5104" i="13"/>
  <c r="K5105" i="13"/>
  <c r="K5106" i="13"/>
  <c r="K5107" i="13"/>
  <c r="K5108" i="13"/>
  <c r="K5109" i="13"/>
  <c r="K5110" i="13"/>
  <c r="K5111" i="13"/>
  <c r="K5112" i="13"/>
  <c r="K5113" i="13"/>
  <c r="K5114" i="13"/>
  <c r="K5115" i="13"/>
  <c r="K5116" i="13"/>
  <c r="K5117" i="13"/>
  <c r="K5118" i="13"/>
  <c r="K5119" i="13"/>
  <c r="K5120" i="13"/>
  <c r="K5121" i="13"/>
  <c r="K5122" i="13"/>
  <c r="K5123" i="13"/>
  <c r="K5124" i="13"/>
  <c r="K5125" i="13"/>
  <c r="K5126" i="13"/>
  <c r="K5127" i="13"/>
  <c r="K5128" i="13"/>
  <c r="K5129" i="13"/>
  <c r="K5130" i="13"/>
  <c r="K5131" i="13"/>
  <c r="K5132" i="13"/>
  <c r="K5133" i="13"/>
  <c r="K5134" i="13"/>
  <c r="K5135" i="13"/>
  <c r="K5136" i="13"/>
  <c r="K5137" i="13"/>
  <c r="K5138" i="13"/>
  <c r="K5139" i="13"/>
  <c r="K5140" i="13"/>
  <c r="K5141" i="13"/>
  <c r="K5142" i="13"/>
  <c r="K5143" i="13"/>
  <c r="K5144" i="13"/>
  <c r="K5145" i="13"/>
  <c r="K5146" i="13"/>
  <c r="K5147" i="13"/>
  <c r="K5148" i="13"/>
  <c r="K5149" i="13"/>
  <c r="K5150" i="13"/>
  <c r="K5151" i="13"/>
  <c r="K5152" i="13"/>
  <c r="K5153" i="13"/>
  <c r="K5154" i="13"/>
  <c r="K5155" i="13"/>
  <c r="K5156" i="13"/>
  <c r="K5157" i="13"/>
  <c r="K5158" i="13"/>
  <c r="K5159" i="13"/>
  <c r="K5160" i="13"/>
  <c r="K5161" i="13"/>
  <c r="K5162" i="13"/>
  <c r="K5163" i="13"/>
  <c r="K5164" i="13"/>
  <c r="K5165" i="13"/>
  <c r="K5166" i="13"/>
  <c r="K5167" i="13"/>
  <c r="K5168" i="13"/>
  <c r="K5169" i="13"/>
  <c r="K5170" i="13"/>
  <c r="K5171" i="13"/>
  <c r="K5172" i="13"/>
  <c r="K5173" i="13"/>
  <c r="K5174" i="13"/>
  <c r="K5175" i="13"/>
  <c r="K5176" i="13"/>
  <c r="K5177" i="13"/>
  <c r="K5178" i="13"/>
  <c r="K5179" i="13"/>
  <c r="K5180" i="13"/>
  <c r="K5181" i="13"/>
  <c r="K5182" i="13"/>
  <c r="K5183" i="13"/>
  <c r="K5184" i="13"/>
  <c r="K5185" i="13"/>
  <c r="K5186" i="13"/>
  <c r="K5187" i="13"/>
  <c r="K5188" i="13"/>
  <c r="K5189" i="13"/>
  <c r="K5190" i="13"/>
  <c r="K5191" i="13"/>
  <c r="K5192" i="13"/>
  <c r="K5193" i="13"/>
  <c r="K5194" i="13"/>
  <c r="K5195" i="13"/>
  <c r="K5196" i="13"/>
  <c r="K5197" i="13"/>
  <c r="K5198" i="13"/>
  <c r="K5199" i="13"/>
  <c r="K5200" i="13"/>
  <c r="K5201" i="13"/>
  <c r="K5202" i="13"/>
  <c r="K5203" i="13"/>
  <c r="K5204" i="13"/>
  <c r="K5205" i="13"/>
  <c r="K5206" i="13"/>
  <c r="K5207" i="13"/>
  <c r="K5208" i="13"/>
  <c r="K5209" i="13"/>
  <c r="K5210" i="13"/>
  <c r="K5211" i="13"/>
  <c r="K5212" i="13"/>
  <c r="K5213" i="13"/>
  <c r="K5214" i="13"/>
  <c r="K5215" i="13"/>
  <c r="K5216" i="13"/>
  <c r="K5217" i="13"/>
  <c r="K5218" i="13"/>
  <c r="K5219" i="13"/>
  <c r="K5220" i="13"/>
  <c r="K5221" i="13"/>
  <c r="K5222" i="13"/>
  <c r="K5223" i="13"/>
  <c r="K5224" i="13"/>
  <c r="K5225" i="13"/>
  <c r="K5226" i="13"/>
  <c r="K5227" i="13"/>
  <c r="K5228" i="13"/>
  <c r="K5229" i="13"/>
  <c r="K5230" i="13"/>
  <c r="K5231" i="13"/>
  <c r="K5232" i="13"/>
  <c r="K5233" i="13"/>
  <c r="K5234" i="13"/>
  <c r="K5235" i="13"/>
  <c r="K5236" i="13"/>
  <c r="K5237" i="13"/>
  <c r="K5238" i="13"/>
  <c r="K5239" i="13"/>
  <c r="K5240" i="13"/>
  <c r="K5241" i="13"/>
  <c r="K5242" i="13"/>
  <c r="K5243" i="13"/>
  <c r="K5244" i="13"/>
  <c r="K5245" i="13"/>
  <c r="K5246" i="13"/>
  <c r="K5247" i="13"/>
  <c r="K5248" i="13"/>
  <c r="K5249" i="13"/>
  <c r="K5250" i="13"/>
  <c r="K5251" i="13"/>
  <c r="K5252" i="13"/>
  <c r="K5253" i="13"/>
  <c r="K5254" i="13"/>
  <c r="K5255" i="13"/>
  <c r="K5256" i="13"/>
  <c r="K5257" i="13"/>
  <c r="K5258" i="13"/>
  <c r="K5259" i="13"/>
  <c r="K5260" i="13"/>
  <c r="K5261" i="13"/>
  <c r="K5262" i="13"/>
  <c r="K5263" i="13"/>
  <c r="K5264" i="13"/>
  <c r="K5265" i="13"/>
  <c r="K5266" i="13"/>
  <c r="K5267" i="13"/>
  <c r="K5268" i="13"/>
  <c r="K5269" i="13"/>
  <c r="K5270" i="13"/>
  <c r="K5271" i="13"/>
  <c r="K5272" i="13"/>
  <c r="K5273" i="13"/>
  <c r="K5274" i="13"/>
  <c r="K5275" i="13"/>
  <c r="K5276" i="13"/>
  <c r="K5277" i="13"/>
  <c r="K5278" i="13"/>
  <c r="K5279" i="13"/>
  <c r="K5280" i="13"/>
  <c r="K5281" i="13"/>
  <c r="K5282" i="13"/>
  <c r="K5283" i="13"/>
  <c r="K5284" i="13"/>
  <c r="K5285" i="13"/>
  <c r="K5286" i="13"/>
  <c r="K5287" i="13"/>
  <c r="K5288" i="13"/>
  <c r="K5289" i="13"/>
  <c r="K5290" i="13"/>
  <c r="K5291" i="13"/>
  <c r="K5292" i="13"/>
  <c r="K5293" i="13"/>
  <c r="K5294" i="13"/>
  <c r="K5295" i="13"/>
  <c r="K5296" i="13"/>
  <c r="K5297" i="13"/>
  <c r="K5298" i="13"/>
  <c r="K5299" i="13"/>
  <c r="K5300" i="13"/>
  <c r="K5301" i="13"/>
  <c r="K5302" i="13"/>
  <c r="K5303" i="13"/>
  <c r="K5304" i="13"/>
  <c r="K5305" i="13"/>
  <c r="K5306" i="13"/>
  <c r="K5307" i="13"/>
  <c r="K5308" i="13"/>
  <c r="K5309" i="13"/>
  <c r="K5310" i="13"/>
  <c r="K5311" i="13"/>
  <c r="K5312" i="13"/>
  <c r="K5313" i="13"/>
  <c r="K5314" i="13"/>
  <c r="K5315" i="13"/>
  <c r="K5316" i="13"/>
  <c r="K5317" i="13"/>
  <c r="K5318" i="13"/>
  <c r="K5319" i="13"/>
  <c r="K5320" i="13"/>
  <c r="K5321" i="13"/>
  <c r="K5322" i="13"/>
  <c r="K5323" i="13"/>
  <c r="K5324" i="13"/>
  <c r="K5325" i="13"/>
  <c r="K5326" i="13"/>
  <c r="K5327" i="13"/>
  <c r="K5328" i="13"/>
  <c r="K5329" i="13"/>
  <c r="K5330" i="13"/>
  <c r="K5331" i="13"/>
  <c r="K5332" i="13"/>
  <c r="K5333" i="13"/>
  <c r="K5334" i="13"/>
  <c r="K5335" i="13"/>
  <c r="K5336" i="13"/>
  <c r="K5337" i="13"/>
  <c r="K5338" i="13"/>
  <c r="K5339" i="13"/>
  <c r="K5340" i="13"/>
  <c r="K5341" i="13"/>
  <c r="K5342" i="13"/>
  <c r="K5343" i="13"/>
  <c r="K5344" i="13"/>
  <c r="K5345" i="13"/>
  <c r="K5346" i="13"/>
  <c r="K5347" i="13"/>
  <c r="K5348" i="13"/>
  <c r="K5349" i="13"/>
  <c r="K5350" i="13"/>
  <c r="K5351" i="13"/>
  <c r="K5352" i="13"/>
  <c r="K5353" i="13"/>
  <c r="K5354" i="13"/>
  <c r="K5355" i="13"/>
  <c r="K5356" i="13"/>
  <c r="K5357" i="13"/>
  <c r="K5358" i="13"/>
  <c r="K5359" i="13"/>
  <c r="K5360" i="13"/>
  <c r="K5361" i="13"/>
  <c r="K5362" i="13"/>
  <c r="K5363" i="13"/>
  <c r="K5364" i="13"/>
  <c r="K5365" i="13"/>
  <c r="K5366" i="13"/>
  <c r="K5367" i="13"/>
  <c r="K5368" i="13"/>
  <c r="K5369" i="13"/>
  <c r="K5370" i="13"/>
  <c r="K5371" i="13"/>
  <c r="K5372" i="13"/>
  <c r="K5373" i="13"/>
  <c r="K5374" i="13"/>
  <c r="K5375" i="13"/>
  <c r="K5376" i="13"/>
  <c r="K5377" i="13"/>
  <c r="K5378" i="13"/>
  <c r="K5379" i="13"/>
  <c r="K5380" i="13"/>
  <c r="K5381" i="13"/>
  <c r="K5382" i="13"/>
  <c r="K5383" i="13"/>
  <c r="K5384" i="13"/>
  <c r="K5385" i="13"/>
  <c r="K5386" i="13"/>
  <c r="K5387" i="13"/>
  <c r="K5388" i="13"/>
  <c r="K5389" i="13"/>
  <c r="K5390" i="13"/>
  <c r="K5391" i="13"/>
  <c r="K5392" i="13"/>
  <c r="K5393" i="13"/>
  <c r="K5394" i="13"/>
  <c r="K5395" i="13"/>
  <c r="K5396" i="13"/>
  <c r="K5397" i="13"/>
  <c r="K5398" i="13"/>
  <c r="K5399" i="13"/>
  <c r="K5400" i="13"/>
  <c r="K5401" i="13"/>
  <c r="K5402" i="13"/>
  <c r="K5403" i="13"/>
  <c r="K5404" i="13"/>
  <c r="K5405" i="13"/>
  <c r="K5406" i="13"/>
  <c r="K5407" i="13"/>
  <c r="K5408" i="13"/>
  <c r="K5409" i="13"/>
  <c r="K5410" i="13"/>
  <c r="K5411" i="13"/>
  <c r="K5412" i="13"/>
  <c r="K5413" i="13"/>
  <c r="K5414" i="13"/>
  <c r="K5415" i="13"/>
  <c r="K5416" i="13"/>
  <c r="K5417" i="13"/>
  <c r="K5418" i="13"/>
  <c r="K5419" i="13"/>
  <c r="K5420" i="13"/>
  <c r="K5421" i="13"/>
  <c r="K5422" i="13"/>
  <c r="K5423" i="13"/>
  <c r="K5424" i="13"/>
  <c r="K5425" i="13"/>
  <c r="K5426" i="13"/>
  <c r="K5427" i="13"/>
  <c r="K5428" i="13"/>
  <c r="K5429" i="13"/>
  <c r="K5430" i="13"/>
  <c r="K5431" i="13"/>
  <c r="K5432" i="13"/>
  <c r="K5433" i="13"/>
  <c r="K5434" i="13"/>
  <c r="K5435" i="13"/>
  <c r="K5436" i="13"/>
  <c r="K5437" i="13"/>
  <c r="K5438" i="13"/>
  <c r="K5439" i="13"/>
  <c r="K5440" i="13"/>
  <c r="K5441" i="13"/>
  <c r="K5442" i="13"/>
  <c r="K5443" i="13"/>
  <c r="K5444" i="13"/>
  <c r="K5445" i="13"/>
  <c r="K5446" i="13"/>
  <c r="K5447" i="13"/>
  <c r="K5448" i="13"/>
  <c r="K5449" i="13"/>
  <c r="K5450" i="13"/>
  <c r="K5451" i="13"/>
  <c r="K5452" i="13"/>
  <c r="K5453" i="13"/>
  <c r="K5454" i="13"/>
  <c r="K5455" i="13"/>
  <c r="K5456" i="13"/>
  <c r="K5457" i="13"/>
  <c r="K5458" i="13"/>
  <c r="K5459" i="13"/>
  <c r="K5460" i="13"/>
  <c r="K5461" i="13"/>
  <c r="K5462" i="13"/>
  <c r="K5463" i="13"/>
  <c r="K5464" i="13"/>
  <c r="K5465" i="13"/>
  <c r="K5466" i="13"/>
  <c r="K5467" i="13"/>
  <c r="K5468" i="13"/>
  <c r="K5469" i="13"/>
  <c r="K5470" i="13"/>
  <c r="K5471" i="13"/>
  <c r="K5472" i="13"/>
  <c r="K5473" i="13"/>
  <c r="K5474" i="13"/>
  <c r="K5475" i="13"/>
  <c r="K5476" i="13"/>
  <c r="K5477" i="13"/>
  <c r="K5478" i="13"/>
  <c r="K5479" i="13"/>
  <c r="K5480" i="13"/>
  <c r="K5481" i="13"/>
  <c r="K5482" i="13"/>
  <c r="K5483" i="13"/>
  <c r="K5484" i="13"/>
  <c r="K5485" i="13"/>
  <c r="K5486" i="13"/>
  <c r="K5487" i="13"/>
  <c r="K5488" i="13"/>
  <c r="K5489" i="13"/>
  <c r="K5490" i="13"/>
  <c r="K5491" i="13"/>
  <c r="K5492" i="13"/>
  <c r="K5493" i="13"/>
  <c r="K5494" i="13"/>
  <c r="K5495" i="13"/>
  <c r="K5496" i="13"/>
  <c r="K5497" i="13"/>
  <c r="K5498" i="13"/>
  <c r="K5499" i="13"/>
  <c r="K5500" i="13"/>
  <c r="K5501" i="13"/>
  <c r="K5502" i="13"/>
  <c r="K5503" i="13"/>
  <c r="K5504" i="13"/>
  <c r="K5505" i="13"/>
  <c r="K5506" i="13"/>
  <c r="K5507" i="13"/>
  <c r="K5508" i="13"/>
  <c r="K5509" i="13"/>
  <c r="K5510" i="13"/>
  <c r="K5511" i="13"/>
  <c r="K5512" i="13"/>
  <c r="K5513" i="13"/>
  <c r="K5514" i="13"/>
  <c r="K5515" i="13"/>
  <c r="K5516" i="13"/>
  <c r="K5517" i="13"/>
  <c r="K5518" i="13"/>
  <c r="K5519" i="13"/>
  <c r="K5520" i="13"/>
  <c r="K5521" i="13"/>
  <c r="K5522" i="13"/>
  <c r="K5523" i="13"/>
  <c r="K5524" i="13"/>
  <c r="K5525" i="13"/>
  <c r="K5526" i="13"/>
  <c r="K5527" i="13"/>
  <c r="K5528" i="13"/>
  <c r="K5529" i="13"/>
  <c r="K5530" i="13"/>
  <c r="K5531" i="13"/>
  <c r="K5532" i="13"/>
  <c r="K5533" i="13"/>
  <c r="K5534" i="13"/>
  <c r="K5535" i="13"/>
  <c r="K5536" i="13"/>
  <c r="K5537" i="13"/>
  <c r="K5538" i="13"/>
  <c r="K5539" i="13"/>
  <c r="K5540" i="13"/>
  <c r="K5541" i="13"/>
  <c r="K5542" i="13"/>
  <c r="K5543" i="13"/>
  <c r="K5544" i="13"/>
  <c r="K5545" i="13"/>
  <c r="K5546" i="13"/>
  <c r="K5547" i="13"/>
  <c r="K5548" i="13"/>
  <c r="K5549" i="13"/>
  <c r="K5550" i="13"/>
  <c r="K5551" i="13"/>
  <c r="K5552" i="13"/>
  <c r="K5553" i="13"/>
  <c r="K5554" i="13"/>
  <c r="K5555" i="13"/>
  <c r="K5556" i="13"/>
  <c r="K5557" i="13"/>
  <c r="K5558" i="13"/>
  <c r="K5559" i="13"/>
  <c r="K5560" i="13"/>
  <c r="K5561" i="13"/>
  <c r="K5562" i="13"/>
  <c r="K5563" i="13"/>
  <c r="K5564" i="13"/>
  <c r="K5565" i="13"/>
  <c r="K5566" i="13"/>
  <c r="K5567" i="13"/>
  <c r="K5568" i="13"/>
  <c r="K5569" i="13"/>
  <c r="K5570" i="13"/>
  <c r="K5571" i="13"/>
  <c r="K5572" i="13"/>
  <c r="K5573" i="13"/>
  <c r="K5574" i="13"/>
  <c r="K5575" i="13"/>
  <c r="K5576" i="13"/>
  <c r="K5577" i="13"/>
  <c r="K5578" i="13"/>
  <c r="K5579" i="13"/>
  <c r="K5580" i="13"/>
  <c r="K5581" i="13"/>
  <c r="K5582" i="13"/>
  <c r="K5583" i="13"/>
  <c r="K5584" i="13"/>
  <c r="K5585" i="13"/>
  <c r="K5586" i="13"/>
  <c r="K5587" i="13"/>
  <c r="K5588" i="13"/>
  <c r="K5589" i="13"/>
  <c r="K5590" i="13"/>
  <c r="K5591" i="13"/>
  <c r="K5592" i="13"/>
  <c r="K5593" i="13"/>
  <c r="K5594" i="13"/>
  <c r="K5595" i="13"/>
  <c r="K5596" i="13"/>
  <c r="K5597" i="13"/>
  <c r="K5598" i="13"/>
  <c r="K5599" i="13"/>
  <c r="K5600" i="13"/>
  <c r="K5601" i="13"/>
  <c r="K5602" i="13"/>
  <c r="K5603" i="13"/>
  <c r="K5604" i="13"/>
  <c r="K5605" i="13"/>
  <c r="K5606" i="13"/>
  <c r="K5607" i="13"/>
  <c r="K5608" i="13"/>
  <c r="K5609" i="13"/>
  <c r="K5610" i="13"/>
  <c r="K5611" i="13"/>
  <c r="K5612" i="13"/>
  <c r="K5613" i="13"/>
  <c r="K5614" i="13"/>
  <c r="K5615" i="13"/>
  <c r="K5616" i="13"/>
  <c r="K5617" i="13"/>
  <c r="K5618" i="13"/>
  <c r="K5619" i="13"/>
  <c r="K5620" i="13"/>
  <c r="K5621" i="13"/>
  <c r="K5622" i="13"/>
  <c r="K5623" i="13"/>
  <c r="K5624" i="13"/>
  <c r="K5625" i="13"/>
  <c r="K5626" i="13"/>
  <c r="K5627" i="13"/>
  <c r="K5628" i="13"/>
  <c r="K5629" i="13"/>
  <c r="K5630" i="13"/>
  <c r="K5631" i="13"/>
  <c r="K5632" i="13"/>
  <c r="K5633" i="13"/>
  <c r="K5634" i="13"/>
  <c r="K5635" i="13"/>
  <c r="K5636" i="13"/>
  <c r="K5637" i="13"/>
  <c r="K5638" i="13"/>
  <c r="K5639" i="13"/>
  <c r="K5640" i="13"/>
  <c r="K5641" i="13"/>
  <c r="K5642" i="13"/>
  <c r="K5643" i="13"/>
  <c r="K5644" i="13"/>
  <c r="K5645" i="13"/>
  <c r="K5646" i="13"/>
  <c r="K5647" i="13"/>
  <c r="K5648" i="13"/>
  <c r="K5649" i="13"/>
  <c r="K5650" i="13"/>
  <c r="K5651" i="13"/>
  <c r="K5652" i="13"/>
  <c r="K5653" i="13"/>
  <c r="K5654" i="13"/>
  <c r="K5655" i="13"/>
  <c r="K5656" i="13"/>
  <c r="K5657" i="13"/>
  <c r="K5658" i="13"/>
  <c r="K5659" i="13"/>
  <c r="K5660" i="13"/>
  <c r="K5661" i="13"/>
  <c r="K5662" i="13"/>
  <c r="K5663" i="13"/>
  <c r="K5664" i="13"/>
  <c r="K5665" i="13"/>
  <c r="K5666" i="13"/>
  <c r="K5667" i="13"/>
  <c r="K5668" i="13"/>
  <c r="K5669" i="13"/>
  <c r="K5670" i="13"/>
  <c r="K5671" i="13"/>
  <c r="K5672" i="13"/>
  <c r="K5673" i="13"/>
  <c r="K5674" i="13"/>
  <c r="K5675" i="13"/>
  <c r="K5676" i="13"/>
  <c r="K5677" i="13"/>
  <c r="K5678" i="13"/>
  <c r="K5679" i="13"/>
  <c r="K5680" i="13"/>
  <c r="K5681" i="13"/>
  <c r="K5682" i="13"/>
  <c r="K5683" i="13"/>
  <c r="K5684" i="13"/>
  <c r="K5685" i="13"/>
  <c r="K5686" i="13"/>
  <c r="K5687" i="13"/>
  <c r="K5688" i="13"/>
  <c r="K5689" i="13"/>
  <c r="K5690" i="13"/>
  <c r="K5691" i="13"/>
  <c r="K5692" i="13"/>
  <c r="K5693" i="13"/>
  <c r="K5694" i="13"/>
  <c r="K5695" i="13"/>
  <c r="K5696" i="13"/>
  <c r="K5697" i="13"/>
  <c r="K5698" i="13"/>
  <c r="K5699" i="13"/>
  <c r="K5700" i="13"/>
  <c r="K5701" i="13"/>
  <c r="K5702" i="13"/>
  <c r="K5703" i="13"/>
  <c r="K5704" i="13"/>
  <c r="K5705" i="13"/>
  <c r="K5706" i="13"/>
  <c r="K5707" i="13"/>
  <c r="K5708" i="13"/>
  <c r="K5709" i="13"/>
  <c r="K5710" i="13"/>
  <c r="K5711" i="13"/>
  <c r="K5712" i="13"/>
  <c r="K5713" i="13"/>
  <c r="K5714" i="13"/>
  <c r="K5715" i="13"/>
  <c r="K5716" i="13"/>
  <c r="K5717" i="13"/>
  <c r="K5718" i="13"/>
  <c r="K5719" i="13"/>
  <c r="K5720" i="13"/>
  <c r="K5721" i="13"/>
  <c r="K5722" i="13"/>
  <c r="K5723" i="13"/>
  <c r="K5724" i="13"/>
  <c r="K5725" i="13"/>
  <c r="K5726" i="13"/>
  <c r="K5727" i="13"/>
  <c r="K5728" i="13"/>
  <c r="K5729" i="13"/>
  <c r="K5730" i="13"/>
  <c r="K5731" i="13"/>
  <c r="K5732" i="13"/>
  <c r="K5733" i="13"/>
  <c r="K5734" i="13"/>
  <c r="K5735" i="13"/>
  <c r="K5736" i="13"/>
  <c r="K5737" i="13"/>
  <c r="K5738" i="13"/>
  <c r="K5739" i="13"/>
  <c r="K5740" i="13"/>
  <c r="K5741" i="13"/>
  <c r="K5742" i="13"/>
  <c r="K5743" i="13"/>
  <c r="K5744" i="13"/>
  <c r="K5745" i="13"/>
  <c r="K5746" i="13"/>
  <c r="K5747" i="13"/>
  <c r="K5748" i="13"/>
  <c r="K5749" i="13"/>
  <c r="K5750" i="13"/>
  <c r="K5751" i="13"/>
  <c r="K5752" i="13"/>
  <c r="K5753" i="13"/>
  <c r="K5754" i="13"/>
  <c r="K5755" i="13"/>
  <c r="K5756" i="13"/>
  <c r="K5757" i="13"/>
  <c r="K5758" i="13"/>
  <c r="K5759" i="13"/>
  <c r="K5760" i="13"/>
  <c r="K5761" i="13"/>
  <c r="K5762" i="13"/>
  <c r="K5763" i="13"/>
  <c r="K5764" i="13"/>
  <c r="K5765" i="13"/>
  <c r="K5766" i="13"/>
  <c r="K5767" i="13"/>
  <c r="K5768" i="13"/>
  <c r="K5769" i="13"/>
  <c r="K5770" i="13"/>
  <c r="K5771" i="13"/>
  <c r="K5772" i="13"/>
  <c r="K5773" i="13"/>
  <c r="K5774" i="13"/>
  <c r="K5775" i="13"/>
  <c r="K5776" i="13"/>
  <c r="K5777" i="13"/>
  <c r="K5778" i="13"/>
  <c r="K5779" i="13"/>
  <c r="K5780" i="13"/>
  <c r="K5781" i="13"/>
  <c r="K5782" i="13"/>
  <c r="K5783" i="13"/>
  <c r="K5784" i="13"/>
  <c r="K5785" i="13"/>
  <c r="K5786" i="13"/>
  <c r="K5787" i="13"/>
  <c r="K5788" i="13"/>
  <c r="K5789" i="13"/>
  <c r="K5790" i="13"/>
  <c r="K5791" i="13"/>
  <c r="K5792" i="13"/>
  <c r="K5793" i="13"/>
  <c r="K5794" i="13"/>
  <c r="K5795" i="13"/>
  <c r="K5796" i="13"/>
  <c r="K5797" i="13"/>
  <c r="K5798" i="13"/>
  <c r="K5799" i="13"/>
  <c r="K5800" i="13"/>
  <c r="K5801" i="13"/>
  <c r="K5802" i="13"/>
  <c r="K5803" i="13"/>
  <c r="K5804" i="13"/>
  <c r="K5805" i="13"/>
  <c r="K5806" i="13"/>
  <c r="K5807" i="13"/>
  <c r="K5808" i="13"/>
  <c r="K5809" i="13"/>
  <c r="K5810" i="13"/>
  <c r="K5811" i="13"/>
  <c r="K5812" i="13"/>
  <c r="K5813" i="13"/>
  <c r="K5814" i="13"/>
  <c r="K5815" i="13"/>
  <c r="K5816" i="13"/>
  <c r="K5817" i="13"/>
  <c r="K5818" i="13"/>
  <c r="K5819" i="13"/>
  <c r="K5820" i="13"/>
  <c r="K5821" i="13"/>
  <c r="K5822" i="13"/>
  <c r="K5823" i="13"/>
  <c r="K5824" i="13"/>
  <c r="K5825" i="13"/>
  <c r="K5826" i="13"/>
  <c r="K5827" i="13"/>
  <c r="K5828" i="13"/>
  <c r="K5829" i="13"/>
  <c r="K5830" i="13"/>
  <c r="K5831" i="13"/>
  <c r="K5832" i="13"/>
  <c r="K5833" i="13"/>
  <c r="K5834" i="13"/>
  <c r="K5835" i="13"/>
  <c r="K5836" i="13"/>
  <c r="K5837" i="13"/>
  <c r="K5838" i="13"/>
  <c r="K5839" i="13"/>
  <c r="K5840" i="13"/>
  <c r="K5841" i="13"/>
  <c r="K5842" i="13"/>
  <c r="K5843" i="13"/>
  <c r="K5844" i="13"/>
  <c r="K5845" i="13"/>
  <c r="K5846" i="13"/>
  <c r="K5847" i="13"/>
  <c r="K5848" i="13"/>
  <c r="K5849" i="13"/>
  <c r="K5850" i="13"/>
  <c r="K5851" i="13"/>
  <c r="K5852" i="13"/>
  <c r="K5853" i="13"/>
  <c r="K5854" i="13"/>
  <c r="K5855" i="13"/>
  <c r="K5856" i="13"/>
  <c r="K5857" i="13"/>
  <c r="K5858" i="13"/>
  <c r="K5859" i="13"/>
  <c r="K5860" i="13"/>
  <c r="K5861" i="13"/>
  <c r="K5862" i="13"/>
  <c r="K5863" i="13"/>
  <c r="K5864" i="13"/>
  <c r="K5865" i="13"/>
  <c r="K5866" i="13"/>
  <c r="K5867" i="13"/>
  <c r="K5868" i="13"/>
  <c r="K5869" i="13"/>
  <c r="K5870" i="13"/>
  <c r="K5871" i="13"/>
  <c r="K5872" i="13"/>
  <c r="K5873" i="13"/>
  <c r="K5874" i="13"/>
  <c r="K5875" i="13"/>
  <c r="K5876" i="13"/>
  <c r="K5877" i="13"/>
  <c r="K5878" i="13"/>
  <c r="K5879" i="13"/>
  <c r="K5880" i="13"/>
  <c r="K5881" i="13"/>
  <c r="K5882" i="13"/>
  <c r="K5883" i="13"/>
  <c r="K5884" i="13"/>
  <c r="K5885" i="13"/>
  <c r="K5886" i="13"/>
  <c r="K5887" i="13"/>
  <c r="K5888" i="13"/>
  <c r="K5889" i="13"/>
  <c r="K5890" i="13"/>
  <c r="K5891" i="13"/>
  <c r="K5892" i="13"/>
  <c r="K5893" i="13"/>
  <c r="K5894" i="13"/>
  <c r="K5895" i="13"/>
  <c r="K5896" i="13"/>
  <c r="K5897" i="13"/>
  <c r="K5898" i="13"/>
  <c r="K5899" i="13"/>
  <c r="K5900" i="13"/>
  <c r="K5901" i="13"/>
  <c r="K5902" i="13"/>
  <c r="K5903" i="13"/>
  <c r="K5904" i="13"/>
  <c r="K5905" i="13"/>
  <c r="K5906" i="13"/>
  <c r="K5907" i="13"/>
  <c r="K5908" i="13"/>
  <c r="K5909" i="13"/>
  <c r="K5910" i="13"/>
  <c r="K5911" i="13"/>
  <c r="K5912" i="13"/>
  <c r="K5913" i="13"/>
  <c r="K5914" i="13"/>
  <c r="K5915" i="13"/>
  <c r="K5916" i="13"/>
  <c r="K5917" i="13"/>
  <c r="K5918" i="13"/>
  <c r="K5919" i="13"/>
  <c r="K5920" i="13"/>
  <c r="K5921" i="13"/>
  <c r="K5922" i="13"/>
  <c r="K5923" i="13"/>
  <c r="K5924" i="13"/>
  <c r="K5925" i="13"/>
  <c r="K5926" i="13"/>
  <c r="K5927" i="13"/>
  <c r="K5928" i="13"/>
  <c r="K5929" i="13"/>
  <c r="K5930" i="13"/>
  <c r="K5931" i="13"/>
  <c r="K5932" i="13"/>
  <c r="K5933" i="13"/>
  <c r="K5934" i="13"/>
  <c r="K5935" i="13"/>
  <c r="K5936" i="13"/>
  <c r="K5937" i="13"/>
  <c r="K5938" i="13"/>
  <c r="K5939" i="13"/>
  <c r="K5940" i="13"/>
  <c r="K5941" i="13"/>
  <c r="K5942" i="13"/>
  <c r="K5943" i="13"/>
  <c r="K5944" i="13"/>
  <c r="K5945" i="13"/>
  <c r="K5946" i="13"/>
  <c r="K5947" i="13"/>
  <c r="K5948" i="13"/>
  <c r="K5949" i="13"/>
  <c r="K5950" i="13"/>
  <c r="K5951" i="13"/>
  <c r="K5952" i="13"/>
  <c r="K5953" i="13"/>
  <c r="K5954" i="13"/>
  <c r="K5955" i="13"/>
  <c r="K5956" i="13"/>
  <c r="K5957" i="13"/>
  <c r="K5958" i="13"/>
  <c r="K5959" i="13"/>
  <c r="K5960" i="13"/>
  <c r="K5961" i="13"/>
  <c r="K5962" i="13"/>
  <c r="K5963" i="13"/>
  <c r="K5964" i="13"/>
  <c r="K5965" i="13"/>
  <c r="K5966" i="13"/>
  <c r="K5967" i="13"/>
  <c r="K5968" i="13"/>
  <c r="K5969" i="13"/>
  <c r="K5970" i="13"/>
  <c r="K5971" i="13"/>
  <c r="K5972" i="13"/>
  <c r="K5973" i="13"/>
  <c r="K5974" i="13"/>
  <c r="K5975" i="13"/>
  <c r="K5976" i="13"/>
  <c r="K5977" i="13"/>
  <c r="K5978" i="13"/>
  <c r="K5979" i="13"/>
  <c r="K5980" i="13"/>
  <c r="K5981" i="13"/>
  <c r="K5982" i="13"/>
  <c r="K5983" i="13"/>
  <c r="K5984" i="13"/>
  <c r="K5985" i="13"/>
  <c r="K5986" i="13"/>
  <c r="K5987" i="13"/>
  <c r="K5988" i="13"/>
  <c r="K5989" i="13"/>
  <c r="K5990" i="13"/>
  <c r="K5991" i="13"/>
  <c r="K5992" i="13"/>
  <c r="K5993" i="13"/>
  <c r="K5994" i="13"/>
  <c r="K5995" i="13"/>
  <c r="K5996" i="13"/>
  <c r="K5997" i="13"/>
  <c r="K5998" i="13"/>
  <c r="K5999" i="13"/>
  <c r="K6000" i="13"/>
  <c r="K6001" i="13"/>
  <c r="K6002" i="13"/>
  <c r="K6003" i="13"/>
  <c r="K6004" i="13"/>
  <c r="K6005" i="13"/>
  <c r="K6006" i="13"/>
  <c r="K6007" i="13"/>
  <c r="K6008" i="13"/>
  <c r="K6009" i="13"/>
  <c r="K6010" i="13"/>
  <c r="K6011" i="13"/>
  <c r="K6012" i="13"/>
  <c r="K6013" i="13"/>
  <c r="K6014" i="13"/>
  <c r="K6015" i="13"/>
  <c r="K6016" i="13"/>
  <c r="K6017" i="13"/>
  <c r="K6018" i="13"/>
  <c r="K6019" i="13"/>
  <c r="K6020" i="13"/>
  <c r="K6021" i="13"/>
  <c r="K6022" i="13"/>
  <c r="K6023" i="13"/>
  <c r="K6024" i="13"/>
  <c r="K6025" i="13"/>
  <c r="K6026" i="13"/>
  <c r="K6027" i="13"/>
  <c r="K6028" i="13"/>
  <c r="K6029" i="13"/>
  <c r="K6030" i="13"/>
  <c r="K6031" i="13"/>
  <c r="K6032" i="13"/>
  <c r="K6033" i="13"/>
  <c r="K6034" i="13"/>
  <c r="K6035" i="13"/>
  <c r="K6036" i="13"/>
  <c r="K6037" i="13"/>
  <c r="K6038" i="13"/>
  <c r="K6039" i="13"/>
  <c r="K6040" i="13"/>
  <c r="K6041" i="13"/>
  <c r="K6042" i="13"/>
  <c r="K6043" i="13"/>
  <c r="K6044" i="13"/>
  <c r="K6045" i="13"/>
  <c r="K6046" i="13"/>
  <c r="K6047" i="13"/>
  <c r="K6048" i="13"/>
  <c r="K6049" i="13"/>
  <c r="K6050" i="13"/>
  <c r="K6051" i="13"/>
  <c r="K6052" i="13"/>
  <c r="K6053" i="13"/>
  <c r="K6054" i="13"/>
  <c r="K6055" i="13"/>
  <c r="K6056" i="13"/>
  <c r="K6057" i="13"/>
  <c r="K6058" i="13"/>
  <c r="K6059" i="13"/>
  <c r="K6060" i="13"/>
  <c r="K6061" i="13"/>
  <c r="K6062" i="13"/>
  <c r="K6063" i="13"/>
  <c r="K6064" i="13"/>
  <c r="K6065" i="13"/>
  <c r="K6066" i="13"/>
  <c r="K6067" i="13"/>
  <c r="K6068" i="13"/>
  <c r="K6069" i="13"/>
  <c r="K6070" i="13"/>
  <c r="K6071" i="13"/>
  <c r="K6072" i="13"/>
  <c r="K6073" i="13"/>
  <c r="K6074" i="13"/>
  <c r="K6075" i="13"/>
  <c r="K6076" i="13"/>
  <c r="K6077" i="13"/>
  <c r="K6078" i="13"/>
  <c r="K6079" i="13"/>
  <c r="K6080" i="13"/>
  <c r="K6081" i="13"/>
  <c r="K6082" i="13"/>
  <c r="K6083" i="13"/>
  <c r="K6084" i="13"/>
  <c r="K6085" i="13"/>
  <c r="K6086" i="13"/>
  <c r="K6087" i="13"/>
  <c r="K6088" i="13"/>
  <c r="K6089" i="13"/>
  <c r="K6090" i="13"/>
  <c r="K6091" i="13"/>
  <c r="K6092" i="13"/>
  <c r="K6093" i="13"/>
  <c r="K6094" i="13"/>
  <c r="K6095" i="13"/>
  <c r="K6096" i="13"/>
  <c r="K6097" i="13"/>
  <c r="K6098" i="13"/>
  <c r="K6099" i="13"/>
  <c r="K6100" i="13"/>
  <c r="K6101" i="13"/>
  <c r="K6102" i="13"/>
  <c r="K6103" i="13"/>
  <c r="K6104" i="13"/>
  <c r="K6105" i="13"/>
  <c r="K6106" i="13"/>
  <c r="K6107" i="13"/>
  <c r="K6108" i="13"/>
  <c r="K6109" i="13"/>
  <c r="K6110" i="13"/>
  <c r="K6111" i="13"/>
  <c r="K6112" i="13"/>
  <c r="K6113" i="13"/>
  <c r="K6114" i="13"/>
  <c r="K6115" i="13"/>
  <c r="K6116" i="13"/>
  <c r="K6117" i="13"/>
  <c r="K6118" i="13"/>
  <c r="K6119" i="13"/>
  <c r="K6120" i="13"/>
  <c r="K6121" i="13"/>
  <c r="K6122" i="13"/>
  <c r="K6123" i="13"/>
  <c r="K6124" i="13"/>
  <c r="K6125" i="13"/>
  <c r="K6126" i="13"/>
  <c r="K6127" i="13"/>
  <c r="K6128" i="13"/>
  <c r="K6129" i="13"/>
  <c r="K6130" i="13"/>
  <c r="K6131" i="13"/>
  <c r="K6132" i="13"/>
  <c r="K6133" i="13"/>
  <c r="K6134" i="13"/>
  <c r="K6135" i="13"/>
  <c r="K6136" i="13"/>
  <c r="K6137" i="13"/>
  <c r="K6138" i="13"/>
  <c r="K6139" i="13"/>
  <c r="K6140" i="13"/>
  <c r="K6141" i="13"/>
  <c r="K6142" i="13"/>
  <c r="K6143" i="13"/>
  <c r="K6144" i="13"/>
  <c r="K6145" i="13"/>
  <c r="K6146" i="13"/>
  <c r="K6147" i="13"/>
  <c r="K6148" i="13"/>
  <c r="K6149" i="13"/>
  <c r="K6150" i="13"/>
  <c r="K6151" i="13"/>
  <c r="K6152" i="13"/>
  <c r="K6153" i="13"/>
  <c r="K6154" i="13"/>
  <c r="K6155" i="13"/>
  <c r="K6156" i="13"/>
  <c r="K6157" i="13"/>
  <c r="K6158" i="13"/>
  <c r="K6159" i="13"/>
  <c r="K6160" i="13"/>
  <c r="K6161" i="13"/>
  <c r="K6162" i="13"/>
  <c r="K6163" i="13"/>
  <c r="K6164" i="13"/>
  <c r="K6165" i="13"/>
  <c r="K6166" i="13"/>
  <c r="K6167" i="13"/>
  <c r="K6168" i="13"/>
  <c r="K6169" i="13"/>
  <c r="K6170" i="13"/>
  <c r="K6171" i="13"/>
  <c r="K6172" i="13"/>
  <c r="K6173" i="13"/>
  <c r="K6174" i="13"/>
  <c r="K6175" i="13"/>
  <c r="K6176" i="13"/>
  <c r="K6177" i="13"/>
  <c r="K6178" i="13"/>
  <c r="K6179" i="13"/>
  <c r="K6180" i="13"/>
  <c r="K6181" i="13"/>
  <c r="K6182" i="13"/>
  <c r="K6183" i="13"/>
  <c r="K6184" i="13"/>
  <c r="K6185" i="13"/>
  <c r="K6186" i="13"/>
  <c r="K6187" i="13"/>
  <c r="K6188" i="13"/>
  <c r="K6189" i="13"/>
  <c r="K6190" i="13"/>
  <c r="K6191" i="13"/>
  <c r="K6192" i="13"/>
  <c r="K6193" i="13"/>
  <c r="K6194" i="13"/>
  <c r="K6195" i="13"/>
  <c r="K6196" i="13"/>
  <c r="K6197" i="13"/>
  <c r="K6198" i="13"/>
  <c r="K6199" i="13"/>
  <c r="K6200" i="13"/>
  <c r="K6201" i="13"/>
  <c r="K6202" i="13"/>
  <c r="K6203" i="13"/>
  <c r="K6204" i="13"/>
  <c r="K6205" i="13"/>
  <c r="K6206" i="13"/>
  <c r="K6207" i="13"/>
  <c r="K6208" i="13"/>
  <c r="K6209" i="13"/>
  <c r="K6210" i="13"/>
  <c r="K6211" i="13"/>
  <c r="K6212" i="13"/>
  <c r="K6213" i="13"/>
  <c r="K6214" i="13"/>
  <c r="K6215" i="13"/>
  <c r="K6216" i="13"/>
  <c r="K6217" i="13"/>
  <c r="K6218" i="13"/>
  <c r="K6219" i="13"/>
  <c r="K6220" i="13"/>
  <c r="K6221" i="13"/>
  <c r="K6222" i="13"/>
  <c r="K6223" i="13"/>
  <c r="K6224" i="13"/>
  <c r="K6225" i="13"/>
  <c r="K6226" i="13"/>
  <c r="K6227" i="13"/>
  <c r="K6228" i="13"/>
  <c r="K6229" i="13"/>
  <c r="K6230" i="13"/>
  <c r="K6231" i="13"/>
  <c r="K6232" i="13"/>
  <c r="K6233" i="13"/>
  <c r="K6234" i="13"/>
  <c r="K6235" i="13"/>
  <c r="K6236" i="13"/>
  <c r="K6237" i="13"/>
  <c r="K6238" i="13"/>
  <c r="K6239" i="13"/>
  <c r="K6240" i="13"/>
  <c r="K6241" i="13"/>
  <c r="K6242" i="13"/>
  <c r="K6243" i="13"/>
  <c r="K6244" i="13"/>
  <c r="K6245" i="13"/>
  <c r="K6246" i="13"/>
  <c r="K6247" i="13"/>
  <c r="K6248" i="13"/>
  <c r="K6249" i="13"/>
  <c r="K6250" i="13"/>
  <c r="K6251" i="13"/>
  <c r="K6252" i="13"/>
  <c r="K6253" i="13"/>
  <c r="K6254" i="13"/>
  <c r="K6255" i="13"/>
  <c r="K6256" i="13"/>
  <c r="K6257" i="13"/>
  <c r="K6258" i="13"/>
  <c r="K6259" i="13"/>
  <c r="K6260" i="13"/>
  <c r="K6261" i="13"/>
  <c r="K6262" i="13"/>
  <c r="K6263" i="13"/>
  <c r="K6264" i="13"/>
  <c r="K6265" i="13"/>
  <c r="K6266" i="13"/>
  <c r="K6267" i="13"/>
  <c r="K6268" i="13"/>
  <c r="K6269" i="13"/>
  <c r="K6270" i="13"/>
  <c r="K6271" i="13"/>
  <c r="K6272" i="13"/>
  <c r="K6273" i="13"/>
  <c r="K6274" i="13"/>
  <c r="K6275" i="13"/>
  <c r="K6276" i="13"/>
  <c r="K6277" i="13"/>
  <c r="K6278" i="13"/>
  <c r="K6279" i="13"/>
  <c r="K6280" i="13"/>
  <c r="K6281" i="13"/>
  <c r="K6282" i="13"/>
  <c r="K6283" i="13"/>
  <c r="K6284" i="13"/>
  <c r="K6285" i="13"/>
  <c r="K6286" i="13"/>
  <c r="K6287" i="13"/>
  <c r="K6288" i="13"/>
  <c r="K6289" i="13"/>
  <c r="K6290" i="13"/>
  <c r="K6291" i="13"/>
  <c r="K6292" i="13"/>
  <c r="K6293" i="13"/>
  <c r="K6294" i="13"/>
  <c r="K6295" i="13"/>
  <c r="K6296" i="13"/>
  <c r="K6297" i="13"/>
  <c r="K6298" i="13"/>
  <c r="K6299" i="13"/>
  <c r="K6300" i="13"/>
  <c r="K6301" i="13"/>
  <c r="K6302" i="13"/>
  <c r="K6303" i="13"/>
  <c r="K6304" i="13"/>
  <c r="K6305" i="13"/>
  <c r="K6306" i="13"/>
  <c r="K6307" i="13"/>
  <c r="K6308" i="13"/>
  <c r="K6309" i="13"/>
  <c r="K6310" i="13"/>
  <c r="K6311" i="13"/>
  <c r="K6312" i="13"/>
  <c r="K6313" i="13"/>
  <c r="K6314" i="13"/>
  <c r="K6315" i="13"/>
  <c r="K6316" i="13"/>
  <c r="K6317" i="13"/>
  <c r="K6318" i="13"/>
  <c r="K6319" i="13"/>
  <c r="K6320" i="13"/>
  <c r="K6321" i="13"/>
  <c r="K6322" i="13"/>
  <c r="K6323" i="13"/>
  <c r="K6324" i="13"/>
  <c r="K6325" i="13"/>
  <c r="K6326" i="13"/>
  <c r="K6327" i="13"/>
  <c r="K6328" i="13"/>
  <c r="K6329" i="13"/>
  <c r="K6330" i="13"/>
  <c r="K6331" i="13"/>
  <c r="K6332" i="13"/>
  <c r="K6333" i="13"/>
  <c r="K6334" i="13"/>
  <c r="K6335" i="13"/>
  <c r="K6336" i="13"/>
  <c r="K6337" i="13"/>
  <c r="K6338" i="13"/>
  <c r="K6339" i="13"/>
  <c r="K6340" i="13"/>
  <c r="K6341" i="13"/>
  <c r="K6342" i="13"/>
  <c r="K6343" i="13"/>
  <c r="K6344" i="13"/>
  <c r="K6345" i="13"/>
  <c r="K6346" i="13"/>
  <c r="K6347" i="13"/>
  <c r="K6348" i="13"/>
  <c r="K6349" i="13"/>
  <c r="K6350" i="13"/>
  <c r="K6351" i="13"/>
  <c r="K6352" i="13"/>
  <c r="K6353" i="13"/>
  <c r="K6354" i="13"/>
  <c r="K6355" i="13"/>
  <c r="K6356" i="13"/>
  <c r="K6357" i="13"/>
  <c r="K6358" i="13"/>
  <c r="K6359" i="13"/>
  <c r="K6360" i="13"/>
  <c r="K6361" i="13"/>
  <c r="K6362" i="13"/>
  <c r="K6363" i="13"/>
  <c r="K6364" i="13"/>
  <c r="K6365" i="13"/>
  <c r="K6366" i="13"/>
  <c r="K6367" i="13"/>
  <c r="K6368" i="13"/>
  <c r="K6369" i="13"/>
  <c r="K6370" i="13"/>
  <c r="K6371" i="13"/>
  <c r="K6372" i="13"/>
  <c r="K6373" i="13"/>
  <c r="K6374" i="13"/>
  <c r="K6375" i="13"/>
  <c r="K6376" i="13"/>
  <c r="K6377" i="13"/>
  <c r="K6378" i="13"/>
  <c r="K6379" i="13"/>
  <c r="K6380" i="13"/>
  <c r="K6381" i="13"/>
  <c r="K6382" i="13"/>
  <c r="K6383" i="13"/>
  <c r="K6384" i="13"/>
  <c r="K6385" i="13"/>
  <c r="K6386" i="13"/>
  <c r="K6387" i="13"/>
  <c r="K6388" i="13"/>
  <c r="K6389" i="13"/>
  <c r="K6390" i="13"/>
  <c r="K6391" i="13"/>
  <c r="K6392" i="13"/>
  <c r="K6393" i="13"/>
  <c r="K6394" i="13"/>
  <c r="K6395" i="13"/>
  <c r="K6396" i="13"/>
  <c r="K6397" i="13"/>
  <c r="K6398" i="13"/>
  <c r="K6399" i="13"/>
  <c r="K6400" i="13"/>
  <c r="K6401" i="13"/>
  <c r="K6402" i="13"/>
  <c r="K6403" i="13"/>
  <c r="K6404" i="13"/>
  <c r="K6405" i="13"/>
  <c r="K6406" i="13"/>
  <c r="K6407" i="13"/>
  <c r="K6408" i="13"/>
  <c r="K6409" i="13"/>
  <c r="K6410" i="13"/>
  <c r="K6411" i="13"/>
  <c r="K6412" i="13"/>
  <c r="K6413" i="13"/>
  <c r="K6414" i="13"/>
  <c r="K6415" i="13"/>
  <c r="K6416" i="13"/>
  <c r="K6417" i="13"/>
  <c r="K6418" i="13"/>
  <c r="K6419" i="13"/>
  <c r="K6420" i="13"/>
  <c r="K6421" i="13"/>
  <c r="K6422" i="13"/>
  <c r="K6423" i="13"/>
  <c r="K6424" i="13"/>
  <c r="K6425" i="13"/>
  <c r="K6426" i="13"/>
  <c r="K6427" i="13"/>
  <c r="K6428" i="13"/>
  <c r="K6429" i="13"/>
  <c r="K6430" i="13"/>
  <c r="K6431" i="13"/>
  <c r="K6432" i="13"/>
  <c r="K6433" i="13"/>
  <c r="K6434" i="13"/>
  <c r="K6435" i="13"/>
  <c r="K6436" i="13"/>
  <c r="K6437" i="13"/>
  <c r="K6438" i="13"/>
  <c r="K6439" i="13"/>
  <c r="K6440" i="13"/>
  <c r="K6441" i="13"/>
  <c r="K6442" i="13"/>
  <c r="K6443" i="13"/>
  <c r="K6444" i="13"/>
  <c r="K6445" i="13"/>
  <c r="K6446" i="13"/>
  <c r="K6447" i="13"/>
  <c r="K6448" i="13"/>
  <c r="K6449" i="13"/>
  <c r="K6450" i="13"/>
  <c r="K6451" i="13"/>
  <c r="K6452" i="13"/>
  <c r="K6453" i="13"/>
  <c r="K6454" i="13"/>
  <c r="K6455" i="13"/>
  <c r="K6456" i="13"/>
  <c r="K6457" i="13"/>
  <c r="K6458" i="13"/>
  <c r="K6459" i="13"/>
  <c r="K6460" i="13"/>
  <c r="K6461" i="13"/>
  <c r="K6462" i="13"/>
  <c r="K6463" i="13"/>
  <c r="K6464" i="13"/>
  <c r="K6465" i="13"/>
  <c r="K6466" i="13"/>
  <c r="K6467" i="13"/>
  <c r="K6468" i="13"/>
  <c r="K6469" i="13"/>
  <c r="K6470" i="13"/>
  <c r="K6471" i="13"/>
  <c r="K6472" i="13"/>
  <c r="K6473" i="13"/>
  <c r="K6474" i="13"/>
  <c r="K6475" i="13"/>
  <c r="K6476" i="13"/>
  <c r="K6477" i="13"/>
  <c r="K6478" i="13"/>
  <c r="K6479" i="13"/>
  <c r="K6480" i="13"/>
  <c r="K6481" i="13"/>
  <c r="K6482" i="13"/>
  <c r="K6483" i="13"/>
  <c r="K6484" i="13"/>
  <c r="K6485" i="13"/>
  <c r="K6486" i="13"/>
  <c r="K6487" i="13"/>
  <c r="K6488" i="13"/>
  <c r="K6489" i="13"/>
  <c r="K6490" i="13"/>
  <c r="K6491" i="13"/>
  <c r="K6492" i="13"/>
  <c r="K6493" i="13"/>
  <c r="K6494" i="13"/>
  <c r="K6495" i="13"/>
  <c r="K6496" i="13"/>
  <c r="K6497" i="13"/>
  <c r="K6498" i="13"/>
  <c r="K6499" i="13"/>
  <c r="K6500" i="13"/>
  <c r="K6501" i="13"/>
  <c r="K6502" i="13"/>
  <c r="K6503" i="13"/>
  <c r="K6504" i="13"/>
  <c r="K6505" i="13"/>
  <c r="K6506" i="13"/>
  <c r="K6507" i="13"/>
  <c r="K6508" i="13"/>
  <c r="K6509" i="13"/>
  <c r="K6510" i="13"/>
  <c r="K6511" i="13"/>
  <c r="K6512" i="13"/>
  <c r="K6513" i="13"/>
  <c r="K6514" i="13"/>
  <c r="K6515" i="13"/>
  <c r="K6516" i="13"/>
  <c r="K6517" i="13"/>
  <c r="K6518" i="13"/>
  <c r="K6519" i="13"/>
  <c r="K6520" i="13"/>
  <c r="K6521" i="13"/>
  <c r="K6522" i="13"/>
  <c r="K6523" i="13"/>
  <c r="K6524" i="13"/>
  <c r="K6525" i="13"/>
  <c r="K6526" i="13"/>
  <c r="K6527" i="13"/>
  <c r="K6528" i="13"/>
  <c r="K6529" i="13"/>
  <c r="K6530" i="13"/>
  <c r="K6531" i="13"/>
  <c r="K6532" i="13"/>
  <c r="K6533" i="13"/>
  <c r="K6534" i="13"/>
  <c r="K6535" i="13"/>
  <c r="K6536" i="13"/>
  <c r="K6537" i="13"/>
  <c r="K6538" i="13"/>
  <c r="K6539" i="13"/>
  <c r="K6540" i="13"/>
  <c r="K6541" i="13"/>
  <c r="K6542" i="13"/>
  <c r="K6543" i="13"/>
  <c r="K6544" i="13"/>
  <c r="K6545" i="13"/>
  <c r="K6546" i="13"/>
  <c r="K6547" i="13"/>
  <c r="K6548" i="13"/>
  <c r="K6549" i="13"/>
  <c r="K6550" i="13"/>
  <c r="K6551" i="13"/>
  <c r="K6552" i="13"/>
  <c r="K6553" i="13"/>
  <c r="K6554" i="13"/>
  <c r="K6555" i="13"/>
  <c r="K6556" i="13"/>
  <c r="K6557" i="13"/>
  <c r="K6558" i="13"/>
  <c r="K6559" i="13"/>
  <c r="K6560" i="13"/>
  <c r="K6561" i="13"/>
  <c r="K6562" i="13"/>
  <c r="K6563" i="13"/>
  <c r="K6564" i="13"/>
  <c r="K6565" i="13"/>
  <c r="K6566" i="13"/>
  <c r="K6567" i="13"/>
  <c r="K6568" i="13"/>
  <c r="K6569" i="13"/>
  <c r="K6570" i="13"/>
  <c r="K6571" i="13"/>
  <c r="K6572" i="13"/>
  <c r="K6573" i="13"/>
  <c r="K6574" i="13"/>
  <c r="K6575" i="13"/>
  <c r="K6576" i="13"/>
  <c r="K6577" i="13"/>
  <c r="K6578" i="13"/>
  <c r="K6579" i="13"/>
  <c r="K6580" i="13"/>
  <c r="K6581" i="13"/>
  <c r="K6582" i="13"/>
  <c r="K6583" i="13"/>
  <c r="K6584" i="13"/>
  <c r="K6585" i="13"/>
  <c r="K6586" i="13"/>
  <c r="K6587" i="13"/>
  <c r="K6588" i="13"/>
  <c r="K6589" i="13"/>
  <c r="K6590" i="13"/>
  <c r="K6591" i="13"/>
  <c r="K6592" i="13"/>
  <c r="K6593" i="13"/>
  <c r="K6594" i="13"/>
  <c r="K6595" i="13"/>
  <c r="K6596" i="13"/>
  <c r="K6597" i="13"/>
  <c r="K6598" i="13"/>
  <c r="K6599" i="13"/>
  <c r="K6600" i="13"/>
  <c r="K6601" i="13"/>
  <c r="K6602" i="13"/>
  <c r="K6603" i="13"/>
  <c r="K6604" i="13"/>
  <c r="K6605" i="13"/>
  <c r="K6606" i="13"/>
  <c r="K6607" i="13"/>
  <c r="K6608" i="13"/>
  <c r="K6609" i="13"/>
  <c r="K6610" i="13"/>
  <c r="K6611" i="13"/>
  <c r="K6612" i="13"/>
  <c r="K6613" i="13"/>
  <c r="K6614" i="13"/>
  <c r="K6615" i="13"/>
  <c r="K6616" i="13"/>
  <c r="K6617" i="13"/>
  <c r="K6618" i="13"/>
  <c r="K6619" i="13"/>
  <c r="K6620" i="13"/>
  <c r="K6621" i="13"/>
  <c r="K6622" i="13"/>
  <c r="K6623" i="13"/>
  <c r="K6624" i="13"/>
  <c r="K6625" i="13"/>
  <c r="K6626" i="13"/>
  <c r="K6627" i="13"/>
  <c r="K6628" i="13"/>
  <c r="K6629" i="13"/>
  <c r="K6630" i="13"/>
  <c r="K6631" i="13"/>
  <c r="K6632" i="13"/>
  <c r="K6633" i="13"/>
  <c r="K6634" i="13"/>
  <c r="K6635" i="13"/>
  <c r="K6636" i="13"/>
  <c r="K6637" i="13"/>
  <c r="K6638" i="13"/>
  <c r="K6639" i="13"/>
  <c r="K6640" i="13"/>
  <c r="K6641" i="13"/>
  <c r="K6642" i="13"/>
  <c r="K6643" i="13"/>
  <c r="K6644" i="13"/>
  <c r="K6645" i="13"/>
  <c r="K6646" i="13"/>
  <c r="K6647" i="13"/>
  <c r="K6648" i="13"/>
  <c r="K6649" i="13"/>
  <c r="K6650" i="13"/>
  <c r="K6651" i="13"/>
  <c r="K6652" i="13"/>
  <c r="K6653" i="13"/>
  <c r="K6654" i="13"/>
  <c r="K6655" i="13"/>
  <c r="K6656" i="13"/>
  <c r="K6657" i="13"/>
  <c r="K6658" i="13"/>
  <c r="K6659" i="13"/>
  <c r="K6660" i="13"/>
  <c r="K6661" i="13"/>
  <c r="K6662" i="13"/>
  <c r="K6663" i="13"/>
  <c r="K6664" i="13"/>
  <c r="K6665" i="13"/>
  <c r="K6666" i="13"/>
  <c r="K6667" i="13"/>
  <c r="K6668" i="13"/>
  <c r="K6669" i="13"/>
  <c r="K6670" i="13"/>
  <c r="K6671" i="13"/>
  <c r="K6672" i="13"/>
  <c r="K6673" i="13"/>
  <c r="K6674" i="13"/>
  <c r="K6675" i="13"/>
  <c r="K6676" i="13"/>
  <c r="K6677" i="13"/>
  <c r="K6678" i="13"/>
  <c r="K6679" i="13"/>
  <c r="K6680" i="13"/>
  <c r="K6681" i="13"/>
  <c r="K6682" i="13"/>
  <c r="K6683" i="13"/>
  <c r="K6684" i="13"/>
  <c r="K6685" i="13"/>
  <c r="K6686" i="13"/>
  <c r="K6687" i="13"/>
  <c r="K6688" i="13"/>
  <c r="K6689" i="13"/>
  <c r="K6690" i="13"/>
  <c r="K6691" i="13"/>
  <c r="K6692" i="13"/>
  <c r="K6693" i="13"/>
  <c r="K6694" i="13"/>
  <c r="K6695" i="13"/>
  <c r="K6696" i="13"/>
  <c r="K6697" i="13"/>
  <c r="K6698" i="13"/>
  <c r="K6699" i="13"/>
  <c r="K6700" i="13"/>
  <c r="K6701" i="13"/>
  <c r="K6702" i="13"/>
  <c r="K6703" i="13"/>
  <c r="K6704" i="13"/>
  <c r="K6705" i="13"/>
  <c r="K6706" i="13"/>
  <c r="K6707" i="13"/>
  <c r="K6708" i="13"/>
  <c r="K6709" i="13"/>
  <c r="K6710" i="13"/>
  <c r="K6711" i="13"/>
  <c r="K6712" i="13"/>
  <c r="K6713" i="13"/>
  <c r="K6714" i="13"/>
  <c r="K6715" i="13"/>
  <c r="K6716" i="13"/>
  <c r="K6717" i="13"/>
  <c r="K6718" i="13"/>
  <c r="K6719" i="13"/>
  <c r="K6720" i="13"/>
  <c r="K6721" i="13"/>
  <c r="K6722" i="13"/>
  <c r="K6723" i="13"/>
  <c r="K6724" i="13"/>
  <c r="K6725" i="13"/>
  <c r="K6726" i="13"/>
  <c r="K6727" i="13"/>
  <c r="K6728" i="13"/>
  <c r="K6729" i="13"/>
  <c r="K6730" i="13"/>
  <c r="K6731" i="13"/>
  <c r="K6732" i="13"/>
  <c r="K6733" i="13"/>
  <c r="K6734" i="13"/>
  <c r="K6735" i="13"/>
  <c r="K6736" i="13"/>
  <c r="K6737" i="13"/>
  <c r="K6738" i="13"/>
  <c r="K6739" i="13"/>
  <c r="K6740" i="13"/>
  <c r="K6741" i="13"/>
  <c r="K6742" i="13"/>
  <c r="K6743" i="13"/>
  <c r="K6744" i="13"/>
  <c r="K6745" i="13"/>
  <c r="K6746" i="13"/>
  <c r="K6747" i="13"/>
  <c r="K6748" i="13"/>
  <c r="K6749" i="13"/>
  <c r="K6750" i="13"/>
  <c r="K6751" i="13"/>
  <c r="K6752" i="13"/>
  <c r="K6753" i="13"/>
  <c r="K6754" i="13"/>
  <c r="K6755" i="13"/>
  <c r="K6756" i="13"/>
  <c r="K6757" i="13"/>
  <c r="K6758" i="13"/>
  <c r="K6759" i="13"/>
  <c r="K6760" i="13"/>
  <c r="K6761" i="13"/>
  <c r="K6762" i="13"/>
  <c r="K6763" i="13"/>
  <c r="K6764" i="13"/>
  <c r="K6765" i="13"/>
  <c r="K6766" i="13"/>
  <c r="K6767" i="13"/>
  <c r="K6768" i="13"/>
  <c r="K6769" i="13"/>
  <c r="K6770" i="13"/>
  <c r="K6771" i="13"/>
  <c r="K6772" i="13"/>
  <c r="K6773" i="13"/>
  <c r="K6774" i="13"/>
  <c r="K6775" i="13"/>
  <c r="K6776" i="13"/>
  <c r="K6777" i="13"/>
  <c r="K6778" i="13"/>
  <c r="K6779" i="13"/>
  <c r="K6780" i="13"/>
  <c r="K6781" i="13"/>
  <c r="K6782" i="13"/>
  <c r="K6783" i="13"/>
  <c r="K6784" i="13"/>
  <c r="K6785" i="13"/>
  <c r="K6786" i="13"/>
  <c r="K6787" i="13"/>
  <c r="K6788" i="13"/>
  <c r="K6789" i="13"/>
  <c r="K6790" i="13"/>
  <c r="K6791" i="13"/>
  <c r="K6792" i="13"/>
  <c r="K6793" i="13"/>
  <c r="K6794" i="13"/>
  <c r="K6795" i="13"/>
  <c r="K6796" i="13"/>
  <c r="K6797" i="13"/>
  <c r="K6798" i="13"/>
  <c r="K6799" i="13"/>
  <c r="K6800" i="13"/>
  <c r="K6801" i="13"/>
  <c r="K6802" i="13"/>
  <c r="K6803" i="13"/>
  <c r="K6804" i="13"/>
  <c r="K6805" i="13"/>
  <c r="K6806" i="13"/>
  <c r="K6807" i="13"/>
  <c r="K6808" i="13"/>
  <c r="K6809" i="13"/>
  <c r="K6810" i="13"/>
  <c r="K6811" i="13"/>
  <c r="K6812" i="13"/>
  <c r="K6813" i="13"/>
  <c r="K6814" i="13"/>
  <c r="K6815" i="13"/>
  <c r="K6816" i="13"/>
  <c r="K6817" i="13"/>
  <c r="K6818" i="13"/>
  <c r="K6819" i="13"/>
  <c r="K6820" i="13"/>
  <c r="K6821" i="13"/>
  <c r="K6822" i="13"/>
  <c r="K6823" i="13"/>
  <c r="K6824" i="13"/>
  <c r="K6825" i="13"/>
  <c r="K6826" i="13"/>
  <c r="K6827" i="13"/>
  <c r="K6828" i="13"/>
  <c r="K6829" i="13"/>
  <c r="K6830" i="13"/>
  <c r="K6831" i="13"/>
  <c r="K6832" i="13"/>
  <c r="K6833" i="13"/>
  <c r="K6834" i="13"/>
  <c r="K6835" i="13"/>
  <c r="K6836" i="13"/>
  <c r="K6837" i="13"/>
  <c r="K6838" i="13"/>
  <c r="K6839" i="13"/>
  <c r="K6840" i="13"/>
  <c r="K6841" i="13"/>
  <c r="K6842" i="13"/>
  <c r="K6843" i="13"/>
  <c r="K6844" i="13"/>
  <c r="K6845" i="13"/>
  <c r="K6846" i="13"/>
  <c r="K6847" i="13"/>
  <c r="K6848" i="13"/>
  <c r="K6849" i="13"/>
  <c r="K6850" i="13"/>
  <c r="K6851" i="13"/>
  <c r="K6852" i="13"/>
  <c r="K6853" i="13"/>
  <c r="K6854" i="13"/>
  <c r="K6855" i="13"/>
  <c r="K6856" i="13"/>
  <c r="K6857" i="13"/>
  <c r="K6858" i="13"/>
  <c r="K6859" i="13"/>
  <c r="K6860" i="13"/>
  <c r="K6861" i="13"/>
  <c r="K6862" i="13"/>
  <c r="K6863" i="13"/>
  <c r="K6864" i="13"/>
  <c r="K6865" i="13"/>
  <c r="K6866" i="13"/>
  <c r="K6867" i="13"/>
  <c r="K6868" i="13"/>
  <c r="K6869" i="13"/>
  <c r="K6870" i="13"/>
  <c r="K6871" i="13"/>
  <c r="K6872" i="13"/>
  <c r="K6873" i="13"/>
  <c r="K6874" i="13"/>
  <c r="K6875" i="13"/>
  <c r="K6876" i="13"/>
  <c r="K6877" i="13"/>
  <c r="K6878" i="13"/>
  <c r="K6879" i="13"/>
  <c r="K6880" i="13"/>
  <c r="K6881" i="13"/>
  <c r="K6882" i="13"/>
  <c r="K6883" i="13"/>
  <c r="K6884" i="13"/>
  <c r="K6885" i="13"/>
  <c r="K6886" i="13"/>
  <c r="K6887" i="13"/>
  <c r="K6888" i="13"/>
  <c r="K6889" i="13"/>
  <c r="K6890" i="13"/>
  <c r="K6891" i="13"/>
  <c r="K6892" i="13"/>
  <c r="K6893" i="13"/>
  <c r="K6894" i="13"/>
  <c r="K6895" i="13"/>
  <c r="K6896" i="13"/>
  <c r="K6897" i="13"/>
  <c r="K6898" i="13"/>
  <c r="K6899" i="13"/>
  <c r="K6900" i="13"/>
  <c r="K6901" i="13"/>
  <c r="K6902" i="13"/>
  <c r="K6903" i="13"/>
  <c r="K6904" i="13"/>
  <c r="K6905" i="13"/>
  <c r="K6906" i="13"/>
  <c r="K6907" i="13"/>
  <c r="K6908" i="13"/>
  <c r="K6909" i="13"/>
  <c r="K6910" i="13"/>
  <c r="K6911" i="13"/>
  <c r="K6912" i="13"/>
  <c r="K6913" i="13"/>
  <c r="K6914" i="13"/>
  <c r="K6915" i="13"/>
  <c r="K6916" i="13"/>
  <c r="K6917" i="13"/>
  <c r="K6918" i="13"/>
  <c r="K6919" i="13"/>
  <c r="K6920" i="13"/>
  <c r="K6921" i="13"/>
  <c r="K6922" i="13"/>
  <c r="K6923" i="13"/>
  <c r="K6924" i="13"/>
  <c r="K6925" i="13"/>
  <c r="K6926" i="13"/>
  <c r="K6927" i="13"/>
  <c r="K6928" i="13"/>
  <c r="K6929" i="13"/>
  <c r="K6930" i="13"/>
  <c r="K6931" i="13"/>
  <c r="K6932" i="13"/>
  <c r="K6933" i="13"/>
  <c r="K6934" i="13"/>
  <c r="K6935" i="13"/>
  <c r="K6936" i="13"/>
  <c r="K6937" i="13"/>
  <c r="K6938" i="13"/>
  <c r="K6939" i="13"/>
  <c r="K6940" i="13"/>
  <c r="K6941" i="13"/>
  <c r="K6942" i="13"/>
  <c r="K6943" i="13"/>
  <c r="K6944" i="13"/>
  <c r="K6945" i="13"/>
  <c r="K6946" i="13"/>
  <c r="K6947" i="13"/>
  <c r="K6948" i="13"/>
  <c r="K6949" i="13"/>
  <c r="K6950" i="13"/>
  <c r="K6951" i="13"/>
  <c r="K6952" i="13"/>
  <c r="K6953" i="13"/>
  <c r="K6954" i="13"/>
  <c r="K6955" i="13"/>
  <c r="K6956" i="13"/>
  <c r="K6957" i="13"/>
  <c r="K6958" i="13"/>
  <c r="K6959" i="13"/>
  <c r="K6960" i="13"/>
  <c r="K6961" i="13"/>
  <c r="K6962" i="13"/>
  <c r="K6963" i="13"/>
  <c r="K6964" i="13"/>
  <c r="K6965" i="13"/>
  <c r="K6966" i="13"/>
  <c r="K6967" i="13"/>
  <c r="K6968" i="13"/>
  <c r="K6969" i="13"/>
  <c r="K6970" i="13"/>
  <c r="K6971" i="13"/>
  <c r="K6972" i="13"/>
  <c r="K6973" i="13"/>
  <c r="K6974" i="13"/>
  <c r="K6975" i="13"/>
  <c r="K6976" i="13"/>
  <c r="K6977" i="13"/>
  <c r="K6978" i="13"/>
  <c r="K6979" i="13"/>
  <c r="K6980" i="13"/>
  <c r="K6981" i="13"/>
  <c r="K6982" i="13"/>
  <c r="K6983" i="13"/>
  <c r="K6984" i="13"/>
  <c r="K6985" i="13"/>
  <c r="K6986" i="13"/>
  <c r="K6987" i="13"/>
  <c r="K6988" i="13"/>
  <c r="K6989" i="13"/>
  <c r="K6990" i="13"/>
  <c r="K6991" i="13"/>
  <c r="K6992" i="13"/>
  <c r="K6993" i="13"/>
  <c r="K6994" i="13"/>
  <c r="K6995" i="13"/>
  <c r="K6996" i="13"/>
  <c r="K6997" i="13"/>
  <c r="K6998" i="13"/>
  <c r="K6999" i="13"/>
  <c r="K7000" i="13"/>
  <c r="K7001" i="13"/>
  <c r="K7002" i="13"/>
  <c r="K7003" i="13"/>
  <c r="K7004" i="13"/>
  <c r="K7005" i="13"/>
  <c r="K7006" i="13"/>
  <c r="K7007" i="13"/>
  <c r="K7008" i="13"/>
  <c r="K7009" i="13"/>
  <c r="K7010" i="13"/>
  <c r="K7011" i="13"/>
  <c r="K7012" i="13"/>
  <c r="K7013" i="13"/>
  <c r="K7014" i="13"/>
  <c r="K7015" i="13"/>
  <c r="K7016" i="13"/>
  <c r="K7017" i="13"/>
  <c r="K7018" i="13"/>
  <c r="K7019" i="13"/>
  <c r="K7020" i="13"/>
  <c r="K7021" i="13"/>
  <c r="K7022" i="13"/>
  <c r="K7023" i="13"/>
  <c r="K7024" i="13"/>
  <c r="K7025" i="13"/>
  <c r="K7026" i="13"/>
  <c r="K7027" i="13"/>
  <c r="K7028" i="13"/>
  <c r="K7029" i="13"/>
  <c r="K7030" i="13"/>
  <c r="K7031" i="13"/>
  <c r="K7032" i="13"/>
  <c r="K7033" i="13"/>
  <c r="K7034" i="13"/>
  <c r="K7035" i="13"/>
  <c r="K7036" i="13"/>
  <c r="K7037" i="13"/>
  <c r="K7038" i="13"/>
  <c r="K7039" i="13"/>
  <c r="K7040" i="13"/>
  <c r="K7041" i="13"/>
  <c r="K7042" i="13"/>
  <c r="K7043" i="13"/>
  <c r="K7044" i="13"/>
  <c r="K7045" i="13"/>
  <c r="K7046" i="13"/>
  <c r="K7047" i="13"/>
  <c r="K7048" i="13"/>
  <c r="K7049" i="13"/>
  <c r="K7050" i="13"/>
  <c r="K7051" i="13"/>
  <c r="K7052" i="13"/>
  <c r="K7053" i="13"/>
  <c r="K7054" i="13"/>
  <c r="K7055" i="13"/>
  <c r="K7056" i="13"/>
  <c r="K7057" i="13"/>
  <c r="K7058" i="13"/>
  <c r="K7059" i="13"/>
  <c r="K7060" i="13"/>
  <c r="K7061" i="13"/>
  <c r="K7062" i="13"/>
  <c r="K7063" i="13"/>
  <c r="K7064" i="13"/>
  <c r="K7065" i="13"/>
  <c r="K7066" i="13"/>
  <c r="K7067" i="13"/>
  <c r="K7068" i="13"/>
  <c r="K7069" i="13"/>
  <c r="K7070" i="13"/>
  <c r="K7071" i="13"/>
  <c r="K7072" i="13"/>
  <c r="K7073" i="13"/>
  <c r="K7074" i="13"/>
  <c r="K7075" i="13"/>
  <c r="K7076" i="13"/>
  <c r="K7077" i="13"/>
  <c r="K7078" i="13"/>
  <c r="K7079" i="13"/>
  <c r="K7080" i="13"/>
  <c r="K7081" i="13"/>
  <c r="K7082" i="13"/>
  <c r="K7083" i="13"/>
  <c r="K7084" i="13"/>
  <c r="K7085" i="13"/>
  <c r="K7086" i="13"/>
  <c r="K7087" i="13"/>
  <c r="K7088" i="13"/>
  <c r="K7089" i="13"/>
  <c r="K7090" i="13"/>
  <c r="K7091" i="13"/>
  <c r="K7092" i="13"/>
  <c r="K7093" i="13"/>
  <c r="K7094" i="13"/>
  <c r="K7095" i="13"/>
  <c r="K7096" i="13"/>
  <c r="K7097" i="13"/>
  <c r="K7098" i="13"/>
  <c r="K7099" i="13"/>
  <c r="K7100" i="13"/>
  <c r="K7101" i="13"/>
  <c r="K7102" i="13"/>
  <c r="K7103" i="13"/>
  <c r="K7104" i="13"/>
  <c r="K7105" i="13"/>
  <c r="K7106" i="13"/>
  <c r="K7107" i="13"/>
  <c r="K7108" i="13"/>
  <c r="K7109" i="13"/>
  <c r="K7110" i="13"/>
  <c r="K7111" i="13"/>
  <c r="K7112" i="13"/>
  <c r="K7113" i="13"/>
  <c r="K7114" i="13"/>
  <c r="K7115" i="13"/>
  <c r="K7116" i="13"/>
  <c r="K7117" i="13"/>
  <c r="K7118" i="13"/>
  <c r="K7119" i="13"/>
  <c r="K7120" i="13"/>
  <c r="K7121" i="13"/>
  <c r="K7122" i="13"/>
  <c r="K7123" i="13"/>
  <c r="K7124" i="13"/>
  <c r="K7125" i="13"/>
  <c r="K7126" i="13"/>
  <c r="K7127" i="13"/>
  <c r="K7128" i="13"/>
  <c r="K7129" i="13"/>
  <c r="K7130" i="13"/>
  <c r="K7131" i="13"/>
  <c r="K7132" i="13"/>
  <c r="K7133" i="13"/>
  <c r="K7134" i="13"/>
  <c r="K7135" i="13"/>
  <c r="K7136" i="13"/>
  <c r="K7137" i="13"/>
  <c r="K7138" i="13"/>
  <c r="K7139" i="13"/>
  <c r="K7140" i="13"/>
  <c r="K7141" i="13"/>
  <c r="K7142" i="13"/>
  <c r="K7143" i="13"/>
  <c r="K7144" i="13"/>
  <c r="K7145" i="13"/>
  <c r="K7146" i="13"/>
  <c r="K7147" i="13"/>
  <c r="K7148" i="13"/>
  <c r="K7149" i="13"/>
  <c r="K7150" i="13"/>
  <c r="K7151" i="13"/>
  <c r="K7152" i="13"/>
  <c r="K7153" i="13"/>
  <c r="K7154" i="13"/>
  <c r="K7155" i="13"/>
  <c r="K7156" i="13"/>
  <c r="K7157" i="13"/>
  <c r="K7158" i="13"/>
  <c r="K7159" i="13"/>
  <c r="K7160" i="13"/>
  <c r="K7161" i="13"/>
  <c r="K7162" i="13"/>
  <c r="K7163" i="13"/>
  <c r="K7164" i="13"/>
  <c r="K7165" i="13"/>
  <c r="K7166" i="13"/>
  <c r="K7167" i="13"/>
  <c r="K7168" i="13"/>
  <c r="K7169" i="13"/>
  <c r="K7170" i="13"/>
  <c r="K7171" i="13"/>
  <c r="K7172" i="13"/>
  <c r="K7173" i="13"/>
  <c r="K7174" i="13"/>
  <c r="K7175" i="13"/>
  <c r="K7176" i="13"/>
  <c r="K7177" i="13"/>
  <c r="K7178" i="13"/>
  <c r="K7179" i="13"/>
  <c r="K7180" i="13"/>
  <c r="K7181" i="13"/>
  <c r="K7182" i="13"/>
  <c r="K7183" i="13"/>
  <c r="K7184" i="13"/>
  <c r="K7185" i="13"/>
  <c r="K7186" i="13"/>
  <c r="K7187" i="13"/>
  <c r="K7188" i="13"/>
  <c r="K7189" i="13"/>
  <c r="K7190" i="13"/>
  <c r="K7191" i="13"/>
  <c r="K7192" i="13"/>
  <c r="K7193" i="13"/>
  <c r="K7194" i="13"/>
  <c r="K7195" i="13"/>
  <c r="K7196" i="13"/>
  <c r="K7197" i="13"/>
  <c r="K7198" i="13"/>
  <c r="K7199" i="13"/>
  <c r="K7200" i="13"/>
  <c r="K7201" i="13"/>
  <c r="K7202" i="13"/>
  <c r="K7203" i="13"/>
  <c r="K7204" i="13"/>
  <c r="K7205" i="13"/>
  <c r="K7206" i="13"/>
  <c r="K7207" i="13"/>
  <c r="K7208" i="13"/>
  <c r="K7209" i="13"/>
  <c r="K7210" i="13"/>
  <c r="K7211" i="13"/>
  <c r="K7212" i="13"/>
  <c r="K7213" i="13"/>
  <c r="K7214" i="13"/>
  <c r="K7215" i="13"/>
  <c r="K7216" i="13"/>
  <c r="K7217" i="13"/>
  <c r="K7218" i="13"/>
  <c r="K7219" i="13"/>
  <c r="K7220" i="13"/>
  <c r="K7221" i="13"/>
  <c r="K7222" i="13"/>
  <c r="K7223" i="13"/>
  <c r="K7224" i="13"/>
  <c r="K7225" i="13"/>
  <c r="K7226" i="13"/>
  <c r="K7227" i="13"/>
  <c r="K7228" i="13"/>
  <c r="K7229" i="13"/>
  <c r="K7230" i="13"/>
  <c r="K7231" i="13"/>
  <c r="K7232" i="13"/>
  <c r="K7233" i="13"/>
  <c r="K7234" i="13"/>
  <c r="K7235" i="13"/>
  <c r="K7236" i="13"/>
  <c r="K7237" i="13"/>
  <c r="K7238" i="13"/>
  <c r="K7239" i="13"/>
  <c r="K7240" i="13"/>
  <c r="K7241" i="13"/>
  <c r="K7242" i="13"/>
  <c r="K7243" i="13"/>
  <c r="K7244" i="13"/>
  <c r="K7245" i="13"/>
  <c r="K7246" i="13"/>
  <c r="K7247" i="13"/>
  <c r="K7248" i="13"/>
  <c r="K7249" i="13"/>
  <c r="K7250" i="13"/>
  <c r="K7251" i="13"/>
  <c r="K7252" i="13"/>
  <c r="K7253" i="13"/>
  <c r="K7254" i="13"/>
  <c r="K7255" i="13"/>
  <c r="K7256" i="13"/>
  <c r="K7257" i="13"/>
  <c r="K7258" i="13"/>
  <c r="K7259" i="13"/>
  <c r="K7260" i="13"/>
  <c r="K7261" i="13"/>
  <c r="K7262" i="13"/>
  <c r="K7263" i="13"/>
  <c r="K7264" i="13"/>
  <c r="K7265" i="13"/>
  <c r="K7266" i="13"/>
  <c r="K7267" i="13"/>
  <c r="K7268" i="13"/>
  <c r="K7269" i="13"/>
  <c r="K7270" i="13"/>
  <c r="K7271" i="13"/>
  <c r="K7272" i="13"/>
  <c r="K7273" i="13"/>
  <c r="K7274" i="13"/>
  <c r="K7275" i="13"/>
  <c r="K7276" i="13"/>
  <c r="K7277" i="13"/>
  <c r="K7278" i="13"/>
  <c r="K7279" i="13"/>
  <c r="K7280" i="13"/>
  <c r="K7281" i="13"/>
  <c r="K7282" i="13"/>
  <c r="K7283" i="13"/>
  <c r="K7284" i="13"/>
  <c r="K7285" i="13"/>
  <c r="K7286" i="13"/>
  <c r="K7287" i="13"/>
  <c r="K7288" i="13"/>
  <c r="K7289" i="13"/>
  <c r="K7290" i="13"/>
  <c r="K7291" i="13"/>
  <c r="K7292" i="13"/>
  <c r="K7293" i="13"/>
  <c r="K7294" i="13"/>
  <c r="K7295" i="13"/>
  <c r="K7296" i="13"/>
  <c r="K7297" i="13"/>
  <c r="K7298" i="13"/>
  <c r="K7299" i="13"/>
  <c r="K7300" i="13"/>
  <c r="K7301" i="13"/>
  <c r="K7302" i="13"/>
  <c r="K7303" i="13"/>
  <c r="K7304" i="13"/>
  <c r="K7305" i="13"/>
  <c r="K7306" i="13"/>
  <c r="K7307" i="13"/>
  <c r="K7308" i="13"/>
  <c r="K7309" i="13"/>
  <c r="K7310" i="13"/>
  <c r="K7311" i="13"/>
  <c r="K7312" i="13"/>
  <c r="K7313" i="13"/>
  <c r="K7314" i="13"/>
  <c r="K7315" i="13"/>
  <c r="K7316" i="13"/>
  <c r="K7317" i="13"/>
  <c r="K7318" i="13"/>
  <c r="K7319" i="13"/>
  <c r="K7320" i="13"/>
  <c r="K7321" i="13"/>
  <c r="K7322" i="13"/>
  <c r="K7323" i="13"/>
  <c r="K7324" i="13"/>
  <c r="K7325" i="13"/>
  <c r="K7326" i="13"/>
  <c r="K7327" i="13"/>
  <c r="K7328" i="13"/>
  <c r="K7329" i="13"/>
  <c r="K7330" i="13"/>
  <c r="K7331" i="13"/>
  <c r="K7332" i="13"/>
  <c r="K7333" i="13"/>
  <c r="K7334" i="13"/>
  <c r="K7335" i="13"/>
  <c r="K7336" i="13"/>
  <c r="K7337" i="13"/>
  <c r="K7338" i="13"/>
  <c r="K7339" i="13"/>
  <c r="K7340" i="13"/>
  <c r="K7341" i="13"/>
  <c r="K7342" i="13"/>
  <c r="K7343" i="13"/>
  <c r="K7344" i="13"/>
  <c r="K7345" i="13"/>
  <c r="K7346" i="13"/>
  <c r="K7347" i="13"/>
  <c r="K7348" i="13"/>
  <c r="K7349" i="13"/>
  <c r="K7350" i="13"/>
  <c r="K7351" i="13"/>
  <c r="K7352" i="13"/>
  <c r="K7353" i="13"/>
  <c r="K7354" i="13"/>
  <c r="K7355" i="13"/>
  <c r="K7356" i="13"/>
  <c r="K7357" i="13"/>
  <c r="K7358" i="13"/>
  <c r="K7359" i="13"/>
  <c r="K7360" i="13"/>
  <c r="K7361" i="13"/>
  <c r="K7362" i="13"/>
  <c r="K7363" i="13"/>
  <c r="K7364" i="13"/>
  <c r="K7365" i="13"/>
  <c r="K7366" i="13"/>
  <c r="K7367" i="13"/>
  <c r="K7368" i="13"/>
  <c r="K7369" i="13"/>
  <c r="K7370" i="13"/>
  <c r="K7371" i="13"/>
  <c r="K7372" i="13"/>
  <c r="K7373" i="13"/>
  <c r="K7374" i="13"/>
  <c r="K7375" i="13"/>
  <c r="K7376" i="13"/>
  <c r="K7377" i="13"/>
  <c r="K7378" i="13"/>
  <c r="K7379" i="13"/>
  <c r="K7380" i="13"/>
  <c r="K7381" i="13"/>
  <c r="K7382" i="13"/>
  <c r="K7383" i="13"/>
  <c r="K7384" i="13"/>
  <c r="K7385" i="13"/>
  <c r="K7386" i="13"/>
  <c r="K7387" i="13"/>
  <c r="K7388" i="13"/>
  <c r="K7389" i="13"/>
  <c r="K7390" i="13"/>
  <c r="K7391" i="13"/>
  <c r="K7392" i="13"/>
  <c r="K7393" i="13"/>
  <c r="K7394" i="13"/>
  <c r="K7395" i="13"/>
  <c r="K7396" i="13"/>
  <c r="K7397" i="13"/>
  <c r="K7398" i="13"/>
  <c r="K7399" i="13"/>
  <c r="K7400" i="13"/>
  <c r="K7401" i="13"/>
  <c r="K7402" i="13"/>
  <c r="K7403" i="13"/>
  <c r="K7404" i="13"/>
  <c r="K7405" i="13"/>
  <c r="K7406" i="13"/>
  <c r="K7407" i="13"/>
  <c r="K7408" i="13"/>
  <c r="K7409" i="13"/>
  <c r="K7410" i="13"/>
  <c r="K7411" i="13"/>
  <c r="K7412" i="13"/>
  <c r="K7413" i="13"/>
  <c r="K7414" i="13"/>
  <c r="K7415" i="13"/>
  <c r="K7416" i="13"/>
  <c r="K7417" i="13"/>
  <c r="K7418" i="13"/>
  <c r="K7419" i="13"/>
  <c r="K7420" i="13"/>
  <c r="K7421" i="13"/>
  <c r="K7422" i="13"/>
  <c r="K7423" i="13"/>
  <c r="K7424" i="13"/>
  <c r="K7425" i="13"/>
  <c r="K7426" i="13"/>
  <c r="K7427" i="13"/>
  <c r="K7428" i="13"/>
  <c r="K7429" i="13"/>
  <c r="K7430" i="13"/>
  <c r="K7431" i="13"/>
  <c r="K7432" i="13"/>
  <c r="K7433" i="13"/>
  <c r="K7434" i="13"/>
  <c r="K7435" i="13"/>
  <c r="K7436" i="13"/>
  <c r="K7437" i="13"/>
  <c r="K7438" i="13"/>
  <c r="K7439" i="13"/>
  <c r="K7440" i="13"/>
  <c r="K7441" i="13"/>
  <c r="K7442" i="13"/>
  <c r="K7443" i="13"/>
  <c r="K7444" i="13"/>
  <c r="K7445" i="13"/>
  <c r="K7446" i="13"/>
  <c r="K7447" i="13"/>
  <c r="K7448" i="13"/>
  <c r="K7449" i="13"/>
  <c r="K7450" i="13"/>
  <c r="K7451" i="13"/>
  <c r="K7452" i="13"/>
  <c r="K7453" i="13"/>
  <c r="K7454" i="13"/>
  <c r="K7455" i="13"/>
  <c r="K7456" i="13"/>
  <c r="K7457" i="13"/>
  <c r="K7458" i="13"/>
  <c r="K7459" i="13"/>
  <c r="K7460" i="13"/>
  <c r="K7461" i="13"/>
  <c r="K7462" i="13"/>
  <c r="K7463" i="13"/>
  <c r="K7464" i="13"/>
  <c r="K7465" i="13"/>
  <c r="K7466" i="13"/>
  <c r="K7467" i="13"/>
  <c r="K7468" i="13"/>
  <c r="K7469" i="13"/>
  <c r="K7470" i="13"/>
  <c r="K7471" i="13"/>
  <c r="K7472" i="13"/>
  <c r="K7473" i="13"/>
  <c r="K7474" i="13"/>
  <c r="K7475" i="13"/>
  <c r="K7476" i="13"/>
  <c r="K7477" i="13"/>
  <c r="K7478" i="13"/>
  <c r="K7479" i="13"/>
  <c r="K7480" i="13"/>
  <c r="K7481" i="13"/>
  <c r="K7482" i="13"/>
  <c r="K7483" i="13"/>
  <c r="K7484" i="13"/>
  <c r="K7485" i="13"/>
  <c r="K7486" i="13"/>
  <c r="K7487" i="13"/>
  <c r="K7488" i="13"/>
  <c r="K7489" i="13"/>
  <c r="K7490" i="13"/>
  <c r="K7491" i="13"/>
  <c r="K7492" i="13"/>
  <c r="K7493" i="13"/>
  <c r="K7494" i="13"/>
  <c r="K7495" i="13"/>
  <c r="K7496" i="13"/>
  <c r="K7497" i="13"/>
  <c r="K7498" i="13"/>
  <c r="K7499" i="13"/>
  <c r="K7500" i="13"/>
  <c r="K7501" i="13"/>
  <c r="K7502" i="13"/>
  <c r="K7503" i="13"/>
  <c r="K7504" i="13"/>
  <c r="K7505" i="13"/>
  <c r="K7506" i="13"/>
  <c r="K7507" i="13"/>
  <c r="K7508" i="13"/>
  <c r="K7509" i="13"/>
  <c r="K7510" i="13"/>
  <c r="K7511" i="13"/>
  <c r="K7512" i="13"/>
  <c r="K7513" i="13"/>
  <c r="K7514" i="13"/>
  <c r="K7515" i="13"/>
  <c r="K7516" i="13"/>
  <c r="K7517" i="13"/>
  <c r="K7518" i="13"/>
  <c r="K7519" i="13"/>
  <c r="K7520" i="13"/>
  <c r="K7521" i="13"/>
  <c r="K7522" i="13"/>
  <c r="K7523" i="13"/>
  <c r="K7524" i="13"/>
  <c r="K7525" i="13"/>
  <c r="K7526" i="13"/>
  <c r="K7527" i="13"/>
  <c r="K7528" i="13"/>
  <c r="K7529" i="13"/>
  <c r="K7530" i="13"/>
  <c r="K7531" i="13"/>
  <c r="K7532" i="13"/>
  <c r="K7533" i="13"/>
  <c r="K7534" i="13"/>
  <c r="K7535" i="13"/>
  <c r="K7536" i="13"/>
  <c r="K7537" i="13"/>
  <c r="K7538" i="13"/>
  <c r="K7539" i="13"/>
  <c r="K7540" i="13"/>
  <c r="K7541" i="13"/>
  <c r="K7542" i="13"/>
  <c r="K7543" i="13"/>
  <c r="K7544" i="13"/>
  <c r="K7545" i="13"/>
  <c r="K7546" i="13"/>
  <c r="K7547" i="13"/>
  <c r="K7548" i="13"/>
  <c r="K7549" i="13"/>
  <c r="K7550" i="13"/>
  <c r="K7551" i="13"/>
  <c r="K7552" i="13"/>
  <c r="K7553" i="13"/>
  <c r="K7554" i="13"/>
  <c r="K7555" i="13"/>
  <c r="K7556" i="13"/>
  <c r="K7557" i="13"/>
  <c r="K7558" i="13"/>
  <c r="K7559" i="13"/>
  <c r="K7560" i="13"/>
  <c r="K7561" i="13"/>
  <c r="K7562" i="13"/>
  <c r="K7563" i="13"/>
  <c r="K7564" i="13"/>
  <c r="K7565" i="13"/>
  <c r="K7566" i="13"/>
  <c r="K7567" i="13"/>
  <c r="K7568" i="13"/>
  <c r="K7569" i="13"/>
  <c r="K7570" i="13"/>
  <c r="K7571" i="13"/>
  <c r="K7572" i="13"/>
  <c r="K7573" i="13"/>
  <c r="K7574" i="13"/>
  <c r="K7575" i="13"/>
  <c r="K7576" i="13"/>
  <c r="K7577" i="13"/>
  <c r="K7578" i="13"/>
  <c r="K7579" i="13"/>
  <c r="K7580" i="13"/>
  <c r="K7581" i="13"/>
  <c r="K7582" i="13"/>
  <c r="K7583" i="13"/>
  <c r="K7584" i="13"/>
  <c r="K7585" i="13"/>
  <c r="K7586" i="13"/>
  <c r="K7587" i="13"/>
  <c r="K7588" i="13"/>
  <c r="K7589" i="13"/>
  <c r="K7590" i="13"/>
  <c r="K7591" i="13"/>
  <c r="K7592" i="13"/>
  <c r="K7593" i="13"/>
  <c r="K7594" i="13"/>
  <c r="K7595" i="13"/>
  <c r="K7596" i="13"/>
  <c r="K7597" i="13"/>
  <c r="K7598" i="13"/>
  <c r="K7599" i="13"/>
  <c r="K7600" i="13"/>
  <c r="K7601" i="13"/>
  <c r="K7602" i="13"/>
  <c r="K7603" i="13"/>
  <c r="K7604" i="13"/>
  <c r="K7605" i="13"/>
  <c r="K7606" i="13"/>
  <c r="K7607" i="13"/>
  <c r="K7608" i="13"/>
  <c r="K7609" i="13"/>
  <c r="K7610" i="13"/>
  <c r="K7611" i="13"/>
  <c r="K7612" i="13"/>
  <c r="K7613" i="13"/>
  <c r="K7614" i="13"/>
  <c r="K7615" i="13"/>
  <c r="K7616" i="13"/>
  <c r="K7617" i="13"/>
  <c r="K7618" i="13"/>
  <c r="K7619" i="13"/>
  <c r="K7620" i="13"/>
  <c r="K7621" i="13"/>
  <c r="K7622" i="13"/>
  <c r="K7623" i="13"/>
  <c r="K7624" i="13"/>
  <c r="K7625" i="13"/>
  <c r="K7626" i="13"/>
  <c r="K7627" i="13"/>
  <c r="K7628" i="13"/>
  <c r="K7629" i="13"/>
  <c r="K7630" i="13"/>
  <c r="K7631" i="13"/>
  <c r="K7632" i="13"/>
  <c r="K7633" i="13"/>
  <c r="K7634" i="13"/>
  <c r="K7635" i="13"/>
  <c r="K7636" i="13"/>
  <c r="K7637" i="13"/>
  <c r="K7638" i="13"/>
  <c r="K7639" i="13"/>
  <c r="K7640" i="13"/>
  <c r="K7641" i="13"/>
  <c r="K7642" i="13"/>
  <c r="K7643" i="13"/>
  <c r="K7644" i="13"/>
  <c r="K7645" i="13"/>
  <c r="K7646" i="13"/>
  <c r="K7647" i="13"/>
  <c r="K7648" i="13"/>
  <c r="K7649" i="13"/>
  <c r="K7650" i="13"/>
  <c r="K7651" i="13"/>
  <c r="K7652" i="13"/>
  <c r="K7653" i="13"/>
  <c r="K7654" i="13"/>
  <c r="K7655" i="13"/>
  <c r="K7656" i="13"/>
  <c r="K7657" i="13"/>
  <c r="K7658" i="13"/>
  <c r="K7659" i="13"/>
  <c r="K7660" i="13"/>
  <c r="K7661" i="13"/>
  <c r="K7662" i="13"/>
  <c r="K7663" i="13"/>
  <c r="K7664" i="13"/>
  <c r="K7665" i="13"/>
  <c r="K7666" i="13"/>
  <c r="K7667" i="13"/>
  <c r="K7668" i="13"/>
  <c r="K7669" i="13"/>
  <c r="K7670" i="13"/>
  <c r="K7671" i="13"/>
  <c r="K7672" i="13"/>
  <c r="K7673" i="13"/>
  <c r="K7674" i="13"/>
  <c r="K7675" i="13"/>
  <c r="K7676" i="13"/>
  <c r="K7677" i="13"/>
  <c r="K7678" i="13"/>
  <c r="K7679" i="13"/>
  <c r="K7680" i="13"/>
  <c r="K7681" i="13"/>
  <c r="K7682" i="13"/>
  <c r="K7683" i="13"/>
  <c r="K7684" i="13"/>
  <c r="K7685" i="13"/>
  <c r="K7686" i="13"/>
  <c r="K7687" i="13"/>
  <c r="K7688" i="13"/>
  <c r="K7689" i="13"/>
  <c r="K7690" i="13"/>
  <c r="K7691" i="13"/>
  <c r="K7692" i="13"/>
  <c r="K7693" i="13"/>
  <c r="K7694" i="13"/>
  <c r="K7695" i="13"/>
  <c r="K7696" i="13"/>
  <c r="K7697" i="13"/>
  <c r="K7698" i="13"/>
  <c r="K7699" i="13"/>
  <c r="K7700" i="13"/>
  <c r="K7701" i="13"/>
  <c r="K7702" i="13"/>
  <c r="K7703" i="13"/>
  <c r="K7704" i="13"/>
  <c r="K7705" i="13"/>
  <c r="K7706" i="13"/>
  <c r="K7707" i="13"/>
  <c r="K7708" i="13"/>
  <c r="K7709" i="13"/>
  <c r="K7710" i="13"/>
  <c r="K7711" i="13"/>
  <c r="K7712" i="13"/>
  <c r="K7713" i="13"/>
  <c r="K7714" i="13"/>
  <c r="K7715" i="13"/>
  <c r="K7716" i="13"/>
  <c r="K7717" i="13"/>
  <c r="K7718" i="13"/>
  <c r="K7719" i="13"/>
  <c r="K7720" i="13"/>
  <c r="K7721" i="13"/>
  <c r="K7722" i="13"/>
  <c r="K7723" i="13"/>
  <c r="K7724" i="13"/>
  <c r="K7725" i="13"/>
  <c r="K7726" i="13"/>
  <c r="K7727" i="13"/>
  <c r="K7728" i="13"/>
  <c r="K7729" i="13"/>
  <c r="K7730" i="13"/>
  <c r="K7731" i="13"/>
  <c r="K7732" i="13"/>
  <c r="K7733" i="13"/>
  <c r="K7734" i="13"/>
  <c r="K7735" i="13"/>
  <c r="K7736" i="13"/>
  <c r="K7737" i="13"/>
  <c r="K7738" i="13"/>
  <c r="K7739" i="13"/>
  <c r="K7740" i="13"/>
  <c r="K7741" i="13"/>
  <c r="K7742" i="13"/>
  <c r="K7743" i="13"/>
  <c r="K7744" i="13"/>
  <c r="K7745" i="13"/>
  <c r="K7746" i="13"/>
  <c r="K7747" i="13"/>
  <c r="K7748" i="13"/>
  <c r="K7749" i="13"/>
  <c r="K7750" i="13"/>
  <c r="K7751" i="13"/>
  <c r="K7752" i="13"/>
  <c r="K7753" i="13"/>
  <c r="K7754" i="13"/>
  <c r="K7755" i="13"/>
  <c r="K7756" i="13"/>
  <c r="K7757" i="13"/>
  <c r="K7758" i="13"/>
  <c r="K7759" i="13"/>
  <c r="K7760" i="13"/>
  <c r="K7761" i="13"/>
  <c r="K7762" i="13"/>
  <c r="K7763" i="13"/>
  <c r="K7764" i="13"/>
  <c r="K7765" i="13"/>
  <c r="K7766" i="13"/>
  <c r="K7767" i="13"/>
  <c r="K7768" i="13"/>
  <c r="K7769" i="13"/>
  <c r="K7770" i="13"/>
  <c r="K7771" i="13"/>
  <c r="K7772" i="13"/>
  <c r="K7773" i="13"/>
  <c r="K7774" i="13"/>
  <c r="K7775" i="13"/>
  <c r="K7776" i="13"/>
  <c r="K7777" i="13"/>
  <c r="K7778" i="13"/>
  <c r="K7779" i="13"/>
  <c r="K7780" i="13"/>
  <c r="K7781" i="13"/>
  <c r="K7782" i="13"/>
  <c r="K7783" i="13"/>
  <c r="K7784" i="13"/>
  <c r="K7785" i="13"/>
  <c r="K7786" i="13"/>
  <c r="K7787" i="13"/>
  <c r="K7788" i="13"/>
  <c r="K7789" i="13"/>
  <c r="K7790" i="13"/>
  <c r="K7791" i="13"/>
  <c r="K7792" i="13"/>
  <c r="K7793" i="13"/>
  <c r="K7794" i="13"/>
  <c r="K7795" i="13"/>
  <c r="K7796" i="13"/>
  <c r="K7797" i="13"/>
  <c r="K7798" i="13"/>
  <c r="K7799" i="13"/>
  <c r="K7800" i="13"/>
  <c r="K7801" i="13"/>
  <c r="K7802" i="13"/>
  <c r="K7803" i="13"/>
  <c r="K7804" i="13"/>
  <c r="K7805" i="13"/>
  <c r="K7806" i="13"/>
  <c r="K7807" i="13"/>
  <c r="K7808" i="13"/>
  <c r="K7809" i="13"/>
  <c r="K7810" i="13"/>
  <c r="K7811" i="13"/>
  <c r="K7812" i="13"/>
  <c r="K7813" i="13"/>
  <c r="K7814" i="13"/>
  <c r="K7815" i="13"/>
  <c r="K7816" i="13"/>
  <c r="K7817" i="13"/>
  <c r="K7818" i="13"/>
  <c r="K7819" i="13"/>
  <c r="K7820" i="13"/>
  <c r="K7821" i="13"/>
  <c r="K7822" i="13"/>
  <c r="K7823" i="13"/>
  <c r="K7824" i="13"/>
  <c r="K7825" i="13"/>
  <c r="K7826" i="13"/>
  <c r="K7827" i="13"/>
  <c r="K7828" i="13"/>
  <c r="K7829" i="13"/>
  <c r="K7830" i="13"/>
  <c r="K7831" i="13"/>
  <c r="K7832" i="13"/>
  <c r="K7833" i="13"/>
  <c r="K7834" i="13"/>
  <c r="K7835" i="13"/>
  <c r="K7836" i="13"/>
  <c r="K7837" i="13"/>
  <c r="K7838" i="13"/>
  <c r="K7839" i="13"/>
  <c r="K7840" i="13"/>
  <c r="K7841" i="13"/>
  <c r="K7842" i="13"/>
  <c r="K7843" i="13"/>
  <c r="K7844" i="13"/>
  <c r="K7845" i="13"/>
  <c r="K7846" i="13"/>
  <c r="K7847" i="13"/>
  <c r="K7848" i="13"/>
  <c r="K7849" i="13"/>
  <c r="K7850" i="13"/>
  <c r="K7851" i="13"/>
  <c r="K7852" i="13"/>
  <c r="K7853" i="13"/>
  <c r="K7854" i="13"/>
  <c r="K7855" i="13"/>
  <c r="K7856" i="13"/>
  <c r="K7857" i="13"/>
  <c r="K7858" i="13"/>
  <c r="K7859" i="13"/>
  <c r="K7860" i="13"/>
  <c r="K7861" i="13"/>
  <c r="K7862" i="13"/>
  <c r="K7863" i="13"/>
  <c r="K7864" i="13"/>
  <c r="K7865" i="13"/>
  <c r="K7866" i="13"/>
  <c r="K7867" i="13"/>
  <c r="K7868" i="13"/>
  <c r="K7869" i="13"/>
  <c r="K7870" i="13"/>
  <c r="K7871" i="13"/>
  <c r="K7872" i="13"/>
  <c r="K7873" i="13"/>
  <c r="K7874" i="13"/>
  <c r="K7875" i="13"/>
  <c r="K7876" i="13"/>
  <c r="K7877" i="13"/>
  <c r="K7878" i="13"/>
  <c r="K7879" i="13"/>
  <c r="K7880" i="13"/>
  <c r="K7881" i="13"/>
  <c r="K7882" i="13"/>
  <c r="K7883" i="13"/>
  <c r="K7884" i="13"/>
  <c r="K7885" i="13"/>
  <c r="K7886" i="13"/>
  <c r="K7887" i="13"/>
  <c r="K7888" i="13"/>
  <c r="K7889" i="13"/>
  <c r="K7890" i="13"/>
  <c r="K7891" i="13"/>
  <c r="K7892" i="13"/>
  <c r="K7893" i="13"/>
  <c r="K7894" i="13"/>
  <c r="K7895" i="13"/>
  <c r="K7896" i="13"/>
  <c r="K7897" i="13"/>
  <c r="K7898" i="13"/>
  <c r="K7899" i="13"/>
  <c r="K7900" i="13"/>
  <c r="K7901" i="13"/>
  <c r="K7902" i="13"/>
  <c r="K7903" i="13"/>
  <c r="K7904" i="13"/>
  <c r="K7905" i="13"/>
  <c r="K7906" i="13"/>
  <c r="K7907" i="13"/>
  <c r="K7908" i="13"/>
  <c r="K7909" i="13"/>
  <c r="K7910" i="13"/>
  <c r="K7911" i="13"/>
  <c r="K7912" i="13"/>
  <c r="K7913" i="13"/>
  <c r="K7914" i="13"/>
  <c r="K7915" i="13"/>
  <c r="K7916" i="13"/>
  <c r="K7917" i="13"/>
  <c r="K7918" i="13"/>
  <c r="K7919" i="13"/>
  <c r="K7920" i="13"/>
  <c r="K7921" i="13"/>
  <c r="K7922" i="13"/>
  <c r="K7923" i="13"/>
  <c r="K7924" i="13"/>
  <c r="K7925" i="13"/>
  <c r="K7926" i="13"/>
  <c r="K7927" i="13"/>
  <c r="K7928" i="13"/>
  <c r="K7929" i="13"/>
  <c r="K7930" i="13"/>
  <c r="K7931" i="13"/>
  <c r="K7932" i="13"/>
  <c r="K7933" i="13"/>
  <c r="K7934" i="13"/>
  <c r="K7935" i="13"/>
  <c r="K7936" i="13"/>
  <c r="K7937" i="13"/>
  <c r="K7938" i="13"/>
  <c r="K7939" i="13"/>
  <c r="K7940" i="13"/>
  <c r="K7941" i="13"/>
  <c r="K7942" i="13"/>
  <c r="K7943" i="13"/>
  <c r="K7944" i="13"/>
  <c r="K7945" i="13"/>
  <c r="K7946" i="13"/>
  <c r="K7947" i="13"/>
  <c r="K7948" i="13"/>
  <c r="K7949" i="13"/>
  <c r="K7950" i="13"/>
  <c r="K7951" i="13"/>
  <c r="K7952" i="13"/>
  <c r="K7953" i="13"/>
  <c r="K7954" i="13"/>
  <c r="K7955" i="13"/>
  <c r="K7956" i="13"/>
  <c r="K7957" i="13"/>
  <c r="K7958" i="13"/>
  <c r="K7959" i="13"/>
  <c r="K7960" i="13"/>
  <c r="K7961" i="13"/>
  <c r="K7962" i="13"/>
  <c r="K7963" i="13"/>
  <c r="K7964" i="13"/>
  <c r="K7965" i="13"/>
  <c r="K7966" i="13"/>
  <c r="K7967" i="13"/>
  <c r="K7968" i="13"/>
  <c r="K7969" i="13"/>
  <c r="K7970" i="13"/>
  <c r="K7971" i="13"/>
  <c r="K7972" i="13"/>
  <c r="K7973" i="13"/>
  <c r="K7974" i="13"/>
  <c r="K7975" i="13"/>
  <c r="K7976" i="13"/>
  <c r="K7977" i="13"/>
  <c r="K7978" i="13"/>
  <c r="K7979" i="13"/>
  <c r="K7980" i="13"/>
  <c r="K7981" i="13"/>
  <c r="K7982" i="13"/>
  <c r="K7983" i="13"/>
  <c r="K7984" i="13"/>
  <c r="K7985" i="13"/>
  <c r="K7986" i="13"/>
  <c r="K7987" i="13"/>
  <c r="K7988" i="13"/>
  <c r="K7989" i="13"/>
  <c r="K7990" i="13"/>
  <c r="K7991" i="13"/>
  <c r="K7992" i="13"/>
  <c r="K7993" i="13"/>
  <c r="K7994" i="13"/>
  <c r="K7995" i="13"/>
  <c r="K7996" i="13"/>
  <c r="K7997" i="13"/>
  <c r="K7998" i="13"/>
  <c r="K7999" i="13"/>
  <c r="K8000" i="13"/>
  <c r="K8001" i="13"/>
  <c r="K8002" i="13"/>
  <c r="K8003" i="13"/>
  <c r="K8004" i="13"/>
  <c r="K8005" i="13"/>
  <c r="K8006" i="13"/>
  <c r="K8007" i="13"/>
  <c r="K8008" i="13"/>
  <c r="K8009" i="13"/>
  <c r="K8010" i="13"/>
  <c r="K8011" i="13"/>
  <c r="K8012" i="13"/>
  <c r="K8013" i="13"/>
  <c r="K8014" i="13"/>
  <c r="K8015" i="13"/>
  <c r="K8016" i="13"/>
  <c r="K8017" i="13"/>
  <c r="K8018" i="13"/>
  <c r="K8019" i="13"/>
  <c r="K8020" i="13"/>
  <c r="K8021" i="13"/>
  <c r="K8022" i="13"/>
  <c r="K8023" i="13"/>
  <c r="K8024" i="13"/>
  <c r="K8025" i="13"/>
  <c r="K8026" i="13"/>
  <c r="K8027" i="13"/>
  <c r="K8028" i="13"/>
  <c r="K8029" i="13"/>
  <c r="K8030" i="13"/>
  <c r="K8031" i="13"/>
  <c r="K8032" i="13"/>
  <c r="K8033" i="13"/>
  <c r="K8034" i="13"/>
  <c r="K8035" i="13"/>
  <c r="K8036" i="13"/>
  <c r="K8037" i="13"/>
  <c r="K8038" i="13"/>
  <c r="K8039" i="13"/>
  <c r="K8040" i="13"/>
  <c r="K8041" i="13"/>
  <c r="K8042" i="13"/>
  <c r="K8043" i="13"/>
  <c r="K8044" i="13"/>
  <c r="K8045" i="13"/>
  <c r="K8046" i="13"/>
  <c r="K8047" i="13"/>
  <c r="K8048" i="13"/>
  <c r="K8049" i="13"/>
  <c r="K8050" i="13"/>
  <c r="K8051" i="13"/>
  <c r="K8052" i="13"/>
  <c r="K8053" i="13"/>
  <c r="K8054" i="13"/>
  <c r="K8055" i="13"/>
  <c r="K8056" i="13"/>
  <c r="K8057" i="13"/>
  <c r="K8058" i="13"/>
  <c r="K8059" i="13"/>
  <c r="K8060" i="13"/>
  <c r="K8061" i="13"/>
  <c r="K8062" i="13"/>
  <c r="K8063" i="13"/>
  <c r="K8064" i="13"/>
  <c r="K8065" i="13"/>
  <c r="K8066" i="13"/>
  <c r="K8067" i="13"/>
  <c r="K8068" i="13"/>
  <c r="K8069" i="13"/>
  <c r="K8070" i="13"/>
  <c r="K8071" i="13"/>
  <c r="K8072" i="13"/>
  <c r="K8073" i="13"/>
  <c r="K8074" i="13"/>
  <c r="K8075" i="13"/>
  <c r="K8076" i="13"/>
  <c r="K8077" i="13"/>
  <c r="K8078" i="13"/>
  <c r="K8079" i="13"/>
  <c r="K8080" i="13"/>
  <c r="K8081" i="13"/>
  <c r="K8082" i="13"/>
  <c r="K8083" i="13"/>
  <c r="K8084" i="13"/>
  <c r="K8085" i="13"/>
  <c r="K8086" i="13"/>
  <c r="K8087" i="13"/>
  <c r="K8088" i="13"/>
  <c r="K8089" i="13"/>
  <c r="K8090" i="13"/>
  <c r="K8091" i="13"/>
  <c r="K8092" i="13"/>
  <c r="K8093" i="13"/>
  <c r="K8094" i="13"/>
  <c r="K8095" i="13"/>
  <c r="K8096" i="13"/>
  <c r="K8097" i="13"/>
  <c r="K8098" i="13"/>
  <c r="K8099" i="13"/>
  <c r="K8100" i="13"/>
  <c r="K8101" i="13"/>
  <c r="K8102" i="13"/>
  <c r="K8103" i="13"/>
  <c r="K8104" i="13"/>
  <c r="K8105" i="13"/>
  <c r="K8106" i="13"/>
  <c r="K8107" i="13"/>
  <c r="K8108" i="13"/>
  <c r="K8109" i="13"/>
  <c r="K8110" i="13"/>
  <c r="K8111" i="13"/>
  <c r="K8112" i="13"/>
  <c r="K8113" i="13"/>
  <c r="K8114" i="13"/>
  <c r="K8115" i="13"/>
  <c r="K8116" i="13"/>
  <c r="K8117" i="13"/>
  <c r="K8118" i="13"/>
  <c r="K8119" i="13"/>
  <c r="K8120" i="13"/>
  <c r="K8121" i="13"/>
  <c r="K8122" i="13"/>
  <c r="K8123" i="13"/>
  <c r="K8124" i="13"/>
  <c r="K8125" i="13"/>
  <c r="K8126" i="13"/>
  <c r="K8127" i="13"/>
  <c r="K8128" i="13"/>
  <c r="K8129" i="13"/>
  <c r="K8130" i="13"/>
  <c r="K8131" i="13"/>
  <c r="K8132" i="13"/>
  <c r="K8133" i="13"/>
  <c r="K8134" i="13"/>
  <c r="K8135" i="13"/>
  <c r="K8136" i="13"/>
  <c r="K8137" i="13"/>
  <c r="K8138" i="13"/>
  <c r="K8139" i="13"/>
  <c r="K8140" i="13"/>
  <c r="K8141" i="13"/>
  <c r="K8142" i="13"/>
  <c r="K8143" i="13"/>
  <c r="K8144" i="13"/>
  <c r="K8145" i="13"/>
  <c r="K8146" i="13"/>
  <c r="K8147" i="13"/>
  <c r="K8148" i="13"/>
  <c r="K8149" i="13"/>
  <c r="K8150" i="13"/>
  <c r="K8151" i="13"/>
  <c r="K8152" i="13"/>
  <c r="K8153" i="13"/>
  <c r="K8154" i="13"/>
  <c r="K8155" i="13"/>
  <c r="K8156" i="13"/>
  <c r="K8157" i="13"/>
  <c r="K8158" i="13"/>
  <c r="K8159" i="13"/>
  <c r="K8160" i="13"/>
  <c r="K8161" i="13"/>
  <c r="K8162" i="13"/>
  <c r="K8163" i="13"/>
  <c r="K8164" i="13"/>
  <c r="K8165" i="13"/>
  <c r="K8166" i="13"/>
  <c r="K8167" i="13"/>
  <c r="K8168" i="13"/>
  <c r="K8169" i="13"/>
  <c r="K8170" i="13"/>
  <c r="K8171" i="13"/>
  <c r="K8172" i="13"/>
  <c r="K8173" i="13"/>
  <c r="K8174" i="13"/>
  <c r="K8175" i="13"/>
  <c r="K8176" i="13"/>
  <c r="K8177" i="13"/>
  <c r="K8178" i="13"/>
  <c r="K8179" i="13"/>
  <c r="K8180" i="13"/>
  <c r="K8181" i="13"/>
  <c r="K8182" i="13"/>
  <c r="K8183" i="13"/>
  <c r="K8184" i="13"/>
  <c r="K8185" i="13"/>
  <c r="K8186" i="13"/>
  <c r="K8187" i="13"/>
  <c r="K8188" i="13"/>
  <c r="K8189" i="13"/>
  <c r="K8190" i="13"/>
  <c r="K8191" i="13"/>
  <c r="K8192" i="13"/>
  <c r="K8193" i="13"/>
  <c r="K8194" i="13"/>
  <c r="K8195" i="13"/>
  <c r="K8196" i="13"/>
  <c r="K8197" i="13"/>
  <c r="K8198" i="13"/>
  <c r="K8199" i="13"/>
  <c r="K8200" i="13"/>
  <c r="K8201" i="13"/>
  <c r="K8202" i="13"/>
  <c r="K8203" i="13"/>
  <c r="K8204" i="13"/>
  <c r="K8205" i="13"/>
  <c r="K8206" i="13"/>
  <c r="K8207" i="13"/>
  <c r="K8208" i="13"/>
  <c r="K8209" i="13"/>
  <c r="K8210" i="13"/>
  <c r="K8211" i="13"/>
  <c r="K8212" i="13"/>
  <c r="K8213" i="13"/>
  <c r="K8214" i="13"/>
  <c r="K8215" i="13"/>
  <c r="K8216" i="13"/>
  <c r="K8217" i="13"/>
  <c r="K8218" i="13"/>
  <c r="K8219" i="13"/>
  <c r="K8220" i="13"/>
  <c r="K8221" i="13"/>
  <c r="K8222" i="13"/>
  <c r="K8223" i="13"/>
  <c r="K8224" i="13"/>
  <c r="K8225" i="13"/>
  <c r="K8226" i="13"/>
  <c r="K8227" i="13"/>
  <c r="K8228" i="13"/>
  <c r="K8229" i="13"/>
  <c r="K8230" i="13"/>
  <c r="K8231" i="13"/>
  <c r="K8232" i="13"/>
  <c r="K8233" i="13"/>
  <c r="K8234" i="13"/>
  <c r="K8235" i="13"/>
  <c r="K8236" i="13"/>
  <c r="K8237" i="13"/>
  <c r="K8238" i="13"/>
  <c r="K8239" i="13"/>
  <c r="K8240" i="13"/>
  <c r="K8241" i="13"/>
  <c r="K8242" i="13"/>
  <c r="K8243" i="13"/>
  <c r="K8244" i="13"/>
  <c r="K8245" i="13"/>
  <c r="K8246" i="13"/>
  <c r="K8247" i="13"/>
  <c r="K8248" i="13"/>
  <c r="K8249" i="13"/>
  <c r="K8250" i="13"/>
  <c r="K8251" i="13"/>
  <c r="K8252" i="13"/>
  <c r="K8253" i="13"/>
  <c r="K8254" i="13"/>
  <c r="K8255" i="13"/>
  <c r="K8256" i="13"/>
  <c r="K8257" i="13"/>
  <c r="K8258" i="13"/>
  <c r="K8259" i="13"/>
  <c r="K8260" i="13"/>
  <c r="K8261" i="13"/>
  <c r="K8262" i="13"/>
  <c r="K8263" i="13"/>
  <c r="K8264" i="13"/>
  <c r="K8265" i="13"/>
  <c r="K8266" i="13"/>
  <c r="K8267" i="13"/>
  <c r="K8268" i="13"/>
  <c r="K8269" i="13"/>
  <c r="K8270" i="13"/>
  <c r="K8271" i="13"/>
  <c r="K8272" i="13"/>
  <c r="K8273" i="13"/>
  <c r="K8274" i="13"/>
  <c r="K8275" i="13"/>
  <c r="K8276" i="13"/>
  <c r="K8277" i="13"/>
  <c r="K8278" i="13"/>
  <c r="K8279" i="13"/>
  <c r="K8280" i="13"/>
  <c r="K8281" i="13"/>
  <c r="K8282" i="13"/>
  <c r="K8283" i="13"/>
  <c r="K8284" i="13"/>
  <c r="K8285" i="13"/>
  <c r="K8286" i="13"/>
  <c r="K8287" i="13"/>
  <c r="K8288" i="13"/>
  <c r="K8289" i="13"/>
  <c r="K8290" i="13"/>
  <c r="K8291" i="13"/>
  <c r="K8292" i="13"/>
  <c r="K8293" i="13"/>
  <c r="K8294" i="13"/>
  <c r="K8295" i="13"/>
  <c r="K8296" i="13"/>
  <c r="K8297" i="13"/>
  <c r="K8298" i="13"/>
  <c r="K8299" i="13"/>
  <c r="K8300" i="13"/>
  <c r="K8301" i="13"/>
  <c r="K8302" i="13"/>
  <c r="K8303" i="13"/>
  <c r="K8304" i="13"/>
  <c r="K8305" i="13"/>
  <c r="K8306" i="13"/>
  <c r="K8307" i="13"/>
  <c r="K8308" i="13"/>
  <c r="K8309" i="13"/>
  <c r="K8310" i="13"/>
  <c r="K8311" i="13"/>
  <c r="K8312" i="13"/>
  <c r="K8313" i="13"/>
  <c r="K8314" i="13"/>
  <c r="K8315" i="13"/>
  <c r="K8316" i="13"/>
  <c r="K8317" i="13"/>
  <c r="K8318" i="13"/>
  <c r="K8319" i="13"/>
  <c r="K8320" i="13"/>
  <c r="K8321" i="13"/>
  <c r="K8322" i="13"/>
  <c r="K8323" i="13"/>
  <c r="K8324" i="13"/>
  <c r="K8325" i="13"/>
  <c r="K8326" i="13"/>
  <c r="K8327" i="13"/>
  <c r="K8328" i="13"/>
  <c r="K8329" i="13"/>
  <c r="K8330" i="13"/>
  <c r="K8331" i="13"/>
  <c r="K8332" i="13"/>
  <c r="K8333" i="13"/>
  <c r="K8334" i="13"/>
  <c r="K8335" i="13"/>
  <c r="K8336" i="13"/>
  <c r="K8337" i="13"/>
  <c r="K8338" i="13"/>
  <c r="K8339" i="13"/>
  <c r="K8340" i="13"/>
  <c r="K8341" i="13"/>
  <c r="K8342" i="13"/>
  <c r="K8343" i="13"/>
  <c r="K8344" i="13"/>
  <c r="K8345" i="13"/>
  <c r="K8346" i="13"/>
  <c r="K8347" i="13"/>
  <c r="K8348" i="13"/>
  <c r="K8349" i="13"/>
  <c r="K8350" i="13"/>
  <c r="K8351" i="13"/>
  <c r="K8352" i="13"/>
  <c r="K8353" i="13"/>
  <c r="K8354" i="13"/>
  <c r="K8355" i="13"/>
  <c r="K8356" i="13"/>
  <c r="K8357" i="13"/>
  <c r="K8358" i="13"/>
  <c r="K8359" i="13"/>
  <c r="K8360" i="13"/>
  <c r="K8361" i="13"/>
  <c r="K8362" i="13"/>
  <c r="K8363" i="13"/>
  <c r="K8364" i="13"/>
  <c r="K8365" i="13"/>
  <c r="K8366" i="13"/>
  <c r="K8367" i="13"/>
  <c r="K8368" i="13"/>
  <c r="K8369" i="13"/>
  <c r="K8370" i="13"/>
  <c r="K8371" i="13"/>
  <c r="K8372" i="13"/>
  <c r="K8373" i="13"/>
  <c r="K8374" i="13"/>
  <c r="K8375" i="13"/>
  <c r="K8376" i="13"/>
  <c r="K8377" i="13"/>
  <c r="K8378" i="13"/>
  <c r="K8379" i="13"/>
  <c r="K8380" i="13"/>
  <c r="K8381" i="13"/>
  <c r="K8382" i="13"/>
  <c r="K8383" i="13"/>
  <c r="K8384" i="13"/>
  <c r="K8385" i="13"/>
  <c r="K8386" i="13"/>
  <c r="K8387" i="13"/>
  <c r="K8388" i="13"/>
  <c r="K8389" i="13"/>
  <c r="K8390" i="13"/>
  <c r="K8391" i="13"/>
  <c r="K8392" i="13"/>
  <c r="K8393" i="13"/>
  <c r="K8394" i="13"/>
  <c r="K8395" i="13"/>
  <c r="K8396" i="13"/>
  <c r="K8397" i="13"/>
  <c r="K8398" i="13"/>
  <c r="K8399" i="13"/>
  <c r="K8400" i="13"/>
  <c r="K8401" i="13"/>
  <c r="K8402" i="13"/>
  <c r="K8403" i="13"/>
  <c r="K8404" i="13"/>
  <c r="K8405" i="13"/>
  <c r="K8406" i="13"/>
  <c r="K8407" i="13"/>
  <c r="K8408" i="13"/>
  <c r="K8409" i="13"/>
  <c r="K8410" i="13"/>
  <c r="K8411" i="13"/>
  <c r="K8412" i="13"/>
  <c r="K8413" i="13"/>
  <c r="K8414" i="13"/>
  <c r="K8415" i="13"/>
  <c r="K8416" i="13"/>
  <c r="K8417" i="13"/>
  <c r="K8418" i="13"/>
  <c r="K8419" i="13"/>
  <c r="K8420" i="13"/>
  <c r="K8421" i="13"/>
  <c r="K8422" i="13"/>
  <c r="K8423" i="13"/>
  <c r="K8424" i="13"/>
  <c r="K8425" i="13"/>
  <c r="K8426" i="13"/>
  <c r="K8427" i="13"/>
  <c r="K8428" i="13"/>
  <c r="K8429" i="13"/>
  <c r="K8430" i="13"/>
  <c r="K8431" i="13"/>
  <c r="K8432" i="13"/>
  <c r="K8433" i="13"/>
  <c r="K8434" i="13"/>
  <c r="K8435" i="13"/>
  <c r="K8436" i="13"/>
  <c r="K8437" i="13"/>
  <c r="K8438" i="13"/>
  <c r="K8439" i="13"/>
  <c r="K8440" i="13"/>
  <c r="K8441" i="13"/>
  <c r="K8442" i="13"/>
  <c r="K8443" i="13"/>
  <c r="K8444" i="13"/>
  <c r="K8445" i="13"/>
  <c r="K8446" i="13"/>
  <c r="K8447" i="13"/>
  <c r="K8448" i="13"/>
  <c r="K8449" i="13"/>
  <c r="K8450" i="13"/>
  <c r="K8451" i="13"/>
  <c r="K8452" i="13"/>
  <c r="K8453" i="13"/>
  <c r="K8454" i="13"/>
  <c r="K8455" i="13"/>
  <c r="K8456" i="13"/>
  <c r="K8457" i="13"/>
  <c r="K8458" i="13"/>
  <c r="K8459" i="13"/>
  <c r="K8460" i="13"/>
  <c r="K8461" i="13"/>
  <c r="K8462" i="13"/>
  <c r="K8463" i="13"/>
  <c r="K8464" i="13"/>
  <c r="K8465" i="13"/>
  <c r="K8466" i="13"/>
  <c r="K8467" i="13"/>
  <c r="K8468" i="13"/>
  <c r="K8469" i="13"/>
  <c r="K8470" i="13"/>
  <c r="K8471" i="13"/>
  <c r="K8472" i="13"/>
  <c r="K8473" i="13"/>
  <c r="K8474" i="13"/>
  <c r="K8475" i="13"/>
  <c r="K8476" i="13"/>
  <c r="K8477" i="13"/>
  <c r="K8478" i="13"/>
  <c r="K8479" i="13"/>
  <c r="K8480" i="13"/>
  <c r="K8481" i="13"/>
  <c r="K8482" i="13"/>
  <c r="K8483" i="13"/>
  <c r="K8484" i="13"/>
  <c r="K8485" i="13"/>
  <c r="K8486" i="13"/>
  <c r="K8487" i="13"/>
  <c r="K8488" i="13"/>
  <c r="K8489" i="13"/>
  <c r="K8490" i="13"/>
  <c r="K8491" i="13"/>
  <c r="K8492" i="13"/>
  <c r="K8493" i="13"/>
  <c r="K8494" i="13"/>
  <c r="K8495" i="13"/>
  <c r="K8496" i="13"/>
  <c r="K8497" i="13"/>
  <c r="K8498" i="13"/>
  <c r="K8499" i="13"/>
  <c r="K8500" i="13"/>
  <c r="K8501" i="13"/>
  <c r="K8502" i="13"/>
  <c r="K8503" i="13"/>
  <c r="K8504" i="13"/>
  <c r="K8505" i="13"/>
  <c r="K8506" i="13"/>
  <c r="K8507" i="13"/>
  <c r="K8508" i="13"/>
  <c r="K8509" i="13"/>
  <c r="K8510" i="13"/>
  <c r="K8511" i="13"/>
  <c r="K8512" i="13"/>
  <c r="K8513" i="13"/>
  <c r="K8514" i="13"/>
  <c r="K8515" i="13"/>
  <c r="K8516" i="13"/>
  <c r="K8517" i="13"/>
  <c r="K8518" i="13"/>
  <c r="K8519" i="13"/>
  <c r="K8520" i="13"/>
  <c r="K8521" i="13"/>
  <c r="K8522" i="13"/>
  <c r="K8523" i="13"/>
  <c r="K8524" i="13"/>
  <c r="K8525" i="13"/>
  <c r="K8526" i="13"/>
  <c r="K8527" i="13"/>
  <c r="K8528" i="13"/>
  <c r="K8529" i="13"/>
  <c r="K8530" i="13"/>
  <c r="K8531" i="13"/>
  <c r="K8532" i="13"/>
  <c r="K8533" i="13"/>
  <c r="K8534" i="13"/>
  <c r="K8535" i="13"/>
  <c r="K8536" i="13"/>
  <c r="K8537" i="13"/>
  <c r="K8538" i="13"/>
  <c r="K8539" i="13"/>
  <c r="K8540" i="13"/>
  <c r="K8541" i="13"/>
  <c r="K8542" i="13"/>
  <c r="K8543" i="13"/>
  <c r="K8544" i="13"/>
  <c r="K8545" i="13"/>
  <c r="K8546" i="13"/>
  <c r="K8547" i="13"/>
  <c r="K8548" i="13"/>
  <c r="K8549" i="13"/>
  <c r="K8550" i="13"/>
  <c r="K8551" i="13"/>
  <c r="K8552" i="13"/>
  <c r="K8553" i="13"/>
  <c r="K8554" i="13"/>
  <c r="K8555" i="13"/>
  <c r="K8556" i="13"/>
  <c r="K8557" i="13"/>
  <c r="K8558" i="13"/>
  <c r="K8559" i="13"/>
  <c r="K8560" i="13"/>
  <c r="K8561" i="13"/>
  <c r="K8562" i="13"/>
  <c r="K8563" i="13"/>
  <c r="K8564" i="13"/>
  <c r="K8565" i="13"/>
  <c r="K8566" i="13"/>
  <c r="K8567" i="13"/>
  <c r="K8568" i="13"/>
  <c r="K8569" i="13"/>
  <c r="K8570" i="13"/>
  <c r="K8571" i="13"/>
  <c r="K8572" i="13"/>
  <c r="K8573" i="13"/>
  <c r="K8574" i="13"/>
  <c r="K8575" i="13"/>
  <c r="K8576" i="13"/>
  <c r="K8577" i="13"/>
  <c r="K8578" i="13"/>
  <c r="K8579" i="13"/>
  <c r="K8580" i="13"/>
  <c r="K8581" i="13"/>
  <c r="K8582" i="13"/>
  <c r="K8583" i="13"/>
  <c r="K8584" i="13"/>
  <c r="K8585" i="13"/>
  <c r="K8586" i="13"/>
  <c r="K8587" i="13"/>
  <c r="K8588" i="13"/>
  <c r="K8589" i="13"/>
  <c r="K8590" i="13"/>
  <c r="K8591" i="13"/>
  <c r="K8592" i="13"/>
  <c r="K8593" i="13"/>
  <c r="K8594" i="13"/>
  <c r="K8595" i="13"/>
  <c r="K8596" i="13"/>
  <c r="K8597" i="13"/>
  <c r="K8598" i="13"/>
  <c r="K8599" i="13"/>
  <c r="K8600" i="13"/>
  <c r="K8601" i="13"/>
  <c r="K8602" i="13"/>
  <c r="K8603" i="13"/>
  <c r="K8604" i="13"/>
  <c r="K8605" i="13"/>
  <c r="K8606" i="13"/>
  <c r="K8607" i="13"/>
  <c r="K8608" i="13"/>
  <c r="K8609" i="13"/>
  <c r="K8610" i="13"/>
  <c r="K8611" i="13"/>
  <c r="K8612" i="13"/>
  <c r="K8613" i="13"/>
  <c r="K8614" i="13"/>
  <c r="K8615" i="13"/>
  <c r="K8616" i="13"/>
  <c r="K8617" i="13"/>
  <c r="K8618" i="13"/>
  <c r="K8619" i="13"/>
  <c r="K8620" i="13"/>
  <c r="K8621" i="13"/>
  <c r="K8622" i="13"/>
  <c r="K8623" i="13"/>
  <c r="K8624" i="13"/>
  <c r="K8625" i="13"/>
  <c r="K8626" i="13"/>
  <c r="K8627" i="13"/>
  <c r="K8628" i="13"/>
  <c r="K8629" i="13"/>
  <c r="K8630" i="13"/>
  <c r="K8631" i="13"/>
  <c r="K8632" i="13"/>
  <c r="K8633" i="13"/>
  <c r="K8634" i="13"/>
  <c r="K8635" i="13"/>
  <c r="K8636" i="13"/>
  <c r="K8637" i="13"/>
  <c r="K8638" i="13"/>
  <c r="K8639" i="13"/>
  <c r="K8640" i="13"/>
  <c r="K8641" i="13"/>
  <c r="K8642" i="13"/>
  <c r="K8643" i="13"/>
  <c r="K8644" i="13"/>
  <c r="K8645" i="13"/>
  <c r="K8646" i="13"/>
  <c r="K8647" i="13"/>
  <c r="K8648" i="13"/>
  <c r="K8649" i="13"/>
  <c r="K8650" i="13"/>
  <c r="K8651" i="13"/>
  <c r="K8652" i="13"/>
  <c r="K8653" i="13"/>
  <c r="K8654" i="13"/>
  <c r="K8655" i="13"/>
  <c r="K8656" i="13"/>
  <c r="K8657" i="13"/>
  <c r="K8658" i="13"/>
  <c r="K8659" i="13"/>
  <c r="K8660" i="13"/>
  <c r="K8661" i="13"/>
  <c r="K8662" i="13"/>
  <c r="K8663" i="13"/>
  <c r="K8664" i="13"/>
  <c r="K8665" i="13"/>
  <c r="K8666" i="13"/>
  <c r="K8667" i="13"/>
  <c r="K8668" i="13"/>
  <c r="K8669" i="13"/>
  <c r="K8670" i="13"/>
  <c r="K8671" i="13"/>
  <c r="K8672" i="13"/>
  <c r="K8673" i="13"/>
  <c r="K8674" i="13"/>
  <c r="K8675" i="13"/>
  <c r="K8676" i="13"/>
  <c r="K8677" i="13"/>
  <c r="K8678" i="13"/>
  <c r="K8679" i="13"/>
  <c r="K8680" i="13"/>
  <c r="K8681" i="13"/>
  <c r="K8682" i="13"/>
  <c r="K8683" i="13"/>
  <c r="K8684" i="13"/>
  <c r="K8685" i="13"/>
  <c r="K8686" i="13"/>
  <c r="K8687" i="13"/>
  <c r="K8688" i="13"/>
  <c r="K8689" i="13"/>
  <c r="K8690" i="13"/>
  <c r="K8691" i="13"/>
  <c r="K8692" i="13"/>
  <c r="K8693" i="13"/>
  <c r="K8694" i="13"/>
  <c r="K8695" i="13"/>
  <c r="K8696" i="13"/>
  <c r="K8697" i="13"/>
  <c r="K8698" i="13"/>
  <c r="K8699" i="13"/>
  <c r="K8700" i="13"/>
  <c r="K8701" i="13"/>
  <c r="K8702" i="13"/>
  <c r="K8703" i="13"/>
  <c r="K8704" i="13"/>
  <c r="K8705" i="13"/>
  <c r="K8706" i="13"/>
  <c r="K8707" i="13"/>
  <c r="K8708" i="13"/>
  <c r="K8709" i="13"/>
  <c r="K8710" i="13"/>
  <c r="K8711" i="13"/>
  <c r="K8712" i="13"/>
  <c r="K8713" i="13"/>
  <c r="K8714" i="13"/>
  <c r="K8715" i="13"/>
  <c r="K8716" i="13"/>
  <c r="K8717" i="13"/>
  <c r="K8718" i="13"/>
  <c r="K8719" i="13"/>
  <c r="K8720" i="13"/>
  <c r="K8721" i="13"/>
  <c r="K8722" i="13"/>
  <c r="K8723" i="13"/>
  <c r="K8724" i="13"/>
  <c r="K8725" i="13"/>
  <c r="K8726" i="13"/>
  <c r="K8727" i="13"/>
  <c r="K8728" i="13"/>
  <c r="K8729" i="13"/>
  <c r="K8730" i="13"/>
  <c r="K8731" i="13"/>
  <c r="K8732" i="13"/>
  <c r="K8733" i="13"/>
  <c r="K8734" i="13"/>
  <c r="K8735" i="13"/>
  <c r="K8736" i="13"/>
  <c r="K8737" i="13"/>
  <c r="K8738" i="13"/>
  <c r="K8739" i="13"/>
  <c r="K8740" i="13"/>
  <c r="K8741" i="13"/>
  <c r="K8742" i="13"/>
  <c r="K8743" i="13"/>
  <c r="K8744" i="13"/>
  <c r="K8745" i="13"/>
  <c r="K8746" i="13"/>
  <c r="K8747" i="13"/>
  <c r="K8748" i="13"/>
  <c r="K8749" i="13"/>
  <c r="K8750" i="13"/>
  <c r="K8751" i="13"/>
  <c r="K8752" i="13"/>
  <c r="K8753" i="13"/>
  <c r="K8754" i="13"/>
  <c r="K8755" i="13"/>
  <c r="K8756" i="13"/>
  <c r="K8757" i="13"/>
  <c r="K8758" i="13"/>
  <c r="K8759" i="13"/>
  <c r="K8760" i="13"/>
  <c r="K8761" i="13"/>
  <c r="K8762" i="13"/>
  <c r="K8763" i="13"/>
  <c r="K8764" i="13"/>
  <c r="K8765" i="13"/>
  <c r="K8766" i="13"/>
  <c r="K8767" i="13"/>
  <c r="K8768" i="13"/>
  <c r="K8769" i="13"/>
  <c r="K8770" i="13"/>
  <c r="K8771" i="13"/>
  <c r="K8772" i="13"/>
  <c r="K8773" i="13"/>
  <c r="K8774" i="13"/>
  <c r="K8775" i="13"/>
  <c r="K8776" i="13"/>
  <c r="K8777" i="13"/>
  <c r="K8778" i="13"/>
  <c r="K8779" i="13"/>
  <c r="K8780" i="13"/>
  <c r="K8781" i="13"/>
  <c r="K8782" i="13"/>
  <c r="K8783" i="13"/>
  <c r="K8784" i="13"/>
  <c r="K8785" i="13"/>
  <c r="K8786" i="13"/>
  <c r="K8787" i="13"/>
  <c r="K8788" i="13"/>
  <c r="K8789" i="13"/>
  <c r="K8790" i="13"/>
  <c r="K8791" i="13"/>
  <c r="K8792" i="13"/>
  <c r="K8793" i="13"/>
  <c r="K8794" i="13"/>
  <c r="K8795" i="13"/>
  <c r="K8796" i="13"/>
  <c r="K8797" i="13"/>
  <c r="K8798" i="13"/>
  <c r="K8799" i="13"/>
  <c r="K8800" i="13"/>
  <c r="K8801" i="13"/>
  <c r="K8802" i="13"/>
  <c r="K8803" i="13"/>
  <c r="K8804" i="13"/>
  <c r="K8805" i="13"/>
  <c r="K8806" i="13"/>
  <c r="K8807" i="13"/>
  <c r="K8808" i="13"/>
  <c r="K8809" i="13"/>
  <c r="K8810" i="13"/>
  <c r="K8811" i="13"/>
  <c r="K8812" i="13"/>
  <c r="K8813" i="13"/>
  <c r="K8814" i="13"/>
  <c r="K8815" i="13"/>
  <c r="K8816" i="13"/>
  <c r="K8817" i="13"/>
  <c r="K8818" i="13"/>
  <c r="K8819" i="13"/>
  <c r="K8820" i="13"/>
  <c r="K8821" i="13"/>
  <c r="K8822" i="13"/>
  <c r="K8823" i="13"/>
  <c r="K8824" i="13"/>
  <c r="K8825" i="13"/>
  <c r="K8826" i="13"/>
  <c r="K8827" i="13"/>
  <c r="K8828" i="13"/>
  <c r="K8829" i="13"/>
  <c r="K8830" i="13"/>
  <c r="K8831" i="13"/>
  <c r="K8832" i="13"/>
  <c r="K8833" i="13"/>
  <c r="K8834" i="13"/>
  <c r="K8835" i="13"/>
  <c r="K8836" i="13"/>
  <c r="K8837" i="13"/>
  <c r="K8838" i="13"/>
  <c r="K8839" i="13"/>
  <c r="K8840" i="13"/>
  <c r="K8841" i="13"/>
  <c r="K8842" i="13"/>
  <c r="K8843" i="13"/>
  <c r="K8844" i="13"/>
  <c r="K8845" i="13"/>
  <c r="K8846" i="13"/>
  <c r="K8847" i="13"/>
  <c r="K8848" i="13"/>
  <c r="K8849" i="13"/>
  <c r="K8850" i="13"/>
  <c r="K8851" i="13"/>
  <c r="K8852" i="13"/>
  <c r="K8853" i="13"/>
  <c r="K8854" i="13"/>
  <c r="K8855" i="13"/>
  <c r="K8856" i="13"/>
  <c r="K8857" i="13"/>
  <c r="K8858" i="13"/>
  <c r="K8859" i="13"/>
  <c r="K8860" i="13"/>
  <c r="K8861" i="13"/>
  <c r="K8862" i="13"/>
  <c r="K8863" i="13"/>
  <c r="K8864" i="13"/>
  <c r="K8865" i="13"/>
  <c r="K8866" i="13"/>
  <c r="K8867" i="13"/>
  <c r="K8868" i="13"/>
  <c r="K8869" i="13"/>
  <c r="K8870" i="13"/>
  <c r="K8871" i="13"/>
  <c r="K8872" i="13"/>
  <c r="K8873" i="13"/>
  <c r="K8874" i="13"/>
  <c r="K8875" i="13"/>
  <c r="K8876" i="13"/>
  <c r="K8877" i="13"/>
  <c r="K8878" i="13"/>
  <c r="K8879" i="13"/>
  <c r="K8880" i="13"/>
  <c r="K8881" i="13"/>
  <c r="K8882" i="13"/>
  <c r="K8883" i="13"/>
  <c r="K8884" i="13"/>
  <c r="K8885" i="13"/>
  <c r="K8886" i="13"/>
  <c r="K8887" i="13"/>
  <c r="K8888" i="13"/>
  <c r="K8889" i="13"/>
  <c r="K8890" i="13"/>
  <c r="K8891" i="13"/>
  <c r="K8892" i="13"/>
  <c r="K8893" i="13"/>
  <c r="K8894" i="13"/>
  <c r="K8895" i="13"/>
  <c r="K8896" i="13"/>
  <c r="K8897" i="13"/>
  <c r="K8898" i="13"/>
  <c r="K8899" i="13"/>
  <c r="K8900" i="13"/>
  <c r="K8901" i="13"/>
  <c r="K8902" i="13"/>
  <c r="K8903" i="13"/>
  <c r="K8904" i="13"/>
  <c r="K8905" i="13"/>
  <c r="K8906" i="13"/>
  <c r="K8907" i="13"/>
  <c r="K8908" i="13"/>
  <c r="K8909" i="13"/>
  <c r="K8910" i="13"/>
  <c r="K8911" i="13"/>
  <c r="K8912" i="13"/>
  <c r="K8913" i="13"/>
  <c r="K8914" i="13"/>
  <c r="K8915" i="13"/>
  <c r="K8916" i="13"/>
  <c r="K8917" i="13"/>
  <c r="K8918" i="13"/>
  <c r="K8919" i="13"/>
  <c r="K8920" i="13"/>
  <c r="K8921" i="13"/>
  <c r="K8922" i="13"/>
  <c r="K8923" i="13"/>
  <c r="K8924" i="13"/>
  <c r="K8925" i="13"/>
  <c r="K8926" i="13"/>
  <c r="K8927" i="13"/>
  <c r="K8928" i="13"/>
  <c r="K8929" i="13"/>
  <c r="K8930" i="13"/>
  <c r="K8931" i="13"/>
  <c r="K8932" i="13"/>
  <c r="K8933" i="13"/>
  <c r="K8934" i="13"/>
  <c r="K8935" i="13"/>
  <c r="K8936" i="13"/>
  <c r="K8937" i="13"/>
  <c r="K8938" i="13"/>
  <c r="K8939" i="13"/>
  <c r="K8940" i="13"/>
  <c r="K8941" i="13"/>
  <c r="K8942" i="13"/>
  <c r="K8943" i="13"/>
  <c r="K8944" i="13"/>
  <c r="K8945" i="13"/>
  <c r="K8946" i="13"/>
  <c r="K8947" i="13"/>
  <c r="K8948" i="13"/>
  <c r="K8949" i="13"/>
  <c r="K8950" i="13"/>
  <c r="K8951" i="13"/>
  <c r="K8952" i="13"/>
  <c r="K8953" i="13"/>
  <c r="K8954" i="13"/>
  <c r="K8955" i="13"/>
  <c r="K8956" i="13"/>
  <c r="K8957" i="13"/>
  <c r="K8958" i="13"/>
  <c r="K8959" i="13"/>
  <c r="K8960" i="13"/>
  <c r="K8961" i="13"/>
  <c r="K8962" i="13"/>
  <c r="K8963" i="13"/>
  <c r="K8964" i="13"/>
  <c r="K8965" i="13"/>
  <c r="K8966" i="13"/>
  <c r="K8967" i="13"/>
  <c r="K8968" i="13"/>
  <c r="K8969" i="13"/>
  <c r="K8970" i="13"/>
  <c r="K8971" i="13"/>
  <c r="K8972" i="13"/>
  <c r="K8973" i="13"/>
  <c r="K8974" i="13"/>
  <c r="K8975" i="13"/>
  <c r="K8976" i="13"/>
  <c r="K8977" i="13"/>
  <c r="K8978" i="13"/>
  <c r="K8979" i="13"/>
  <c r="K8980" i="13"/>
  <c r="K8981" i="13"/>
  <c r="K8982" i="13"/>
  <c r="K8983" i="13"/>
  <c r="K8984" i="13"/>
  <c r="K8985" i="13"/>
  <c r="K8986" i="13"/>
  <c r="K8987" i="13"/>
  <c r="K8988" i="13"/>
  <c r="K8989" i="13"/>
  <c r="K8990" i="13"/>
  <c r="K8991" i="13"/>
  <c r="K8992" i="13"/>
  <c r="K8993" i="13"/>
  <c r="K8994" i="13"/>
  <c r="K8995" i="13"/>
  <c r="K8996" i="13"/>
  <c r="K8997" i="13"/>
  <c r="K8998" i="13"/>
  <c r="K8999" i="13"/>
  <c r="K9000" i="13"/>
  <c r="K9001" i="13"/>
  <c r="K9002" i="13"/>
  <c r="K9003" i="13"/>
  <c r="K9004" i="13"/>
  <c r="K9005" i="13"/>
  <c r="K9006" i="13"/>
  <c r="K9007" i="13"/>
  <c r="K9008" i="13"/>
  <c r="K9009" i="13"/>
  <c r="K9010" i="13"/>
  <c r="K9011" i="13"/>
  <c r="K9012" i="13"/>
  <c r="K9013" i="13"/>
  <c r="K9014" i="13"/>
  <c r="K9015" i="13"/>
  <c r="K9016" i="13"/>
  <c r="K9017" i="13"/>
  <c r="K9018" i="13"/>
  <c r="K9019" i="13"/>
  <c r="K9020" i="13"/>
  <c r="K9021" i="13"/>
  <c r="K9022" i="13"/>
  <c r="K9023" i="13"/>
  <c r="K9024" i="13"/>
  <c r="K9025" i="13"/>
  <c r="K9026" i="13"/>
  <c r="K9027" i="13"/>
  <c r="K9028" i="13"/>
  <c r="K9029" i="13"/>
  <c r="K9030" i="13"/>
  <c r="K9031" i="13"/>
  <c r="K9032" i="13"/>
  <c r="K9033" i="13"/>
  <c r="K9034" i="13"/>
  <c r="K9035" i="13"/>
  <c r="K9036" i="13"/>
  <c r="K9037" i="13"/>
  <c r="K9038" i="13"/>
  <c r="K9039" i="13"/>
  <c r="K9040" i="13"/>
  <c r="K9041" i="13"/>
  <c r="K9042" i="13"/>
  <c r="K9043" i="13"/>
  <c r="K9044" i="13"/>
  <c r="K9045" i="13"/>
  <c r="K9046" i="13"/>
  <c r="K9047" i="13"/>
  <c r="K9048" i="13"/>
  <c r="K9049" i="13"/>
  <c r="K9050" i="13"/>
  <c r="K9051" i="13"/>
  <c r="K9052" i="13"/>
  <c r="K9053" i="13"/>
  <c r="K9054" i="13"/>
  <c r="K9055" i="13"/>
  <c r="K9056" i="13"/>
  <c r="K9057" i="13"/>
  <c r="K9058" i="13"/>
  <c r="K9059" i="13"/>
  <c r="K9060" i="13"/>
  <c r="K9061" i="13"/>
  <c r="K9062" i="13"/>
  <c r="K9063" i="13"/>
  <c r="K9064" i="13"/>
  <c r="K9065" i="13"/>
  <c r="K9066" i="13"/>
  <c r="K9067" i="13"/>
  <c r="K9068" i="13"/>
  <c r="K9069" i="13"/>
  <c r="K9070" i="13"/>
  <c r="K9071" i="13"/>
  <c r="K9072" i="13"/>
  <c r="K9073" i="13"/>
  <c r="K9074" i="13"/>
  <c r="K9075" i="13"/>
  <c r="K9076" i="13"/>
  <c r="K9077" i="13"/>
  <c r="K9078" i="13"/>
  <c r="K9079" i="13"/>
  <c r="K9080" i="13"/>
  <c r="K9081" i="13"/>
  <c r="K9082" i="13"/>
  <c r="K9083" i="13"/>
  <c r="K9084" i="13"/>
  <c r="K9085" i="13"/>
  <c r="K9086" i="13"/>
  <c r="K9087" i="13"/>
  <c r="K9088" i="13"/>
  <c r="K9089" i="13"/>
  <c r="K9090" i="13"/>
  <c r="K9091" i="13"/>
  <c r="K9092" i="13"/>
  <c r="K9093" i="13"/>
  <c r="K9094" i="13"/>
  <c r="K9095" i="13"/>
  <c r="K9096" i="13"/>
  <c r="K9097" i="13"/>
  <c r="K5" i="13"/>
  <c r="A4" i="8"/>
  <c r="B4" i="8"/>
  <c r="E4" i="9"/>
  <c r="B49" i="9"/>
  <c r="B4" i="9"/>
  <c r="A4" i="9"/>
  <c r="E4" i="5"/>
  <c r="B49" i="5"/>
  <c r="B4" i="3"/>
  <c r="A4" i="3"/>
  <c r="L17" i="14"/>
  <c r="A17" i="14" s="1"/>
  <c r="E17" i="14" s="1"/>
  <c r="P17" i="14" s="1"/>
  <c r="A16" i="14"/>
  <c r="E16" i="14"/>
  <c r="P16" i="14" s="1"/>
  <c r="A53" i="14"/>
  <c r="E53" i="14" s="1"/>
  <c r="P53" i="14" s="1"/>
  <c r="A26" i="14"/>
  <c r="E26" i="14" s="1"/>
  <c r="P26" i="14" s="1"/>
  <c r="U29" i="11"/>
  <c r="U78" i="11"/>
  <c r="U68" i="11"/>
  <c r="U61" i="11"/>
  <c r="U95" i="11"/>
  <c r="U67" i="11"/>
  <c r="U52" i="11"/>
  <c r="U40" i="11"/>
  <c r="U90" i="11"/>
  <c r="U56" i="11"/>
  <c r="U53" i="11"/>
  <c r="U60" i="11"/>
  <c r="U58" i="11"/>
  <c r="U45" i="11"/>
  <c r="U21" i="11"/>
  <c r="U15" i="11"/>
  <c r="U96" i="11"/>
  <c r="U32" i="11"/>
  <c r="U110" i="11"/>
  <c r="U24" i="11"/>
  <c r="U31" i="11"/>
  <c r="U105" i="11"/>
  <c r="U46" i="11"/>
  <c r="U41" i="11"/>
  <c r="U102" i="11"/>
  <c r="U84" i="11"/>
  <c r="U43" i="11"/>
  <c r="U77" i="11"/>
  <c r="U107" i="11"/>
  <c r="U93" i="11"/>
  <c r="U89" i="11"/>
  <c r="U88" i="11"/>
  <c r="U82" i="11"/>
  <c r="U76" i="11"/>
  <c r="U72" i="11"/>
  <c r="U64" i="11"/>
  <c r="U55" i="11"/>
  <c r="U36" i="11"/>
  <c r="U12" i="11"/>
  <c r="E26" i="8"/>
  <c r="H26" i="8"/>
  <c r="F26" i="8"/>
  <c r="D26" i="8"/>
  <c r="G26" i="8"/>
  <c r="I26" i="8"/>
  <c r="J26" i="8"/>
  <c r="K26" i="8"/>
  <c r="D37" i="8"/>
  <c r="I37" i="8"/>
  <c r="L26" i="8"/>
  <c r="J37" i="8"/>
  <c r="K37" i="8"/>
  <c r="D27" i="8"/>
  <c r="L37" i="8"/>
  <c r="L18" i="14"/>
  <c r="L19" i="14" s="1"/>
  <c r="A44" i="14"/>
  <c r="E44" i="14" s="1"/>
  <c r="P44" i="14" s="1"/>
  <c r="A43" i="14"/>
  <c r="E43" i="14" s="1"/>
  <c r="P43" i="14" s="1"/>
  <c r="A27" i="14"/>
  <c r="E27" i="14"/>
  <c r="P27" i="14" s="1"/>
  <c r="A54" i="14"/>
  <c r="E54" i="14"/>
  <c r="P54" i="14" s="1"/>
  <c r="A18" i="14"/>
  <c r="E18" i="14" s="1"/>
  <c r="P18" i="14" s="1"/>
  <c r="A28" i="14"/>
  <c r="E28" i="14" s="1"/>
  <c r="P28" i="14" s="1"/>
  <c r="F37" i="8"/>
  <c r="G37" i="8"/>
  <c r="E37" i="8"/>
  <c r="H37" i="8"/>
  <c r="A29" i="14"/>
  <c r="E29" i="14"/>
  <c r="P29" i="14" s="1"/>
  <c r="A30" i="14"/>
  <c r="E30" i="14" s="1"/>
  <c r="P30" i="14" s="1"/>
  <c r="A31" i="14"/>
  <c r="E31" i="14"/>
  <c r="P31" i="14" s="1"/>
  <c r="I38" i="4"/>
  <c r="J38" i="4"/>
  <c r="K38" i="4"/>
  <c r="D38" i="4"/>
  <c r="A32" i="14"/>
  <c r="E32" i="14" s="1"/>
  <c r="P32" i="14" s="1"/>
  <c r="A33" i="14"/>
  <c r="E33" i="14" s="1"/>
  <c r="P33" i="14" s="1"/>
  <c r="H38" i="4"/>
  <c r="F38" i="4"/>
  <c r="E38" i="4"/>
  <c r="G38" i="4"/>
  <c r="A34" i="14"/>
  <c r="E34" i="14" s="1"/>
  <c r="P34" i="14" s="1"/>
  <c r="A35" i="14"/>
  <c r="E35" i="14"/>
  <c r="P35" i="14" s="1"/>
  <c r="A36" i="14"/>
  <c r="E36" i="14" s="1"/>
  <c r="P36" i="14" s="1"/>
  <c r="A38" i="14"/>
  <c r="E38" i="14"/>
  <c r="P38" i="14" s="1"/>
  <c r="A37" i="14"/>
  <c r="E37" i="14" s="1"/>
  <c r="P37" i="14" s="1"/>
  <c r="U38" i="11"/>
  <c r="U25" i="11"/>
  <c r="U22" i="11"/>
  <c r="D25" i="8"/>
  <c r="F25" i="8"/>
  <c r="G25" i="8"/>
  <c r="D33" i="8"/>
  <c r="H31" i="8"/>
  <c r="E33" i="8"/>
  <c r="I33" i="8"/>
  <c r="F33" i="8"/>
  <c r="G33" i="8"/>
  <c r="H33" i="8"/>
  <c r="J33" i="8"/>
  <c r="M33" i="8"/>
  <c r="L33" i="8"/>
  <c r="F27" i="8"/>
  <c r="H27" i="8"/>
  <c r="G27" i="8"/>
  <c r="E27" i="8"/>
  <c r="M27" i="8"/>
  <c r="L27" i="8"/>
  <c r="J27" i="8"/>
  <c r="I27" i="8"/>
  <c r="E25" i="8"/>
  <c r="H25" i="8"/>
  <c r="J25" i="8"/>
  <c r="I25" i="8"/>
  <c r="M25" i="8"/>
  <c r="K25" i="8"/>
  <c r="L28" i="8"/>
  <c r="G28" i="8"/>
  <c r="K28" i="8"/>
  <c r="J28" i="8"/>
  <c r="I28" i="8"/>
  <c r="H28" i="8"/>
  <c r="D28" i="8"/>
  <c r="F28" i="8"/>
  <c r="E28" i="8"/>
  <c r="G29" i="8"/>
  <c r="J30" i="8"/>
  <c r="I30" i="8"/>
  <c r="K30" i="8"/>
  <c r="L30" i="8"/>
  <c r="F30" i="8"/>
  <c r="E30" i="8"/>
  <c r="G30" i="8"/>
  <c r="H30" i="8"/>
  <c r="D30" i="8"/>
  <c r="G31" i="8"/>
  <c r="L31" i="8"/>
  <c r="K31" i="8"/>
  <c r="J31" i="8"/>
  <c r="I31" i="8"/>
  <c r="D31" i="8"/>
  <c r="F31" i="8"/>
  <c r="E31" i="8"/>
  <c r="F32" i="8"/>
  <c r="G32" i="8"/>
  <c r="H32" i="8"/>
  <c r="E32" i="8"/>
  <c r="J32" i="8"/>
  <c r="I32" i="8"/>
  <c r="K32" i="8"/>
  <c r="L32" i="8"/>
  <c r="D32" i="8"/>
  <c r="F29" i="8"/>
  <c r="L29" i="8"/>
  <c r="K29" i="8"/>
  <c r="D29" i="8"/>
  <c r="J29" i="8"/>
  <c r="E29" i="8"/>
  <c r="H29" i="8"/>
  <c r="I29" i="8"/>
  <c r="E22" i="8"/>
  <c r="D22" i="8"/>
  <c r="F22" i="8"/>
  <c r="I22" i="8"/>
  <c r="G22" i="8"/>
  <c r="J22" i="8"/>
  <c r="H22" i="8"/>
  <c r="K22" i="8"/>
  <c r="L22" i="8"/>
  <c r="U100" i="11"/>
  <c r="U103" i="11"/>
  <c r="U94" i="11"/>
  <c r="U91" i="11"/>
  <c r="U80" i="11"/>
  <c r="K24" i="8"/>
  <c r="J24" i="8"/>
  <c r="U65" i="11"/>
  <c r="U59" i="11"/>
  <c r="I12" i="9"/>
  <c r="E12" i="9"/>
  <c r="D12" i="9"/>
  <c r="H12" i="9"/>
  <c r="F12" i="9"/>
  <c r="G14" i="9"/>
  <c r="H30" i="9"/>
  <c r="F30" i="9"/>
  <c r="I30" i="9"/>
  <c r="H14" i="9"/>
  <c r="U49" i="11"/>
  <c r="D15" i="9"/>
  <c r="I15" i="9"/>
  <c r="F15" i="9"/>
  <c r="E15" i="9"/>
  <c r="G15" i="9"/>
  <c r="U44" i="11"/>
  <c r="H32" i="9"/>
  <c r="U42" i="11"/>
  <c r="E17" i="9"/>
  <c r="F17" i="9"/>
  <c r="H33" i="9"/>
  <c r="D33" i="9"/>
  <c r="F33" i="9"/>
  <c r="G33" i="9"/>
  <c r="E33" i="9"/>
  <c r="D17" i="9"/>
  <c r="H17" i="9"/>
  <c r="G17" i="9"/>
  <c r="G23" i="8"/>
  <c r="D18" i="9"/>
  <c r="G18" i="9"/>
  <c r="H18" i="9"/>
  <c r="E18" i="9"/>
  <c r="F18" i="9"/>
  <c r="F19" i="9"/>
  <c r="E20" i="9"/>
  <c r="H20" i="9"/>
  <c r="K11" i="8"/>
  <c r="L11" i="8"/>
  <c r="G20" i="9"/>
  <c r="F11" i="8"/>
  <c r="I11" i="8"/>
  <c r="F20" i="9"/>
  <c r="E11" i="8"/>
  <c r="D11" i="8"/>
  <c r="H11" i="8"/>
  <c r="M11" i="8"/>
  <c r="I20" i="9"/>
  <c r="J11" i="8"/>
  <c r="F21" i="9"/>
  <c r="D12" i="8"/>
  <c r="I12" i="8"/>
  <c r="M12" i="8"/>
  <c r="E21" i="9"/>
  <c r="L12" i="8"/>
  <c r="K12" i="8"/>
  <c r="G21" i="9"/>
  <c r="D21" i="9"/>
  <c r="I21" i="9"/>
  <c r="F15" i="8"/>
  <c r="F24" i="9"/>
  <c r="U23" i="11"/>
  <c r="M18" i="8"/>
  <c r="H13" i="8"/>
  <c r="J18" i="8"/>
  <c r="F22" i="9"/>
  <c r="L18" i="8"/>
  <c r="E22" i="9"/>
  <c r="I13" i="8"/>
  <c r="G22" i="9"/>
  <c r="L13" i="8"/>
  <c r="F13" i="8"/>
  <c r="D22" i="9"/>
  <c r="M13" i="8"/>
  <c r="G18" i="8"/>
  <c r="K13" i="8"/>
  <c r="D18" i="8"/>
  <c r="H18" i="8"/>
  <c r="H22" i="9"/>
  <c r="F18" i="8"/>
  <c r="D13" i="8"/>
  <c r="E18" i="8"/>
  <c r="G13" i="8"/>
  <c r="I34" i="8"/>
  <c r="E13" i="8"/>
  <c r="K18" i="8"/>
  <c r="D23" i="9"/>
  <c r="E14" i="8"/>
  <c r="G23" i="9"/>
  <c r="F23" i="9"/>
  <c r="K14" i="8"/>
  <c r="I23" i="9"/>
  <c r="H23" i="9"/>
  <c r="U20" i="11"/>
  <c r="G24" i="9"/>
  <c r="E24" i="9"/>
  <c r="I15" i="8"/>
  <c r="L15" i="8"/>
  <c r="J15" i="8"/>
  <c r="K15" i="8"/>
  <c r="H15" i="8"/>
  <c r="H24" i="9"/>
  <c r="D24" i="9"/>
  <c r="M15" i="8"/>
  <c r="G15" i="8"/>
  <c r="E15" i="8"/>
  <c r="D30" i="9"/>
  <c r="G30" i="9"/>
  <c r="D14" i="9"/>
  <c r="F14" i="9"/>
  <c r="E14" i="9"/>
  <c r="L17" i="8"/>
  <c r="E27" i="9"/>
  <c r="F27" i="9"/>
  <c r="D11" i="9"/>
  <c r="G11" i="9"/>
  <c r="F26" i="9"/>
  <c r="G26" i="9"/>
  <c r="E26" i="9"/>
  <c r="I16" i="8"/>
  <c r="L19" i="8"/>
  <c r="I17" i="8"/>
  <c r="J20" i="8"/>
  <c r="G27" i="9"/>
  <c r="F36" i="8"/>
  <c r="H17" i="8"/>
  <c r="I11" i="9"/>
  <c r="F17" i="8"/>
  <c r="G36" i="8"/>
  <c r="F20" i="8"/>
  <c r="I27" i="9"/>
  <c r="L35" i="8"/>
  <c r="L20" i="8"/>
  <c r="H11" i="9"/>
  <c r="M36" i="8"/>
  <c r="G20" i="8"/>
  <c r="D27" i="9"/>
  <c r="D36" i="8"/>
  <c r="D20" i="8"/>
  <c r="E20" i="8"/>
  <c r="E36" i="8"/>
  <c r="I19" i="8"/>
  <c r="I20" i="8"/>
  <c r="E17" i="8"/>
  <c r="H20" i="8"/>
  <c r="E11" i="9"/>
  <c r="H36" i="8"/>
  <c r="J19" i="8"/>
  <c r="K20" i="8"/>
  <c r="J36" i="8"/>
  <c r="H26" i="9"/>
  <c r="K36" i="8"/>
  <c r="L36" i="8"/>
  <c r="D26" i="9"/>
  <c r="I35" i="8"/>
  <c r="G29" i="9"/>
  <c r="K23" i="8"/>
  <c r="D16" i="8"/>
  <c r="F19" i="8"/>
  <c r="K35" i="8"/>
  <c r="F16" i="8"/>
  <c r="E16" i="8"/>
  <c r="J23" i="8"/>
  <c r="F35" i="8"/>
  <c r="E25" i="9"/>
  <c r="F25" i="9"/>
  <c r="H23" i="8"/>
  <c r="G19" i="8"/>
  <c r="M35" i="8"/>
  <c r="G16" i="8"/>
  <c r="L23" i="8"/>
  <c r="J16" i="8"/>
  <c r="M16" i="8"/>
  <c r="G35" i="8"/>
  <c r="I23" i="8"/>
  <c r="K19" i="8"/>
  <c r="D19" i="8"/>
  <c r="G25" i="9"/>
  <c r="H16" i="8"/>
  <c r="D25" i="9"/>
  <c r="D29" i="9"/>
  <c r="K16" i="8"/>
  <c r="H19" i="8"/>
  <c r="F23" i="8"/>
  <c r="H25" i="9"/>
  <c r="F29" i="9"/>
  <c r="E23" i="8"/>
  <c r="E19" i="8"/>
  <c r="E29" i="9"/>
  <c r="D23" i="8"/>
  <c r="J35" i="8"/>
  <c r="E35" i="8"/>
  <c r="H35" i="8"/>
  <c r="H29" i="9"/>
  <c r="U13" i="11"/>
  <c r="D21" i="8"/>
  <c r="H16" i="9"/>
  <c r="E28" i="9"/>
  <c r="K34" i="8"/>
  <c r="I24" i="8"/>
  <c r="H21" i="8"/>
  <c r="D28" i="9"/>
  <c r="J34" i="8"/>
  <c r="H24" i="8"/>
  <c r="M21" i="8"/>
  <c r="G24" i="8"/>
  <c r="F21" i="8"/>
  <c r="L21" i="8"/>
  <c r="M24" i="8"/>
  <c r="E21" i="8"/>
  <c r="D34" i="8"/>
  <c r="F24" i="8"/>
  <c r="K21" i="8"/>
  <c r="G34" i="8"/>
  <c r="D31" i="9"/>
  <c r="L24" i="8"/>
  <c r="G21" i="8"/>
  <c r="J21" i="8"/>
  <c r="F34" i="8"/>
  <c r="E34" i="8"/>
  <c r="G28" i="9"/>
  <c r="H34" i="8"/>
  <c r="F28" i="9"/>
  <c r="E24" i="8"/>
  <c r="I28" i="9"/>
  <c r="L34" i="8"/>
  <c r="G32" i="9"/>
  <c r="D32" i="9"/>
  <c r="F32" i="9"/>
  <c r="E32" i="9"/>
  <c r="U10" i="11"/>
  <c r="E16" i="9"/>
  <c r="F16" i="9"/>
  <c r="G16" i="9"/>
  <c r="D16" i="9"/>
  <c r="I13" i="9"/>
  <c r="E13" i="9"/>
  <c r="D13" i="9"/>
  <c r="F13" i="9"/>
  <c r="H13" i="9"/>
  <c r="H12" i="8"/>
  <c r="E12" i="8"/>
  <c r="F12" i="8"/>
  <c r="G12" i="8"/>
  <c r="B28" i="3"/>
  <c r="B22" i="3"/>
  <c r="B20" i="3"/>
  <c r="C33" i="3"/>
  <c r="S14" i="3"/>
  <c r="R13" i="3"/>
  <c r="C14" i="3"/>
  <c r="B23" i="3"/>
  <c r="C21" i="3"/>
  <c r="C20" i="3"/>
  <c r="C36" i="3"/>
  <c r="B16" i="3"/>
  <c r="C19" i="3"/>
  <c r="B32" i="3"/>
  <c r="B34" i="3"/>
  <c r="O15" i="3"/>
  <c r="B37" i="3"/>
  <c r="C16" i="3"/>
  <c r="B27" i="3"/>
  <c r="C22" i="3"/>
  <c r="R14" i="3"/>
  <c r="C27" i="3"/>
  <c r="B19" i="3"/>
  <c r="C35" i="3"/>
  <c r="C24" i="3"/>
  <c r="B26" i="3"/>
  <c r="C32" i="3"/>
  <c r="C29" i="3"/>
  <c r="B36" i="3"/>
  <c r="B31" i="3"/>
  <c r="C17" i="3"/>
  <c r="B30" i="3"/>
  <c r="B12" i="3"/>
  <c r="B15" i="3"/>
  <c r="C13" i="3"/>
  <c r="C28" i="3"/>
  <c r="B21" i="3"/>
  <c r="C11" i="3"/>
  <c r="N15" i="3"/>
  <c r="C25" i="3"/>
  <c r="B38" i="3"/>
  <c r="B17" i="3"/>
  <c r="C38" i="3"/>
  <c r="B35" i="3"/>
  <c r="B18" i="3"/>
  <c r="B11" i="3"/>
  <c r="C34" i="3"/>
  <c r="S13" i="3"/>
  <c r="C30" i="3"/>
  <c r="B29" i="3"/>
  <c r="C26" i="3"/>
  <c r="B24" i="3"/>
  <c r="C37" i="3"/>
  <c r="B14" i="3"/>
  <c r="B25" i="3"/>
  <c r="C18" i="3"/>
  <c r="N16" i="3"/>
  <c r="B33" i="3"/>
  <c r="C23" i="3"/>
  <c r="C15" i="3"/>
  <c r="C31" i="3"/>
  <c r="B13" i="3"/>
  <c r="C12" i="3"/>
  <c r="R34" i="7" a="1"/>
  <c r="R22" i="7" a="1"/>
  <c r="S26" i="7" a="1"/>
  <c r="S17" i="7" a="1"/>
  <c r="R15" i="7" a="1"/>
  <c r="S24" i="7" a="1"/>
  <c r="S14" i="7" a="1"/>
  <c r="R23" i="7" a="1"/>
  <c r="O15" i="7" a="1"/>
  <c r="S29" i="7" a="1"/>
  <c r="S19" i="7" a="1"/>
  <c r="R19" i="7" a="1"/>
  <c r="R33" i="7" a="1"/>
  <c r="R20" i="7" a="1"/>
  <c r="S28" i="7" a="1"/>
  <c r="R11" i="7" a="1"/>
  <c r="S15" i="7" a="1"/>
  <c r="O14" i="7" a="1"/>
  <c r="R18" i="7" a="1"/>
  <c r="R24" i="7" a="1"/>
  <c r="R31" i="7" a="1"/>
  <c r="R16" i="7" a="1"/>
  <c r="O16" i="7" a="1"/>
  <c r="S33" i="7" a="1"/>
  <c r="S27" i="7" a="1"/>
  <c r="R26" i="7" a="1"/>
  <c r="S34" i="7" a="1"/>
  <c r="R25" i="7" a="1"/>
  <c r="R13" i="7" a="1"/>
  <c r="R29" i="7" a="1"/>
  <c r="R27" i="7" a="1"/>
  <c r="R17" i="7" a="1"/>
  <c r="S16" i="7" a="1"/>
  <c r="S22" i="7" a="1"/>
  <c r="R21" i="7" a="1"/>
  <c r="O13" i="7" a="1"/>
  <c r="R30" i="7" a="1"/>
  <c r="S13" i="7" a="1"/>
  <c r="S18" i="7" a="1"/>
  <c r="R12" i="7" a="1"/>
  <c r="S11" i="7" a="1"/>
  <c r="R32" i="7" a="1"/>
  <c r="S20" i="7" a="1"/>
  <c r="S25" i="7" a="1"/>
  <c r="S21" i="7" a="1"/>
  <c r="O12" i="7" a="1"/>
  <c r="S30" i="7" a="1"/>
  <c r="S12" i="7" a="1"/>
  <c r="R14" i="7" a="1"/>
  <c r="R28" i="7" a="1"/>
  <c r="S31" i="7" a="1"/>
  <c r="S32" i="7" a="1"/>
  <c r="S23" i="7" a="1"/>
  <c r="J13" i="3" l="1"/>
  <c r="M13" i="3"/>
  <c r="D13" i="3"/>
  <c r="L13" i="3"/>
  <c r="H13" i="3"/>
  <c r="I13" i="3"/>
  <c r="K13" i="3"/>
  <c r="F13" i="3"/>
  <c r="G13" i="3"/>
  <c r="E13" i="3"/>
  <c r="J33" i="3"/>
  <c r="K25" i="3"/>
  <c r="E14" i="3"/>
  <c r="D14" i="3"/>
  <c r="I14" i="3"/>
  <c r="G14" i="3"/>
  <c r="H14" i="3"/>
  <c r="G37" i="3"/>
  <c r="K24" i="3"/>
  <c r="H24" i="3"/>
  <c r="F24" i="3"/>
  <c r="M24" i="3"/>
  <c r="I24" i="3"/>
  <c r="E24" i="3"/>
  <c r="D24" i="3"/>
  <c r="L26" i="3"/>
  <c r="D18" i="3"/>
  <c r="F18" i="3"/>
  <c r="M18" i="3"/>
  <c r="I18" i="3"/>
  <c r="J18" i="3"/>
  <c r="K18" i="3"/>
  <c r="K35" i="3"/>
  <c r="F35" i="3"/>
  <c r="H35" i="3"/>
  <c r="D35" i="3"/>
  <c r="L35" i="3"/>
  <c r="E35" i="3"/>
  <c r="M17" i="3"/>
  <c r="K38" i="3"/>
  <c r="H38" i="3"/>
  <c r="L25" i="3"/>
  <c r="I11" i="3"/>
  <c r="D21" i="3"/>
  <c r="H21" i="3"/>
  <c r="E21" i="3"/>
  <c r="G21" i="3"/>
  <c r="F21" i="3"/>
  <c r="M21" i="3"/>
  <c r="M12" i="3"/>
  <c r="J30" i="3"/>
  <c r="F36" i="3"/>
  <c r="E29" i="3"/>
  <c r="H26" i="3"/>
  <c r="F26" i="3"/>
  <c r="G26" i="3"/>
  <c r="D26" i="3"/>
  <c r="J26" i="3"/>
  <c r="I26" i="3"/>
  <c r="G19" i="3"/>
  <c r="I19" i="3"/>
  <c r="L19" i="3"/>
  <c r="J19" i="3"/>
  <c r="E19" i="3"/>
  <c r="H19" i="3"/>
  <c r="K19" i="3"/>
  <c r="E27" i="3"/>
  <c r="I27" i="3"/>
  <c r="K16" i="3"/>
  <c r="D34" i="3"/>
  <c r="L34" i="3"/>
  <c r="K34" i="3"/>
  <c r="L32" i="3"/>
  <c r="E32" i="3"/>
  <c r="M32" i="3"/>
  <c r="K32" i="3"/>
  <c r="H32" i="3"/>
  <c r="I32" i="3"/>
  <c r="J14" i="3"/>
  <c r="M20" i="3"/>
  <c r="E20" i="3"/>
  <c r="G20" i="3"/>
  <c r="L20" i="3"/>
  <c r="F20" i="3"/>
  <c r="K20" i="3"/>
  <c r="H22" i="3"/>
  <c r="E22" i="3"/>
  <c r="G22" i="3"/>
  <c r="F22" i="3"/>
  <c r="M22" i="3"/>
  <c r="K22" i="3"/>
  <c r="J22" i="3"/>
  <c r="L28" i="3"/>
  <c r="I28" i="3"/>
  <c r="J28" i="3"/>
  <c r="E28" i="3"/>
  <c r="H28" i="3"/>
  <c r="K28" i="3"/>
  <c r="D28" i="3"/>
  <c r="D20" i="3"/>
  <c r="K21" i="3"/>
  <c r="J17" i="3"/>
  <c r="H36" i="3"/>
  <c r="G36" i="3"/>
  <c r="D12" i="3"/>
  <c r="J36" i="3"/>
  <c r="F12" i="3"/>
  <c r="D36" i="3"/>
  <c r="I20" i="3"/>
  <c r="J12" i="3"/>
  <c r="M25" i="3"/>
  <c r="H17" i="3"/>
  <c r="F31" i="3"/>
  <c r="J11" i="3"/>
  <c r="D25" i="3"/>
  <c r="I17" i="3"/>
  <c r="H25" i="3"/>
  <c r="F14" i="3"/>
  <c r="G25" i="3"/>
  <c r="K17" i="3"/>
  <c r="M29" i="3"/>
  <c r="K29" i="3"/>
  <c r="L37" i="3"/>
  <c r="D30" i="3"/>
  <c r="G34" i="3"/>
  <c r="H29" i="3"/>
  <c r="D38" i="3"/>
  <c r="M33" i="3"/>
  <c r="E38" i="3"/>
  <c r="J29" i="3"/>
  <c r="L38" i="3"/>
  <c r="G38" i="3"/>
  <c r="D17" i="3"/>
  <c r="M36" i="3"/>
  <c r="E30" i="3"/>
  <c r="H33" i="3"/>
  <c r="J25" i="3"/>
  <c r="F25" i="3"/>
  <c r="F32" i="3"/>
  <c r="D19" i="3"/>
  <c r="E25" i="3"/>
  <c r="J20" i="3"/>
  <c r="I25" i="3"/>
  <c r="G28" i="3"/>
  <c r="D37" i="9"/>
  <c r="H37" i="9"/>
  <c r="E37" i="9"/>
  <c r="L23" i="3"/>
  <c r="F23" i="3"/>
  <c r="M23" i="3"/>
  <c r="D23" i="3"/>
  <c r="I23" i="3"/>
  <c r="E23" i="3"/>
  <c r="J23" i="3"/>
  <c r="L44" i="8"/>
  <c r="D31" i="3"/>
  <c r="L14" i="8"/>
  <c r="J14" i="8"/>
  <c r="J44" i="8" s="1"/>
  <c r="D14" i="8"/>
  <c r="D44" i="8" s="1"/>
  <c r="M14" i="8"/>
  <c r="M44" i="8" s="1"/>
  <c r="I14" i="8"/>
  <c r="I44" i="8" s="1"/>
  <c r="G14" i="8"/>
  <c r="G44" i="8" s="1"/>
  <c r="F14" i="8"/>
  <c r="F44" i="8" s="1"/>
  <c r="H14" i="8"/>
  <c r="H44" i="8" s="1"/>
  <c r="H19" i="9"/>
  <c r="I19" i="9"/>
  <c r="G19" i="9"/>
  <c r="G37" i="9" s="1"/>
  <c r="D19" i="9"/>
  <c r="E19" i="9"/>
  <c r="M11" i="3"/>
  <c r="L31" i="3"/>
  <c r="H31" i="9"/>
  <c r="K11" i="3"/>
  <c r="K42" i="3" s="1"/>
  <c r="L20" i="14"/>
  <c r="A20" i="14" s="1"/>
  <c r="E20" i="14" s="1"/>
  <c r="P20" i="14" s="1"/>
  <c r="A19" i="14"/>
  <c r="E19" i="14" s="1"/>
  <c r="P19" i="14" s="1"/>
  <c r="G12" i="3"/>
  <c r="I12" i="3"/>
  <c r="E12" i="3"/>
  <c r="H12" i="3"/>
  <c r="L12" i="3"/>
  <c r="K23" i="3"/>
  <c r="G23" i="3"/>
  <c r="H15" i="3"/>
  <c r="K17" i="8"/>
  <c r="K44" i="8" s="1"/>
  <c r="J17" i="8"/>
  <c r="D17" i="8"/>
  <c r="M17" i="8"/>
  <c r="G17" i="8"/>
  <c r="J15" i="3"/>
  <c r="K15" i="3"/>
  <c r="D15" i="3"/>
  <c r="I15" i="3"/>
  <c r="E31" i="3"/>
  <c r="I16" i="3"/>
  <c r="G31" i="9"/>
  <c r="H23" i="3"/>
  <c r="F31" i="9"/>
  <c r="F37" i="9" s="1"/>
  <c r="H27" i="3"/>
  <c r="G27" i="3"/>
  <c r="K27" i="3"/>
  <c r="L27" i="3"/>
  <c r="M27" i="3"/>
  <c r="F27" i="3"/>
  <c r="D27" i="3"/>
  <c r="J27" i="3"/>
  <c r="H37" i="3"/>
  <c r="M37" i="3"/>
  <c r="K37" i="3"/>
  <c r="J37" i="3"/>
  <c r="D37" i="3"/>
  <c r="E37" i="3"/>
  <c r="I37" i="3"/>
  <c r="F37" i="3"/>
  <c r="L16" i="3"/>
  <c r="E44" i="8"/>
  <c r="D46" i="8" s="1"/>
  <c r="I31" i="9"/>
  <c r="I37" i="9" s="1"/>
  <c r="G15" i="3"/>
  <c r="J31" i="3"/>
  <c r="M31" i="3"/>
  <c r="K31" i="3"/>
  <c r="K12" i="3"/>
  <c r="L15" i="3"/>
  <c r="K36" i="3"/>
  <c r="M15" i="3"/>
  <c r="K14" i="3"/>
  <c r="H31" i="3"/>
  <c r="I22" i="3"/>
  <c r="K26" i="3"/>
  <c r="H18" i="3"/>
  <c r="J24" i="3"/>
  <c r="H20" i="3"/>
  <c r="I34" i="3"/>
  <c r="F19" i="3"/>
  <c r="L21" i="3"/>
  <c r="L17" i="3"/>
  <c r="U101" i="11"/>
  <c r="A55" i="14"/>
  <c r="E55" i="14" s="1"/>
  <c r="P55" i="14" s="1"/>
  <c r="L56" i="14"/>
  <c r="A56" i="14" s="1"/>
  <c r="E56" i="14" s="1"/>
  <c r="P56" i="14" s="1"/>
  <c r="F17" i="3"/>
  <c r="M16" i="3"/>
  <c r="I36" i="3"/>
  <c r="I29" i="3"/>
  <c r="M14" i="3"/>
  <c r="M26" i="3"/>
  <c r="G33" i="3"/>
  <c r="F16" i="3"/>
  <c r="E36" i="3"/>
  <c r="F29" i="3"/>
  <c r="L14" i="3"/>
  <c r="G35" i="3"/>
  <c r="D32" i="3"/>
  <c r="E26" i="3"/>
  <c r="E18" i="3"/>
  <c r="K33" i="3"/>
  <c r="M19" i="3"/>
  <c r="J21" i="3"/>
  <c r="D16" i="3"/>
  <c r="L36" i="3"/>
  <c r="D29" i="3"/>
  <c r="I35" i="3"/>
  <c r="G32" i="3"/>
  <c r="I38" i="3"/>
  <c r="L18" i="3"/>
  <c r="L33" i="3"/>
  <c r="L30" i="3"/>
  <c r="F33" i="3"/>
  <c r="J16" i="3"/>
  <c r="E15" i="3"/>
  <c r="G29" i="3"/>
  <c r="M28" i="3"/>
  <c r="M35" i="3"/>
  <c r="L22" i="3"/>
  <c r="J32" i="3"/>
  <c r="J38" i="3"/>
  <c r="G18" i="3"/>
  <c r="D33" i="3"/>
  <c r="J34" i="3"/>
  <c r="K30" i="3"/>
  <c r="I21" i="3"/>
  <c r="E16" i="3"/>
  <c r="I30" i="3"/>
  <c r="D11" i="3"/>
  <c r="H16" i="3"/>
  <c r="F15" i="3"/>
  <c r="L29" i="3"/>
  <c r="F28" i="3"/>
  <c r="J35" i="3"/>
  <c r="D22" i="3"/>
  <c r="M38" i="3"/>
  <c r="I33" i="3"/>
  <c r="E34" i="3"/>
  <c r="F30" i="3"/>
  <c r="G16" i="3"/>
  <c r="I31" i="3"/>
  <c r="G24" i="3"/>
  <c r="E33" i="3"/>
  <c r="M34" i="3"/>
  <c r="M30" i="3"/>
  <c r="E17" i="3"/>
  <c r="L11" i="3"/>
  <c r="G31" i="3"/>
  <c r="F38" i="3"/>
  <c r="L24" i="3"/>
  <c r="H34" i="3"/>
  <c r="G30" i="3"/>
  <c r="G17" i="3"/>
  <c r="F34" i="3"/>
  <c r="H30" i="3"/>
  <c r="S25" i="7"/>
  <c r="S18" i="7"/>
  <c r="S15" i="7"/>
  <c r="S27" i="7"/>
  <c r="O15" i="7"/>
  <c r="S12" i="7"/>
  <c r="R14" i="7"/>
  <c r="R21" i="7"/>
  <c r="S34" i="7"/>
  <c r="S13" i="7"/>
  <c r="R24" i="7"/>
  <c r="S33" i="7"/>
  <c r="O14" i="7"/>
  <c r="S14" i="7"/>
  <c r="R30" i="7"/>
  <c r="R12" i="7"/>
  <c r="S22" i="7"/>
  <c r="R26" i="7"/>
  <c r="S28" i="7"/>
  <c r="R33" i="7"/>
  <c r="S19" i="7"/>
  <c r="R34" i="7"/>
  <c r="S30" i="7"/>
  <c r="R22" i="7"/>
  <c r="R32" i="7"/>
  <c r="R17" i="7"/>
  <c r="S16" i="7"/>
  <c r="R31" i="7"/>
  <c r="R16" i="7"/>
  <c r="O13" i="7"/>
  <c r="S31" i="7"/>
  <c r="R20" i="7"/>
  <c r="S24" i="7"/>
  <c r="R19" i="7"/>
  <c r="S29" i="7"/>
  <c r="S26" i="7"/>
  <c r="S32" i="7"/>
  <c r="R28" i="7"/>
  <c r="S11" i="7"/>
  <c r="S21" i="7"/>
  <c r="R29" i="7"/>
  <c r="R25" i="7"/>
  <c r="O16" i="7"/>
  <c r="R18" i="7"/>
  <c r="R23" i="7"/>
  <c r="R15" i="7"/>
  <c r="S23" i="7"/>
  <c r="O12" i="7"/>
  <c r="R13" i="7"/>
  <c r="R11" i="7"/>
  <c r="S17" i="7"/>
  <c r="S20" i="7"/>
  <c r="R27" i="7"/>
  <c r="L42" i="3" l="1"/>
  <c r="I42" i="3"/>
  <c r="M42" i="3"/>
  <c r="J42" i="3"/>
  <c r="D54" i="8"/>
  <c r="D52" i="8"/>
  <c r="C52" i="8"/>
  <c r="I52" i="8"/>
  <c r="E52" i="8"/>
  <c r="C54" i="8"/>
  <c r="B52" i="8"/>
  <c r="A50" i="8"/>
  <c r="F54" i="8"/>
  <c r="G52" i="8"/>
  <c r="F52" i="8"/>
  <c r="B50" i="8"/>
  <c r="D50" i="8"/>
  <c r="M54" i="8"/>
  <c r="A52" i="8"/>
  <c r="B54" i="8"/>
  <c r="C50" i="8"/>
  <c r="C56" i="8" s="1"/>
  <c r="C4" i="8" s="1"/>
  <c r="D4" i="2" s="1"/>
  <c r="E54" i="8"/>
  <c r="A54" i="8"/>
  <c r="E50" i="8"/>
  <c r="E56" i="8" s="1"/>
  <c r="E4" i="8" s="1"/>
  <c r="H4" i="2" s="1"/>
  <c r="H52" i="8"/>
  <c r="L54" i="8"/>
  <c r="K54" i="8"/>
  <c r="D42" i="3"/>
  <c r="J45" i="9"/>
  <c r="C45" i="9"/>
  <c r="A47" i="9"/>
  <c r="A43" i="9"/>
  <c r="A49" i="9" s="1"/>
  <c r="C43" i="9"/>
  <c r="D43" i="9"/>
  <c r="D45" i="9"/>
  <c r="D47" i="9"/>
  <c r="C47" i="9"/>
  <c r="A45" i="9"/>
  <c r="I45" i="9"/>
  <c r="K45" i="9"/>
  <c r="F11" i="3" l="1"/>
  <c r="F42" i="3" s="1"/>
  <c r="E11" i="3"/>
  <c r="E42" i="3" s="1"/>
  <c r="S9" i="3" s="1"/>
  <c r="H11" i="3"/>
  <c r="H42" i="3" s="1"/>
  <c r="G11" i="3"/>
  <c r="G42" i="3" s="1"/>
  <c r="D49" i="9"/>
  <c r="D4" i="9" s="1"/>
  <c r="I4" i="2" s="1"/>
  <c r="C49" i="9"/>
  <c r="C4" i="9" s="1"/>
  <c r="F4" i="2" s="1"/>
  <c r="D56" i="8"/>
  <c r="D4" i="8" s="1"/>
  <c r="E4" i="2" s="1"/>
  <c r="B56" i="8"/>
  <c r="F56" i="8"/>
  <c r="F4" i="8" s="1"/>
  <c r="J4" i="2" s="1"/>
  <c r="M50" i="3"/>
  <c r="S52" i="3"/>
  <c r="C52" i="3"/>
  <c r="D50" i="3"/>
  <c r="L50" i="3"/>
  <c r="G50" i="3"/>
  <c r="P52" i="3"/>
  <c r="E50" i="3"/>
  <c r="R52" i="3"/>
  <c r="C50" i="3"/>
  <c r="G52" i="3"/>
  <c r="Q52" i="3"/>
  <c r="A52" i="3"/>
  <c r="D52" i="3"/>
  <c r="E52" i="3"/>
  <c r="F52" i="3"/>
  <c r="N50" i="3"/>
  <c r="B52" i="3"/>
  <c r="F50" i="3"/>
  <c r="A56" i="8"/>
  <c r="A48" i="3"/>
  <c r="B48" i="3"/>
  <c r="B54" i="3" l="1"/>
  <c r="C48" i="3"/>
  <c r="C54" i="3" s="1"/>
  <c r="A54" i="3"/>
  <c r="G54" i="3"/>
  <c r="E4" i="3" s="1"/>
  <c r="T10" i="2"/>
  <c r="L10" i="2"/>
  <c r="G4" i="2"/>
  <c r="K4" i="2"/>
  <c r="L4" i="2" s="1"/>
  <c r="D48" i="3"/>
  <c r="E48" i="3"/>
  <c r="E54" i="3" l="1"/>
  <c r="D4" i="3" s="1"/>
  <c r="E10" i="2" s="1"/>
  <c r="P10" i="2" s="1"/>
  <c r="D54" i="3"/>
  <c r="F48" i="3"/>
  <c r="F54" i="3" s="1"/>
  <c r="C4" i="3" s="1"/>
  <c r="D44" i="3" l="1"/>
  <c r="D10" i="2"/>
  <c r="C21" i="4" l="1"/>
  <c r="C19" i="4"/>
  <c r="C11" i="5"/>
  <c r="C18" i="4"/>
  <c r="A4" i="5"/>
  <c r="C28" i="5"/>
  <c r="C18" i="5"/>
  <c r="C31" i="4"/>
  <c r="C14" i="5"/>
  <c r="C12" i="5"/>
  <c r="C27" i="4"/>
  <c r="C20" i="5"/>
  <c r="C24" i="5"/>
  <c r="C12" i="4"/>
  <c r="C14" i="4"/>
  <c r="C29" i="4"/>
  <c r="A4" i="4"/>
  <c r="C32" i="4"/>
  <c r="C19" i="5"/>
  <c r="C17" i="5"/>
  <c r="C15" i="5"/>
  <c r="C27" i="5"/>
  <c r="C35" i="4"/>
  <c r="C13" i="4"/>
  <c r="C37" i="4"/>
  <c r="O10" i="2"/>
  <c r="C31" i="5"/>
  <c r="C22" i="4"/>
  <c r="C30" i="5"/>
  <c r="C33" i="5"/>
  <c r="C15" i="4"/>
  <c r="C16" i="5"/>
  <c r="C33" i="4"/>
  <c r="C23" i="5"/>
  <c r="C25" i="4"/>
  <c r="C28" i="4"/>
  <c r="C26" i="4"/>
  <c r="C20" i="4"/>
  <c r="C25" i="5"/>
  <c r="C21" i="5"/>
  <c r="C34" i="4"/>
  <c r="C23" i="4"/>
  <c r="C26" i="5"/>
  <c r="C24" i="4"/>
  <c r="C36" i="4"/>
  <c r="C29" i="5"/>
  <c r="C16" i="4"/>
  <c r="C17" i="4"/>
  <c r="C30" i="4"/>
  <c r="C22" i="5"/>
  <c r="C13" i="5"/>
  <c r="C32" i="5"/>
  <c r="C11" i="4"/>
  <c r="H30" i="5" l="1"/>
  <c r="I30" i="5"/>
  <c r="D30" i="5"/>
  <c r="G30" i="5"/>
  <c r="E30" i="5"/>
  <c r="F30" i="5"/>
  <c r="H20" i="5"/>
  <c r="I20" i="5"/>
  <c r="G20" i="5"/>
  <c r="D20" i="5"/>
  <c r="F20" i="5"/>
  <c r="E20" i="5"/>
  <c r="F16" i="4"/>
  <c r="K16" i="4"/>
  <c r="D16" i="4"/>
  <c r="I16" i="4"/>
  <c r="H16" i="4"/>
  <c r="G16" i="4"/>
  <c r="J16" i="4"/>
  <c r="E16" i="4"/>
  <c r="F27" i="4"/>
  <c r="K27" i="4"/>
  <c r="J27" i="4"/>
  <c r="I27" i="4"/>
  <c r="E27" i="4"/>
  <c r="D27" i="4"/>
  <c r="H27" i="4"/>
  <c r="G27" i="4"/>
  <c r="F12" i="5"/>
  <c r="G12" i="5"/>
  <c r="H12" i="5"/>
  <c r="E12" i="5"/>
  <c r="I12" i="5"/>
  <c r="D12" i="5"/>
  <c r="D33" i="5"/>
  <c r="I33" i="5"/>
  <c r="H33" i="5"/>
  <c r="F33" i="5"/>
  <c r="G33" i="5"/>
  <c r="E33" i="5"/>
  <c r="I37" i="4"/>
  <c r="D37" i="4"/>
  <c r="H37" i="4"/>
  <c r="K37" i="4"/>
  <c r="J37" i="4"/>
  <c r="G37" i="4"/>
  <c r="E37" i="4"/>
  <c r="F37" i="4"/>
  <c r="F14" i="5"/>
  <c r="E14" i="5"/>
  <c r="D14" i="5"/>
  <c r="H14" i="5"/>
  <c r="I14" i="5"/>
  <c r="G14" i="5"/>
  <c r="I15" i="4"/>
  <c r="J15" i="4"/>
  <c r="E15" i="4"/>
  <c r="F15" i="4"/>
  <c r="H15" i="4"/>
  <c r="G15" i="4"/>
  <c r="D15" i="4"/>
  <c r="K15" i="4"/>
  <c r="D21" i="5"/>
  <c r="G21" i="5"/>
  <c r="E21" i="5"/>
  <c r="I21" i="5"/>
  <c r="F21" i="5"/>
  <c r="H21" i="5"/>
  <c r="F13" i="4"/>
  <c r="G13" i="4"/>
  <c r="H13" i="4"/>
  <c r="D13" i="4"/>
  <c r="K13" i="4"/>
  <c r="J13" i="4"/>
  <c r="I13" i="4"/>
  <c r="E13" i="4"/>
  <c r="H31" i="4"/>
  <c r="D31" i="4"/>
  <c r="F31" i="4"/>
  <c r="G31" i="4"/>
  <c r="E31" i="4"/>
  <c r="J31" i="4"/>
  <c r="I31" i="4"/>
  <c r="K31" i="4"/>
  <c r="I24" i="4"/>
  <c r="G24" i="4"/>
  <c r="K24" i="4"/>
  <c r="J24" i="4"/>
  <c r="H24" i="4"/>
  <c r="F24" i="4"/>
  <c r="E24" i="4"/>
  <c r="D24" i="4"/>
  <c r="H25" i="5"/>
  <c r="F25" i="5"/>
  <c r="E25" i="5"/>
  <c r="G25" i="5"/>
  <c r="D25" i="5"/>
  <c r="I25" i="5"/>
  <c r="J35" i="4"/>
  <c r="K35" i="4"/>
  <c r="D35" i="4"/>
  <c r="H35" i="4"/>
  <c r="I35" i="4"/>
  <c r="F35" i="4"/>
  <c r="E35" i="4"/>
  <c r="G35" i="4"/>
  <c r="I18" i="5"/>
  <c r="F18" i="5"/>
  <c r="E18" i="5"/>
  <c r="D18" i="5"/>
  <c r="G18" i="5"/>
  <c r="H18" i="5"/>
  <c r="E12" i="4"/>
  <c r="G12" i="4"/>
  <c r="I12" i="4"/>
  <c r="H12" i="4"/>
  <c r="K12" i="4"/>
  <c r="F12" i="4"/>
  <c r="J12" i="4"/>
  <c r="D12" i="4"/>
  <c r="G26" i="5"/>
  <c r="D26" i="5"/>
  <c r="I26" i="5"/>
  <c r="F26" i="5"/>
  <c r="E26" i="5"/>
  <c r="H26" i="5"/>
  <c r="G27" i="5"/>
  <c r="E27" i="5"/>
  <c r="H27" i="5"/>
  <c r="F27" i="5"/>
  <c r="D27" i="5"/>
  <c r="I27" i="5"/>
  <c r="E28" i="5"/>
  <c r="I28" i="5"/>
  <c r="G28" i="5"/>
  <c r="F28" i="5"/>
  <c r="D28" i="5"/>
  <c r="H28" i="5"/>
  <c r="I14" i="4"/>
  <c r="D14" i="4"/>
  <c r="E14" i="4"/>
  <c r="J14" i="4"/>
  <c r="K14" i="4"/>
  <c r="F14" i="4"/>
  <c r="H14" i="4"/>
  <c r="G14" i="4"/>
  <c r="I31" i="5"/>
  <c r="D31" i="5"/>
  <c r="H31" i="5"/>
  <c r="E31" i="5"/>
  <c r="G31" i="5"/>
  <c r="F31" i="5"/>
  <c r="D26" i="4"/>
  <c r="H26" i="4"/>
  <c r="F26" i="4"/>
  <c r="J26" i="4"/>
  <c r="K26" i="4"/>
  <c r="I26" i="4"/>
  <c r="G26" i="4"/>
  <c r="E26" i="4"/>
  <c r="G15" i="5"/>
  <c r="I15" i="5"/>
  <c r="E15" i="5"/>
  <c r="F15" i="5"/>
  <c r="H15" i="5"/>
  <c r="D15" i="5"/>
  <c r="I29" i="4"/>
  <c r="H29" i="4"/>
  <c r="E29" i="4"/>
  <c r="J29" i="4"/>
  <c r="D29" i="4"/>
  <c r="G29" i="4"/>
  <c r="F29" i="4"/>
  <c r="K29" i="4"/>
  <c r="J36" i="4"/>
  <c r="I36" i="4"/>
  <c r="H36" i="4"/>
  <c r="K36" i="4"/>
  <c r="D36" i="4"/>
  <c r="F36" i="4"/>
  <c r="G36" i="4"/>
  <c r="E36" i="4"/>
  <c r="H23" i="4"/>
  <c r="D23" i="4"/>
  <c r="G23" i="4"/>
  <c r="K23" i="4"/>
  <c r="I23" i="4"/>
  <c r="F23" i="4"/>
  <c r="E23" i="4"/>
  <c r="J23" i="4"/>
  <c r="H28" i="4"/>
  <c r="D28" i="4"/>
  <c r="E28" i="4"/>
  <c r="K28" i="4"/>
  <c r="G28" i="4"/>
  <c r="I28" i="4"/>
  <c r="J28" i="4"/>
  <c r="F28" i="4"/>
  <c r="D17" i="5"/>
  <c r="F17" i="5"/>
  <c r="E17" i="5"/>
  <c r="I17" i="5"/>
  <c r="H17" i="5"/>
  <c r="G17" i="5"/>
  <c r="D18" i="4"/>
  <c r="F18" i="4"/>
  <c r="G18" i="4"/>
  <c r="I18" i="4"/>
  <c r="K18" i="4"/>
  <c r="E18" i="4"/>
  <c r="H18" i="4"/>
  <c r="J18" i="4"/>
  <c r="H16" i="5"/>
  <c r="E16" i="5"/>
  <c r="I16" i="5"/>
  <c r="G16" i="5"/>
  <c r="F16" i="5"/>
  <c r="D16" i="5"/>
  <c r="D20" i="4"/>
  <c r="G20" i="4"/>
  <c r="I20" i="4"/>
  <c r="J20" i="4"/>
  <c r="K20" i="4"/>
  <c r="F20" i="4"/>
  <c r="E20" i="4"/>
  <c r="H20" i="4"/>
  <c r="G25" i="4"/>
  <c r="I25" i="4"/>
  <c r="E25" i="4"/>
  <c r="F25" i="4"/>
  <c r="D25" i="4"/>
  <c r="K25" i="4"/>
  <c r="J25" i="4"/>
  <c r="H25" i="4"/>
  <c r="H19" i="5"/>
  <c r="E19" i="5"/>
  <c r="I19" i="5"/>
  <c r="G19" i="5"/>
  <c r="F19" i="5"/>
  <c r="D19" i="5"/>
  <c r="H11" i="5"/>
  <c r="I11" i="5"/>
  <c r="D11" i="5"/>
  <c r="G11" i="5"/>
  <c r="F11" i="5"/>
  <c r="E11" i="5"/>
  <c r="E29" i="5"/>
  <c r="D29" i="5"/>
  <c r="I29" i="5"/>
  <c r="H29" i="5"/>
  <c r="G29" i="5"/>
  <c r="F29" i="5"/>
  <c r="E22" i="4"/>
  <c r="F22" i="4"/>
  <c r="D22" i="4"/>
  <c r="G22" i="4"/>
  <c r="I22" i="4"/>
  <c r="J22" i="4"/>
  <c r="K22" i="4"/>
  <c r="H22" i="4"/>
  <c r="I32" i="5"/>
  <c r="D32" i="5"/>
  <c r="E32" i="5"/>
  <c r="H32" i="5"/>
  <c r="G32" i="5"/>
  <c r="F32" i="5"/>
  <c r="G13" i="5"/>
  <c r="E13" i="5"/>
  <c r="H13" i="5"/>
  <c r="F13" i="5"/>
  <c r="D13" i="5"/>
  <c r="I13" i="5"/>
  <c r="G23" i="5"/>
  <c r="F23" i="5"/>
  <c r="D23" i="5"/>
  <c r="E23" i="5"/>
  <c r="H23" i="5"/>
  <c r="I23" i="5"/>
  <c r="D32" i="4"/>
  <c r="F32" i="4"/>
  <c r="G32" i="4"/>
  <c r="K32" i="4"/>
  <c r="E32" i="4"/>
  <c r="I32" i="4"/>
  <c r="J32" i="4"/>
  <c r="H32" i="4"/>
  <c r="K19" i="4"/>
  <c r="J19" i="4"/>
  <c r="H19" i="4"/>
  <c r="E19" i="4"/>
  <c r="F19" i="4"/>
  <c r="I19" i="4"/>
  <c r="D19" i="4"/>
  <c r="G19" i="4"/>
  <c r="H17" i="4"/>
  <c r="F17" i="4"/>
  <c r="E17" i="4"/>
  <c r="G17" i="4"/>
  <c r="K17" i="4"/>
  <c r="D17" i="4"/>
  <c r="J17" i="4"/>
  <c r="I17" i="4"/>
  <c r="E24" i="5"/>
  <c r="I24" i="5"/>
  <c r="D24" i="5"/>
  <c r="F24" i="5"/>
  <c r="G24" i="5"/>
  <c r="H24" i="5"/>
  <c r="E34" i="4"/>
  <c r="I34" i="4"/>
  <c r="H34" i="4"/>
  <c r="F34" i="4"/>
  <c r="J34" i="4"/>
  <c r="G34" i="4"/>
  <c r="D34" i="4"/>
  <c r="K34" i="4"/>
  <c r="K11" i="4"/>
  <c r="D11" i="4"/>
  <c r="I11" i="4"/>
  <c r="J11" i="4"/>
  <c r="J42" i="4" s="1"/>
  <c r="E22" i="5"/>
  <c r="D22" i="5"/>
  <c r="I22" i="5"/>
  <c r="G22" i="5"/>
  <c r="H22" i="5"/>
  <c r="F22" i="5"/>
  <c r="J30" i="4"/>
  <c r="G30" i="4"/>
  <c r="K30" i="4"/>
  <c r="E30" i="4"/>
  <c r="D30" i="4"/>
  <c r="H30" i="4"/>
  <c r="I30" i="4"/>
  <c r="F30" i="4"/>
  <c r="F33" i="4"/>
  <c r="E33" i="4"/>
  <c r="D33" i="4"/>
  <c r="K33" i="4"/>
  <c r="J33" i="4"/>
  <c r="G33" i="4"/>
  <c r="I33" i="4"/>
  <c r="H33" i="4"/>
  <c r="H21" i="4"/>
  <c r="K21" i="4"/>
  <c r="D21" i="4"/>
  <c r="I21" i="4"/>
  <c r="E21" i="4"/>
  <c r="F21" i="4"/>
  <c r="J21" i="4"/>
  <c r="G21" i="4"/>
  <c r="K42" i="4" l="1"/>
  <c r="D35" i="5"/>
  <c r="E35" i="5"/>
  <c r="F35" i="5"/>
  <c r="G35" i="5"/>
  <c r="I42" i="4"/>
  <c r="I35" i="5"/>
  <c r="D42" i="4"/>
  <c r="H35" i="5"/>
  <c r="A45" i="5" l="1"/>
  <c r="C45" i="5"/>
  <c r="D47" i="5"/>
  <c r="J45" i="5"/>
  <c r="D45" i="5"/>
  <c r="A47" i="5"/>
  <c r="D43" i="5"/>
  <c r="D49" i="5" s="1"/>
  <c r="C47" i="5"/>
  <c r="A43" i="5"/>
  <c r="A49" i="5" s="1"/>
  <c r="I45" i="5"/>
  <c r="K45" i="5"/>
  <c r="M52" i="4"/>
  <c r="E52" i="4"/>
  <c r="E50" i="4"/>
  <c r="D52" i="4"/>
  <c r="B50" i="4"/>
  <c r="K52" i="4"/>
  <c r="L52" i="4"/>
  <c r="A50" i="4"/>
  <c r="G50" i="4"/>
  <c r="D50" i="4"/>
  <c r="G11" i="4"/>
  <c r="G42" i="4" s="1"/>
  <c r="H11" i="4"/>
  <c r="H42" i="4" s="1"/>
  <c r="E48" i="4" s="1"/>
  <c r="E54" i="4" s="1"/>
  <c r="A52" i="4"/>
  <c r="H50" i="4"/>
  <c r="C50" i="4"/>
  <c r="I50" i="4"/>
  <c r="F11" i="4"/>
  <c r="F42" i="4" s="1"/>
  <c r="E11" i="4"/>
  <c r="E42" i="4" s="1"/>
  <c r="D44" i="4" s="1"/>
  <c r="C52" i="4"/>
  <c r="B52" i="4"/>
  <c r="B48" i="4"/>
  <c r="A48" i="4"/>
  <c r="A54" i="4" l="1"/>
  <c r="C48" i="4"/>
  <c r="C54" i="4" s="1"/>
  <c r="B54" i="4"/>
  <c r="D48" i="4"/>
  <c r="D54" i="4" s="1"/>
  <c r="E4" i="4"/>
  <c r="J10" i="2"/>
  <c r="C43" i="5"/>
  <c r="C49" i="5" s="1"/>
  <c r="D4" i="5"/>
  <c r="K10" i="2"/>
  <c r="C4" i="5" l="1"/>
  <c r="I10" i="2"/>
  <c r="D4" i="4"/>
  <c r="H10" i="2"/>
  <c r="G10" i="2"/>
  <c r="C4" i="4"/>
  <c r="R10" i="2" l="1"/>
  <c r="M10" i="2"/>
  <c r="N10" i="2" s="1"/>
  <c r="Q10" i="2" s="1"/>
  <c r="S10" i="2"/>
  <c r="F1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 utilisateur satisfait de Microsoft Office</author>
  </authors>
  <commentList>
    <comment ref="N2" authorId="0" shapeId="0" xr:uid="{57364A6D-093B-44C0-A059-2111235498EB}">
      <text>
        <r>
          <rPr>
            <sz val="11"/>
            <color indexed="81"/>
            <rFont val="Tahoma"/>
            <family val="2"/>
          </rPr>
          <t>Pour les cercles :
                          saisir le point de génération et le gisement de génération
                          le sens est +1 pour un cercle vers la droite
Pour les clothoïdes d'entrée en courbe :
                          le sens est +1 pour une courbe vers la droite
Pour les clothoïdes de sortie de courbe :
                          le sens est l'opposé de celui de la courbe, c'est à dire -1 pour une courbe vers la droite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 utilisateur satisfait de Microsoft Office</author>
  </authors>
  <commentList>
    <comment ref="J2" authorId="0" shapeId="0" xr:uid="{3306EE1E-C1B2-45E3-830D-30E0539220EF}">
      <text>
        <r>
          <rPr>
            <sz val="12"/>
            <color indexed="81"/>
            <rFont val="Tahoma"/>
            <family val="2"/>
          </rPr>
          <t>Il ne faut pas saisir les pentes directement en %.
Le % est seulement un format d'affichage
Le sens est +1 pour les raccords tournés vers le haut</t>
        </r>
      </text>
    </comment>
  </commentList>
</comments>
</file>

<file path=xl/sharedStrings.xml><?xml version="1.0" encoding="utf-8"?>
<sst xmlns="http://schemas.openxmlformats.org/spreadsheetml/2006/main" count="548" uniqueCount="284">
  <si>
    <t>Données</t>
  </si>
  <si>
    <t>Résultats du calcul de coordonnées</t>
  </si>
  <si>
    <t>PM</t>
  </si>
  <si>
    <r>
      <t>E</t>
    </r>
    <r>
      <rPr>
        <sz val="16"/>
        <color indexed="10"/>
        <rFont val="Times New Roman"/>
        <family val="1"/>
      </rPr>
      <t>cart</t>
    </r>
    <r>
      <rPr>
        <b/>
        <sz val="16"/>
        <color indexed="10"/>
        <rFont val="Times New Roman"/>
        <family val="1"/>
      </rPr>
      <t xml:space="preserve">  </t>
    </r>
    <r>
      <rPr>
        <b/>
        <sz val="20"/>
        <color indexed="10"/>
        <rFont val="Times New Roman"/>
        <family val="1"/>
      </rPr>
      <t>H</t>
    </r>
    <r>
      <rPr>
        <sz val="16"/>
        <color indexed="10"/>
        <rFont val="Times New Roman"/>
        <family val="1"/>
      </rPr>
      <t>oriz</t>
    </r>
  </si>
  <si>
    <r>
      <t>E</t>
    </r>
    <r>
      <rPr>
        <sz val="16"/>
        <color indexed="10"/>
        <rFont val="Times New Roman"/>
        <family val="1"/>
      </rPr>
      <t>cart</t>
    </r>
    <r>
      <rPr>
        <b/>
        <sz val="16"/>
        <color indexed="10"/>
        <rFont val="Times New Roman"/>
        <family val="1"/>
      </rPr>
      <t xml:space="preserve">  </t>
    </r>
    <r>
      <rPr>
        <b/>
        <sz val="20"/>
        <color indexed="10"/>
        <rFont val="Times New Roman"/>
        <family val="1"/>
      </rPr>
      <t>V</t>
    </r>
    <r>
      <rPr>
        <sz val="16"/>
        <color indexed="10"/>
        <rFont val="Times New Roman"/>
        <family val="1"/>
      </rPr>
      <t>ert</t>
    </r>
  </si>
  <si>
    <r>
      <t>X</t>
    </r>
    <r>
      <rPr>
        <b/>
        <sz val="20"/>
        <color indexed="12"/>
        <rFont val="Times New Roman"/>
        <family val="1"/>
      </rPr>
      <t xml:space="preserve"> </t>
    </r>
    <r>
      <rPr>
        <sz val="20"/>
        <color indexed="8"/>
        <rFont val="Times New Roman"/>
        <family val="1"/>
      </rPr>
      <t>point</t>
    </r>
  </si>
  <si>
    <r>
      <t>Y</t>
    </r>
    <r>
      <rPr>
        <b/>
        <sz val="20"/>
        <color indexed="12"/>
        <rFont val="Times New Roman"/>
        <family val="1"/>
      </rPr>
      <t xml:space="preserve"> </t>
    </r>
    <r>
      <rPr>
        <sz val="20"/>
        <color indexed="8"/>
        <rFont val="Times New Roman"/>
        <family val="1"/>
      </rPr>
      <t>point</t>
    </r>
  </si>
  <si>
    <r>
      <t>Z</t>
    </r>
    <r>
      <rPr>
        <b/>
        <sz val="20"/>
        <color indexed="12"/>
        <rFont val="Times New Roman"/>
        <family val="1"/>
      </rPr>
      <t xml:space="preserve">o </t>
    </r>
    <r>
      <rPr>
        <sz val="20"/>
        <color indexed="8"/>
        <rFont val="Times New Roman"/>
        <family val="1"/>
      </rPr>
      <t>axe</t>
    </r>
  </si>
  <si>
    <r>
      <t>Z</t>
    </r>
    <r>
      <rPr>
        <b/>
        <sz val="20"/>
        <color indexed="12"/>
        <rFont val="Times New Roman"/>
        <family val="1"/>
      </rPr>
      <t xml:space="preserve"> </t>
    </r>
    <r>
      <rPr>
        <sz val="20"/>
        <color indexed="8"/>
        <rFont val="Times New Roman"/>
        <family val="1"/>
      </rPr>
      <t>point</t>
    </r>
  </si>
  <si>
    <r>
      <t>Gis</t>
    </r>
    <r>
      <rPr>
        <b/>
        <sz val="20"/>
        <color indexed="12"/>
        <rFont val="Times New Roman"/>
        <family val="1"/>
      </rPr>
      <t xml:space="preserve"> </t>
    </r>
    <r>
      <rPr>
        <sz val="20"/>
        <color indexed="8"/>
        <rFont val="Times New Roman"/>
        <family val="1"/>
      </rPr>
      <t>axe</t>
    </r>
  </si>
  <si>
    <r>
      <t xml:space="preserve">Pente </t>
    </r>
    <r>
      <rPr>
        <sz val="20"/>
        <color indexed="8"/>
        <rFont val="Times New Roman"/>
        <family val="1"/>
      </rPr>
      <t>axe</t>
    </r>
  </si>
  <si>
    <t>Résultats du rabattement</t>
  </si>
  <si>
    <r>
      <t>E</t>
    </r>
    <r>
      <rPr>
        <sz val="16"/>
        <color indexed="12"/>
        <rFont val="Times New Roman"/>
        <family val="1"/>
      </rPr>
      <t>cart</t>
    </r>
    <r>
      <rPr>
        <b/>
        <sz val="16"/>
        <color indexed="12"/>
        <rFont val="Times New Roman"/>
        <family val="1"/>
      </rPr>
      <t xml:space="preserve">  </t>
    </r>
    <r>
      <rPr>
        <b/>
        <sz val="20"/>
        <color indexed="12"/>
        <rFont val="Times New Roman"/>
        <family val="1"/>
      </rPr>
      <t>H</t>
    </r>
    <r>
      <rPr>
        <sz val="16"/>
        <color indexed="12"/>
        <rFont val="Times New Roman"/>
        <family val="1"/>
      </rPr>
      <t>oriz</t>
    </r>
  </si>
  <si>
    <r>
      <t>E</t>
    </r>
    <r>
      <rPr>
        <sz val="16"/>
        <color indexed="12"/>
        <rFont val="Times New Roman"/>
        <family val="1"/>
      </rPr>
      <t>cart</t>
    </r>
    <r>
      <rPr>
        <b/>
        <sz val="16"/>
        <color indexed="12"/>
        <rFont val="Times New Roman"/>
        <family val="1"/>
      </rPr>
      <t xml:space="preserve">  </t>
    </r>
    <r>
      <rPr>
        <b/>
        <sz val="20"/>
        <color indexed="12"/>
        <rFont val="Times New Roman"/>
        <family val="1"/>
      </rPr>
      <t>V</t>
    </r>
    <r>
      <rPr>
        <sz val="16"/>
        <color indexed="12"/>
        <rFont val="Times New Roman"/>
        <family val="1"/>
      </rPr>
      <t>ert</t>
    </r>
  </si>
  <si>
    <r>
      <t>X</t>
    </r>
    <r>
      <rPr>
        <b/>
        <sz val="20"/>
        <color indexed="12"/>
        <rFont val="Times New Roman"/>
        <family val="1"/>
      </rPr>
      <t xml:space="preserve"> </t>
    </r>
    <r>
      <rPr>
        <sz val="20"/>
        <color indexed="8"/>
        <rFont val="Times New Roman"/>
        <family val="1"/>
      </rPr>
      <t>axe</t>
    </r>
  </si>
  <si>
    <r>
      <t>Y</t>
    </r>
    <r>
      <rPr>
        <b/>
        <sz val="20"/>
        <color indexed="12"/>
        <rFont val="Times New Roman"/>
        <family val="1"/>
      </rPr>
      <t xml:space="preserve"> </t>
    </r>
    <r>
      <rPr>
        <sz val="20"/>
        <color indexed="8"/>
        <rFont val="Times New Roman"/>
        <family val="1"/>
      </rPr>
      <t>axe</t>
    </r>
  </si>
  <si>
    <t>Résultats</t>
  </si>
  <si>
    <r>
      <t xml:space="preserve">X </t>
    </r>
    <r>
      <rPr>
        <sz val="20"/>
        <color indexed="8"/>
        <rFont val="Arial"/>
        <family val="2"/>
      </rPr>
      <t>point</t>
    </r>
  </si>
  <si>
    <r>
      <t xml:space="preserve">Y </t>
    </r>
    <r>
      <rPr>
        <sz val="20"/>
        <color indexed="8"/>
        <rFont val="Arial"/>
        <family val="2"/>
      </rPr>
      <t>point</t>
    </r>
  </si>
  <si>
    <t>Ecart  Horiz</t>
  </si>
  <si>
    <t>Type de l'élément</t>
  </si>
  <si>
    <t>X élément</t>
  </si>
  <si>
    <t>Y élément</t>
  </si>
  <si>
    <t>Gisement</t>
  </si>
  <si>
    <t>Rayon</t>
  </si>
  <si>
    <t>Paramètre</t>
  </si>
  <si>
    <t>sens</t>
  </si>
  <si>
    <t>ici je recherche l'élément sur lequel on travaille</t>
  </si>
  <si>
    <t>Elément retenu pour le calcul  :</t>
  </si>
  <si>
    <t>Dist</t>
  </si>
  <si>
    <t>Gis</t>
  </si>
  <si>
    <t>Angle</t>
  </si>
  <si>
    <r>
      <t xml:space="preserve">Dist </t>
    </r>
    <r>
      <rPr>
        <sz val="12"/>
        <rFont val="Arial"/>
        <family val="2"/>
      </rPr>
      <t>sur axe</t>
    </r>
  </si>
  <si>
    <r>
      <t xml:space="preserve">Ecart </t>
    </r>
    <r>
      <rPr>
        <sz val="12"/>
        <rFont val="Arial"/>
        <family val="2"/>
      </rPr>
      <t>horiz</t>
    </r>
  </si>
  <si>
    <t>Gisement du rayon du cercle au point demandé</t>
  </si>
  <si>
    <r>
      <t>X</t>
    </r>
    <r>
      <rPr>
        <sz val="12"/>
        <rFont val="Arial"/>
        <family val="2"/>
      </rPr>
      <t>cercle</t>
    </r>
  </si>
  <si>
    <r>
      <t>Y</t>
    </r>
    <r>
      <rPr>
        <sz val="12"/>
        <rFont val="Arial"/>
        <family val="2"/>
      </rPr>
      <t>cercle</t>
    </r>
  </si>
  <si>
    <t>y</t>
  </si>
  <si>
    <t>x</t>
  </si>
  <si>
    <t>l</t>
  </si>
  <si>
    <t>e</t>
  </si>
  <si>
    <t>Calcul pour un alignement droit</t>
  </si>
  <si>
    <t>Calcul pour un cercle</t>
  </si>
  <si>
    <t>Calcul pour une clothoïde</t>
  </si>
  <si>
    <t>Longueur = ( Paramètre A )² / Rayon</t>
  </si>
  <si>
    <t>Dx = D * ( 1 - M²/10 + M^4/216 )</t>
  </si>
  <si>
    <r>
      <t>X</t>
    </r>
    <r>
      <rPr>
        <b/>
        <sz val="16"/>
        <rFont val="Arial"/>
        <family val="2"/>
      </rPr>
      <t xml:space="preserve"> point</t>
    </r>
  </si>
  <si>
    <r>
      <t>Y</t>
    </r>
    <r>
      <rPr>
        <b/>
        <sz val="16"/>
        <rFont val="Arial"/>
        <family val="2"/>
      </rPr>
      <t xml:space="preserve"> point</t>
    </r>
  </si>
  <si>
    <r>
      <t>Gis</t>
    </r>
    <r>
      <rPr>
        <b/>
        <sz val="16"/>
        <rFont val="Arial"/>
        <family val="2"/>
      </rPr>
      <t xml:space="preserve"> axe</t>
    </r>
  </si>
  <si>
    <t>Paramètre A = Racine( Longueur * Rayon )</t>
  </si>
  <si>
    <t>Dy = M * D * ( 1/3 - M²/42 + M^4/1320 )</t>
  </si>
  <si>
    <t>M = ( D/A )² / 2</t>
  </si>
  <si>
    <t>Xaxe = Xe2 + Dx * sin( Gis2 ) + Sens2 * Dy * cos( Gis2)</t>
  </si>
  <si>
    <t>Gisaxe = Gis2 + Sens2 * M *200/pi()</t>
  </si>
  <si>
    <t>Yaxe = Ye2 + Dx * cos( Gis2 ) - Sens2 * Dy * sin( Gis2)</t>
  </si>
  <si>
    <t>Test sur le PM</t>
  </si>
  <si>
    <r>
      <t>D</t>
    </r>
    <r>
      <rPr>
        <sz val="14"/>
        <color indexed="10"/>
        <rFont val="Arial"/>
        <family val="2"/>
      </rPr>
      <t>istance sur l'élément</t>
    </r>
  </si>
  <si>
    <r>
      <t>X</t>
    </r>
    <r>
      <rPr>
        <sz val="12"/>
        <rFont val="Arial"/>
        <family val="2"/>
      </rPr>
      <t xml:space="preserve"> du point sur l'axe</t>
    </r>
  </si>
  <si>
    <r>
      <t>Y</t>
    </r>
    <r>
      <rPr>
        <sz val="12"/>
        <rFont val="Arial"/>
        <family val="2"/>
      </rPr>
      <t xml:space="preserve"> du point sur l'axe</t>
    </r>
  </si>
  <si>
    <r>
      <t>X</t>
    </r>
    <r>
      <rPr>
        <sz val="12"/>
        <rFont val="Arial"/>
        <family val="2"/>
      </rPr>
      <t xml:space="preserve"> du point demandé</t>
    </r>
  </si>
  <si>
    <r>
      <t>Y</t>
    </r>
    <r>
      <rPr>
        <sz val="12"/>
        <rFont val="Arial"/>
        <family val="2"/>
      </rPr>
      <t xml:space="preserve"> du point demandé</t>
    </r>
  </si>
  <si>
    <r>
      <t>Gisement</t>
    </r>
    <r>
      <rPr>
        <sz val="12"/>
        <rFont val="Arial"/>
        <family val="2"/>
      </rPr>
      <t xml:space="preserve"> de l'axe au point demandé</t>
    </r>
  </si>
  <si>
    <t>M</t>
  </si>
  <si>
    <t>Dx</t>
  </si>
  <si>
    <t>Dy</t>
  </si>
  <si>
    <t>je calcule le point sur l'alignement puisque je connais le point de départ, le gisement et la distance.</t>
  </si>
  <si>
    <t>ensuite, je calcule le point déporté à la perpendiculaire, suivant l'écart donné</t>
  </si>
  <si>
    <t>je calcule le centre du cercle, ainsi que le gisement du rayon au point demandé ; je peux alors tout calculer</t>
  </si>
  <si>
    <t>je calcule d'abord les coordonnées relatives sur la clotho, puis je fais un changement de repère pour avoir le point sur l'axe.</t>
  </si>
  <si>
    <t>je recopie les lignes au dessus</t>
  </si>
  <si>
    <t>Ecart  Vert</t>
  </si>
  <si>
    <r>
      <t>Z</t>
    </r>
    <r>
      <rPr>
        <b/>
        <sz val="16"/>
        <rFont val="Arial"/>
        <family val="2"/>
      </rPr>
      <t>o</t>
    </r>
  </si>
  <si>
    <t>Pente</t>
  </si>
  <si>
    <r>
      <t>Z</t>
    </r>
    <r>
      <rPr>
        <b/>
        <sz val="16"/>
        <rFont val="Arial"/>
        <family val="2"/>
      </rPr>
      <t xml:space="preserve"> point</t>
    </r>
  </si>
  <si>
    <t>Il faudra penser à tenir compte du dévers</t>
  </si>
  <si>
    <t>Z axe</t>
  </si>
  <si>
    <t>pente</t>
  </si>
  <si>
    <t>Sens</t>
  </si>
  <si>
    <t>ici, je recherche sur le projet , par un test sur le PM, l'élément qui va bien</t>
  </si>
  <si>
    <t>et je rappelle alors les données concernant l'élément.</t>
  </si>
  <si>
    <t>cette ligne fait la somme des lignes au dessus</t>
  </si>
  <si>
    <t>Distance sur l'élément</t>
  </si>
  <si>
    <t>Zo</t>
  </si>
  <si>
    <t>PMcentre</t>
  </si>
  <si>
    <t>Zcentre</t>
  </si>
  <si>
    <t>Angle au centre
en radian</t>
  </si>
  <si>
    <t/>
  </si>
  <si>
    <t>Calcul pour une pente constante</t>
  </si>
  <si>
    <t>Calcul pour une parabole</t>
  </si>
  <si>
    <t>voir info</t>
  </si>
  <si>
    <t>Elément 1</t>
  </si>
  <si>
    <t>Elément 2</t>
  </si>
  <si>
    <t>Pente constante</t>
  </si>
  <si>
    <t>Elément 3</t>
  </si>
  <si>
    <t>le sens est +1 si la pente augmente dans le raccordement</t>
  </si>
  <si>
    <t>le sens est -1 si la pente diminue dans le raccordement</t>
  </si>
  <si>
    <t>le sens est +1 si la concavité est tournée vers le haut</t>
  </si>
  <si>
    <t>le sens est -1 si la concavité est tournée vers la bes</t>
  </si>
  <si>
    <t>X</t>
  </si>
  <si>
    <t>Y</t>
  </si>
  <si>
    <t>Z</t>
  </si>
  <si>
    <t>Elément 4</t>
  </si>
  <si>
    <t>Elément 5</t>
  </si>
  <si>
    <t>Elément 6</t>
  </si>
  <si>
    <t>Elément 7</t>
  </si>
  <si>
    <t>Elément 8</t>
  </si>
  <si>
    <t>Elément 10</t>
  </si>
  <si>
    <t>Elément 11</t>
  </si>
  <si>
    <t>Elément 12</t>
  </si>
  <si>
    <t>Elément 13</t>
  </si>
  <si>
    <t>Elément 14</t>
  </si>
  <si>
    <t>Elément 15</t>
  </si>
  <si>
    <t>Elément 16</t>
  </si>
  <si>
    <t xml:space="preserve">présence sur l'élément 1 </t>
  </si>
  <si>
    <t xml:space="preserve">présence sur l'élément 2 </t>
  </si>
  <si>
    <t>présence sur l'élément 3</t>
  </si>
  <si>
    <t>présence sur l'élément 4</t>
  </si>
  <si>
    <t>présence sur l'élément 5</t>
  </si>
  <si>
    <t>présence sur l'élément 6</t>
  </si>
  <si>
    <t>présence sur l'élément 7</t>
  </si>
  <si>
    <t>présence sur l'élément 8</t>
  </si>
  <si>
    <t>présence sur l'élément 9</t>
  </si>
  <si>
    <t>présence sur l'élément 10</t>
  </si>
  <si>
    <t>présence sur l'élément 11</t>
  </si>
  <si>
    <t>présence sur l'élément 12</t>
  </si>
  <si>
    <t>présence sur l'élément 13</t>
  </si>
  <si>
    <t>présence sur l'élément 14</t>
  </si>
  <si>
    <t>présence sur l'élément 15</t>
  </si>
  <si>
    <t>présence sur l'élément 16</t>
  </si>
  <si>
    <t>présence sur l'élément 17</t>
  </si>
  <si>
    <t>présence sur l'élément 1</t>
  </si>
  <si>
    <t>présence sur l'élément 2</t>
  </si>
  <si>
    <t>Elément 17</t>
  </si>
  <si>
    <t>Elément 18</t>
  </si>
  <si>
    <t>Elément 19</t>
  </si>
  <si>
    <t>Elément 20</t>
  </si>
  <si>
    <t>présence sur l'élément 18</t>
  </si>
  <si>
    <t>présence sur l'élément 19</t>
  </si>
  <si>
    <t>présence sur l'élément 20</t>
  </si>
  <si>
    <t>présence sur l'élément 21</t>
  </si>
  <si>
    <t>présence sur l'élément 22</t>
  </si>
  <si>
    <t>présence sur l'élément 23</t>
  </si>
  <si>
    <t>Elément 9</t>
  </si>
  <si>
    <t>Elément 21</t>
  </si>
  <si>
    <t>Elément 22</t>
  </si>
  <si>
    <t>devers</t>
  </si>
  <si>
    <r>
      <t>Devers</t>
    </r>
    <r>
      <rPr>
        <sz val="20"/>
        <rFont val="Arial"/>
        <family val="2"/>
      </rPr>
      <t xml:space="preserve"> Calculé</t>
    </r>
  </si>
  <si>
    <t>L élément</t>
  </si>
  <si>
    <t>ETABLISSEMENT D'UNE TABULATION</t>
  </si>
  <si>
    <t>Déports Horizontaux et Verticaux</t>
  </si>
  <si>
    <t>PM DEPART</t>
  </si>
  <si>
    <t>H</t>
  </si>
  <si>
    <t>V</t>
  </si>
  <si>
    <t>Pas de calcul:</t>
  </si>
  <si>
    <t>PM  FIN:</t>
  </si>
  <si>
    <t>N° PT</t>
  </si>
  <si>
    <t>Test sur fin élément</t>
  </si>
  <si>
    <t>Test sur début élément</t>
  </si>
  <si>
    <t>Elément 23</t>
  </si>
  <si>
    <t>Elément 24</t>
  </si>
  <si>
    <t>Elément 25</t>
  </si>
  <si>
    <t>présence sur l'élément 24</t>
  </si>
  <si>
    <t>présence sur l'élément 25</t>
  </si>
  <si>
    <t>présence sur l'élément 26</t>
  </si>
  <si>
    <t>PK</t>
  </si>
  <si>
    <t>Azimut</t>
  </si>
  <si>
    <t>Elément 26</t>
  </si>
  <si>
    <t>Pk</t>
  </si>
  <si>
    <t>Elément 27</t>
  </si>
  <si>
    <t>Elément 28</t>
  </si>
  <si>
    <t>présence sur l'élément 27</t>
  </si>
  <si>
    <t>présence sur l'élément 28</t>
  </si>
  <si>
    <t>Dévers</t>
  </si>
  <si>
    <r>
      <t>D</t>
    </r>
    <r>
      <rPr>
        <sz val="20"/>
        <color indexed="8"/>
        <rFont val="Times New Roman"/>
        <family val="1"/>
      </rPr>
      <t>évers</t>
    </r>
  </si>
  <si>
    <r>
      <t>Z</t>
    </r>
    <r>
      <rPr>
        <sz val="20"/>
        <color indexed="8"/>
        <rFont val="Times New Roman"/>
        <family val="1"/>
      </rPr>
      <t>rail à l'axe</t>
    </r>
  </si>
  <si>
    <r>
      <t>Z</t>
    </r>
    <r>
      <rPr>
        <b/>
        <sz val="20"/>
        <color indexed="12"/>
        <rFont val="Times New Roman"/>
        <family val="1"/>
      </rPr>
      <t xml:space="preserve">  </t>
    </r>
    <r>
      <rPr>
        <sz val="20"/>
        <rFont val="Times New Roman"/>
        <family val="1"/>
      </rPr>
      <t>à l'a</t>
    </r>
    <r>
      <rPr>
        <sz val="20"/>
        <color indexed="8"/>
        <rFont val="Times New Roman"/>
        <family val="1"/>
      </rPr>
      <t>xe</t>
    </r>
  </si>
  <si>
    <t>Distancia entre Eje tunel y hormigon bajo via</t>
  </si>
  <si>
    <t>rabattement au niveau béton sous voie</t>
  </si>
  <si>
    <t>Distancia entre Eje tunel y carril bajo</t>
  </si>
  <si>
    <r>
      <t>Z</t>
    </r>
    <r>
      <rPr>
        <b/>
        <sz val="20"/>
        <color indexed="12"/>
        <rFont val="Times New Roman"/>
        <family val="1"/>
      </rPr>
      <t xml:space="preserve"> </t>
    </r>
    <r>
      <rPr>
        <sz val="20"/>
        <color indexed="8"/>
        <rFont val="Times New Roman"/>
        <family val="1"/>
      </rPr>
      <t>banquette haute</t>
    </r>
  </si>
  <si>
    <r>
      <t>Z</t>
    </r>
    <r>
      <rPr>
        <b/>
        <sz val="20"/>
        <color indexed="12"/>
        <rFont val="Times New Roman"/>
        <family val="1"/>
      </rPr>
      <t xml:space="preserve"> </t>
    </r>
    <r>
      <rPr>
        <sz val="20"/>
        <color indexed="8"/>
        <rFont val="Times New Roman"/>
        <family val="1"/>
      </rPr>
      <t>banquette basse</t>
    </r>
  </si>
  <si>
    <t>carril bajo</t>
  </si>
  <si>
    <t>alignement droit</t>
  </si>
  <si>
    <t>Tramuntana</t>
  </si>
  <si>
    <t>DZ / rail</t>
  </si>
  <si>
    <t>Transformations de coordonnées liées au projet en coordonnées absolues</t>
  </si>
  <si>
    <t>Ecart H</t>
  </si>
  <si>
    <t>Ecart V</t>
  </si>
  <si>
    <t>N</t>
  </si>
  <si>
    <t>Calcul au niveau radier</t>
  </si>
  <si>
    <t>type element</t>
  </si>
  <si>
    <t>ELEMENT X</t>
  </si>
  <si>
    <t>ELEMENT Y</t>
  </si>
  <si>
    <t>rayon</t>
  </si>
  <si>
    <t>parametre</t>
  </si>
  <si>
    <t>hauteur Z</t>
  </si>
  <si>
    <t xml:space="preserve">largeur </t>
  </si>
  <si>
    <t>ZONE DONNEES XYZ</t>
  </si>
  <si>
    <t>RESULTAT</t>
  </si>
  <si>
    <t>Point</t>
  </si>
  <si>
    <t>PT</t>
  </si>
  <si>
    <t>verif VEP</t>
  </si>
  <si>
    <t>verif PL</t>
  </si>
  <si>
    <t>decalage PM</t>
  </si>
  <si>
    <t>PM REMIS A ZERO au niveau de la carrure</t>
  </si>
  <si>
    <t>PARAMETRES</t>
  </si>
  <si>
    <t>GALERIE</t>
  </si>
  <si>
    <t>AXE</t>
  </si>
  <si>
    <t>EXE</t>
  </si>
  <si>
    <t>info 1</t>
  </si>
  <si>
    <t>info 2</t>
  </si>
  <si>
    <t>info 3</t>
  </si>
  <si>
    <t>info 4</t>
  </si>
  <si>
    <t>info 5</t>
  </si>
  <si>
    <t>RECAP</t>
  </si>
  <si>
    <t>GGS</t>
  </si>
  <si>
    <t>106GRD.2D</t>
  </si>
  <si>
    <t>106GRD.3G</t>
  </si>
  <si>
    <t>C.188GRD.1</t>
  </si>
  <si>
    <t>111GRD.3D</t>
  </si>
  <si>
    <t>STATION_ST1</t>
  </si>
  <si>
    <t>C.195GRD.1</t>
  </si>
  <si>
    <t>001GVA.D</t>
  </si>
  <si>
    <t>115GRD.2D</t>
  </si>
  <si>
    <t>120GRD.4D</t>
  </si>
  <si>
    <t>120GRD.4G</t>
  </si>
  <si>
    <t>C.514GRD</t>
  </si>
  <si>
    <t>125GRD.5D</t>
  </si>
  <si>
    <t>C.511GRD</t>
  </si>
  <si>
    <t>131GRD.6G</t>
  </si>
  <si>
    <t>C.512GRD</t>
  </si>
  <si>
    <t>C.510GRD</t>
  </si>
  <si>
    <t>135GRD.8G</t>
  </si>
  <si>
    <t>135GRD.10D</t>
  </si>
  <si>
    <t>136GRD.4D</t>
  </si>
  <si>
    <t>C.142GRD.7D</t>
  </si>
  <si>
    <t>C.02GRD.4G</t>
  </si>
  <si>
    <t>C194.1</t>
  </si>
  <si>
    <t>C195.1</t>
  </si>
  <si>
    <t>C.196GRD.2</t>
  </si>
  <si>
    <t>C200.1</t>
  </si>
  <si>
    <t>C201.1</t>
  </si>
  <si>
    <t>011GVA.2G</t>
  </si>
  <si>
    <t>101GRD.1D</t>
  </si>
  <si>
    <t>101GRD.1G</t>
  </si>
  <si>
    <t>001GVA.1BD</t>
  </si>
  <si>
    <t>005GVA.1BD</t>
  </si>
  <si>
    <t>005GVA.1BG</t>
  </si>
  <si>
    <t>106GRD.1BG</t>
  </si>
  <si>
    <t>096GRD.1D</t>
  </si>
  <si>
    <t>096GRD.1G</t>
  </si>
  <si>
    <t>03GGS.3D</t>
  </si>
  <si>
    <t>03GGS.3G</t>
  </si>
  <si>
    <t>10GGS.3D</t>
  </si>
  <si>
    <t>10GGS.3G</t>
  </si>
  <si>
    <t>A.CAR.1101</t>
  </si>
  <si>
    <t>A.CAR.1102</t>
  </si>
  <si>
    <t>A.CAR.1103</t>
  </si>
  <si>
    <t>A.CAR.1104</t>
  </si>
  <si>
    <t>A.CAR.1105</t>
  </si>
  <si>
    <t>A.CAR.1106</t>
  </si>
  <si>
    <t>A.CAR.1107</t>
  </si>
  <si>
    <t>A.CIN.1201</t>
  </si>
  <si>
    <t>A.CIN.1202</t>
  </si>
  <si>
    <t>A.CIN.1203</t>
  </si>
  <si>
    <t>A.CIN.1204</t>
  </si>
  <si>
    <t>A.SMC.2101</t>
  </si>
  <si>
    <t>A.SMC.2102</t>
  </si>
  <si>
    <t>A.SMC.2103</t>
  </si>
  <si>
    <t>A.SMC.2104</t>
  </si>
  <si>
    <t>A.SMC.2105</t>
  </si>
  <si>
    <t>A.SMC.2201</t>
  </si>
  <si>
    <t>A.SMC.2202</t>
  </si>
  <si>
    <t>A.SMC.2203</t>
  </si>
  <si>
    <t>A.SMC.2204</t>
  </si>
  <si>
    <t>A.SMC.2205</t>
  </si>
  <si>
    <t>A.SMC.2301</t>
  </si>
  <si>
    <t>A.SMC.2302</t>
  </si>
  <si>
    <t>A.SMC.2303</t>
  </si>
  <si>
    <t>A.SMC.2304</t>
  </si>
  <si>
    <t>A.SMC.2305</t>
  </si>
  <si>
    <t>C.401GVA.1</t>
  </si>
  <si>
    <t>C.402GVA.1</t>
  </si>
  <si>
    <t>axe en 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</si>
</sst>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#,##0.000"/>
    <numFmt numFmtId="165" formatCode="\+\ 0;\-\ 0"/>
    <numFmt numFmtId="166" formatCode="0.0000"/>
    <numFmt numFmtId="167" formatCode="0.000"/>
    <numFmt numFmtId="168" formatCode="0.0000&quot; gr&quot;"/>
    <numFmt numFmtId="169" formatCode="#,##0.000&quot; m&quot;"/>
    <numFmt numFmtId="170" formatCode="#,##0.0"/>
    <numFmt numFmtId="171" formatCode="#,##0.00000"/>
    <numFmt numFmtId="172" formatCode="\+\ 0.000;\-\ 0.000"/>
    <numFmt numFmtId="173" formatCode="0.00000&quot; gr&quot;"/>
    <numFmt numFmtId="174" formatCode="\+\ #,##0.000&quot; m&quot;;\-\ #,##0.000&quot; m&quot;"/>
    <numFmt numFmtId="175" formatCode="\+\ #,##0.000;\-\ #,##0.000"/>
    <numFmt numFmtId="176" formatCode="0.00000"/>
    <numFmt numFmtId="177" formatCode="\+\ 0.000&quot; &quot;%;\-\ 0.000&quot; &quot;%"/>
    <numFmt numFmtId="178" formatCode="?,??0.000"/>
    <numFmt numFmtId="179" formatCode="?,??0.000;\-\ ??.000"/>
    <numFmt numFmtId="180" formatCode="?,??0.00000"/>
    <numFmt numFmtId="181" formatCode="\+\ 0.00000&quot; &quot;%;\-\ 0.00000&quot; &quot;%"/>
    <numFmt numFmtId="182" formatCode="?,??0.0000;\-\ ??.0000"/>
    <numFmt numFmtId="183" formatCode="\+\ 0.00&quot; &quot;%;\-\ 0.00&quot; &quot;%;\±\ 0"/>
    <numFmt numFmtId="184" formatCode="0.0"/>
    <numFmt numFmtId="185" formatCode="\+\ 0.000&quot; &quot;%;\-\ 0.000&quot; &quot;%;\±\ 0"/>
    <numFmt numFmtId="186" formatCode="#,##0.0000"/>
    <numFmt numFmtId="187" formatCode="\+\ ?0.000;\-\ ?0.000;\±\ 0"/>
    <numFmt numFmtId="188" formatCode="\+\ 0.000;\-\ 0.000;\±\ 0"/>
    <numFmt numFmtId="189" formatCode="?,??0.000000000"/>
    <numFmt numFmtId="190" formatCode="\+\ 0.0&quot; &quot;%;\-\ 0.0&quot; &quot;%"/>
    <numFmt numFmtId="191" formatCode="0.0%"/>
  </numFmts>
  <fonts count="7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name val="Arial"/>
      <family val="2"/>
    </font>
    <font>
      <b/>
      <sz val="12"/>
      <color indexed="10"/>
      <name val="Arial"/>
      <family val="2"/>
    </font>
    <font>
      <b/>
      <sz val="16"/>
      <color indexed="10"/>
      <name val="Arial"/>
      <family val="2"/>
    </font>
    <font>
      <sz val="22"/>
      <color indexed="10"/>
      <name val="Arial"/>
      <family val="2"/>
    </font>
    <font>
      <b/>
      <sz val="12"/>
      <color indexed="12"/>
      <name val="Arial"/>
      <family val="2"/>
    </font>
    <font>
      <b/>
      <sz val="20"/>
      <color indexed="10"/>
      <name val="Arial"/>
      <family val="2"/>
    </font>
    <font>
      <b/>
      <sz val="12"/>
      <color indexed="10"/>
      <name val="Arial"/>
      <family val="2"/>
    </font>
    <font>
      <b/>
      <sz val="20"/>
      <color indexed="12"/>
      <name val="Arial"/>
      <family val="2"/>
    </font>
    <font>
      <b/>
      <sz val="12"/>
      <color indexed="12"/>
      <name val="Arial"/>
      <family val="2"/>
    </font>
    <font>
      <sz val="20"/>
      <name val="Arial"/>
      <family val="2"/>
    </font>
    <font>
      <b/>
      <sz val="12"/>
      <color indexed="14"/>
      <name val="Arial"/>
      <family val="2"/>
    </font>
    <font>
      <b/>
      <sz val="20"/>
      <name val="Arial"/>
      <family val="2"/>
    </font>
    <font>
      <b/>
      <sz val="20"/>
      <name val="Arial"/>
      <family val="2"/>
    </font>
    <font>
      <b/>
      <sz val="16"/>
      <color indexed="12"/>
      <name val="Arial"/>
      <family val="2"/>
    </font>
    <font>
      <sz val="20"/>
      <color indexed="8"/>
      <name val="Arial"/>
      <family val="2"/>
    </font>
    <font>
      <b/>
      <sz val="24"/>
      <color indexed="10"/>
      <name val="Arial"/>
      <family val="2"/>
    </font>
    <font>
      <b/>
      <sz val="16"/>
      <color indexed="8"/>
      <name val="Arial"/>
      <family val="2"/>
    </font>
    <font>
      <b/>
      <sz val="10"/>
      <color indexed="10"/>
      <name val="Arial"/>
      <family val="2"/>
    </font>
    <font>
      <sz val="14"/>
      <name val="Arial"/>
      <family val="2"/>
    </font>
    <font>
      <b/>
      <sz val="24"/>
      <name val="Arial"/>
      <family val="2"/>
    </font>
    <font>
      <sz val="14"/>
      <color indexed="10"/>
      <name val="Arial"/>
      <family val="2"/>
    </font>
    <font>
      <sz val="12"/>
      <color indexed="10"/>
      <name val="Arial"/>
      <family val="2"/>
    </font>
    <font>
      <sz val="10"/>
      <name val="Times New Roman"/>
      <family val="1"/>
    </font>
    <font>
      <b/>
      <sz val="20"/>
      <color indexed="10"/>
      <name val="Times New Roman"/>
      <family val="1"/>
    </font>
    <font>
      <b/>
      <sz val="12"/>
      <color indexed="10"/>
      <name val="Times New Roman"/>
      <family val="1"/>
    </font>
    <font>
      <b/>
      <sz val="20"/>
      <color indexed="12"/>
      <name val="Times New Roman"/>
      <family val="1"/>
    </font>
    <font>
      <b/>
      <sz val="12"/>
      <color indexed="12"/>
      <name val="Times New Roman"/>
      <family val="1"/>
    </font>
    <font>
      <sz val="12"/>
      <name val="Times New Roman"/>
      <family val="1"/>
    </font>
    <font>
      <b/>
      <sz val="16"/>
      <color indexed="10"/>
      <name val="Times New Roman"/>
      <family val="1"/>
    </font>
    <font>
      <sz val="16"/>
      <color indexed="10"/>
      <name val="Times New Roman"/>
      <family val="1"/>
    </font>
    <font>
      <b/>
      <sz val="24"/>
      <color indexed="12"/>
      <name val="Times New Roman"/>
      <family val="1"/>
    </font>
    <font>
      <sz val="20"/>
      <color indexed="8"/>
      <name val="Times New Roman"/>
      <family val="1"/>
    </font>
    <font>
      <b/>
      <sz val="12"/>
      <name val="Times New Roman"/>
      <family val="1"/>
    </font>
    <font>
      <b/>
      <sz val="16"/>
      <color indexed="12"/>
      <name val="Times New Roman"/>
      <family val="1"/>
    </font>
    <font>
      <sz val="12"/>
      <color indexed="8"/>
      <name val="Times New Roman"/>
      <family val="1"/>
    </font>
    <font>
      <b/>
      <sz val="24"/>
      <color indexed="10"/>
      <name val="Times New Roman"/>
      <family val="1"/>
    </font>
    <font>
      <sz val="16"/>
      <color indexed="12"/>
      <name val="Times New Roman"/>
      <family val="1"/>
    </font>
    <font>
      <sz val="10"/>
      <color indexed="13"/>
      <name val="Arial"/>
      <family val="2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4"/>
      <color indexed="57"/>
      <name val="Trebuchet MS"/>
      <family val="2"/>
    </font>
    <font>
      <sz val="10"/>
      <name val="Trebuchet MS"/>
      <family val="2"/>
    </font>
    <font>
      <sz val="10"/>
      <color indexed="13"/>
      <name val="Trebuchet MS"/>
      <family val="2"/>
    </font>
    <font>
      <sz val="8"/>
      <name val="Trebuchet MS"/>
      <family val="2"/>
    </font>
    <font>
      <b/>
      <u/>
      <sz val="10"/>
      <name val="Arial"/>
      <family val="2"/>
    </font>
    <font>
      <b/>
      <sz val="10"/>
      <color indexed="14"/>
      <name val="Arial"/>
      <family val="2"/>
    </font>
    <font>
      <sz val="10"/>
      <color indexed="52"/>
      <name val="Arial"/>
      <family val="2"/>
    </font>
    <font>
      <b/>
      <sz val="16"/>
      <name val="Trebuchet MS"/>
      <family val="2"/>
    </font>
    <font>
      <sz val="14"/>
      <name val="Times New Roman"/>
      <family val="1"/>
    </font>
    <font>
      <sz val="20"/>
      <name val="Times New Roman"/>
      <family val="1"/>
    </font>
    <font>
      <b/>
      <sz val="16"/>
      <color indexed="58"/>
      <name val="Times New Roman"/>
      <family val="1"/>
    </font>
    <font>
      <b/>
      <sz val="22"/>
      <name val="Times New Roman"/>
      <family val="1"/>
    </font>
    <font>
      <b/>
      <sz val="16"/>
      <color indexed="14"/>
      <name val="Arial"/>
      <family val="2"/>
    </font>
    <font>
      <sz val="16"/>
      <name val="Arial"/>
      <family val="2"/>
    </font>
    <font>
      <sz val="12"/>
      <color indexed="52"/>
      <name val="Arial"/>
      <family val="2"/>
    </font>
    <font>
      <b/>
      <sz val="30"/>
      <color indexed="10"/>
      <name val="Arial"/>
      <family val="2"/>
    </font>
    <font>
      <b/>
      <sz val="22"/>
      <name val="Trebuchet MS"/>
      <family val="2"/>
    </font>
    <font>
      <b/>
      <sz val="14"/>
      <name val="Trebuchet MS"/>
      <family val="2"/>
    </font>
    <font>
      <b/>
      <sz val="12"/>
      <color theme="0"/>
      <name val="Arial"/>
      <family val="2"/>
    </font>
    <font>
      <sz val="10"/>
      <color theme="0"/>
      <name val="Trebuchet MS"/>
      <family val="2"/>
    </font>
    <font>
      <b/>
      <sz val="14"/>
      <color theme="0"/>
      <name val="Trebuchet MS"/>
      <family val="2"/>
    </font>
    <font>
      <b/>
      <sz val="12"/>
      <color rgb="FFFF0000"/>
      <name val="Arial"/>
      <family val="2"/>
    </font>
    <font>
      <sz val="36"/>
      <color rgb="FFFF0000"/>
      <name val="Arial"/>
      <family val="2"/>
    </font>
    <font>
      <b/>
      <sz val="16"/>
      <color theme="0"/>
      <name val="Trebuchet MS"/>
      <family val="2"/>
    </font>
    <font>
      <b/>
      <sz val="22"/>
      <color rgb="FFFF0000"/>
      <name val="Arial"/>
      <family val="2"/>
    </font>
    <font>
      <sz val="10"/>
      <color rgb="FF000000"/>
      <name val="Arial"/>
      <family val="2"/>
    </font>
    <font>
      <i/>
      <sz val="10"/>
      <color rgb="FF000000"/>
      <name val="Eras Medium ITC"/>
      <family val="2"/>
    </font>
  </fonts>
  <fills count="12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11"/>
      </left>
      <right style="thin">
        <color indexed="11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thin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thin">
        <color indexed="12"/>
      </right>
      <top style="medium">
        <color indexed="12"/>
      </top>
      <bottom style="medium">
        <color indexed="12"/>
      </bottom>
      <diagonal/>
    </border>
    <border>
      <left style="thin">
        <color indexed="14"/>
      </left>
      <right style="thin">
        <color indexed="14"/>
      </right>
      <top/>
      <bottom style="thin">
        <color indexed="14"/>
      </bottom>
      <diagonal/>
    </border>
    <border>
      <left style="thin">
        <color indexed="14"/>
      </left>
      <right style="thin">
        <color indexed="14"/>
      </right>
      <top style="thin">
        <color indexed="14"/>
      </top>
      <bottom style="thin">
        <color indexed="14"/>
      </bottom>
      <diagonal/>
    </border>
    <border>
      <left style="thin">
        <color indexed="14"/>
      </left>
      <right/>
      <top style="thin">
        <color indexed="14"/>
      </top>
      <bottom style="thin">
        <color indexed="14"/>
      </bottom>
      <diagonal/>
    </border>
    <border>
      <left style="thin">
        <color indexed="14"/>
      </left>
      <right/>
      <top/>
      <bottom style="thin">
        <color indexed="1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1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9" fontId="2" fillId="0" borderId="0" applyFont="0" applyFill="0" applyBorder="0" applyAlignment="0" applyProtection="0"/>
  </cellStyleXfs>
  <cellXfs count="339">
    <xf numFmtId="0" fontId="0" fillId="0" borderId="0" xfId="0"/>
    <xf numFmtId="164" fontId="3" fillId="0" borderId="0" xfId="0" applyNumberFormat="1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165" fontId="3" fillId="0" borderId="0" xfId="0" applyNumberFormat="1" applyFont="1" applyAlignment="1">
      <alignment horizontal="centerContinuous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/>
    <xf numFmtId="164" fontId="5" fillId="0" borderId="0" xfId="0" applyNumberFormat="1" applyFont="1" applyAlignment="1">
      <alignment horizontal="center"/>
    </xf>
    <xf numFmtId="165" fontId="5" fillId="0" borderId="0" xfId="0" applyNumberFormat="1" applyFont="1" applyAlignment="1">
      <alignment horizont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170" fontId="5" fillId="0" borderId="1" xfId="0" applyNumberFormat="1" applyFont="1" applyBorder="1" applyAlignment="1">
      <alignment horizontal="center"/>
    </xf>
    <xf numFmtId="164" fontId="8" fillId="0" borderId="0" xfId="0" applyNumberFormat="1" applyFont="1" applyAlignment="1">
      <alignment horizontal="left"/>
    </xf>
    <xf numFmtId="0" fontId="0" fillId="0" borderId="2" xfId="0" applyBorder="1"/>
    <xf numFmtId="0" fontId="7" fillId="0" borderId="0" xfId="1" applyAlignment="1">
      <alignment horizontal="center" vertical="center"/>
    </xf>
    <xf numFmtId="0" fontId="7" fillId="0" borderId="0" xfId="1" applyAlignment="1">
      <alignment horizontal="left" vertical="center"/>
    </xf>
    <xf numFmtId="164" fontId="11" fillId="0" borderId="3" xfId="0" applyNumberFormat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165" fontId="11" fillId="0" borderId="3" xfId="0" applyNumberFormat="1" applyFont="1" applyBorder="1" applyAlignment="1">
      <alignment horizontal="center" vertical="center"/>
    </xf>
    <xf numFmtId="0" fontId="12" fillId="0" borderId="4" xfId="1" applyFont="1" applyBorder="1" applyAlignment="1">
      <alignment horizontal="centerContinuous" vertical="center"/>
    </xf>
    <xf numFmtId="0" fontId="13" fillId="0" borderId="5" xfId="1" applyFont="1" applyBorder="1" applyAlignment="1">
      <alignment horizontal="centerContinuous" vertical="center"/>
    </xf>
    <xf numFmtId="0" fontId="14" fillId="0" borderId="4" xfId="1" applyFont="1" applyBorder="1" applyAlignment="1">
      <alignment horizontal="centerContinuous" vertical="center"/>
    </xf>
    <xf numFmtId="0" fontId="11" fillId="0" borderId="6" xfId="1" applyFont="1" applyBorder="1" applyAlignment="1">
      <alignment horizontal="centerContinuous" vertical="center"/>
    </xf>
    <xf numFmtId="0" fontId="11" fillId="0" borderId="5" xfId="1" applyFont="1" applyBorder="1" applyAlignment="1">
      <alignment horizontal="centerContinuous" vertical="center"/>
    </xf>
    <xf numFmtId="164" fontId="15" fillId="2" borderId="1" xfId="0" applyNumberFormat="1" applyFont="1" applyFill="1" applyBorder="1" applyAlignment="1">
      <alignment horizontal="center" vertical="center"/>
    </xf>
    <xf numFmtId="164" fontId="15" fillId="2" borderId="0" xfId="0" applyNumberFormat="1" applyFont="1" applyFill="1" applyAlignment="1">
      <alignment horizontal="center" vertical="center"/>
    </xf>
    <xf numFmtId="170" fontId="5" fillId="0" borderId="7" xfId="0" applyNumberFormat="1" applyFont="1" applyBorder="1" applyAlignment="1">
      <alignment horizontal="center"/>
    </xf>
    <xf numFmtId="165" fontId="5" fillId="0" borderId="8" xfId="0" applyNumberFormat="1" applyFont="1" applyBorder="1" applyAlignment="1">
      <alignment horizontal="center"/>
    </xf>
    <xf numFmtId="164" fontId="6" fillId="0" borderId="7" xfId="0" applyNumberFormat="1" applyFont="1" applyBorder="1" applyAlignment="1">
      <alignment horizontal="center"/>
    </xf>
    <xf numFmtId="164" fontId="6" fillId="0" borderId="8" xfId="0" applyNumberFormat="1" applyFont="1" applyBorder="1" applyAlignment="1">
      <alignment horizontal="center"/>
    </xf>
    <xf numFmtId="164" fontId="6" fillId="0" borderId="9" xfId="0" applyNumberFormat="1" applyFont="1" applyBorder="1" applyAlignment="1">
      <alignment horizontal="center"/>
    </xf>
    <xf numFmtId="166" fontId="7" fillId="0" borderId="0" xfId="1" applyNumberFormat="1" applyAlignment="1">
      <alignment horizontal="center" vertical="center"/>
    </xf>
    <xf numFmtId="165" fontId="7" fillId="0" borderId="0" xfId="1" applyNumberFormat="1" applyAlignment="1">
      <alignment horizontal="center" vertical="center"/>
    </xf>
    <xf numFmtId="0" fontId="7" fillId="0" borderId="0" xfId="1" applyAlignment="1">
      <alignment horizontal="right" vertical="center"/>
    </xf>
    <xf numFmtId="0" fontId="8" fillId="0" borderId="0" xfId="1" applyFont="1" applyAlignment="1">
      <alignment horizontal="right" vertical="center"/>
    </xf>
    <xf numFmtId="0" fontId="7" fillId="0" borderId="0" xfId="1" applyAlignment="1">
      <alignment horizontal="center" vertical="center" wrapText="1"/>
    </xf>
    <xf numFmtId="0" fontId="9" fillId="0" borderId="3" xfId="1" applyFont="1" applyBorder="1" applyAlignment="1">
      <alignment horizontal="center" vertical="center"/>
    </xf>
    <xf numFmtId="0" fontId="7" fillId="0" borderId="3" xfId="1" applyBorder="1" applyAlignment="1">
      <alignment horizontal="center" vertical="center"/>
    </xf>
    <xf numFmtId="164" fontId="7" fillId="0" borderId="3" xfId="1" applyNumberFormat="1" applyBorder="1" applyAlignment="1">
      <alignment horizontal="center" vertical="center"/>
    </xf>
    <xf numFmtId="166" fontId="7" fillId="0" borderId="3" xfId="1" applyNumberFormat="1" applyBorder="1" applyAlignment="1">
      <alignment horizontal="center" vertical="center"/>
    </xf>
    <xf numFmtId="165" fontId="7" fillId="0" borderId="3" xfId="1" applyNumberFormat="1" applyBorder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7" fillId="2" borderId="0" xfId="1" applyFill="1" applyAlignment="1">
      <alignment horizontal="center" vertical="center"/>
    </xf>
    <xf numFmtId="0" fontId="17" fillId="2" borderId="0" xfId="1" applyFont="1" applyFill="1" applyAlignment="1">
      <alignment horizontal="center" vertical="center"/>
    </xf>
    <xf numFmtId="0" fontId="7" fillId="2" borderId="3" xfId="1" applyFill="1" applyBorder="1" applyAlignment="1">
      <alignment horizontal="center" vertical="center"/>
    </xf>
    <xf numFmtId="164" fontId="7" fillId="2" borderId="3" xfId="1" applyNumberFormat="1" applyFill="1" applyBorder="1" applyAlignment="1">
      <alignment horizontal="center" vertical="center"/>
    </xf>
    <xf numFmtId="166" fontId="7" fillId="2" borderId="3" xfId="1" applyNumberFormat="1" applyFill="1" applyBorder="1" applyAlignment="1">
      <alignment horizontal="center" vertical="center"/>
    </xf>
    <xf numFmtId="165" fontId="7" fillId="2" borderId="3" xfId="1" applyNumberFormat="1" applyFill="1" applyBorder="1" applyAlignment="1">
      <alignment horizontal="center" vertical="center"/>
    </xf>
    <xf numFmtId="0" fontId="11" fillId="2" borderId="3" xfId="1" applyFont="1" applyFill="1" applyBorder="1" applyAlignment="1">
      <alignment horizontal="center" vertical="center"/>
    </xf>
    <xf numFmtId="164" fontId="11" fillId="2" borderId="3" xfId="1" applyNumberFormat="1" applyFont="1" applyFill="1" applyBorder="1" applyAlignment="1">
      <alignment horizontal="center" vertical="center"/>
    </xf>
    <xf numFmtId="0" fontId="17" fillId="2" borderId="10" xfId="1" applyFont="1" applyFill="1" applyBorder="1" applyAlignment="1">
      <alignment horizontal="center" vertical="center"/>
    </xf>
    <xf numFmtId="0" fontId="17" fillId="2" borderId="11" xfId="1" applyFont="1" applyFill="1" applyBorder="1" applyAlignment="1">
      <alignment horizontal="center" vertical="center"/>
    </xf>
    <xf numFmtId="168" fontId="15" fillId="2" borderId="2" xfId="0" applyNumberFormat="1" applyFont="1" applyFill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18" fillId="0" borderId="0" xfId="1" applyFont="1" applyAlignment="1">
      <alignment horizontal="center" vertical="center"/>
    </xf>
    <xf numFmtId="176" fontId="7" fillId="2" borderId="0" xfId="1" applyNumberFormat="1" applyFill="1" applyAlignment="1">
      <alignment horizontal="center" vertical="center"/>
    </xf>
    <xf numFmtId="176" fontId="17" fillId="2" borderId="0" xfId="1" applyNumberFormat="1" applyFont="1" applyFill="1" applyAlignment="1">
      <alignment horizontal="center" vertical="center"/>
    </xf>
    <xf numFmtId="176" fontId="17" fillId="2" borderId="12" xfId="1" applyNumberFormat="1" applyFont="1" applyFill="1" applyBorder="1" applyAlignment="1">
      <alignment horizontal="center" vertical="center"/>
    </xf>
    <xf numFmtId="164" fontId="14" fillId="0" borderId="5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164" fontId="14" fillId="0" borderId="4" xfId="0" applyNumberFormat="1" applyFont="1" applyBorder="1" applyAlignment="1">
      <alignment horizontal="center" vertical="center"/>
    </xf>
    <xf numFmtId="164" fontId="11" fillId="0" borderId="0" xfId="0" applyNumberFormat="1" applyFont="1" applyAlignment="1">
      <alignment horizontal="left"/>
    </xf>
    <xf numFmtId="170" fontId="9" fillId="0" borderId="4" xfId="0" applyNumberFormat="1" applyFont="1" applyBorder="1" applyAlignment="1">
      <alignment horizontal="center" vertical="center"/>
    </xf>
    <xf numFmtId="165" fontId="9" fillId="0" borderId="6" xfId="0" applyNumberFormat="1" applyFont="1" applyBorder="1" applyAlignment="1">
      <alignment horizontal="center" vertical="center"/>
    </xf>
    <xf numFmtId="164" fontId="20" fillId="2" borderId="1" xfId="0" applyNumberFormat="1" applyFont="1" applyFill="1" applyBorder="1" applyAlignment="1">
      <alignment horizontal="center" vertical="center"/>
    </xf>
    <xf numFmtId="164" fontId="20" fillId="2" borderId="2" xfId="0" applyNumberFormat="1" applyFont="1" applyFill="1" applyBorder="1" applyAlignment="1">
      <alignment horizontal="center" vertical="center"/>
    </xf>
    <xf numFmtId="164" fontId="22" fillId="0" borderId="4" xfId="0" applyNumberFormat="1" applyFont="1" applyBorder="1" applyAlignment="1">
      <alignment horizontal="center" vertical="center"/>
    </xf>
    <xf numFmtId="164" fontId="22" fillId="0" borderId="6" xfId="0" applyNumberFormat="1" applyFont="1" applyBorder="1" applyAlignment="1">
      <alignment horizontal="center" vertical="center"/>
    </xf>
    <xf numFmtId="170" fontId="20" fillId="0" borderId="4" xfId="0" applyNumberFormat="1" applyFont="1" applyBorder="1" applyAlignment="1">
      <alignment horizontal="center" vertical="center"/>
    </xf>
    <xf numFmtId="174" fontId="20" fillId="2" borderId="2" xfId="0" applyNumberFormat="1" applyFont="1" applyFill="1" applyBorder="1" applyAlignment="1">
      <alignment horizontal="center" vertical="center"/>
    </xf>
    <xf numFmtId="165" fontId="5" fillId="0" borderId="9" xfId="0" applyNumberFormat="1" applyFont="1" applyBorder="1" applyAlignment="1">
      <alignment horizontal="center"/>
    </xf>
    <xf numFmtId="165" fontId="14" fillId="0" borderId="5" xfId="0" applyNumberFormat="1" applyFont="1" applyBorder="1" applyAlignment="1">
      <alignment horizontal="center" vertical="center"/>
    </xf>
    <xf numFmtId="164" fontId="23" fillId="2" borderId="1" xfId="0" applyNumberFormat="1" applyFont="1" applyFill="1" applyBorder="1" applyAlignment="1">
      <alignment horizontal="center" vertical="center"/>
    </xf>
    <xf numFmtId="174" fontId="23" fillId="2" borderId="0" xfId="0" applyNumberFormat="1" applyFont="1" applyFill="1" applyAlignment="1">
      <alignment horizontal="center" vertical="center"/>
    </xf>
    <xf numFmtId="0" fontId="5" fillId="0" borderId="0" xfId="0" applyFont="1" applyAlignment="1">
      <alignment vertical="center"/>
    </xf>
    <xf numFmtId="165" fontId="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5" fillId="0" borderId="13" xfId="0" applyFont="1" applyBorder="1" applyAlignment="1">
      <alignment vertical="center"/>
    </xf>
    <xf numFmtId="3" fontId="5" fillId="0" borderId="13" xfId="0" applyNumberFormat="1" applyFont="1" applyBorder="1" applyAlignment="1">
      <alignment horizontal="center" vertical="center"/>
    </xf>
    <xf numFmtId="165" fontId="5" fillId="0" borderId="13" xfId="0" applyNumberFormat="1" applyFont="1" applyBorder="1" applyAlignment="1">
      <alignment horizontal="center" vertical="center"/>
    </xf>
    <xf numFmtId="0" fontId="0" fillId="0" borderId="14" xfId="0" applyBorder="1"/>
    <xf numFmtId="164" fontId="11" fillId="0" borderId="14" xfId="0" applyNumberFormat="1" applyFont="1" applyBorder="1" applyAlignment="1">
      <alignment horizontal="center" vertical="center"/>
    </xf>
    <xf numFmtId="165" fontId="11" fillId="0" borderId="14" xfId="0" applyNumberFormat="1" applyFont="1" applyBorder="1" applyAlignment="1">
      <alignment horizontal="center" vertical="center"/>
    </xf>
    <xf numFmtId="0" fontId="0" fillId="0" borderId="13" xfId="0" applyBorder="1"/>
    <xf numFmtId="178" fontId="5" fillId="0" borderId="13" xfId="0" applyNumberFormat="1" applyFont="1" applyBorder="1" applyAlignment="1">
      <alignment horizontal="center"/>
    </xf>
    <xf numFmtId="177" fontId="5" fillId="0" borderId="13" xfId="0" applyNumberFormat="1" applyFont="1" applyBorder="1" applyAlignment="1">
      <alignment horizontal="center"/>
    </xf>
    <xf numFmtId="3" fontId="5" fillId="0" borderId="13" xfId="0" applyNumberFormat="1" applyFont="1" applyBorder="1" applyAlignment="1">
      <alignment horizontal="center"/>
    </xf>
    <xf numFmtId="165" fontId="5" fillId="0" borderId="13" xfId="0" applyNumberFormat="1" applyFont="1" applyBorder="1" applyAlignment="1">
      <alignment horizontal="center"/>
    </xf>
    <xf numFmtId="179" fontId="5" fillId="0" borderId="13" xfId="0" applyNumberFormat="1" applyFont="1" applyBorder="1" applyAlignment="1">
      <alignment horizontal="center" vertical="center"/>
    </xf>
    <xf numFmtId="0" fontId="5" fillId="0" borderId="13" xfId="0" applyFont="1" applyBorder="1"/>
    <xf numFmtId="0" fontId="24" fillId="3" borderId="0" xfId="0" applyFont="1" applyFill="1" applyAlignment="1">
      <alignment vertical="center"/>
    </xf>
    <xf numFmtId="0" fontId="19" fillId="0" borderId="0" xfId="1" applyFont="1" applyAlignment="1">
      <alignment horizontal="center" vertical="center" wrapText="1"/>
    </xf>
    <xf numFmtId="0" fontId="18" fillId="0" borderId="0" xfId="1" applyFont="1" applyAlignment="1">
      <alignment horizontal="center" vertical="center" wrapText="1"/>
    </xf>
    <xf numFmtId="171" fontId="7" fillId="2" borderId="0" xfId="1" applyNumberFormat="1" applyFill="1" applyAlignment="1">
      <alignment horizontal="center" vertical="center"/>
    </xf>
    <xf numFmtId="171" fontId="17" fillId="2" borderId="0" xfId="1" applyNumberFormat="1" applyFont="1" applyFill="1" applyAlignment="1">
      <alignment horizontal="center" vertical="center"/>
    </xf>
    <xf numFmtId="171" fontId="7" fillId="0" borderId="0" xfId="1" applyNumberFormat="1" applyAlignment="1">
      <alignment horizontal="center" vertical="center"/>
    </xf>
    <xf numFmtId="177" fontId="20" fillId="2" borderId="0" xfId="0" applyNumberFormat="1" applyFont="1" applyFill="1" applyAlignment="1">
      <alignment horizontal="center" vertical="center"/>
    </xf>
    <xf numFmtId="164" fontId="23" fillId="2" borderId="0" xfId="0" applyNumberFormat="1" applyFont="1" applyFill="1" applyAlignment="1">
      <alignment horizontal="center" vertical="center"/>
    </xf>
    <xf numFmtId="168" fontId="11" fillId="0" borderId="14" xfId="0" applyNumberFormat="1" applyFont="1" applyBorder="1" applyAlignment="1">
      <alignment horizontal="center" vertical="center"/>
    </xf>
    <xf numFmtId="169" fontId="11" fillId="0" borderId="14" xfId="0" applyNumberFormat="1" applyFont="1" applyBorder="1" applyAlignment="1">
      <alignment horizontal="center" vertical="center"/>
    </xf>
    <xf numFmtId="0" fontId="26" fillId="0" borderId="0" xfId="1" applyFont="1" applyAlignment="1">
      <alignment horizontal="center" vertical="center" wrapText="1"/>
    </xf>
    <xf numFmtId="0" fontId="25" fillId="0" borderId="0" xfId="1" applyFont="1" applyAlignment="1">
      <alignment vertical="center" wrapText="1"/>
    </xf>
    <xf numFmtId="0" fontId="25" fillId="0" borderId="0" xfId="1" applyFont="1" applyAlignment="1">
      <alignment horizontal="center" vertical="center"/>
    </xf>
    <xf numFmtId="0" fontId="7" fillId="4" borderId="0" xfId="1" applyFill="1" applyAlignment="1">
      <alignment horizontal="left" vertical="center"/>
    </xf>
    <xf numFmtId="0" fontId="22" fillId="0" borderId="0" xfId="1" applyFont="1" applyAlignment="1">
      <alignment horizontal="centerContinuous" vertical="center" wrapText="1"/>
    </xf>
    <xf numFmtId="0" fontId="28" fillId="0" borderId="0" xfId="1" applyFont="1" applyAlignment="1">
      <alignment horizontal="centerContinuous" vertical="center"/>
    </xf>
    <xf numFmtId="0" fontId="17" fillId="0" borderId="0" xfId="1" applyFont="1" applyAlignment="1">
      <alignment horizontal="center" vertical="center"/>
    </xf>
    <xf numFmtId="0" fontId="7" fillId="3" borderId="0" xfId="1" applyFill="1" applyAlignment="1">
      <alignment horizontal="left" vertical="center"/>
    </xf>
    <xf numFmtId="0" fontId="0" fillId="2" borderId="0" xfId="0" applyFill="1" applyAlignment="1">
      <alignment vertical="center"/>
    </xf>
    <xf numFmtId="178" fontId="5" fillId="0" borderId="13" xfId="0" applyNumberFormat="1" applyFont="1" applyBorder="1" applyAlignment="1">
      <alignment horizontal="center" vertical="center"/>
    </xf>
    <xf numFmtId="0" fontId="1" fillId="0" borderId="0" xfId="0" applyFont="1"/>
    <xf numFmtId="0" fontId="5" fillId="2" borderId="0" xfId="0" applyFont="1" applyFill="1" applyAlignment="1">
      <alignment horizontal="center" vertical="center"/>
    </xf>
    <xf numFmtId="175" fontId="17" fillId="2" borderId="12" xfId="1" applyNumberFormat="1" applyFont="1" applyFill="1" applyBorder="1" applyAlignment="1">
      <alignment horizontal="center" vertical="center"/>
    </xf>
    <xf numFmtId="164" fontId="17" fillId="2" borderId="10" xfId="1" applyNumberFormat="1" applyFont="1" applyFill="1" applyBorder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164" fontId="35" fillId="5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3" xfId="0" quotePrefix="1" applyFont="1" applyBorder="1" applyAlignment="1">
      <alignment horizontal="left" vertical="center"/>
    </xf>
    <xf numFmtId="164" fontId="35" fillId="5" borderId="0" xfId="0" applyNumberFormat="1" applyFont="1" applyFill="1" applyAlignment="1" applyProtection="1">
      <alignment horizontal="center" vertical="center"/>
      <protection locked="0"/>
    </xf>
    <xf numFmtId="2" fontId="7" fillId="2" borderId="0" xfId="1" applyNumberFormat="1" applyFill="1" applyAlignment="1">
      <alignment horizontal="center" vertical="center"/>
    </xf>
    <xf numFmtId="0" fontId="5" fillId="0" borderId="14" xfId="0" applyFont="1" applyBorder="1"/>
    <xf numFmtId="0" fontId="7" fillId="0" borderId="0" xfId="1" quotePrefix="1" applyAlignment="1">
      <alignment horizontal="right" vertical="center"/>
    </xf>
    <xf numFmtId="178" fontId="5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3" fontId="5" fillId="0" borderId="0" xfId="0" applyNumberFormat="1" applyFont="1" applyAlignment="1">
      <alignment horizontal="center" vertical="center"/>
    </xf>
    <xf numFmtId="164" fontId="11" fillId="0" borderId="13" xfId="0" applyNumberFormat="1" applyFont="1" applyBorder="1" applyAlignment="1">
      <alignment horizontal="center" vertical="center"/>
    </xf>
    <xf numFmtId="168" fontId="11" fillId="0" borderId="13" xfId="0" applyNumberFormat="1" applyFont="1" applyBorder="1" applyAlignment="1">
      <alignment horizontal="center" vertical="center"/>
    </xf>
    <xf numFmtId="169" fontId="11" fillId="0" borderId="13" xfId="0" applyNumberFormat="1" applyFont="1" applyBorder="1" applyAlignment="1">
      <alignment horizontal="center" vertical="center"/>
    </xf>
    <xf numFmtId="0" fontId="30" fillId="0" borderId="4" xfId="1" applyFont="1" applyBorder="1" applyAlignment="1">
      <alignment horizontal="centerContinuous" vertical="center"/>
    </xf>
    <xf numFmtId="0" fontId="31" fillId="0" borderId="6" xfId="1" applyFont="1" applyBorder="1" applyAlignment="1">
      <alignment horizontal="centerContinuous" vertical="center"/>
    </xf>
    <xf numFmtId="0" fontId="31" fillId="0" borderId="5" xfId="1" applyFont="1" applyBorder="1" applyAlignment="1">
      <alignment horizontal="centerContinuous" vertical="center"/>
    </xf>
    <xf numFmtId="0" fontId="32" fillId="0" borderId="4" xfId="1" applyFont="1" applyBorder="1" applyAlignment="1">
      <alignment horizontal="centerContinuous" vertical="center"/>
    </xf>
    <xf numFmtId="0" fontId="33" fillId="0" borderId="6" xfId="1" applyFont="1" applyBorder="1" applyAlignment="1">
      <alignment horizontal="centerContinuous" vertical="center"/>
    </xf>
    <xf numFmtId="0" fontId="33" fillId="0" borderId="5" xfId="1" applyFont="1" applyBorder="1" applyAlignment="1">
      <alignment horizontal="centerContinuous" vertical="center"/>
    </xf>
    <xf numFmtId="0" fontId="34" fillId="0" borderId="0" xfId="1" applyFont="1" applyAlignment="1">
      <alignment horizontal="center" vertical="center"/>
    </xf>
    <xf numFmtId="170" fontId="35" fillId="0" borderId="4" xfId="0" applyNumberFormat="1" applyFont="1" applyBorder="1" applyAlignment="1">
      <alignment horizontal="center" vertical="center"/>
    </xf>
    <xf numFmtId="165" fontId="30" fillId="0" borderId="6" xfId="0" applyNumberFormat="1" applyFont="1" applyBorder="1" applyAlignment="1">
      <alignment horizontal="center" vertical="center"/>
    </xf>
    <xf numFmtId="164" fontId="37" fillId="0" borderId="4" xfId="0" applyNumberFormat="1" applyFont="1" applyBorder="1" applyAlignment="1">
      <alignment horizontal="center" vertical="center"/>
    </xf>
    <xf numFmtId="164" fontId="37" fillId="0" borderId="6" xfId="0" applyNumberFormat="1" applyFont="1" applyBorder="1" applyAlignment="1">
      <alignment horizontal="center" vertical="center"/>
    </xf>
    <xf numFmtId="164" fontId="37" fillId="0" borderId="5" xfId="0" applyNumberFormat="1" applyFont="1" applyBorder="1" applyAlignment="1">
      <alignment horizontal="center" vertical="center"/>
    </xf>
    <xf numFmtId="170" fontId="34" fillId="0" borderId="1" xfId="0" applyNumberFormat="1" applyFont="1" applyBorder="1" applyAlignment="1">
      <alignment horizontal="center"/>
    </xf>
    <xf numFmtId="0" fontId="29" fillId="0" borderId="0" xfId="0" applyFont="1"/>
    <xf numFmtId="164" fontId="39" fillId="0" borderId="1" xfId="0" applyNumberFormat="1" applyFont="1" applyBorder="1" applyAlignment="1">
      <alignment horizontal="center" vertical="center"/>
    </xf>
    <xf numFmtId="164" fontId="39" fillId="0" borderId="0" xfId="0" applyNumberFormat="1" applyFont="1" applyAlignment="1">
      <alignment horizontal="center" vertical="center"/>
    </xf>
    <xf numFmtId="164" fontId="39" fillId="0" borderId="2" xfId="0" applyNumberFormat="1" applyFont="1" applyBorder="1" applyAlignment="1">
      <alignment horizontal="center" vertical="center"/>
    </xf>
    <xf numFmtId="164" fontId="40" fillId="2" borderId="0" xfId="0" applyNumberFormat="1" applyFont="1" applyFill="1" applyAlignment="1">
      <alignment horizontal="center" vertical="center"/>
    </xf>
    <xf numFmtId="168" fontId="40" fillId="2" borderId="0" xfId="0" applyNumberFormat="1" applyFont="1" applyFill="1" applyAlignment="1">
      <alignment horizontal="center" vertical="center"/>
    </xf>
    <xf numFmtId="177" fontId="40" fillId="2" borderId="2" xfId="0" applyNumberFormat="1" applyFont="1" applyFill="1" applyBorder="1" applyAlignment="1">
      <alignment horizontal="center" vertical="center"/>
    </xf>
    <xf numFmtId="170" fontId="34" fillId="0" borderId="7" xfId="0" applyNumberFormat="1" applyFont="1" applyBorder="1" applyAlignment="1">
      <alignment horizontal="center"/>
    </xf>
    <xf numFmtId="165" fontId="34" fillId="0" borderId="8" xfId="0" applyNumberFormat="1" applyFont="1" applyBorder="1" applyAlignment="1">
      <alignment horizontal="center"/>
    </xf>
    <xf numFmtId="164" fontId="41" fillId="0" borderId="7" xfId="0" applyNumberFormat="1" applyFont="1" applyBorder="1" applyAlignment="1">
      <alignment horizontal="center"/>
    </xf>
    <xf numFmtId="164" fontId="41" fillId="0" borderId="8" xfId="0" applyNumberFormat="1" applyFont="1" applyBorder="1" applyAlignment="1">
      <alignment horizontal="center"/>
    </xf>
    <xf numFmtId="164" fontId="41" fillId="0" borderId="9" xfId="0" applyNumberFormat="1" applyFont="1" applyBorder="1" applyAlignment="1">
      <alignment horizontal="center"/>
    </xf>
    <xf numFmtId="164" fontId="42" fillId="0" borderId="4" xfId="0" applyNumberFormat="1" applyFont="1" applyBorder="1" applyAlignment="1">
      <alignment horizontal="center" vertical="center"/>
    </xf>
    <xf numFmtId="164" fontId="42" fillId="0" borderId="6" xfId="0" applyNumberFormat="1" applyFont="1" applyBorder="1" applyAlignment="1">
      <alignment horizontal="center" vertical="center"/>
    </xf>
    <xf numFmtId="164" fontId="42" fillId="0" borderId="5" xfId="0" applyNumberFormat="1" applyFont="1" applyBorder="1" applyAlignment="1">
      <alignment horizontal="center" vertical="center"/>
    </xf>
    <xf numFmtId="170" fontId="40" fillId="0" borderId="4" xfId="0" applyNumberFormat="1" applyFont="1" applyBorder="1" applyAlignment="1">
      <alignment horizontal="center" vertical="center"/>
    </xf>
    <xf numFmtId="165" fontId="32" fillId="0" borderId="6" xfId="0" applyNumberFormat="1" applyFont="1" applyBorder="1" applyAlignment="1">
      <alignment horizontal="center" vertical="center"/>
    </xf>
    <xf numFmtId="165" fontId="32" fillId="0" borderId="5" xfId="0" applyNumberFormat="1" applyFont="1" applyBorder="1" applyAlignment="1">
      <alignment horizontal="center" vertical="center"/>
    </xf>
    <xf numFmtId="0" fontId="29" fillId="0" borderId="2" xfId="0" applyFont="1" applyBorder="1"/>
    <xf numFmtId="164" fontId="40" fillId="2" borderId="1" xfId="0" applyNumberFormat="1" applyFont="1" applyFill="1" applyBorder="1" applyAlignment="1">
      <alignment horizontal="center" vertical="center"/>
    </xf>
    <xf numFmtId="165" fontId="34" fillId="0" borderId="9" xfId="0" applyNumberFormat="1" applyFont="1" applyBorder="1" applyAlignment="1">
      <alignment horizontal="center"/>
    </xf>
    <xf numFmtId="167" fontId="35" fillId="5" borderId="0" xfId="0" applyNumberFormat="1" applyFont="1" applyFill="1" applyAlignment="1" applyProtection="1">
      <alignment horizontal="center" vertical="center"/>
      <protection locked="0"/>
    </xf>
    <xf numFmtId="0" fontId="10" fillId="0" borderId="0" xfId="0" applyFont="1" applyAlignment="1">
      <alignment horizontal="left"/>
    </xf>
    <xf numFmtId="164" fontId="11" fillId="0" borderId="14" xfId="0" applyNumberFormat="1" applyFont="1" applyBorder="1" applyAlignment="1">
      <alignment horizontal="right" vertical="center"/>
    </xf>
    <xf numFmtId="0" fontId="10" fillId="0" borderId="0" xfId="0" applyFont="1" applyAlignment="1">
      <alignment horizontal="centerContinuous"/>
    </xf>
    <xf numFmtId="0" fontId="24" fillId="0" borderId="0" xfId="0" applyFont="1" applyAlignment="1">
      <alignment vertical="center"/>
    </xf>
    <xf numFmtId="164" fontId="11" fillId="0" borderId="0" xfId="0" applyNumberFormat="1" applyFont="1" applyAlignment="1">
      <alignment horizontal="center" vertical="center"/>
    </xf>
    <xf numFmtId="168" fontId="11" fillId="0" borderId="0" xfId="0" applyNumberFormat="1" applyFont="1" applyAlignment="1">
      <alignment horizontal="center" vertical="center"/>
    </xf>
    <xf numFmtId="169" fontId="11" fillId="0" borderId="0" xfId="0" applyNumberFormat="1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73" fontId="5" fillId="0" borderId="0" xfId="0" applyNumberFormat="1" applyFont="1" applyAlignment="1">
      <alignment horizontal="center" vertical="center"/>
    </xf>
    <xf numFmtId="165" fontId="11" fillId="0" borderId="15" xfId="0" applyNumberFormat="1" applyFont="1" applyBorder="1" applyAlignment="1">
      <alignment horizontal="center" vertical="center"/>
    </xf>
    <xf numFmtId="165" fontId="11" fillId="0" borderId="16" xfId="0" applyNumberFormat="1" applyFont="1" applyBorder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181" fontId="5" fillId="0" borderId="0" xfId="0" applyNumberFormat="1" applyFont="1" applyAlignment="1">
      <alignment horizontal="center" vertical="center"/>
    </xf>
    <xf numFmtId="178" fontId="5" fillId="5" borderId="13" xfId="0" applyNumberFormat="1" applyFont="1" applyFill="1" applyBorder="1" applyAlignment="1">
      <alignment horizontal="center" vertical="center"/>
    </xf>
    <xf numFmtId="168" fontId="5" fillId="5" borderId="13" xfId="0" applyNumberFormat="1" applyFont="1" applyFill="1" applyBorder="1" applyAlignment="1">
      <alignment horizontal="center" vertical="center"/>
    </xf>
    <xf numFmtId="169" fontId="5" fillId="5" borderId="13" xfId="0" applyNumberFormat="1" applyFont="1" applyFill="1" applyBorder="1" applyAlignment="1">
      <alignment horizontal="center" vertical="center"/>
    </xf>
    <xf numFmtId="164" fontId="5" fillId="5" borderId="13" xfId="0" applyNumberFormat="1" applyFont="1" applyFill="1" applyBorder="1" applyAlignment="1">
      <alignment horizontal="center" vertical="center"/>
    </xf>
    <xf numFmtId="165" fontId="5" fillId="5" borderId="16" xfId="0" applyNumberFormat="1" applyFont="1" applyFill="1" applyBorder="1" applyAlignment="1">
      <alignment horizontal="center" vertical="center"/>
    </xf>
    <xf numFmtId="172" fontId="5" fillId="0" borderId="0" xfId="0" applyNumberFormat="1" applyFont="1" applyAlignment="1">
      <alignment horizontal="center" vertical="center"/>
    </xf>
    <xf numFmtId="172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72" fontId="7" fillId="2" borderId="3" xfId="1" applyNumberFormat="1" applyFill="1" applyBorder="1" applyAlignment="1">
      <alignment horizontal="center" vertical="center"/>
    </xf>
    <xf numFmtId="167" fontId="0" fillId="0" borderId="0" xfId="0" applyNumberFormat="1" applyAlignment="1">
      <alignment horizontal="center"/>
    </xf>
    <xf numFmtId="0" fontId="51" fillId="0" borderId="0" xfId="0" quotePrefix="1" applyFont="1" applyAlignment="1">
      <alignment horizontal="left"/>
    </xf>
    <xf numFmtId="0" fontId="52" fillId="0" borderId="0" xfId="0" quotePrefix="1" applyFont="1" applyAlignment="1">
      <alignment horizontal="center"/>
    </xf>
    <xf numFmtId="167" fontId="53" fillId="6" borderId="17" xfId="0" applyNumberFormat="1" applyFont="1" applyFill="1" applyBorder="1" applyProtection="1">
      <protection locked="0"/>
    </xf>
    <xf numFmtId="167" fontId="52" fillId="0" borderId="0" xfId="0" quotePrefix="1" applyNumberFormat="1" applyFont="1" applyAlignment="1">
      <alignment horizontal="center"/>
    </xf>
    <xf numFmtId="0" fontId="51" fillId="0" borderId="0" xfId="0" quotePrefix="1" applyFont="1" applyAlignment="1">
      <alignment horizontal="right"/>
    </xf>
    <xf numFmtId="0" fontId="0" fillId="0" borderId="18" xfId="0" applyBorder="1"/>
    <xf numFmtId="1" fontId="0" fillId="0" borderId="0" xfId="0" applyNumberFormat="1" applyAlignment="1">
      <alignment horizontal="center"/>
    </xf>
    <xf numFmtId="0" fontId="7" fillId="2" borderId="3" xfId="1" quotePrefix="1" applyFill="1" applyBorder="1" applyAlignment="1">
      <alignment horizontal="center" vertical="center"/>
    </xf>
    <xf numFmtId="0" fontId="7" fillId="0" borderId="3" xfId="1" quotePrefix="1" applyBorder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80" fontId="5" fillId="0" borderId="0" xfId="0" applyNumberFormat="1" applyFont="1" applyAlignment="1">
      <alignment horizontal="center" vertical="center"/>
    </xf>
    <xf numFmtId="0" fontId="5" fillId="0" borderId="13" xfId="0" applyFont="1" applyBorder="1" applyAlignment="1">
      <alignment horizontal="left" vertical="center"/>
    </xf>
    <xf numFmtId="164" fontId="0" fillId="0" borderId="0" xfId="0" applyNumberFormat="1"/>
    <xf numFmtId="164" fontId="5" fillId="0" borderId="0" xfId="0" quotePrefix="1" applyNumberFormat="1" applyFont="1" applyAlignment="1">
      <alignment horizontal="left" vertical="center"/>
    </xf>
    <xf numFmtId="179" fontId="5" fillId="6" borderId="13" xfId="0" applyNumberFormat="1" applyFont="1" applyFill="1" applyBorder="1" applyAlignment="1">
      <alignment horizontal="center" vertical="center"/>
    </xf>
    <xf numFmtId="178" fontId="5" fillId="6" borderId="13" xfId="0" applyNumberFormat="1" applyFont="1" applyFill="1" applyBorder="1" applyAlignment="1">
      <alignment horizontal="center" vertical="center"/>
    </xf>
    <xf numFmtId="3" fontId="5" fillId="6" borderId="13" xfId="0" applyNumberFormat="1" applyFont="1" applyFill="1" applyBorder="1" applyAlignment="1">
      <alignment horizontal="center" vertical="center"/>
    </xf>
    <xf numFmtId="165" fontId="5" fillId="6" borderId="13" xfId="0" applyNumberFormat="1" applyFont="1" applyFill="1" applyBorder="1" applyAlignment="1">
      <alignment horizontal="center" vertical="center"/>
    </xf>
    <xf numFmtId="0" fontId="55" fillId="0" borderId="0" xfId="1" applyFont="1" applyAlignment="1">
      <alignment horizontal="center" vertical="center"/>
    </xf>
    <xf numFmtId="164" fontId="40" fillId="7" borderId="0" xfId="0" applyNumberFormat="1" applyFont="1" applyFill="1" applyAlignment="1">
      <alignment horizontal="center" vertical="center"/>
    </xf>
    <xf numFmtId="167" fontId="0" fillId="0" borderId="0" xfId="0" applyNumberFormat="1"/>
    <xf numFmtId="167" fontId="34" fillId="0" borderId="0" xfId="1" applyNumberFormat="1" applyFont="1" applyAlignment="1">
      <alignment horizontal="center" vertical="center"/>
    </xf>
    <xf numFmtId="183" fontId="5" fillId="5" borderId="13" xfId="0" applyNumberFormat="1" applyFont="1" applyFill="1" applyBorder="1" applyAlignment="1">
      <alignment horizontal="center" vertical="center"/>
    </xf>
    <xf numFmtId="185" fontId="17" fillId="2" borderId="10" xfId="1" applyNumberFormat="1" applyFont="1" applyFill="1" applyBorder="1" applyAlignment="1">
      <alignment horizontal="center" vertical="center"/>
    </xf>
    <xf numFmtId="177" fontId="40" fillId="2" borderId="0" xfId="0" applyNumberFormat="1" applyFont="1" applyFill="1" applyAlignment="1">
      <alignment horizontal="center" vertical="center"/>
    </xf>
    <xf numFmtId="185" fontId="15" fillId="2" borderId="2" xfId="0" applyNumberFormat="1" applyFont="1" applyFill="1" applyBorder="1" applyAlignment="1">
      <alignment horizontal="center" vertical="center"/>
    </xf>
    <xf numFmtId="168" fontId="15" fillId="2" borderId="0" xfId="0" applyNumberFormat="1" applyFont="1" applyFill="1" applyAlignment="1">
      <alignment horizontal="center" vertical="center"/>
    </xf>
    <xf numFmtId="185" fontId="40" fillId="2" borderId="1" xfId="0" applyNumberFormat="1" applyFont="1" applyFill="1" applyBorder="1" applyAlignment="1">
      <alignment horizontal="center" vertical="center"/>
    </xf>
    <xf numFmtId="164" fontId="40" fillId="7" borderId="2" xfId="0" applyNumberFormat="1" applyFont="1" applyFill="1" applyBorder="1" applyAlignment="1">
      <alignment horizontal="center" vertical="center"/>
    </xf>
    <xf numFmtId="164" fontId="11" fillId="4" borderId="0" xfId="0" applyNumberFormat="1" applyFont="1" applyFill="1" applyAlignment="1">
      <alignment horizontal="center" vertical="center"/>
    </xf>
    <xf numFmtId="187" fontId="35" fillId="5" borderId="0" xfId="0" applyNumberFormat="1" applyFont="1" applyFill="1" applyAlignment="1" applyProtection="1">
      <alignment horizontal="center" vertical="center"/>
      <protection locked="0"/>
    </xf>
    <xf numFmtId="187" fontId="40" fillId="2" borderId="0" xfId="0" applyNumberFormat="1" applyFont="1" applyFill="1" applyAlignment="1">
      <alignment horizontal="center" vertical="center"/>
    </xf>
    <xf numFmtId="187" fontId="40" fillId="2" borderId="2" xfId="0" applyNumberFormat="1" applyFont="1" applyFill="1" applyBorder="1" applyAlignment="1">
      <alignment horizontal="center" vertical="center"/>
    </xf>
    <xf numFmtId="0" fontId="0" fillId="0" borderId="19" xfId="0" applyBorder="1"/>
    <xf numFmtId="185" fontId="20" fillId="2" borderId="20" xfId="0" applyNumberFormat="1" applyFont="1" applyFill="1" applyBorder="1" applyAlignment="1">
      <alignment horizontal="center" vertical="center"/>
    </xf>
    <xf numFmtId="0" fontId="0" fillId="0" borderId="21" xfId="0" applyBorder="1"/>
    <xf numFmtId="0" fontId="34" fillId="0" borderId="22" xfId="1" applyFont="1" applyBorder="1" applyAlignment="1">
      <alignment horizontal="center" vertical="center"/>
    </xf>
    <xf numFmtId="170" fontId="34" fillId="0" borderId="23" xfId="0" applyNumberFormat="1" applyFont="1" applyBorder="1" applyAlignment="1">
      <alignment horizontal="center"/>
    </xf>
    <xf numFmtId="0" fontId="29" fillId="0" borderId="23" xfId="0" applyFont="1" applyBorder="1"/>
    <xf numFmtId="0" fontId="29" fillId="0" borderId="24" xfId="0" applyFont="1" applyBorder="1"/>
    <xf numFmtId="170" fontId="40" fillId="0" borderId="6" xfId="0" applyNumberFormat="1" applyFont="1" applyBorder="1" applyAlignment="1">
      <alignment horizontal="center" vertical="center"/>
    </xf>
    <xf numFmtId="0" fontId="32" fillId="0" borderId="6" xfId="1" applyFont="1" applyBorder="1" applyAlignment="1">
      <alignment horizontal="centerContinuous" vertical="center"/>
    </xf>
    <xf numFmtId="170" fontId="34" fillId="0" borderId="8" xfId="0" applyNumberFormat="1" applyFont="1" applyBorder="1" applyAlignment="1">
      <alignment horizontal="center"/>
    </xf>
    <xf numFmtId="164" fontId="55" fillId="0" borderId="0" xfId="1" applyNumberFormat="1" applyFont="1" applyAlignment="1">
      <alignment horizontal="center" vertical="center"/>
    </xf>
    <xf numFmtId="174" fontId="5" fillId="6" borderId="0" xfId="0" applyNumberFormat="1" applyFont="1" applyFill="1" applyAlignment="1">
      <alignment horizontal="center" vertical="center"/>
    </xf>
    <xf numFmtId="164" fontId="34" fillId="0" borderId="0" xfId="1" applyNumberFormat="1" applyFont="1" applyAlignment="1">
      <alignment horizontal="center" vertical="center"/>
    </xf>
    <xf numFmtId="186" fontId="34" fillId="0" borderId="8" xfId="0" applyNumberFormat="1" applyFont="1" applyBorder="1" applyAlignment="1">
      <alignment horizontal="center"/>
    </xf>
    <xf numFmtId="0" fontId="18" fillId="8" borderId="0" xfId="1" applyFont="1" applyFill="1" applyAlignment="1">
      <alignment horizontal="center" vertical="center" wrapText="1"/>
    </xf>
    <xf numFmtId="0" fontId="7" fillId="8" borderId="0" xfId="1" applyFill="1" applyAlignment="1">
      <alignment horizontal="center" vertical="center"/>
    </xf>
    <xf numFmtId="176" fontId="7" fillId="8" borderId="0" xfId="1" applyNumberFormat="1" applyFill="1" applyAlignment="1">
      <alignment horizontal="center" vertical="center"/>
    </xf>
    <xf numFmtId="185" fontId="17" fillId="8" borderId="10" xfId="1" applyNumberFormat="1" applyFont="1" applyFill="1" applyBorder="1" applyAlignment="1">
      <alignment horizontal="center" vertical="center"/>
    </xf>
    <xf numFmtId="167" fontId="48" fillId="0" borderId="0" xfId="0" applyNumberFormat="1" applyFont="1" applyAlignment="1">
      <alignment vertical="center"/>
    </xf>
    <xf numFmtId="167" fontId="48" fillId="0" borderId="0" xfId="0" applyNumberFormat="1" applyFont="1" applyAlignment="1">
      <alignment horizontal="center" vertical="center"/>
    </xf>
    <xf numFmtId="187" fontId="48" fillId="0" borderId="0" xfId="0" applyNumberFormat="1" applyFont="1" applyAlignment="1">
      <alignment horizontal="center" vertical="center"/>
    </xf>
    <xf numFmtId="167" fontId="48" fillId="0" borderId="0" xfId="0" applyNumberFormat="1" applyFont="1" applyAlignment="1" applyProtection="1">
      <alignment vertical="center"/>
      <protection locked="0"/>
    </xf>
    <xf numFmtId="1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50" fillId="0" borderId="0" xfId="0" applyFont="1" applyAlignment="1" applyProtection="1">
      <alignment vertical="center"/>
      <protection locked="0"/>
    </xf>
    <xf numFmtId="167" fontId="50" fillId="0" borderId="0" xfId="0" applyNumberFormat="1" applyFont="1" applyAlignment="1">
      <alignment vertical="center"/>
    </xf>
    <xf numFmtId="0" fontId="50" fillId="0" borderId="0" xfId="0" applyFont="1" applyAlignment="1" applyProtection="1">
      <alignment horizontal="center" vertical="center"/>
      <protection locked="0"/>
    </xf>
    <xf numFmtId="1" fontId="48" fillId="0" borderId="0" xfId="0" applyNumberFormat="1" applyFont="1" applyAlignment="1">
      <alignment horizontal="center" vertical="center"/>
    </xf>
    <xf numFmtId="164" fontId="39" fillId="0" borderId="20" xfId="0" applyNumberFormat="1" applyFont="1" applyBorder="1" applyAlignment="1">
      <alignment horizontal="center" vertical="center"/>
    </xf>
    <xf numFmtId="164" fontId="57" fillId="8" borderId="20" xfId="0" applyNumberFormat="1" applyFont="1" applyFill="1" applyBorder="1" applyAlignment="1">
      <alignment horizontal="center" vertical="center"/>
    </xf>
    <xf numFmtId="164" fontId="41" fillId="0" borderId="21" xfId="0" applyNumberFormat="1" applyFont="1" applyBorder="1" applyAlignment="1">
      <alignment horizontal="center"/>
    </xf>
    <xf numFmtId="0" fontId="7" fillId="9" borderId="3" xfId="1" applyFill="1" applyBorder="1" applyAlignment="1">
      <alignment horizontal="center" vertical="center"/>
    </xf>
    <xf numFmtId="167" fontId="55" fillId="0" borderId="0" xfId="1" applyNumberFormat="1" applyFont="1" applyAlignment="1">
      <alignment horizontal="center" vertical="center"/>
    </xf>
    <xf numFmtId="2" fontId="48" fillId="0" borderId="0" xfId="0" applyNumberFormat="1" applyFont="1" applyAlignment="1">
      <alignment vertical="center"/>
    </xf>
    <xf numFmtId="2" fontId="48" fillId="0" borderId="0" xfId="0" applyNumberFormat="1" applyFont="1" applyAlignment="1">
      <alignment horizontal="center" vertical="center"/>
    </xf>
    <xf numFmtId="182" fontId="5" fillId="5" borderId="13" xfId="0" applyNumberFormat="1" applyFont="1" applyFill="1" applyBorder="1" applyAlignment="1">
      <alignment horizontal="center" vertical="center"/>
    </xf>
    <xf numFmtId="0" fontId="51" fillId="0" borderId="0" xfId="0" quotePrefix="1" applyFont="1" applyAlignment="1">
      <alignment horizontal="left" vertical="center"/>
    </xf>
    <xf numFmtId="0" fontId="60" fillId="0" borderId="0" xfId="0" applyFont="1" applyAlignment="1">
      <alignment vertical="center"/>
    </xf>
    <xf numFmtId="167" fontId="5" fillId="0" borderId="0" xfId="0" applyNumberFormat="1" applyFont="1" applyAlignment="1">
      <alignment horizontal="center" vertical="center"/>
    </xf>
    <xf numFmtId="188" fontId="61" fillId="6" borderId="17" xfId="0" applyNumberFormat="1" applyFont="1" applyFill="1" applyBorder="1" applyAlignment="1" applyProtection="1">
      <alignment horizontal="center" vertical="center"/>
      <protection locked="0"/>
    </xf>
    <xf numFmtId="186" fontId="40" fillId="2" borderId="1" xfId="0" applyNumberFormat="1" applyFont="1" applyFill="1" applyBorder="1" applyAlignment="1">
      <alignment horizontal="center" vertical="center"/>
    </xf>
    <xf numFmtId="186" fontId="40" fillId="2" borderId="0" xfId="0" applyNumberFormat="1" applyFont="1" applyFill="1" applyAlignment="1">
      <alignment horizontal="center" vertical="center"/>
    </xf>
    <xf numFmtId="189" fontId="5" fillId="0" borderId="0" xfId="0" applyNumberFormat="1" applyFont="1" applyAlignment="1">
      <alignment horizontal="center" vertical="center"/>
    </xf>
    <xf numFmtId="184" fontId="0" fillId="0" borderId="0" xfId="0" applyNumberFormat="1" applyAlignment="1">
      <alignment horizontal="center"/>
    </xf>
    <xf numFmtId="184" fontId="52" fillId="0" borderId="0" xfId="0" quotePrefix="1" applyNumberFormat="1" applyFont="1" applyAlignment="1">
      <alignment horizontal="center"/>
    </xf>
    <xf numFmtId="164" fontId="65" fillId="0" borderId="25" xfId="0" applyNumberFormat="1" applyFont="1" applyBorder="1" applyAlignment="1">
      <alignment horizontal="center" vertical="center"/>
    </xf>
    <xf numFmtId="167" fontId="66" fillId="0" borderId="0" xfId="0" applyNumberFormat="1" applyFont="1" applyAlignment="1">
      <alignment horizontal="center" vertical="center"/>
    </xf>
    <xf numFmtId="167" fontId="66" fillId="0" borderId="0" xfId="0" applyNumberFormat="1" applyFont="1" applyAlignment="1">
      <alignment vertical="center"/>
    </xf>
    <xf numFmtId="2" fontId="66" fillId="0" borderId="0" xfId="0" applyNumberFormat="1" applyFont="1" applyAlignment="1">
      <alignment vertical="center"/>
    </xf>
    <xf numFmtId="187" fontId="66" fillId="0" borderId="0" xfId="0" applyNumberFormat="1" applyFont="1" applyAlignment="1">
      <alignment horizontal="center" vertical="center"/>
    </xf>
    <xf numFmtId="166" fontId="67" fillId="0" borderId="0" xfId="0" applyNumberFormat="1" applyFont="1" applyAlignment="1">
      <alignment vertical="center"/>
    </xf>
    <xf numFmtId="2" fontId="67" fillId="0" borderId="0" xfId="0" applyNumberFormat="1" applyFont="1" applyAlignment="1">
      <alignment horizontal="center" vertical="center"/>
    </xf>
    <xf numFmtId="0" fontId="2" fillId="0" borderId="0" xfId="0" applyFont="1"/>
    <xf numFmtId="184" fontId="0" fillId="0" borderId="0" xfId="0" applyNumberFormat="1"/>
    <xf numFmtId="166" fontId="67" fillId="0" borderId="0" xfId="0" applyNumberFormat="1" applyFont="1" applyAlignment="1">
      <alignment horizontal="center" vertical="center"/>
    </xf>
    <xf numFmtId="190" fontId="5" fillId="6" borderId="13" xfId="0" applyNumberFormat="1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167" fontId="49" fillId="10" borderId="17" xfId="0" applyNumberFormat="1" applyFont="1" applyFill="1" applyBorder="1" applyAlignment="1" applyProtection="1">
      <alignment horizontal="center" vertical="center"/>
      <protection locked="0"/>
    </xf>
    <xf numFmtId="184" fontId="0" fillId="0" borderId="17" xfId="0" applyNumberFormat="1" applyBorder="1" applyAlignment="1">
      <alignment horizontal="center"/>
    </xf>
    <xf numFmtId="167" fontId="0" fillId="0" borderId="17" xfId="0" applyNumberFormat="1" applyBorder="1" applyAlignment="1">
      <alignment horizontal="center"/>
    </xf>
    <xf numFmtId="1" fontId="44" fillId="10" borderId="17" xfId="0" applyNumberFormat="1" applyFont="1" applyFill="1" applyBorder="1" applyAlignment="1">
      <alignment horizontal="center" vertical="center"/>
    </xf>
    <xf numFmtId="167" fontId="44" fillId="10" borderId="17" xfId="0" applyNumberFormat="1" applyFont="1" applyFill="1" applyBorder="1" applyAlignment="1">
      <alignment horizontal="center" vertical="center"/>
    </xf>
    <xf numFmtId="187" fontId="44" fillId="10" borderId="17" xfId="0" applyNumberFormat="1" applyFont="1" applyFill="1" applyBorder="1" applyAlignment="1">
      <alignment horizontal="center" vertical="center"/>
    </xf>
    <xf numFmtId="0" fontId="50" fillId="2" borderId="17" xfId="0" applyFont="1" applyFill="1" applyBorder="1" applyAlignment="1" applyProtection="1">
      <alignment horizontal="center" vertical="center"/>
      <protection locked="0"/>
    </xf>
    <xf numFmtId="167" fontId="48" fillId="0" borderId="17" xfId="0" applyNumberFormat="1" applyFont="1" applyBorder="1" applyAlignment="1">
      <alignment horizontal="center" vertical="center"/>
    </xf>
    <xf numFmtId="187" fontId="48" fillId="0" borderId="17" xfId="0" applyNumberFormat="1" applyFont="1" applyBorder="1" applyAlignment="1">
      <alignment horizontal="center" vertical="center"/>
    </xf>
    <xf numFmtId="167" fontId="48" fillId="2" borderId="17" xfId="0" applyNumberFormat="1" applyFont="1" applyFill="1" applyBorder="1" applyAlignment="1">
      <alignment horizontal="center" vertical="center"/>
    </xf>
    <xf numFmtId="187" fontId="48" fillId="2" borderId="17" xfId="0" applyNumberFormat="1" applyFont="1" applyFill="1" applyBorder="1" applyAlignment="1">
      <alignment horizontal="center" vertical="center"/>
    </xf>
    <xf numFmtId="167" fontId="48" fillId="6" borderId="17" xfId="0" applyNumberFormat="1" applyFont="1" applyFill="1" applyBorder="1" applyAlignment="1">
      <alignment horizontal="center" vertical="center"/>
    </xf>
    <xf numFmtId="187" fontId="48" fillId="6" borderId="17" xfId="0" applyNumberFormat="1" applyFont="1" applyFill="1" applyBorder="1" applyAlignment="1">
      <alignment horizontal="center" vertical="center"/>
    </xf>
    <xf numFmtId="167" fontId="53" fillId="6" borderId="17" xfId="0" applyNumberFormat="1" applyFont="1" applyFill="1" applyBorder="1" applyAlignment="1" applyProtection="1">
      <alignment horizontal="center"/>
      <protection locked="0"/>
    </xf>
    <xf numFmtId="167" fontId="53" fillId="6" borderId="17" xfId="0" applyNumberFormat="1" applyFont="1" applyFill="1" applyBorder="1" applyAlignment="1" applyProtection="1">
      <alignment horizontal="center" vertical="center"/>
      <protection locked="0"/>
    </xf>
    <xf numFmtId="1" fontId="59" fillId="0" borderId="17" xfId="0" applyNumberFormat="1" applyFont="1" applyBorder="1" applyAlignment="1">
      <alignment horizontal="center" vertical="center"/>
    </xf>
    <xf numFmtId="167" fontId="59" fillId="0" borderId="17" xfId="0" quotePrefix="1" applyNumberFormat="1" applyFont="1" applyBorder="1" applyAlignment="1">
      <alignment horizontal="center" vertical="center"/>
    </xf>
    <xf numFmtId="167" fontId="5" fillId="0" borderId="17" xfId="0" applyNumberFormat="1" applyFont="1" applyBorder="1" applyAlignment="1">
      <alignment horizontal="center" vertical="center"/>
    </xf>
    <xf numFmtId="167" fontId="0" fillId="0" borderId="17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0" fontId="59" fillId="0" borderId="17" xfId="0" quotePrefix="1" applyFont="1" applyBorder="1" applyAlignment="1">
      <alignment horizontal="center" vertical="center"/>
    </xf>
    <xf numFmtId="0" fontId="59" fillId="0" borderId="17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91" fontId="5" fillId="0" borderId="0" xfId="2" applyNumberFormat="1" applyFont="1" applyBorder="1" applyAlignment="1">
      <alignment horizontal="center" vertical="center"/>
    </xf>
    <xf numFmtId="1" fontId="0" fillId="0" borderId="0" xfId="0" applyNumberFormat="1" applyAlignment="1">
      <alignment horizontal="left" indent="2"/>
    </xf>
    <xf numFmtId="0" fontId="68" fillId="11" borderId="28" xfId="0" applyFont="1" applyFill="1" applyBorder="1" applyAlignment="1">
      <alignment horizontal="center" vertical="center"/>
    </xf>
    <xf numFmtId="0" fontId="68" fillId="11" borderId="29" xfId="0" applyFont="1" applyFill="1" applyBorder="1" applyAlignment="1">
      <alignment horizontal="center" vertical="center"/>
    </xf>
    <xf numFmtId="164" fontId="37" fillId="0" borderId="19" xfId="0" applyNumberFormat="1" applyFont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32" fillId="0" borderId="4" xfId="1" applyFont="1" applyBorder="1" applyAlignment="1">
      <alignment horizontal="center" vertical="center"/>
    </xf>
    <xf numFmtId="0" fontId="32" fillId="0" borderId="6" xfId="1" applyFont="1" applyBorder="1" applyAlignment="1">
      <alignment horizontal="center" vertical="center"/>
    </xf>
    <xf numFmtId="0" fontId="32" fillId="0" borderId="5" xfId="1" applyFont="1" applyBorder="1" applyAlignment="1">
      <alignment horizontal="center" vertical="center"/>
    </xf>
    <xf numFmtId="0" fontId="69" fillId="11" borderId="30" xfId="0" applyFont="1" applyFill="1" applyBorder="1" applyAlignment="1">
      <alignment horizontal="center" vertical="center"/>
    </xf>
    <xf numFmtId="0" fontId="69" fillId="11" borderId="31" xfId="0" applyFont="1" applyFill="1" applyBorder="1" applyAlignment="1">
      <alignment horizontal="center" vertical="center"/>
    </xf>
    <xf numFmtId="0" fontId="69" fillId="11" borderId="32" xfId="0" applyFont="1" applyFill="1" applyBorder="1" applyAlignment="1">
      <alignment horizontal="center" vertical="center"/>
    </xf>
    <xf numFmtId="167" fontId="54" fillId="0" borderId="0" xfId="0" quotePrefix="1" applyNumberFormat="1" applyFont="1" applyAlignment="1">
      <alignment horizontal="center" vertical="center"/>
    </xf>
    <xf numFmtId="167" fontId="54" fillId="0" borderId="0" xfId="0" applyNumberFormat="1" applyFont="1" applyAlignment="1">
      <alignment horizontal="center" vertical="center"/>
    </xf>
    <xf numFmtId="0" fontId="58" fillId="11" borderId="30" xfId="0" applyFont="1" applyFill="1" applyBorder="1" applyAlignment="1">
      <alignment horizontal="center" vertical="center"/>
    </xf>
    <xf numFmtId="0" fontId="58" fillId="11" borderId="31" xfId="0" applyFont="1" applyFill="1" applyBorder="1" applyAlignment="1">
      <alignment horizontal="center" vertical="center"/>
    </xf>
    <xf numFmtId="0" fontId="58" fillId="11" borderId="32" xfId="0" applyFont="1" applyFill="1" applyBorder="1" applyAlignment="1">
      <alignment horizontal="center" vertical="center"/>
    </xf>
    <xf numFmtId="167" fontId="54" fillId="0" borderId="0" xfId="0" quotePrefix="1" applyNumberFormat="1" applyFont="1" applyAlignment="1">
      <alignment horizontal="center"/>
    </xf>
    <xf numFmtId="167" fontId="54" fillId="0" borderId="0" xfId="0" applyNumberFormat="1" applyFont="1" applyAlignment="1">
      <alignment horizontal="center"/>
    </xf>
    <xf numFmtId="167" fontId="63" fillId="11" borderId="30" xfId="0" applyNumberFormat="1" applyFont="1" applyFill="1" applyBorder="1" applyAlignment="1" applyProtection="1">
      <alignment horizontal="center" vertical="center"/>
      <protection locked="0"/>
    </xf>
    <xf numFmtId="167" fontId="63" fillId="11" borderId="31" xfId="0" applyNumberFormat="1" applyFont="1" applyFill="1" applyBorder="1" applyAlignment="1" applyProtection="1">
      <alignment horizontal="center" vertical="center"/>
      <protection locked="0"/>
    </xf>
    <xf numFmtId="167" fontId="63" fillId="11" borderId="32" xfId="0" applyNumberFormat="1" applyFont="1" applyFill="1" applyBorder="1" applyAlignment="1" applyProtection="1">
      <alignment horizontal="center" vertical="center"/>
      <protection locked="0"/>
    </xf>
    <xf numFmtId="166" fontId="47" fillId="0" borderId="17" xfId="0" applyNumberFormat="1" applyFont="1" applyBorder="1" applyAlignment="1">
      <alignment horizontal="center" vertical="center"/>
    </xf>
    <xf numFmtId="167" fontId="47" fillId="0" borderId="17" xfId="0" applyNumberFormat="1" applyFont="1" applyBorder="1" applyAlignment="1" applyProtection="1">
      <alignment horizontal="center" vertical="center"/>
      <protection locked="0"/>
    </xf>
    <xf numFmtId="167" fontId="70" fillId="0" borderId="0" xfId="0" applyNumberFormat="1" applyFont="1" applyAlignment="1">
      <alignment horizontal="center" vertical="center"/>
    </xf>
    <xf numFmtId="166" fontId="64" fillId="0" borderId="33" xfId="0" applyNumberFormat="1" applyFont="1" applyBorder="1" applyAlignment="1">
      <alignment horizontal="center" vertical="center"/>
    </xf>
    <xf numFmtId="166" fontId="64" fillId="0" borderId="34" xfId="0" applyNumberFormat="1" applyFont="1" applyBorder="1" applyAlignment="1">
      <alignment horizontal="center" vertical="center"/>
    </xf>
    <xf numFmtId="166" fontId="64" fillId="0" borderId="35" xfId="0" applyNumberFormat="1" applyFont="1" applyBorder="1" applyAlignment="1">
      <alignment horizontal="center" vertical="center"/>
    </xf>
    <xf numFmtId="164" fontId="62" fillId="11" borderId="30" xfId="0" applyNumberFormat="1" applyFont="1" applyFill="1" applyBorder="1" applyAlignment="1">
      <alignment horizontal="center" vertical="center"/>
    </xf>
    <xf numFmtId="164" fontId="62" fillId="11" borderId="31" xfId="0" applyNumberFormat="1" applyFont="1" applyFill="1" applyBorder="1" applyAlignment="1">
      <alignment horizontal="center" vertical="center"/>
    </xf>
    <xf numFmtId="164" fontId="62" fillId="11" borderId="32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71" fillId="11" borderId="30" xfId="0" applyNumberFormat="1" applyFont="1" applyFill="1" applyBorder="1" applyAlignment="1">
      <alignment horizontal="center" vertical="center"/>
    </xf>
    <xf numFmtId="164" fontId="71" fillId="11" borderId="31" xfId="0" applyNumberFormat="1" applyFont="1" applyFill="1" applyBorder="1" applyAlignment="1">
      <alignment horizontal="center" vertical="center"/>
    </xf>
    <xf numFmtId="164" fontId="71" fillId="11" borderId="32" xfId="0" applyNumberFormat="1" applyFont="1" applyFill="1" applyBorder="1" applyAlignment="1">
      <alignment horizontal="center" vertical="center"/>
    </xf>
  </cellXfs>
  <cellStyles count="3">
    <cellStyle name="Normal" xfId="0" builtinId="0"/>
    <cellStyle name="Normal_Feuil1" xfId="1" xr:uid="{3BE462FD-4343-4953-BCA2-D8B30166038B}"/>
    <cellStyle name="Pourcentage" xfId="2" builtinId="5"/>
  </cellStyles>
  <dxfs count="1">
    <dxf>
      <font>
        <b/>
        <i val="0"/>
        <condense val="0"/>
        <extend val="0"/>
        <color indexed="12"/>
      </font>
      <fill>
        <patternFill>
          <bgColor indexed="4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19050</xdr:rowOff>
        </xdr:from>
        <xdr:to>
          <xdr:col>6</xdr:col>
          <xdr:colOff>800100</xdr:colOff>
          <xdr:row>4</xdr:row>
          <xdr:rowOff>114300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</a:t>
              </a:r>
            </a:p>
            <a:p>
              <a:pPr algn="ctr" rtl="0">
                <a:defRPr sz="1000"/>
              </a:pP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2</xdr:row>
          <xdr:rowOff>161925</xdr:rowOff>
        </xdr:from>
        <xdr:to>
          <xdr:col>11</xdr:col>
          <xdr:colOff>171450</xdr:colOff>
          <xdr:row>4</xdr:row>
          <xdr:rowOff>133350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2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0000"/>
                  </a:solidFill>
                  <a:latin typeface="Eras Medium ITC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1</xdr:row>
          <xdr:rowOff>152400</xdr:rowOff>
        </xdr:from>
        <xdr:to>
          <xdr:col>8</xdr:col>
          <xdr:colOff>390525</xdr:colOff>
          <xdr:row>4</xdr:row>
          <xdr:rowOff>66675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2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resets_PVA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19050</xdr:rowOff>
        </xdr:from>
        <xdr:to>
          <xdr:col>6</xdr:col>
          <xdr:colOff>800100</xdr:colOff>
          <xdr:row>4</xdr:row>
          <xdr:rowOff>114300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</a:t>
              </a:r>
            </a:p>
            <a:p>
              <a:pPr algn="ctr" rtl="0">
                <a:defRPr sz="1000"/>
              </a:pP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152400</xdr:rowOff>
        </xdr:from>
        <xdr:to>
          <xdr:col>9</xdr:col>
          <xdr:colOff>552450</xdr:colOff>
          <xdr:row>4</xdr:row>
          <xdr:rowOff>66675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857250</xdr:colOff>
          <xdr:row>1</xdr:row>
          <xdr:rowOff>76200</xdr:rowOff>
        </xdr:from>
        <xdr:to>
          <xdr:col>5</xdr:col>
          <xdr:colOff>638175</xdr:colOff>
          <xdr:row>2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0000"/>
                  </a:solidFill>
                  <a:latin typeface="Eras Medium ITC"/>
                </a:rPr>
                <a:t>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1</xdr:row>
          <xdr:rowOff>66675</xdr:rowOff>
        </xdr:from>
        <xdr:to>
          <xdr:col>10</xdr:col>
          <xdr:colOff>314325</xdr:colOff>
          <xdr:row>2</xdr:row>
          <xdr:rowOff>142875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0000"/>
                  </a:solidFill>
                  <a:latin typeface="Eras Medium ITC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FFICE-SERVER\Users\Documents%20and%20Settings\Administrateur\Mes%20documents\Tunnel\calcul_ax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ulation"/>
      <sheetName val="Ecarts"/>
      <sheetName val="Entrée"/>
      <sheetName val="Rabattement"/>
      <sheetName val="Calcul XY du rabattement"/>
      <sheetName val="Calcul Z du rabattement"/>
      <sheetName val="définition axe en plan"/>
      <sheetName val="définition profil en long"/>
      <sheetName val="Calcul XY"/>
      <sheetName val="Calcul Z"/>
      <sheetName val="Fonc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417B5-EE10-4A2B-84C9-0D38375AFA09}">
  <sheetPr codeName="Feuil12"/>
  <dimension ref="A1:B15"/>
  <sheetViews>
    <sheetView zoomScale="130" zoomScaleNormal="130" workbookViewId="0">
      <selection activeCell="D11" sqref="D11"/>
    </sheetView>
  </sheetViews>
  <sheetFormatPr baseColWidth="10" defaultRowHeight="15.75" x14ac:dyDescent="0.25"/>
  <cols>
    <col min="1" max="1" width="60" style="276" customWidth="1"/>
    <col min="2" max="2" width="75.28515625" style="277" customWidth="1"/>
  </cols>
  <sheetData>
    <row r="1" spans="1:2" ht="36" customHeight="1" x14ac:dyDescent="0.2">
      <c r="A1" s="304" t="s">
        <v>205</v>
      </c>
      <c r="B1" s="305"/>
    </row>
    <row r="3" spans="1:2" x14ac:dyDescent="0.25">
      <c r="A3" s="276" t="s">
        <v>206</v>
      </c>
      <c r="B3" s="277" t="s">
        <v>215</v>
      </c>
    </row>
    <row r="5" spans="1:2" x14ac:dyDescent="0.25">
      <c r="A5" s="276" t="s">
        <v>207</v>
      </c>
      <c r="B5" s="277" t="s">
        <v>208</v>
      </c>
    </row>
    <row r="7" spans="1:2" x14ac:dyDescent="0.25">
      <c r="A7" s="276" t="s">
        <v>209</v>
      </c>
    </row>
    <row r="9" spans="1:2" x14ac:dyDescent="0.25">
      <c r="A9" s="276" t="s">
        <v>210</v>
      </c>
    </row>
    <row r="11" spans="1:2" x14ac:dyDescent="0.25">
      <c r="A11" s="276" t="s">
        <v>211</v>
      </c>
    </row>
    <row r="13" spans="1:2" x14ac:dyDescent="0.25">
      <c r="A13" s="276" t="s">
        <v>212</v>
      </c>
    </row>
    <row r="15" spans="1:2" x14ac:dyDescent="0.25">
      <c r="A15" s="276" t="s">
        <v>213</v>
      </c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7433D-7E5C-4DF7-A0A9-FCD19A50C9A6}">
  <sheetPr codeName="Feuil1">
    <pageSetUpPr fitToPage="1"/>
  </sheetPr>
  <dimension ref="A1:U42"/>
  <sheetViews>
    <sheetView zoomScale="55" zoomScaleNormal="50" workbookViewId="0">
      <pane xSplit="3" topLeftCell="D1" activePane="topRight" state="frozenSplit"/>
      <selection pane="topRight" activeCell="A4" sqref="A4 D4:E4 G4"/>
    </sheetView>
  </sheetViews>
  <sheetFormatPr baseColWidth="10" defaultColWidth="14" defaultRowHeight="15.75" x14ac:dyDescent="0.2"/>
  <cols>
    <col min="1" max="1" width="20.7109375" style="132" customWidth="1"/>
    <col min="2" max="2" width="21.85546875" style="132" bestFit="1" customWidth="1"/>
    <col min="3" max="3" width="20.7109375" style="132" customWidth="1"/>
    <col min="4" max="5" width="25.7109375" style="132" customWidth="1"/>
    <col min="6" max="19" width="20.7109375" style="132" customWidth="1"/>
    <col min="20" max="20" width="23.5703125" style="132" customWidth="1"/>
    <col min="21" max="16384" width="14" style="132"/>
  </cols>
  <sheetData>
    <row r="1" spans="1:21" ht="39.950000000000003" customHeight="1" thickTop="1" thickBot="1" x14ac:dyDescent="0.25">
      <c r="A1" s="126" t="s">
        <v>0</v>
      </c>
      <c r="B1" s="127"/>
      <c r="C1" s="128"/>
      <c r="D1" s="129" t="s">
        <v>1</v>
      </c>
      <c r="E1" s="130"/>
      <c r="F1" s="130"/>
      <c r="G1" s="130"/>
      <c r="H1" s="130"/>
      <c r="I1" s="131"/>
      <c r="J1" s="308" t="s">
        <v>189</v>
      </c>
      <c r="K1" s="309"/>
      <c r="L1" s="310"/>
      <c r="M1"/>
      <c r="N1"/>
      <c r="P1" s="311" t="str">
        <f>'INFOS-PARAM'!B3&amp;"-"&amp;'INFOS-PARAM'!B5</f>
        <v>GGS-EXE</v>
      </c>
      <c r="Q1" s="312"/>
      <c r="R1" s="312"/>
      <c r="S1" s="312"/>
      <c r="T1" s="312"/>
      <c r="U1" s="313"/>
    </row>
    <row r="2" spans="1:21" ht="39.950000000000003" customHeight="1" thickTop="1" thickBot="1" x14ac:dyDescent="0.25">
      <c r="A2" s="133" t="s">
        <v>2</v>
      </c>
      <c r="B2" s="134" t="s">
        <v>3</v>
      </c>
      <c r="C2" s="134" t="s">
        <v>4</v>
      </c>
      <c r="D2" s="135" t="s">
        <v>5</v>
      </c>
      <c r="E2" s="136" t="s">
        <v>6</v>
      </c>
      <c r="F2" s="136" t="s">
        <v>7</v>
      </c>
      <c r="G2" s="136" t="s">
        <v>8</v>
      </c>
      <c r="H2" s="136" t="s">
        <v>9</v>
      </c>
      <c r="I2" s="136" t="s">
        <v>10</v>
      </c>
      <c r="J2" s="135" t="s">
        <v>173</v>
      </c>
      <c r="K2" s="136" t="s">
        <v>175</v>
      </c>
      <c r="L2" s="137" t="s">
        <v>8</v>
      </c>
      <c r="M2"/>
      <c r="N2"/>
    </row>
    <row r="3" spans="1:21" ht="39.950000000000003" customHeight="1" thickTop="1" x14ac:dyDescent="0.25">
      <c r="A3" s="138"/>
      <c r="B3" s="139"/>
      <c r="C3" s="139"/>
      <c r="D3" s="140"/>
      <c r="E3" s="141"/>
      <c r="F3" s="141"/>
      <c r="G3" s="141"/>
      <c r="H3" s="141"/>
      <c r="I3" s="141"/>
      <c r="J3" s="140"/>
      <c r="K3" s="141"/>
      <c r="L3" s="142"/>
      <c r="M3"/>
      <c r="N3"/>
    </row>
    <row r="4" spans="1:21" ht="39.950000000000003" customHeight="1" x14ac:dyDescent="0.2">
      <c r="A4" s="114">
        <v>100</v>
      </c>
      <c r="B4" s="217">
        <v>0</v>
      </c>
      <c r="C4" s="217">
        <v>0</v>
      </c>
      <c r="D4" s="260">
        <f>'Calcul XY'!C4</f>
        <v>0</v>
      </c>
      <c r="E4" s="261">
        <f>'Calcul XY'!D4</f>
        <v>0</v>
      </c>
      <c r="F4" s="143">
        <f>'Calcul Z'!C4</f>
        <v>0</v>
      </c>
      <c r="G4" s="206">
        <f>F4+EcartVdonné</f>
        <v>0</v>
      </c>
      <c r="H4" s="144">
        <f>'Calcul XY'!E4</f>
        <v>0</v>
      </c>
      <c r="I4" s="211">
        <f>'Calcul Z'!D4</f>
        <v>0</v>
      </c>
      <c r="J4" s="214">
        <f>'Calcul XY'!F4</f>
        <v>0</v>
      </c>
      <c r="K4" s="143">
        <f>F4+Hormigon+entrevoie/2*ABS(J4)+EcartVdonné</f>
        <v>0</v>
      </c>
      <c r="L4" s="215">
        <f>+K4+EcartHdonné*J4</f>
        <v>0</v>
      </c>
      <c r="M4"/>
      <c r="N4"/>
    </row>
    <row r="5" spans="1:21" ht="39.950000000000003" customHeight="1" thickBot="1" x14ac:dyDescent="0.3">
      <c r="A5" s="146"/>
      <c r="B5" s="147"/>
      <c r="C5" s="147"/>
      <c r="D5" s="148"/>
      <c r="E5" s="149"/>
      <c r="F5" s="149"/>
      <c r="G5" s="149"/>
      <c r="H5" s="149"/>
      <c r="I5" s="149"/>
      <c r="J5" s="148"/>
      <c r="K5" s="149"/>
      <c r="L5" s="150"/>
      <c r="M5"/>
      <c r="N5"/>
    </row>
    <row r="6" spans="1:21" ht="39.950000000000003" customHeight="1" thickTop="1" thickBot="1" x14ac:dyDescent="0.25">
      <c r="G6" s="208"/>
      <c r="J6" s="232"/>
      <c r="K6" s="232"/>
    </row>
    <row r="7" spans="1:21" ht="39.950000000000003" customHeight="1" thickTop="1" thickBot="1" x14ac:dyDescent="0.25">
      <c r="A7" s="126" t="s">
        <v>0</v>
      </c>
      <c r="B7" s="130"/>
      <c r="C7" s="131"/>
      <c r="D7" s="129" t="s">
        <v>11</v>
      </c>
      <c r="E7" s="127"/>
      <c r="F7" s="128"/>
      <c r="G7" s="139"/>
      <c r="H7" s="139"/>
      <c r="I7" s="139"/>
      <c r="L7" s="129" t="s">
        <v>177</v>
      </c>
      <c r="M7" s="228"/>
      <c r="N7" s="228"/>
      <c r="O7" s="127"/>
      <c r="P7" s="127"/>
      <c r="Q7" s="128"/>
      <c r="R7" s="306" t="s">
        <v>179</v>
      </c>
      <c r="S7" s="306" t="s">
        <v>180</v>
      </c>
    </row>
    <row r="8" spans="1:21" ht="39.950000000000003" customHeight="1" thickTop="1" thickBot="1" x14ac:dyDescent="0.25">
      <c r="A8" s="151" t="s">
        <v>5</v>
      </c>
      <c r="B8" s="152" t="s">
        <v>6</v>
      </c>
      <c r="C8" s="153" t="s">
        <v>8</v>
      </c>
      <c r="D8" s="154" t="s">
        <v>2</v>
      </c>
      <c r="E8" s="155" t="s">
        <v>12</v>
      </c>
      <c r="F8" s="156" t="s">
        <v>13</v>
      </c>
      <c r="G8" s="135" t="s">
        <v>14</v>
      </c>
      <c r="H8" s="136" t="s">
        <v>15</v>
      </c>
      <c r="I8" s="136" t="s">
        <v>7</v>
      </c>
      <c r="J8" s="136" t="s">
        <v>9</v>
      </c>
      <c r="K8" s="137" t="s">
        <v>10</v>
      </c>
      <c r="L8" s="135" t="s">
        <v>173</v>
      </c>
      <c r="M8" s="136" t="s">
        <v>174</v>
      </c>
      <c r="N8" s="137" t="s">
        <v>8</v>
      </c>
      <c r="O8" s="227" t="s">
        <v>2</v>
      </c>
      <c r="P8" s="155" t="s">
        <v>12</v>
      </c>
      <c r="Q8" s="156" t="s">
        <v>13</v>
      </c>
      <c r="R8" s="307"/>
      <c r="S8" s="307"/>
      <c r="T8" s="135" t="s">
        <v>173</v>
      </c>
    </row>
    <row r="9" spans="1:21" ht="39.950000000000003" customHeight="1" thickTop="1" x14ac:dyDescent="0.25">
      <c r="A9" s="140"/>
      <c r="B9" s="141"/>
      <c r="C9" s="142"/>
      <c r="D9" s="138"/>
      <c r="E9" s="139"/>
      <c r="F9" s="157"/>
      <c r="G9" s="140"/>
      <c r="H9" s="141"/>
      <c r="I9" s="141"/>
      <c r="J9" s="141"/>
      <c r="K9" s="142"/>
      <c r="L9" s="223"/>
      <c r="M9" s="141"/>
      <c r="N9" s="142"/>
      <c r="O9" s="224"/>
      <c r="P9" s="225"/>
      <c r="Q9" s="226"/>
      <c r="R9" s="248"/>
      <c r="S9" s="248"/>
      <c r="T9" s="223"/>
    </row>
    <row r="10" spans="1:21" ht="39.950000000000003" customHeight="1" x14ac:dyDescent="0.2">
      <c r="A10" s="114">
        <v>823072.59600000002</v>
      </c>
      <c r="B10" s="116">
        <v>1091432.9236999999</v>
      </c>
      <c r="C10" s="160">
        <v>-122.4958</v>
      </c>
      <c r="D10" s="158">
        <f>Rabattement!C4</f>
        <v>-9.9327199999999998</v>
      </c>
      <c r="E10" s="218">
        <f>Rabattement!D4</f>
        <v>-2.7017699999999998</v>
      </c>
      <c r="F10" s="218">
        <f>C10-I10</f>
        <v>-6.9494017210487868E-2</v>
      </c>
      <c r="G10" s="158">
        <f>'Calcul XY du rabattement'!C54</f>
        <v>823071.45418</v>
      </c>
      <c r="H10" s="143">
        <f>'Calcul XY du rabattement'!D54</f>
        <v>1091435.37234</v>
      </c>
      <c r="I10" s="143">
        <f>'Calcul Z du rabattement'!C49</f>
        <v>-122.42630598278951</v>
      </c>
      <c r="J10" s="144">
        <f>'Calcul XY du rabattement'!E54</f>
        <v>272.22219999999999</v>
      </c>
      <c r="K10" s="145">
        <f>'Calcul Z du rabattement'!D49</f>
        <v>1.0000182509878046E-2</v>
      </c>
      <c r="L10" s="214">
        <f>Rabattement!E4</f>
        <v>0</v>
      </c>
      <c r="M10" s="143">
        <f>I10+Hormigon+entrevoie/2*ABS(L10)</f>
        <v>-122.42630598278951</v>
      </c>
      <c r="N10" s="215">
        <f>+M10+E10*L10</f>
        <v>-122.42630598278951</v>
      </c>
      <c r="O10" s="143">
        <f>PMrabat</f>
        <v>-9.9327199999999998</v>
      </c>
      <c r="P10" s="218">
        <f>E10</f>
        <v>-2.7017699999999998</v>
      </c>
      <c r="Q10" s="219">
        <f>Zdonné-N10</f>
        <v>-6.9494017210487868E-2</v>
      </c>
      <c r="R10" s="249">
        <f>IF(L10&gt;=0,I10+Rail+0.55,I10+Rail+0.55+entrevoie*ABS(L10))</f>
        <v>-121.87630598278952</v>
      </c>
      <c r="S10" s="249">
        <f>I10+Rail</f>
        <v>-122.42630598278951</v>
      </c>
      <c r="T10" s="214">
        <f>Rabattement!E4</f>
        <v>0</v>
      </c>
    </row>
    <row r="11" spans="1:21" ht="39.950000000000003" customHeight="1" thickBot="1" x14ac:dyDescent="0.3">
      <c r="A11" s="148"/>
      <c r="B11" s="149"/>
      <c r="C11" s="150"/>
      <c r="D11" s="146"/>
      <c r="E11" s="147"/>
      <c r="F11" s="159"/>
      <c r="G11" s="148"/>
      <c r="H11" s="149"/>
      <c r="I11" s="149"/>
      <c r="J11" s="149"/>
      <c r="K11" s="150"/>
      <c r="L11" s="146"/>
      <c r="M11" s="233"/>
      <c r="N11" s="229"/>
      <c r="O11" s="147"/>
      <c r="P11" s="147"/>
      <c r="Q11" s="159"/>
      <c r="R11" s="250"/>
      <c r="S11" s="250"/>
    </row>
    <row r="12" spans="1:21" ht="16.5" thickTop="1" x14ac:dyDescent="0.2"/>
    <row r="16" spans="1:21" ht="18.75" x14ac:dyDescent="0.2">
      <c r="A16" s="205"/>
      <c r="B16" s="205"/>
      <c r="C16" s="230"/>
      <c r="D16" s="205"/>
      <c r="E16" s="205"/>
      <c r="F16" s="205"/>
      <c r="G16" s="205"/>
      <c r="H16" s="205"/>
      <c r="I16" s="205"/>
      <c r="J16" s="205"/>
    </row>
    <row r="17" spans="1:10" ht="18.75" x14ac:dyDescent="0.2">
      <c r="A17" s="205"/>
      <c r="B17" s="205"/>
      <c r="C17" s="205"/>
      <c r="D17" s="205"/>
      <c r="E17" s="205"/>
      <c r="F17" s="205"/>
      <c r="G17" s="205"/>
      <c r="H17" s="205"/>
      <c r="I17" s="205"/>
      <c r="J17" s="205"/>
    </row>
    <row r="18" spans="1:10" ht="18.75" x14ac:dyDescent="0.2">
      <c r="A18" s="205"/>
      <c r="B18" s="205"/>
      <c r="C18" s="205"/>
      <c r="D18" s="205"/>
      <c r="E18" s="205"/>
      <c r="F18" s="205"/>
      <c r="G18" s="205"/>
      <c r="H18" s="205"/>
      <c r="I18" s="205"/>
      <c r="J18" s="205"/>
    </row>
    <row r="19" spans="1:10" ht="18.75" x14ac:dyDescent="0.2">
      <c r="A19" s="205"/>
      <c r="B19" s="205"/>
      <c r="C19" s="205"/>
      <c r="D19" s="205"/>
      <c r="E19" s="205"/>
      <c r="F19" s="205"/>
      <c r="G19" s="205"/>
      <c r="H19" s="205"/>
      <c r="I19" s="205"/>
      <c r="J19" s="205"/>
    </row>
    <row r="20" spans="1:10" ht="18.75" x14ac:dyDescent="0.2">
      <c r="A20" s="205"/>
      <c r="B20" s="205"/>
      <c r="C20" s="205"/>
      <c r="D20" s="205"/>
      <c r="E20" s="205"/>
      <c r="F20" s="205"/>
      <c r="G20" s="205"/>
      <c r="H20" s="205"/>
      <c r="I20" s="205"/>
      <c r="J20" s="205"/>
    </row>
    <row r="21" spans="1:10" ht="18.75" x14ac:dyDescent="0.2">
      <c r="A21" s="205"/>
      <c r="B21" s="205"/>
      <c r="C21" s="205"/>
      <c r="D21" s="205"/>
      <c r="E21" s="205"/>
      <c r="F21" s="205"/>
      <c r="G21" s="205"/>
      <c r="H21" s="205"/>
      <c r="I21" s="205"/>
      <c r="J21" s="205"/>
    </row>
    <row r="22" spans="1:10" ht="18.75" x14ac:dyDescent="0.2">
      <c r="A22" s="205"/>
      <c r="B22" s="205"/>
      <c r="C22" s="205"/>
      <c r="D22" s="205"/>
      <c r="E22" s="205"/>
      <c r="F22" s="205"/>
      <c r="G22" s="205"/>
      <c r="H22" s="205"/>
      <c r="I22" s="205"/>
      <c r="J22" s="205"/>
    </row>
    <row r="23" spans="1:10" ht="18.75" x14ac:dyDescent="0.2">
      <c r="A23" s="205"/>
      <c r="B23" s="205"/>
      <c r="C23" s="205"/>
      <c r="D23" s="205"/>
      <c r="E23" s="252"/>
      <c r="F23" s="205"/>
      <c r="G23" s="252"/>
      <c r="H23" s="252"/>
      <c r="I23" s="205"/>
      <c r="J23" s="205"/>
    </row>
    <row r="24" spans="1:10" ht="18.75" x14ac:dyDescent="0.2">
      <c r="A24" s="205"/>
      <c r="B24" s="205"/>
      <c r="C24" s="205"/>
      <c r="D24" s="205"/>
      <c r="E24" s="252"/>
      <c r="F24" s="205"/>
      <c r="G24" s="252"/>
      <c r="H24" s="252"/>
      <c r="I24" s="205"/>
      <c r="J24" s="205"/>
    </row>
    <row r="25" spans="1:10" ht="18.75" x14ac:dyDescent="0.2">
      <c r="A25" s="205"/>
      <c r="B25" s="205"/>
      <c r="C25" s="205"/>
      <c r="D25" s="205"/>
      <c r="E25" s="252"/>
      <c r="F25" s="205"/>
      <c r="G25" s="252"/>
      <c r="H25" s="252"/>
      <c r="I25" s="205"/>
      <c r="J25" s="205"/>
    </row>
    <row r="26" spans="1:10" ht="18.75" x14ac:dyDescent="0.2">
      <c r="A26" s="205"/>
      <c r="B26" s="205"/>
      <c r="C26" s="205"/>
      <c r="D26" s="205"/>
      <c r="E26" s="205"/>
      <c r="F26" s="205"/>
      <c r="G26" s="205"/>
      <c r="H26" s="205"/>
      <c r="I26" s="205"/>
      <c r="J26" s="205"/>
    </row>
    <row r="27" spans="1:10" ht="18.75" x14ac:dyDescent="0.2">
      <c r="A27" s="205"/>
      <c r="B27" s="205"/>
      <c r="C27" s="205"/>
      <c r="D27" s="205"/>
      <c r="E27" s="205"/>
      <c r="G27" s="205"/>
      <c r="H27" s="205"/>
      <c r="I27" s="205"/>
      <c r="J27" s="205"/>
    </row>
    <row r="28" spans="1:10" ht="18.75" x14ac:dyDescent="0.2">
      <c r="A28" s="205"/>
      <c r="B28" s="205"/>
      <c r="C28" s="205"/>
      <c r="D28" s="205"/>
      <c r="E28" s="205"/>
      <c r="G28" s="205"/>
      <c r="H28" s="205"/>
      <c r="I28" s="205"/>
      <c r="J28" s="205"/>
    </row>
    <row r="29" spans="1:10" ht="18.75" x14ac:dyDescent="0.2">
      <c r="A29" s="205"/>
      <c r="B29" s="205"/>
      <c r="C29" s="205"/>
      <c r="D29" s="205"/>
      <c r="E29" s="205"/>
      <c r="G29" s="205"/>
      <c r="H29" s="205"/>
      <c r="I29" s="205"/>
      <c r="J29" s="205"/>
    </row>
    <row r="30" spans="1:10" ht="18.75" x14ac:dyDescent="0.2">
      <c r="A30" s="205"/>
      <c r="B30" s="205"/>
      <c r="C30" s="205"/>
      <c r="D30" s="205"/>
      <c r="E30" s="205"/>
      <c r="G30" s="205"/>
      <c r="H30" s="205"/>
      <c r="I30" s="205"/>
      <c r="J30" s="205"/>
    </row>
    <row r="31" spans="1:10" ht="18.75" x14ac:dyDescent="0.2">
      <c r="A31" s="205"/>
      <c r="B31" s="205"/>
      <c r="C31" s="205"/>
      <c r="D31" s="205"/>
      <c r="E31" s="205"/>
      <c r="G31" s="205"/>
      <c r="H31" s="205"/>
      <c r="I31" s="205"/>
      <c r="J31" s="205"/>
    </row>
    <row r="32" spans="1:10" ht="18.75" x14ac:dyDescent="0.2">
      <c r="A32" s="205"/>
      <c r="B32" s="205"/>
      <c r="C32" s="205"/>
      <c r="D32" s="205"/>
      <c r="E32" s="205"/>
      <c r="G32" s="205"/>
      <c r="H32" s="205"/>
      <c r="I32" s="205"/>
      <c r="J32" s="205"/>
    </row>
    <row r="33" spans="1:10" ht="18.75" x14ac:dyDescent="0.2">
      <c r="A33" s="205"/>
      <c r="B33" s="205"/>
      <c r="C33" s="205"/>
      <c r="D33" s="205"/>
      <c r="E33" s="205"/>
      <c r="G33" s="205"/>
      <c r="H33" s="205"/>
      <c r="I33" s="205"/>
      <c r="J33" s="205"/>
    </row>
    <row r="34" spans="1:10" ht="18.75" x14ac:dyDescent="0.2">
      <c r="A34" s="205"/>
      <c r="B34" s="205"/>
      <c r="C34" s="205"/>
      <c r="D34" s="205"/>
      <c r="E34" s="205"/>
      <c r="G34" s="205"/>
      <c r="H34" s="205"/>
      <c r="I34" s="205"/>
      <c r="J34" s="205"/>
    </row>
    <row r="35" spans="1:10" ht="18.75" x14ac:dyDescent="0.2">
      <c r="A35" s="205"/>
      <c r="B35" s="205"/>
      <c r="C35" s="205"/>
      <c r="D35" s="205"/>
      <c r="E35" s="205"/>
      <c r="G35" s="205"/>
      <c r="H35" s="205"/>
      <c r="I35" s="205"/>
      <c r="J35" s="205"/>
    </row>
    <row r="36" spans="1:10" ht="18.75" x14ac:dyDescent="0.2">
      <c r="A36" s="205"/>
      <c r="B36" s="205"/>
      <c r="C36" s="205"/>
      <c r="D36" s="205"/>
      <c r="E36" s="205"/>
      <c r="G36" s="205"/>
      <c r="H36" s="205"/>
      <c r="I36" s="205"/>
      <c r="J36" s="205"/>
    </row>
    <row r="37" spans="1:10" ht="18.75" x14ac:dyDescent="0.2">
      <c r="A37" s="205"/>
      <c r="B37" s="205"/>
      <c r="C37" s="205"/>
      <c r="D37" s="205"/>
      <c r="E37" s="205"/>
      <c r="G37" s="205"/>
      <c r="H37" s="205"/>
      <c r="I37" s="205"/>
      <c r="J37" s="205"/>
    </row>
    <row r="38" spans="1:10" ht="18.75" x14ac:dyDescent="0.2">
      <c r="A38" s="205"/>
      <c r="B38" s="205"/>
      <c r="C38" s="205"/>
      <c r="D38" s="205"/>
      <c r="E38" s="205"/>
      <c r="G38" s="205"/>
      <c r="H38" s="205"/>
      <c r="I38" s="205"/>
      <c r="J38" s="205"/>
    </row>
    <row r="39" spans="1:10" ht="18.75" x14ac:dyDescent="0.2">
      <c r="A39" s="205"/>
      <c r="B39" s="205"/>
      <c r="C39" s="205"/>
      <c r="D39" s="205"/>
      <c r="E39" s="205"/>
    </row>
    <row r="40" spans="1:10" ht="18.75" x14ac:dyDescent="0.2">
      <c r="A40" s="205"/>
      <c r="B40" s="205"/>
      <c r="C40" s="205"/>
      <c r="D40" s="205"/>
      <c r="E40" s="205"/>
    </row>
    <row r="41" spans="1:10" ht="18.75" x14ac:dyDescent="0.2">
      <c r="A41" s="205"/>
      <c r="B41" s="205"/>
      <c r="C41" s="205"/>
      <c r="D41" s="205"/>
      <c r="E41" s="205"/>
    </row>
    <row r="42" spans="1:10" ht="18.75" x14ac:dyDescent="0.2">
      <c r="A42" s="205"/>
      <c r="B42" s="205"/>
      <c r="C42" s="205"/>
      <c r="D42" s="205"/>
      <c r="E42" s="205"/>
    </row>
  </sheetData>
  <customSheetViews>
    <customSheetView guid="{7E34E800-94BB-11D6-B2C6-0002A57730F5}" scale="50" fitToPage="1" showRuler="0">
      <selection activeCell="A10" sqref="A10:C10"/>
      <pageMargins left="0.39370078740157483" right="0.19685039370078741" top="0.84" bottom="0.39370078740157483" header="0.11811023622047245" footer="0.11811023622047245"/>
      <printOptions horizontalCentered="1"/>
      <pageSetup paperSize="9" scale="70" orientation="landscape" horizontalDpi="300" verticalDpi="300" r:id="rId1"/>
      <headerFooter alignWithMargins="0">
        <oddHeader>&amp;C&amp;F&amp;A</oddHeader>
      </headerFooter>
    </customSheetView>
  </customSheetViews>
  <mergeCells count="4">
    <mergeCell ref="S7:S8"/>
    <mergeCell ref="J1:L1"/>
    <mergeCell ref="R7:R8"/>
    <mergeCell ref="P1:U1"/>
  </mergeCells>
  <phoneticPr fontId="0" type="noConversion"/>
  <printOptions horizontalCentered="1"/>
  <pageMargins left="0.39370078740157483" right="0.19685039370078741" top="0.84" bottom="0.39370078740157483" header="0.11811023622047245" footer="0.11811023622047245"/>
  <pageSetup paperSize="9" scale="73" orientation="landscape" horizontalDpi="300" verticalDpi="300" r:id="rId2"/>
  <headerFooter alignWithMargins="0">
    <oddHeader>&amp;C&amp;F&amp;A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93585-1B26-443F-BDF8-1DBAA3DA346A}">
  <sheetPr codeName="Feuil11">
    <pageSetUpPr fitToPage="1"/>
  </sheetPr>
  <dimension ref="A1:S1230"/>
  <sheetViews>
    <sheetView zoomScale="70" zoomScaleNormal="70" zoomScaleSheetLayoutView="100" workbookViewId="0">
      <selection activeCell="P30" sqref="P30"/>
    </sheetView>
  </sheetViews>
  <sheetFormatPr baseColWidth="10" defaultRowHeight="14.1" customHeight="1" x14ac:dyDescent="0.2"/>
  <cols>
    <col min="1" max="1" width="15.85546875" style="75" customWidth="1"/>
    <col min="2" max="2" width="15.5703125" style="75" customWidth="1"/>
    <col min="3" max="3" width="14.7109375" style="75" customWidth="1"/>
    <col min="4" max="4" width="11.42578125" style="75"/>
    <col min="5" max="5" width="23.42578125" style="242" customWidth="1"/>
    <col min="6" max="7" width="22.42578125" style="243" customWidth="1"/>
    <col min="8" max="8" width="19.5703125" style="243" customWidth="1"/>
    <col min="9" max="16" width="11.42578125" style="75"/>
    <col min="17" max="17" width="13.85546875" style="75" bestFit="1" customWidth="1"/>
    <col min="18" max="16384" width="11.42578125" style="75"/>
  </cols>
  <sheetData>
    <row r="1" spans="1:19" ht="49.5" customHeight="1" thickBot="1" x14ac:dyDescent="0.25">
      <c r="A1" s="316" t="s">
        <v>185</v>
      </c>
      <c r="B1" s="317"/>
      <c r="C1" s="317"/>
      <c r="D1" s="317"/>
      <c r="E1" s="317"/>
      <c r="F1" s="317"/>
      <c r="G1" s="317"/>
      <c r="H1" s="318"/>
      <c r="J1" s="311" t="str">
        <f>'INFOS-PARAM'!B3&amp;"-"&amp;'INFOS-PARAM'!B5</f>
        <v>GGS-EXE</v>
      </c>
      <c r="K1" s="312"/>
      <c r="L1" s="312"/>
      <c r="M1" s="312"/>
      <c r="N1" s="312"/>
      <c r="O1" s="313"/>
    </row>
    <row r="3" spans="1:19" ht="14.1" customHeight="1" x14ac:dyDescent="0.2">
      <c r="B3" s="256"/>
    </row>
    <row r="7" spans="1:19" ht="23.25" customHeight="1" x14ac:dyDescent="0.2">
      <c r="E7" s="314"/>
      <c r="F7" s="315"/>
      <c r="G7" s="315"/>
      <c r="H7" s="315"/>
    </row>
    <row r="8" spans="1:19" ht="18.75" customHeight="1" x14ac:dyDescent="0.2">
      <c r="E8" s="314"/>
      <c r="F8" s="315"/>
      <c r="G8" s="315"/>
      <c r="H8" s="315"/>
    </row>
    <row r="9" spans="1:19" s="257" customFormat="1" ht="40.5" customHeight="1" x14ac:dyDescent="0.2">
      <c r="A9" s="299" t="s">
        <v>2</v>
      </c>
      <c r="B9" s="300" t="s">
        <v>186</v>
      </c>
      <c r="C9" s="300" t="s">
        <v>187</v>
      </c>
      <c r="E9" s="294" t="s">
        <v>188</v>
      </c>
      <c r="F9" s="295" t="s">
        <v>98</v>
      </c>
      <c r="G9" s="295" t="s">
        <v>99</v>
      </c>
      <c r="H9" s="295" t="s">
        <v>100</v>
      </c>
    </row>
    <row r="10" spans="1:19" s="258" customFormat="1" ht="24.95" customHeight="1" x14ac:dyDescent="0.2">
      <c r="A10" s="293">
        <f>L10</f>
        <v>0</v>
      </c>
      <c r="B10" s="259">
        <v>0</v>
      </c>
      <c r="C10" s="259">
        <v>0</v>
      </c>
      <c r="E10" s="296">
        <f>A10</f>
        <v>0</v>
      </c>
      <c r="F10" s="296">
        <v>823260.61699999997</v>
      </c>
      <c r="G10" s="296">
        <v>1091526.848</v>
      </c>
      <c r="H10" s="296">
        <v>-123.377</v>
      </c>
      <c r="L10" s="258">
        <v>0</v>
      </c>
      <c r="P10" s="258" t="str">
        <f>"A_"&amp;E10</f>
        <v>A_0</v>
      </c>
      <c r="Q10" s="258">
        <f>F10</f>
        <v>823260.61699999997</v>
      </c>
      <c r="R10" s="258">
        <f>G10</f>
        <v>1091526.848</v>
      </c>
      <c r="S10" s="258">
        <f>H10</f>
        <v>-123.377</v>
      </c>
    </row>
    <row r="11" spans="1:19" s="258" customFormat="1" ht="24.95" customHeight="1" x14ac:dyDescent="0.2">
      <c r="A11" s="293">
        <f t="shared" ref="A11:A54" si="0">L11</f>
        <v>0.63</v>
      </c>
      <c r="B11" s="259">
        <v>0</v>
      </c>
      <c r="C11" s="259">
        <v>0</v>
      </c>
      <c r="E11" s="296">
        <f t="shared" ref="E11:E74" si="1">A11</f>
        <v>0.63</v>
      </c>
      <c r="F11" s="296">
        <v>823260.35074999998</v>
      </c>
      <c r="G11" s="296">
        <v>1091527.41897</v>
      </c>
      <c r="H11" s="296">
        <v>-123.37071858785227</v>
      </c>
      <c r="L11" s="258">
        <v>0.63</v>
      </c>
      <c r="P11" s="258" t="str">
        <f t="shared" ref="P11:P74" si="2">"A_"&amp;E11</f>
        <v>A_0.63</v>
      </c>
      <c r="Q11" s="258">
        <f t="shared" ref="Q11:Q74" si="3">F11</f>
        <v>823260.35074999998</v>
      </c>
      <c r="R11" s="258">
        <f t="shared" ref="R11:R74" si="4">G11</f>
        <v>1091527.41897</v>
      </c>
      <c r="S11" s="258">
        <f t="shared" ref="S11:S74" si="5">H11</f>
        <v>-123.37071858785227</v>
      </c>
    </row>
    <row r="12" spans="1:19" s="258" customFormat="1" ht="24.95" customHeight="1" x14ac:dyDescent="0.2">
      <c r="A12" s="293">
        <f t="shared" si="0"/>
        <v>0.93</v>
      </c>
      <c r="B12" s="259">
        <v>0</v>
      </c>
      <c r="C12" s="259">
        <v>0</v>
      </c>
      <c r="E12" s="296">
        <f t="shared" si="1"/>
        <v>0.93</v>
      </c>
      <c r="F12" s="296">
        <v>823260.22395999997</v>
      </c>
      <c r="G12" s="296">
        <v>1091527.69087</v>
      </c>
      <c r="H12" s="296">
        <v>-123.3677274392105</v>
      </c>
      <c r="L12" s="258">
        <v>0.93</v>
      </c>
      <c r="P12" s="258" t="str">
        <f t="shared" si="2"/>
        <v>A_0.93</v>
      </c>
      <c r="Q12" s="258">
        <f t="shared" si="3"/>
        <v>823260.22395999997</v>
      </c>
      <c r="R12" s="258">
        <f t="shared" si="4"/>
        <v>1091527.69087</v>
      </c>
      <c r="S12" s="258">
        <f t="shared" si="5"/>
        <v>-123.3677274392105</v>
      </c>
    </row>
    <row r="13" spans="1:19" s="258" customFormat="1" ht="24.95" customHeight="1" x14ac:dyDescent="0.2">
      <c r="A13" s="293">
        <f t="shared" si="0"/>
        <v>1.63</v>
      </c>
      <c r="B13" s="259">
        <v>0</v>
      </c>
      <c r="C13" s="259">
        <v>0</v>
      </c>
      <c r="E13" s="296">
        <f t="shared" si="1"/>
        <v>1.63</v>
      </c>
      <c r="F13" s="296">
        <v>823259.92813000001</v>
      </c>
      <c r="G13" s="296">
        <v>1091528.32528</v>
      </c>
      <c r="H13" s="296">
        <v>-123.36074809237969</v>
      </c>
      <c r="L13" s="258">
        <v>1.63</v>
      </c>
      <c r="P13" s="258" t="str">
        <f t="shared" si="2"/>
        <v>A_1.63</v>
      </c>
      <c r="Q13" s="258">
        <f t="shared" si="3"/>
        <v>823259.92813000001</v>
      </c>
      <c r="R13" s="258">
        <f t="shared" si="4"/>
        <v>1091528.32528</v>
      </c>
      <c r="S13" s="258">
        <f t="shared" si="5"/>
        <v>-123.36074809237969</v>
      </c>
    </row>
    <row r="14" spans="1:19" s="258" customFormat="1" ht="24.95" customHeight="1" x14ac:dyDescent="0.2">
      <c r="A14" s="293">
        <f t="shared" si="0"/>
        <v>2.63</v>
      </c>
      <c r="B14" s="259">
        <v>0</v>
      </c>
      <c r="C14" s="259">
        <v>0</v>
      </c>
      <c r="E14" s="296">
        <f t="shared" si="1"/>
        <v>2.63</v>
      </c>
      <c r="F14" s="296">
        <v>823259.50551000005</v>
      </c>
      <c r="G14" s="296">
        <v>1091529.23159</v>
      </c>
      <c r="H14" s="296">
        <v>-123.35077759690711</v>
      </c>
      <c r="L14" s="258">
        <v>2.63</v>
      </c>
      <c r="P14" s="258" t="str">
        <f t="shared" si="2"/>
        <v>A_2.63</v>
      </c>
      <c r="Q14" s="258">
        <f t="shared" si="3"/>
        <v>823259.50551000005</v>
      </c>
      <c r="R14" s="258">
        <f t="shared" si="4"/>
        <v>1091529.23159</v>
      </c>
      <c r="S14" s="258">
        <f t="shared" si="5"/>
        <v>-123.35077759690711</v>
      </c>
    </row>
    <row r="15" spans="1:19" s="258" customFormat="1" ht="24.95" customHeight="1" x14ac:dyDescent="0.2">
      <c r="A15" s="293">
        <f t="shared" si="0"/>
        <v>3.63</v>
      </c>
      <c r="B15" s="259">
        <v>0</v>
      </c>
      <c r="C15" s="259">
        <v>0</v>
      </c>
      <c r="E15" s="296">
        <f t="shared" si="1"/>
        <v>3.63</v>
      </c>
      <c r="F15" s="296">
        <v>823259.08288999996</v>
      </c>
      <c r="G15" s="296">
        <v>1091530.1379</v>
      </c>
      <c r="H15" s="296">
        <v>-123.34080710143452</v>
      </c>
      <c r="L15" s="258">
        <f t="shared" ref="L15:L20" si="6">L14+1</f>
        <v>3.63</v>
      </c>
      <c r="P15" s="258" t="str">
        <f t="shared" si="2"/>
        <v>A_3.63</v>
      </c>
      <c r="Q15" s="258">
        <f t="shared" si="3"/>
        <v>823259.08288999996</v>
      </c>
      <c r="R15" s="258">
        <f t="shared" si="4"/>
        <v>1091530.1379</v>
      </c>
      <c r="S15" s="258">
        <f t="shared" si="5"/>
        <v>-123.34080710143452</v>
      </c>
    </row>
    <row r="16" spans="1:19" s="258" customFormat="1" ht="24.95" customHeight="1" x14ac:dyDescent="0.2">
      <c r="A16" s="293">
        <f t="shared" si="0"/>
        <v>4.63</v>
      </c>
      <c r="B16" s="259">
        <v>0</v>
      </c>
      <c r="C16" s="259">
        <v>0</v>
      </c>
      <c r="E16" s="296">
        <f t="shared" si="1"/>
        <v>4.63</v>
      </c>
      <c r="F16" s="296">
        <v>823258.66027999995</v>
      </c>
      <c r="G16" s="296">
        <v>1091531.0441999999</v>
      </c>
      <c r="H16" s="296">
        <v>-123.33083660596195</v>
      </c>
      <c r="L16" s="258">
        <f t="shared" si="6"/>
        <v>4.63</v>
      </c>
      <c r="P16" s="258" t="str">
        <f t="shared" si="2"/>
        <v>A_4.63</v>
      </c>
      <c r="Q16" s="258">
        <f t="shared" si="3"/>
        <v>823258.66027999995</v>
      </c>
      <c r="R16" s="258">
        <f t="shared" si="4"/>
        <v>1091531.0441999999</v>
      </c>
      <c r="S16" s="258">
        <f t="shared" si="5"/>
        <v>-123.33083660596195</v>
      </c>
    </row>
    <row r="17" spans="1:19" s="258" customFormat="1" ht="24.95" customHeight="1" x14ac:dyDescent="0.2">
      <c r="A17" s="293">
        <f t="shared" si="0"/>
        <v>5.63</v>
      </c>
      <c r="B17" s="259">
        <v>0</v>
      </c>
      <c r="C17" s="259">
        <v>0</v>
      </c>
      <c r="E17" s="296">
        <f t="shared" si="1"/>
        <v>5.63</v>
      </c>
      <c r="F17" s="296">
        <v>823258.23765999998</v>
      </c>
      <c r="G17" s="296">
        <v>1091531.9505100001</v>
      </c>
      <c r="H17" s="296">
        <v>-123.32086611048936</v>
      </c>
      <c r="L17" s="258">
        <f t="shared" si="6"/>
        <v>5.63</v>
      </c>
      <c r="P17" s="258" t="str">
        <f t="shared" si="2"/>
        <v>A_5.63</v>
      </c>
      <c r="Q17" s="258">
        <f t="shared" si="3"/>
        <v>823258.23765999998</v>
      </c>
      <c r="R17" s="258">
        <f t="shared" si="4"/>
        <v>1091531.9505100001</v>
      </c>
      <c r="S17" s="258">
        <f t="shared" si="5"/>
        <v>-123.32086611048936</v>
      </c>
    </row>
    <row r="18" spans="1:19" s="258" customFormat="1" ht="24.95" customHeight="1" x14ac:dyDescent="0.2">
      <c r="A18" s="293">
        <f t="shared" si="0"/>
        <v>6.63</v>
      </c>
      <c r="B18" s="259">
        <v>0</v>
      </c>
      <c r="C18" s="259">
        <v>0</v>
      </c>
      <c r="E18" s="296">
        <f t="shared" si="1"/>
        <v>6.63</v>
      </c>
      <c r="F18" s="296">
        <v>823257.81504000002</v>
      </c>
      <c r="G18" s="296">
        <v>1091532.8568200001</v>
      </c>
      <c r="H18" s="296">
        <v>-123.31089561501679</v>
      </c>
      <c r="L18" s="258">
        <f t="shared" si="6"/>
        <v>6.63</v>
      </c>
      <c r="P18" s="258" t="str">
        <f t="shared" si="2"/>
        <v>A_6.63</v>
      </c>
      <c r="Q18" s="258">
        <f t="shared" si="3"/>
        <v>823257.81504000002</v>
      </c>
      <c r="R18" s="258">
        <f t="shared" si="4"/>
        <v>1091532.8568200001</v>
      </c>
      <c r="S18" s="258">
        <f t="shared" si="5"/>
        <v>-123.31089561501679</v>
      </c>
    </row>
    <row r="19" spans="1:19" s="258" customFormat="1" ht="24.95" customHeight="1" x14ac:dyDescent="0.2">
      <c r="A19" s="293">
        <f t="shared" si="0"/>
        <v>7.63</v>
      </c>
      <c r="B19" s="259">
        <v>0</v>
      </c>
      <c r="C19" s="259">
        <v>0</v>
      </c>
      <c r="E19" s="296">
        <f t="shared" si="1"/>
        <v>7.63</v>
      </c>
      <c r="F19" s="296">
        <v>823257.39242000005</v>
      </c>
      <c r="G19" s="296">
        <v>1091533.7631300001</v>
      </c>
      <c r="H19" s="296">
        <v>-123.3009251195442</v>
      </c>
      <c r="L19" s="258">
        <f t="shared" si="6"/>
        <v>7.63</v>
      </c>
      <c r="P19" s="258" t="str">
        <f t="shared" si="2"/>
        <v>A_7.63</v>
      </c>
      <c r="Q19" s="258">
        <f t="shared" si="3"/>
        <v>823257.39242000005</v>
      </c>
      <c r="R19" s="258">
        <f t="shared" si="4"/>
        <v>1091533.7631300001</v>
      </c>
      <c r="S19" s="258">
        <f t="shared" si="5"/>
        <v>-123.3009251195442</v>
      </c>
    </row>
    <row r="20" spans="1:19" s="258" customFormat="1" ht="24.95" customHeight="1" x14ac:dyDescent="0.2">
      <c r="A20" s="293">
        <f t="shared" si="0"/>
        <v>8.629999999999999</v>
      </c>
      <c r="B20" s="259">
        <v>0</v>
      </c>
      <c r="C20" s="259">
        <v>0</v>
      </c>
      <c r="E20" s="296">
        <f t="shared" si="1"/>
        <v>8.629999999999999</v>
      </c>
      <c r="F20" s="296">
        <v>823256.96979999996</v>
      </c>
      <c r="G20" s="296">
        <v>1091534.66943</v>
      </c>
      <c r="H20" s="296">
        <v>-123.29095462407162</v>
      </c>
      <c r="L20" s="258">
        <f t="shared" si="6"/>
        <v>8.629999999999999</v>
      </c>
      <c r="P20" s="258" t="str">
        <f t="shared" si="2"/>
        <v>A_8.63</v>
      </c>
      <c r="Q20" s="258">
        <f t="shared" si="3"/>
        <v>823256.96979999996</v>
      </c>
      <c r="R20" s="258">
        <f t="shared" si="4"/>
        <v>1091534.66943</v>
      </c>
      <c r="S20" s="258">
        <f t="shared" si="5"/>
        <v>-123.29095462407162</v>
      </c>
    </row>
    <row r="21" spans="1:19" s="258" customFormat="1" ht="24.95" customHeight="1" x14ac:dyDescent="0.2">
      <c r="A21" s="293">
        <f t="shared" si="0"/>
        <v>9.23</v>
      </c>
      <c r="B21" s="259">
        <v>0</v>
      </c>
      <c r="C21" s="259">
        <v>0</v>
      </c>
      <c r="E21" s="296">
        <f t="shared" si="1"/>
        <v>9.23</v>
      </c>
      <c r="F21" s="296">
        <v>823256.71623000002</v>
      </c>
      <c r="G21" s="296">
        <v>1091535.21322</v>
      </c>
      <c r="H21" s="296">
        <v>-123.28497232678808</v>
      </c>
      <c r="L21" s="258">
        <v>9.23</v>
      </c>
      <c r="P21" s="258" t="str">
        <f t="shared" si="2"/>
        <v>A_9.23</v>
      </c>
      <c r="Q21" s="258">
        <f t="shared" si="3"/>
        <v>823256.71623000002</v>
      </c>
      <c r="R21" s="258">
        <f t="shared" si="4"/>
        <v>1091535.21322</v>
      </c>
      <c r="S21" s="258">
        <f t="shared" si="5"/>
        <v>-123.28497232678808</v>
      </c>
    </row>
    <row r="22" spans="1:19" s="258" customFormat="1" ht="24.95" customHeight="1" x14ac:dyDescent="0.2">
      <c r="A22" s="293">
        <f t="shared" si="0"/>
        <v>9.5299999999999994</v>
      </c>
      <c r="B22" s="259">
        <v>0</v>
      </c>
      <c r="C22" s="259">
        <v>0</v>
      </c>
      <c r="E22" s="296">
        <f t="shared" si="1"/>
        <v>9.5299999999999994</v>
      </c>
      <c r="F22" s="296">
        <v>823256.58944000001</v>
      </c>
      <c r="G22" s="296">
        <v>1091535.48511</v>
      </c>
      <c r="H22" s="296">
        <v>-123.2819811781463</v>
      </c>
      <c r="L22" s="258">
        <v>9.5299999999999994</v>
      </c>
      <c r="P22" s="258" t="str">
        <f t="shared" si="2"/>
        <v>A_9.53</v>
      </c>
      <c r="Q22" s="258">
        <f t="shared" si="3"/>
        <v>823256.58944000001</v>
      </c>
      <c r="R22" s="258">
        <f t="shared" si="4"/>
        <v>1091535.48511</v>
      </c>
      <c r="S22" s="258">
        <f t="shared" si="5"/>
        <v>-123.2819811781463</v>
      </c>
    </row>
    <row r="23" spans="1:19" s="258" customFormat="1" ht="24.95" customHeight="1" x14ac:dyDescent="0.2">
      <c r="A23" s="293">
        <f t="shared" si="0"/>
        <v>9.8290000000000006</v>
      </c>
      <c r="B23" s="259">
        <v>0</v>
      </c>
      <c r="C23" s="259">
        <v>0</v>
      </c>
      <c r="E23" s="296">
        <f t="shared" si="1"/>
        <v>9.8290000000000006</v>
      </c>
      <c r="F23" s="296">
        <v>823256.46299999999</v>
      </c>
      <c r="G23" s="296">
        <v>1091535.7560000001</v>
      </c>
      <c r="H23" s="296">
        <v>-123.279</v>
      </c>
      <c r="L23" s="258">
        <v>9.8290000000000006</v>
      </c>
      <c r="P23" s="258" t="str">
        <f t="shared" si="2"/>
        <v>A_9.829</v>
      </c>
      <c r="Q23" s="258">
        <f t="shared" si="3"/>
        <v>823256.46299999999</v>
      </c>
      <c r="R23" s="258">
        <f t="shared" si="4"/>
        <v>1091535.7560000001</v>
      </c>
      <c r="S23" s="258">
        <f t="shared" si="5"/>
        <v>-123.279</v>
      </c>
    </row>
    <row r="24" spans="1:19" s="258" customFormat="1" ht="24.95" customHeight="1" x14ac:dyDescent="0.2">
      <c r="A24" s="293">
        <f t="shared" si="0"/>
        <v>9.83</v>
      </c>
      <c r="B24" s="259">
        <v>0</v>
      </c>
      <c r="C24" s="259">
        <v>0</v>
      </c>
      <c r="E24" s="296">
        <f t="shared" si="1"/>
        <v>9.83</v>
      </c>
      <c r="F24" s="296">
        <v>823256.46299999999</v>
      </c>
      <c r="G24" s="296">
        <v>1091535.757</v>
      </c>
      <c r="H24" s="296">
        <v>-123.32899999999999</v>
      </c>
      <c r="L24" s="258">
        <v>9.83</v>
      </c>
      <c r="P24" s="258" t="str">
        <f t="shared" si="2"/>
        <v>A_9.83</v>
      </c>
      <c r="Q24" s="258">
        <f t="shared" si="3"/>
        <v>823256.46299999999</v>
      </c>
      <c r="R24" s="258">
        <f t="shared" si="4"/>
        <v>1091535.757</v>
      </c>
      <c r="S24" s="258">
        <f t="shared" si="5"/>
        <v>-123.32899999999999</v>
      </c>
    </row>
    <row r="25" spans="1:19" s="258" customFormat="1" ht="24.95" customHeight="1" x14ac:dyDescent="0.2">
      <c r="A25" s="293">
        <f t="shared" si="0"/>
        <v>10.43</v>
      </c>
      <c r="B25" s="259">
        <v>0</v>
      </c>
      <c r="C25" s="259">
        <v>0</v>
      </c>
      <c r="E25" s="296">
        <f t="shared" si="1"/>
        <v>10.43</v>
      </c>
      <c r="F25" s="296">
        <v>823256.20943000005</v>
      </c>
      <c r="G25" s="296">
        <v>1091536.3007799999</v>
      </c>
      <c r="H25" s="296">
        <v>-123.32299353341071</v>
      </c>
      <c r="L25" s="258">
        <v>10.43</v>
      </c>
      <c r="P25" s="258" t="str">
        <f t="shared" si="2"/>
        <v>A_10.43</v>
      </c>
      <c r="Q25" s="258">
        <f t="shared" si="3"/>
        <v>823256.20943000005</v>
      </c>
      <c r="R25" s="258">
        <f t="shared" si="4"/>
        <v>1091536.3007799999</v>
      </c>
      <c r="S25" s="258">
        <f t="shared" si="5"/>
        <v>-123.32299353341071</v>
      </c>
    </row>
    <row r="26" spans="1:19" s="258" customFormat="1" ht="24.95" customHeight="1" x14ac:dyDescent="0.2">
      <c r="A26" s="293">
        <f t="shared" si="0"/>
        <v>11.629999999999999</v>
      </c>
      <c r="B26" s="259">
        <v>0</v>
      </c>
      <c r="C26" s="259">
        <v>0</v>
      </c>
      <c r="E26" s="296">
        <f t="shared" si="1"/>
        <v>11.629999999999999</v>
      </c>
      <c r="F26" s="296">
        <v>823255.70229000004</v>
      </c>
      <c r="G26" s="296">
        <v>1091537.3883499999</v>
      </c>
      <c r="H26" s="296">
        <v>-123.31098060023213</v>
      </c>
      <c r="L26" s="258">
        <f t="shared" ref="L26:L39" si="7">L25+1.2</f>
        <v>11.629999999999999</v>
      </c>
      <c r="P26" s="258" t="str">
        <f t="shared" si="2"/>
        <v>A_11.63</v>
      </c>
      <c r="Q26" s="258">
        <f t="shared" si="3"/>
        <v>823255.70229000004</v>
      </c>
      <c r="R26" s="258">
        <f t="shared" si="4"/>
        <v>1091537.3883499999</v>
      </c>
      <c r="S26" s="258">
        <f t="shared" si="5"/>
        <v>-123.31098060023213</v>
      </c>
    </row>
    <row r="27" spans="1:19" s="258" customFormat="1" ht="24.95" customHeight="1" x14ac:dyDescent="0.2">
      <c r="A27" s="293">
        <f t="shared" si="0"/>
        <v>12.829999999999998</v>
      </c>
      <c r="B27" s="259">
        <v>0</v>
      </c>
      <c r="C27" s="259">
        <v>0</v>
      </c>
      <c r="E27" s="296">
        <f t="shared" si="1"/>
        <v>12.829999999999998</v>
      </c>
      <c r="F27" s="296">
        <v>823255.19513999997</v>
      </c>
      <c r="G27" s="296">
        <v>1091538.4759200001</v>
      </c>
      <c r="H27" s="296">
        <v>-123.29896766705355</v>
      </c>
      <c r="L27" s="258">
        <f t="shared" si="7"/>
        <v>12.829999999999998</v>
      </c>
      <c r="P27" s="258" t="str">
        <f t="shared" si="2"/>
        <v>A_12.83</v>
      </c>
      <c r="Q27" s="258">
        <f t="shared" si="3"/>
        <v>823255.19513999997</v>
      </c>
      <c r="R27" s="258">
        <f t="shared" si="4"/>
        <v>1091538.4759200001</v>
      </c>
      <c r="S27" s="258">
        <f t="shared" si="5"/>
        <v>-123.29896766705355</v>
      </c>
    </row>
    <row r="28" spans="1:19" s="258" customFormat="1" ht="24.95" customHeight="1" x14ac:dyDescent="0.2">
      <c r="A28" s="293">
        <f t="shared" si="0"/>
        <v>14.029999999999998</v>
      </c>
      <c r="B28" s="259">
        <v>0</v>
      </c>
      <c r="C28" s="259">
        <v>0</v>
      </c>
      <c r="E28" s="296">
        <f t="shared" si="1"/>
        <v>14.029999999999998</v>
      </c>
      <c r="F28" s="296">
        <v>823254.68799999997</v>
      </c>
      <c r="G28" s="296">
        <v>1091539.5634900001</v>
      </c>
      <c r="H28" s="296">
        <v>-123.28695473387498</v>
      </c>
      <c r="L28" s="258">
        <f t="shared" si="7"/>
        <v>14.029999999999998</v>
      </c>
      <c r="P28" s="258" t="str">
        <f t="shared" si="2"/>
        <v>A_14.03</v>
      </c>
      <c r="Q28" s="258">
        <f t="shared" si="3"/>
        <v>823254.68799999997</v>
      </c>
      <c r="R28" s="258">
        <f t="shared" si="4"/>
        <v>1091539.5634900001</v>
      </c>
      <c r="S28" s="258">
        <f t="shared" si="5"/>
        <v>-123.28695473387498</v>
      </c>
    </row>
    <row r="29" spans="1:19" s="258" customFormat="1" ht="24.95" customHeight="1" x14ac:dyDescent="0.2">
      <c r="A29" s="293">
        <f t="shared" si="0"/>
        <v>15.229999999999997</v>
      </c>
      <c r="B29" s="259">
        <v>0</v>
      </c>
      <c r="C29" s="259">
        <v>0</v>
      </c>
      <c r="E29" s="296">
        <f t="shared" si="1"/>
        <v>15.229999999999997</v>
      </c>
      <c r="F29" s="296">
        <v>823254.18085999996</v>
      </c>
      <c r="G29" s="296">
        <v>1091540.6510600001</v>
      </c>
      <c r="H29" s="296">
        <v>-123.2749418006964</v>
      </c>
      <c r="L29" s="258">
        <f t="shared" si="7"/>
        <v>15.229999999999997</v>
      </c>
      <c r="P29" s="258" t="str">
        <f t="shared" si="2"/>
        <v>A_15.23</v>
      </c>
      <c r="Q29" s="258">
        <f t="shared" si="3"/>
        <v>823254.18085999996</v>
      </c>
      <c r="R29" s="258">
        <f t="shared" si="4"/>
        <v>1091540.6510600001</v>
      </c>
      <c r="S29" s="258">
        <f t="shared" si="5"/>
        <v>-123.2749418006964</v>
      </c>
    </row>
    <row r="30" spans="1:19" s="258" customFormat="1" ht="24.95" customHeight="1" x14ac:dyDescent="0.2">
      <c r="A30" s="293">
        <f t="shared" si="0"/>
        <v>16.429999999999996</v>
      </c>
      <c r="B30" s="259">
        <v>0</v>
      </c>
      <c r="C30" s="259">
        <v>0</v>
      </c>
      <c r="E30" s="296">
        <f t="shared" si="1"/>
        <v>16.429999999999996</v>
      </c>
      <c r="F30" s="296">
        <v>823253.67371999996</v>
      </c>
      <c r="G30" s="296">
        <v>1091541.73863</v>
      </c>
      <c r="H30" s="296">
        <v>-123.26292886751781</v>
      </c>
      <c r="L30" s="258">
        <f t="shared" si="7"/>
        <v>16.429999999999996</v>
      </c>
      <c r="P30" s="258" t="str">
        <f t="shared" si="2"/>
        <v>A_16.43</v>
      </c>
      <c r="Q30" s="258">
        <f t="shared" si="3"/>
        <v>823253.67371999996</v>
      </c>
      <c r="R30" s="258">
        <f t="shared" si="4"/>
        <v>1091541.73863</v>
      </c>
      <c r="S30" s="258">
        <f t="shared" si="5"/>
        <v>-123.26292886751781</v>
      </c>
    </row>
    <row r="31" spans="1:19" s="258" customFormat="1" ht="24.95" customHeight="1" x14ac:dyDescent="0.2">
      <c r="A31" s="293">
        <f t="shared" si="0"/>
        <v>17.629999999999995</v>
      </c>
      <c r="B31" s="259">
        <v>0</v>
      </c>
      <c r="C31" s="259">
        <v>0</v>
      </c>
      <c r="E31" s="296">
        <f t="shared" si="1"/>
        <v>17.629999999999995</v>
      </c>
      <c r="F31" s="296">
        <v>823253.16657999996</v>
      </c>
      <c r="G31" s="296">
        <v>1091542.8262</v>
      </c>
      <c r="H31" s="296">
        <v>-123.25091593433925</v>
      </c>
      <c r="L31" s="258">
        <f t="shared" si="7"/>
        <v>17.629999999999995</v>
      </c>
      <c r="P31" s="258" t="str">
        <f t="shared" si="2"/>
        <v>A_17.63</v>
      </c>
      <c r="Q31" s="258">
        <f t="shared" si="3"/>
        <v>823253.16657999996</v>
      </c>
      <c r="R31" s="258">
        <f t="shared" si="4"/>
        <v>1091542.8262</v>
      </c>
      <c r="S31" s="258">
        <f t="shared" si="5"/>
        <v>-123.25091593433925</v>
      </c>
    </row>
    <row r="32" spans="1:19" s="258" customFormat="1" ht="24.95" customHeight="1" x14ac:dyDescent="0.2">
      <c r="A32" s="293">
        <f t="shared" si="0"/>
        <v>18.829999999999995</v>
      </c>
      <c r="B32" s="259">
        <v>0</v>
      </c>
      <c r="C32" s="259">
        <v>0</v>
      </c>
      <c r="E32" s="296">
        <f t="shared" si="1"/>
        <v>18.829999999999995</v>
      </c>
      <c r="F32" s="296">
        <v>823252.65943</v>
      </c>
      <c r="G32" s="296">
        <v>1091543.91377</v>
      </c>
      <c r="H32" s="296">
        <v>-123.23890300116066</v>
      </c>
      <c r="L32" s="258">
        <f t="shared" si="7"/>
        <v>18.829999999999995</v>
      </c>
      <c r="P32" s="258" t="str">
        <f t="shared" si="2"/>
        <v>A_18.83</v>
      </c>
      <c r="Q32" s="258">
        <f t="shared" si="3"/>
        <v>823252.65943</v>
      </c>
      <c r="R32" s="258">
        <f t="shared" si="4"/>
        <v>1091543.91377</v>
      </c>
      <c r="S32" s="258">
        <f t="shared" si="5"/>
        <v>-123.23890300116066</v>
      </c>
    </row>
    <row r="33" spans="1:19" s="258" customFormat="1" ht="24.95" customHeight="1" x14ac:dyDescent="0.2">
      <c r="A33" s="293">
        <f t="shared" si="0"/>
        <v>20.029999999999994</v>
      </c>
      <c r="B33" s="259">
        <v>0</v>
      </c>
      <c r="C33" s="259">
        <v>0</v>
      </c>
      <c r="E33" s="296">
        <f t="shared" si="1"/>
        <v>20.029999999999994</v>
      </c>
      <c r="F33" s="296">
        <v>823252.15229</v>
      </c>
      <c r="G33" s="296">
        <v>1091545.00134</v>
      </c>
      <c r="H33" s="296">
        <v>-123.22689006798208</v>
      </c>
      <c r="L33" s="258">
        <f t="shared" si="7"/>
        <v>20.029999999999994</v>
      </c>
      <c r="P33" s="258" t="str">
        <f t="shared" si="2"/>
        <v>A_20.03</v>
      </c>
      <c r="Q33" s="258">
        <f t="shared" si="3"/>
        <v>823252.15229</v>
      </c>
      <c r="R33" s="258">
        <f t="shared" si="4"/>
        <v>1091545.00134</v>
      </c>
      <c r="S33" s="258">
        <f t="shared" si="5"/>
        <v>-123.22689006798208</v>
      </c>
    </row>
    <row r="34" spans="1:19" s="258" customFormat="1" ht="24.95" customHeight="1" x14ac:dyDescent="0.2">
      <c r="A34" s="293">
        <f t="shared" si="0"/>
        <v>21.229999999999993</v>
      </c>
      <c r="B34" s="259">
        <v>0</v>
      </c>
      <c r="C34" s="259">
        <v>0</v>
      </c>
      <c r="E34" s="296">
        <f t="shared" si="1"/>
        <v>21.229999999999993</v>
      </c>
      <c r="F34" s="296">
        <v>823251.64515</v>
      </c>
      <c r="G34" s="296">
        <v>1091546.0889099999</v>
      </c>
      <c r="H34" s="296">
        <v>-123.21487713480352</v>
      </c>
      <c r="L34" s="258">
        <f t="shared" si="7"/>
        <v>21.229999999999993</v>
      </c>
      <c r="P34" s="258" t="str">
        <f t="shared" si="2"/>
        <v>A_21.23</v>
      </c>
      <c r="Q34" s="258">
        <f t="shared" si="3"/>
        <v>823251.64515</v>
      </c>
      <c r="R34" s="258">
        <f t="shared" si="4"/>
        <v>1091546.0889099999</v>
      </c>
      <c r="S34" s="258">
        <f t="shared" si="5"/>
        <v>-123.21487713480352</v>
      </c>
    </row>
    <row r="35" spans="1:19" s="258" customFormat="1" ht="24.95" customHeight="1" x14ac:dyDescent="0.2">
      <c r="A35" s="293">
        <f t="shared" si="0"/>
        <v>22.429999999999993</v>
      </c>
      <c r="B35" s="259">
        <v>0</v>
      </c>
      <c r="C35" s="259">
        <v>0</v>
      </c>
      <c r="E35" s="296">
        <f t="shared" si="1"/>
        <v>22.429999999999993</v>
      </c>
      <c r="F35" s="296">
        <v>823251.13801</v>
      </c>
      <c r="G35" s="296">
        <v>1091547.1764799999</v>
      </c>
      <c r="H35" s="296">
        <v>-123.20286420162493</v>
      </c>
      <c r="L35" s="258">
        <f t="shared" si="7"/>
        <v>22.429999999999993</v>
      </c>
      <c r="P35" s="258" t="str">
        <f t="shared" si="2"/>
        <v>A_22.43</v>
      </c>
      <c r="Q35" s="258">
        <f t="shared" si="3"/>
        <v>823251.13801</v>
      </c>
      <c r="R35" s="258">
        <f t="shared" si="4"/>
        <v>1091547.1764799999</v>
      </c>
      <c r="S35" s="258">
        <f t="shared" si="5"/>
        <v>-123.20286420162493</v>
      </c>
    </row>
    <row r="36" spans="1:19" s="258" customFormat="1" ht="24.95" customHeight="1" x14ac:dyDescent="0.2">
      <c r="A36" s="293">
        <f t="shared" si="0"/>
        <v>23.629999999999992</v>
      </c>
      <c r="B36" s="259">
        <v>0</v>
      </c>
      <c r="C36" s="259">
        <v>0</v>
      </c>
      <c r="E36" s="296">
        <f t="shared" si="1"/>
        <v>23.629999999999992</v>
      </c>
      <c r="F36" s="296">
        <v>823250.63086000003</v>
      </c>
      <c r="G36" s="296">
        <v>1091548.2640500001</v>
      </c>
      <c r="H36" s="296">
        <v>-123.19085126844635</v>
      </c>
      <c r="L36" s="258">
        <f t="shared" si="7"/>
        <v>23.629999999999992</v>
      </c>
      <c r="P36" s="258" t="str">
        <f t="shared" si="2"/>
        <v>A_23.63</v>
      </c>
      <c r="Q36" s="258">
        <f t="shared" si="3"/>
        <v>823250.63086000003</v>
      </c>
      <c r="R36" s="258">
        <f t="shared" si="4"/>
        <v>1091548.2640500001</v>
      </c>
      <c r="S36" s="258">
        <f t="shared" si="5"/>
        <v>-123.19085126844635</v>
      </c>
    </row>
    <row r="37" spans="1:19" s="258" customFormat="1" ht="24.95" customHeight="1" x14ac:dyDescent="0.2">
      <c r="A37" s="293">
        <f t="shared" si="0"/>
        <v>24.829999999999991</v>
      </c>
      <c r="B37" s="259">
        <v>0</v>
      </c>
      <c r="C37" s="259">
        <v>0</v>
      </c>
      <c r="E37" s="296">
        <f t="shared" si="1"/>
        <v>24.829999999999991</v>
      </c>
      <c r="F37" s="296">
        <v>823250.12372000003</v>
      </c>
      <c r="G37" s="296">
        <v>1091549.35161</v>
      </c>
      <c r="H37" s="296">
        <v>-123.17883833526778</v>
      </c>
      <c r="L37" s="258">
        <f t="shared" si="7"/>
        <v>24.829999999999991</v>
      </c>
      <c r="P37" s="258" t="str">
        <f t="shared" si="2"/>
        <v>A_24.83</v>
      </c>
      <c r="Q37" s="258">
        <f t="shared" si="3"/>
        <v>823250.12372000003</v>
      </c>
      <c r="R37" s="258">
        <f t="shared" si="4"/>
        <v>1091549.35161</v>
      </c>
      <c r="S37" s="258">
        <f t="shared" si="5"/>
        <v>-123.17883833526778</v>
      </c>
    </row>
    <row r="38" spans="1:19" s="258" customFormat="1" ht="24.95" customHeight="1" x14ac:dyDescent="0.2">
      <c r="A38" s="293">
        <f t="shared" si="0"/>
        <v>26.02999999999999</v>
      </c>
      <c r="B38" s="259">
        <v>0</v>
      </c>
      <c r="C38" s="259">
        <v>0</v>
      </c>
      <c r="E38" s="296">
        <f t="shared" si="1"/>
        <v>26.02999999999999</v>
      </c>
      <c r="F38" s="296">
        <v>823249.61658000003</v>
      </c>
      <c r="G38" s="296">
        <v>1091550.43918</v>
      </c>
      <c r="H38" s="296">
        <v>-123.1668254020892</v>
      </c>
      <c r="L38" s="258">
        <f t="shared" si="7"/>
        <v>26.02999999999999</v>
      </c>
      <c r="P38" s="258" t="str">
        <f t="shared" si="2"/>
        <v>A_26.03</v>
      </c>
      <c r="Q38" s="258">
        <f t="shared" si="3"/>
        <v>823249.61658000003</v>
      </c>
      <c r="R38" s="258">
        <f t="shared" si="4"/>
        <v>1091550.43918</v>
      </c>
      <c r="S38" s="258">
        <f t="shared" si="5"/>
        <v>-123.1668254020892</v>
      </c>
    </row>
    <row r="39" spans="1:19" s="258" customFormat="1" ht="24.95" customHeight="1" x14ac:dyDescent="0.2">
      <c r="A39" s="293">
        <f t="shared" si="0"/>
        <v>27.22999999999999</v>
      </c>
      <c r="B39" s="259">
        <v>0</v>
      </c>
      <c r="C39" s="259">
        <v>0</v>
      </c>
      <c r="E39" s="296">
        <f t="shared" si="1"/>
        <v>27.22999999999999</v>
      </c>
      <c r="F39" s="296">
        <v>823249.10944000003</v>
      </c>
      <c r="G39" s="296">
        <v>1091551.52675</v>
      </c>
      <c r="H39" s="296">
        <v>-123.15481246891062</v>
      </c>
      <c r="L39" s="258">
        <f t="shared" si="7"/>
        <v>27.22999999999999</v>
      </c>
      <c r="P39" s="258" t="str">
        <f t="shared" si="2"/>
        <v>A_27.23</v>
      </c>
      <c r="Q39" s="258">
        <f t="shared" si="3"/>
        <v>823249.10944000003</v>
      </c>
      <c r="R39" s="258">
        <f t="shared" si="4"/>
        <v>1091551.52675</v>
      </c>
      <c r="S39" s="258">
        <f t="shared" si="5"/>
        <v>-123.15481246891062</v>
      </c>
    </row>
    <row r="40" spans="1:19" s="258" customFormat="1" ht="24.95" customHeight="1" x14ac:dyDescent="0.2">
      <c r="A40" s="293">
        <f t="shared" si="0"/>
        <v>28.08</v>
      </c>
      <c r="B40" s="259">
        <v>0</v>
      </c>
      <c r="C40" s="259">
        <v>0</v>
      </c>
      <c r="E40" s="296">
        <f t="shared" si="1"/>
        <v>28.08</v>
      </c>
      <c r="F40" s="296">
        <v>823248.75020999997</v>
      </c>
      <c r="G40" s="296">
        <v>1091552.2971099999</v>
      </c>
      <c r="H40" s="296">
        <v>-123.14630330790914</v>
      </c>
      <c r="L40" s="258">
        <v>28.08</v>
      </c>
      <c r="P40" s="258" t="str">
        <f t="shared" si="2"/>
        <v>A_28.08</v>
      </c>
      <c r="Q40" s="258">
        <f t="shared" si="3"/>
        <v>823248.75020999997</v>
      </c>
      <c r="R40" s="258">
        <f t="shared" si="4"/>
        <v>1091552.2971099999</v>
      </c>
      <c r="S40" s="258">
        <f t="shared" si="5"/>
        <v>-123.14630330790914</v>
      </c>
    </row>
    <row r="41" spans="1:19" s="258" customFormat="1" ht="24.95" customHeight="1" x14ac:dyDescent="0.2">
      <c r="A41" s="293">
        <f t="shared" si="0"/>
        <v>28.58</v>
      </c>
      <c r="B41" s="259">
        <v>0</v>
      </c>
      <c r="C41" s="259">
        <v>0</v>
      </c>
      <c r="E41" s="296">
        <f t="shared" si="1"/>
        <v>28.58</v>
      </c>
      <c r="F41" s="296">
        <v>823248.53890000004</v>
      </c>
      <c r="G41" s="296">
        <v>1091552.75027</v>
      </c>
      <c r="H41" s="296">
        <v>-123.14129791908472</v>
      </c>
      <c r="L41" s="258">
        <v>28.58</v>
      </c>
      <c r="P41" s="258" t="str">
        <f t="shared" si="2"/>
        <v>A_28.58</v>
      </c>
      <c r="Q41" s="258">
        <f t="shared" si="3"/>
        <v>823248.53890000004</v>
      </c>
      <c r="R41" s="258">
        <f t="shared" si="4"/>
        <v>1091552.75027</v>
      </c>
      <c r="S41" s="258">
        <f t="shared" si="5"/>
        <v>-123.14129791908472</v>
      </c>
    </row>
    <row r="42" spans="1:19" s="258" customFormat="1" ht="24.95" customHeight="1" x14ac:dyDescent="0.2">
      <c r="A42" s="293">
        <f t="shared" si="0"/>
        <v>29.43</v>
      </c>
      <c r="B42" s="259">
        <v>0</v>
      </c>
      <c r="C42" s="259">
        <v>0</v>
      </c>
      <c r="E42" s="296">
        <f t="shared" si="1"/>
        <v>29.43</v>
      </c>
      <c r="F42" s="296">
        <v>823248.17967999994</v>
      </c>
      <c r="G42" s="296">
        <v>1091553.5206299999</v>
      </c>
      <c r="H42" s="296">
        <v>-123.13278875808324</v>
      </c>
      <c r="L42" s="258">
        <v>29.43</v>
      </c>
      <c r="P42" s="258" t="str">
        <f t="shared" si="2"/>
        <v>A_29.43</v>
      </c>
      <c r="Q42" s="258">
        <f t="shared" si="3"/>
        <v>823248.17967999994</v>
      </c>
      <c r="R42" s="258">
        <f t="shared" si="4"/>
        <v>1091553.5206299999</v>
      </c>
      <c r="S42" s="258">
        <f t="shared" si="5"/>
        <v>-123.13278875808324</v>
      </c>
    </row>
    <row r="43" spans="1:19" s="258" customFormat="1" ht="24.95" customHeight="1" x14ac:dyDescent="0.2">
      <c r="A43" s="293">
        <f t="shared" si="0"/>
        <v>30.63</v>
      </c>
      <c r="B43" s="259">
        <v>0</v>
      </c>
      <c r="C43" s="259">
        <v>0</v>
      </c>
      <c r="E43" s="296">
        <f t="shared" si="1"/>
        <v>30.63</v>
      </c>
      <c r="F43" s="296">
        <v>823247.67252999998</v>
      </c>
      <c r="G43" s="296">
        <v>1091554.6081999999</v>
      </c>
      <c r="H43" s="296">
        <v>-123.12077582490465</v>
      </c>
      <c r="L43" s="258">
        <f>L42+1.2</f>
        <v>30.63</v>
      </c>
      <c r="P43" s="258" t="str">
        <f t="shared" si="2"/>
        <v>A_30.63</v>
      </c>
      <c r="Q43" s="258">
        <f t="shared" si="3"/>
        <v>823247.67252999998</v>
      </c>
      <c r="R43" s="258">
        <f t="shared" si="4"/>
        <v>1091554.6081999999</v>
      </c>
      <c r="S43" s="258">
        <f t="shared" si="5"/>
        <v>-123.12077582490465</v>
      </c>
    </row>
    <row r="44" spans="1:19" s="258" customFormat="1" ht="24.95" customHeight="1" x14ac:dyDescent="0.2">
      <c r="A44" s="293">
        <f t="shared" si="0"/>
        <v>31.83</v>
      </c>
      <c r="B44" s="259">
        <v>0</v>
      </c>
      <c r="C44" s="259">
        <v>0</v>
      </c>
      <c r="E44" s="296">
        <f t="shared" si="1"/>
        <v>31.83</v>
      </c>
      <c r="F44" s="296">
        <v>823247.16538999998</v>
      </c>
      <c r="G44" s="296">
        <v>1091555.6957700001</v>
      </c>
      <c r="H44" s="296">
        <v>-123.10876289172607</v>
      </c>
      <c r="L44" s="258">
        <f>L43+1.2</f>
        <v>31.83</v>
      </c>
      <c r="P44" s="258" t="str">
        <f t="shared" si="2"/>
        <v>A_31.83</v>
      </c>
      <c r="Q44" s="258">
        <f t="shared" si="3"/>
        <v>823247.16538999998</v>
      </c>
      <c r="R44" s="258">
        <f t="shared" si="4"/>
        <v>1091555.6957700001</v>
      </c>
      <c r="S44" s="258">
        <f t="shared" si="5"/>
        <v>-123.10876289172607</v>
      </c>
    </row>
    <row r="45" spans="1:19" s="258" customFormat="1" ht="24.95" customHeight="1" x14ac:dyDescent="0.2">
      <c r="A45" s="293">
        <f t="shared" si="0"/>
        <v>33.03</v>
      </c>
      <c r="B45" s="259">
        <v>0</v>
      </c>
      <c r="C45" s="259">
        <v>0</v>
      </c>
      <c r="E45" s="296">
        <f t="shared" si="1"/>
        <v>33.03</v>
      </c>
      <c r="F45" s="296">
        <v>823246.65824999998</v>
      </c>
      <c r="G45" s="296">
        <v>1091556.7833400001</v>
      </c>
      <c r="H45" s="296">
        <v>-123.09674995854751</v>
      </c>
      <c r="L45" s="258">
        <f>L44+1.2</f>
        <v>33.03</v>
      </c>
      <c r="P45" s="258" t="str">
        <f t="shared" si="2"/>
        <v>A_33.03</v>
      </c>
      <c r="Q45" s="258">
        <f t="shared" si="3"/>
        <v>823246.65824999998</v>
      </c>
      <c r="R45" s="258">
        <f t="shared" si="4"/>
        <v>1091556.7833400001</v>
      </c>
      <c r="S45" s="258">
        <f t="shared" si="5"/>
        <v>-123.09674995854751</v>
      </c>
    </row>
    <row r="46" spans="1:19" s="258" customFormat="1" ht="24.95" customHeight="1" x14ac:dyDescent="0.2">
      <c r="A46" s="293">
        <f t="shared" si="0"/>
        <v>33.880000000000003</v>
      </c>
      <c r="B46" s="259">
        <v>0</v>
      </c>
      <c r="C46" s="259">
        <v>0</v>
      </c>
      <c r="E46" s="296">
        <f t="shared" si="1"/>
        <v>33.880000000000003</v>
      </c>
      <c r="F46" s="296">
        <v>823246.29902000003</v>
      </c>
      <c r="G46" s="296">
        <v>1091557.5537</v>
      </c>
      <c r="H46" s="296">
        <v>-123.08824079754601</v>
      </c>
      <c r="L46" s="258">
        <v>33.880000000000003</v>
      </c>
      <c r="P46" s="258" t="str">
        <f t="shared" si="2"/>
        <v>A_33.88</v>
      </c>
      <c r="Q46" s="258">
        <f t="shared" si="3"/>
        <v>823246.29902000003</v>
      </c>
      <c r="R46" s="258">
        <f t="shared" si="4"/>
        <v>1091557.5537</v>
      </c>
      <c r="S46" s="258">
        <f t="shared" si="5"/>
        <v>-123.08824079754601</v>
      </c>
    </row>
    <row r="47" spans="1:19" s="258" customFormat="1" ht="24.95" customHeight="1" x14ac:dyDescent="0.2">
      <c r="A47" s="293">
        <f t="shared" si="0"/>
        <v>34.380000000000003</v>
      </c>
      <c r="B47" s="259">
        <v>0</v>
      </c>
      <c r="C47" s="259">
        <v>0</v>
      </c>
      <c r="E47" s="296">
        <f t="shared" si="1"/>
        <v>34.380000000000003</v>
      </c>
      <c r="F47" s="296">
        <v>823246.08770999999</v>
      </c>
      <c r="G47" s="296">
        <v>1091558.00685</v>
      </c>
      <c r="H47" s="296">
        <v>-123.08323540872161</v>
      </c>
      <c r="L47" s="258">
        <v>34.380000000000003</v>
      </c>
      <c r="P47" s="258" t="str">
        <f t="shared" si="2"/>
        <v>A_34.38</v>
      </c>
      <c r="Q47" s="258">
        <f t="shared" si="3"/>
        <v>823246.08770999999</v>
      </c>
      <c r="R47" s="258">
        <f t="shared" si="4"/>
        <v>1091558.00685</v>
      </c>
      <c r="S47" s="258">
        <f t="shared" si="5"/>
        <v>-123.08323540872161</v>
      </c>
    </row>
    <row r="48" spans="1:19" s="258" customFormat="1" ht="24.95" customHeight="1" x14ac:dyDescent="0.2">
      <c r="A48" s="293">
        <f t="shared" si="0"/>
        <v>35.229999999999997</v>
      </c>
      <c r="B48" s="259">
        <v>0</v>
      </c>
      <c r="C48" s="259">
        <v>0</v>
      </c>
      <c r="E48" s="296">
        <f t="shared" si="1"/>
        <v>35.229999999999997</v>
      </c>
      <c r="F48" s="296">
        <v>823245.72849000001</v>
      </c>
      <c r="G48" s="296">
        <v>1091558.77721</v>
      </c>
      <c r="H48" s="296">
        <v>-123.07472624772011</v>
      </c>
      <c r="L48" s="258">
        <v>35.229999999999997</v>
      </c>
      <c r="P48" s="258" t="str">
        <f t="shared" si="2"/>
        <v>A_35.23</v>
      </c>
      <c r="Q48" s="258">
        <f t="shared" si="3"/>
        <v>823245.72849000001</v>
      </c>
      <c r="R48" s="258">
        <f t="shared" si="4"/>
        <v>1091558.77721</v>
      </c>
      <c r="S48" s="258">
        <f t="shared" si="5"/>
        <v>-123.07472624772011</v>
      </c>
    </row>
    <row r="49" spans="1:19" s="258" customFormat="1" ht="24.95" customHeight="1" x14ac:dyDescent="0.2">
      <c r="A49" s="293">
        <f t="shared" si="0"/>
        <v>36.229999999999997</v>
      </c>
      <c r="B49" s="259">
        <v>0</v>
      </c>
      <c r="C49" s="259">
        <v>0</v>
      </c>
      <c r="E49" s="296">
        <f t="shared" si="1"/>
        <v>36.229999999999997</v>
      </c>
      <c r="F49" s="296">
        <v>823245.30587000004</v>
      </c>
      <c r="G49" s="296">
        <v>1091559.68352</v>
      </c>
      <c r="H49" s="296">
        <v>-123.06471547007129</v>
      </c>
      <c r="L49" s="258">
        <v>36.229999999999997</v>
      </c>
      <c r="P49" s="258" t="str">
        <f t="shared" si="2"/>
        <v>A_36.23</v>
      </c>
      <c r="Q49" s="258">
        <f t="shared" si="3"/>
        <v>823245.30587000004</v>
      </c>
      <c r="R49" s="258">
        <f t="shared" si="4"/>
        <v>1091559.68352</v>
      </c>
      <c r="S49" s="258">
        <f t="shared" si="5"/>
        <v>-123.06471547007129</v>
      </c>
    </row>
    <row r="50" spans="1:19" s="258" customFormat="1" ht="24.95" customHeight="1" x14ac:dyDescent="0.2">
      <c r="A50" s="293">
        <f t="shared" si="0"/>
        <v>36.880000000000003</v>
      </c>
      <c r="B50" s="259">
        <v>0</v>
      </c>
      <c r="C50" s="259">
        <v>0</v>
      </c>
      <c r="E50" s="296">
        <f t="shared" si="1"/>
        <v>36.880000000000003</v>
      </c>
      <c r="F50" s="296">
        <v>823245.03116999997</v>
      </c>
      <c r="G50" s="296">
        <v>1091560.2726199999</v>
      </c>
      <c r="H50" s="296">
        <v>-123.05820846459957</v>
      </c>
      <c r="L50" s="258">
        <v>36.880000000000003</v>
      </c>
      <c r="P50" s="258" t="str">
        <f t="shared" si="2"/>
        <v>A_36.88</v>
      </c>
      <c r="Q50" s="258">
        <f t="shared" si="3"/>
        <v>823245.03116999997</v>
      </c>
      <c r="R50" s="258">
        <f t="shared" si="4"/>
        <v>1091560.2726199999</v>
      </c>
      <c r="S50" s="258">
        <f t="shared" si="5"/>
        <v>-123.05820846459957</v>
      </c>
    </row>
    <row r="51" spans="1:19" s="258" customFormat="1" ht="24.95" customHeight="1" x14ac:dyDescent="0.2">
      <c r="A51" s="293">
        <f t="shared" si="0"/>
        <v>37.380000000000003</v>
      </c>
      <c r="B51" s="259">
        <v>0</v>
      </c>
      <c r="C51" s="259">
        <v>0</v>
      </c>
      <c r="E51" s="296">
        <f t="shared" si="1"/>
        <v>37.380000000000003</v>
      </c>
      <c r="F51" s="296">
        <v>823244.81986000005</v>
      </c>
      <c r="G51" s="296">
        <v>1091560.72578</v>
      </c>
      <c r="H51" s="296">
        <v>-123.05320307577516</v>
      </c>
      <c r="L51" s="258">
        <v>37.380000000000003</v>
      </c>
      <c r="P51" s="258" t="str">
        <f t="shared" si="2"/>
        <v>A_37.38</v>
      </c>
      <c r="Q51" s="258">
        <f t="shared" si="3"/>
        <v>823244.81986000005</v>
      </c>
      <c r="R51" s="258">
        <f t="shared" si="4"/>
        <v>1091560.72578</v>
      </c>
      <c r="S51" s="258">
        <f t="shared" si="5"/>
        <v>-123.05320307577516</v>
      </c>
    </row>
    <row r="52" spans="1:19" s="258" customFormat="1" ht="24.95" customHeight="1" x14ac:dyDescent="0.2">
      <c r="A52" s="293">
        <f t="shared" si="0"/>
        <v>38.229999999999997</v>
      </c>
      <c r="B52" s="259">
        <v>0</v>
      </c>
      <c r="C52" s="259">
        <v>0</v>
      </c>
      <c r="E52" s="296">
        <f t="shared" si="1"/>
        <v>38.229999999999997</v>
      </c>
      <c r="F52" s="296">
        <v>823244.46062999999</v>
      </c>
      <c r="G52" s="296">
        <v>1091561.4961399999</v>
      </c>
      <c r="H52" s="296">
        <v>-123.04469391477367</v>
      </c>
      <c r="L52" s="258">
        <v>38.229999999999997</v>
      </c>
      <c r="P52" s="258" t="str">
        <f t="shared" si="2"/>
        <v>A_38.23</v>
      </c>
      <c r="Q52" s="258">
        <f t="shared" si="3"/>
        <v>823244.46062999999</v>
      </c>
      <c r="R52" s="258">
        <f t="shared" si="4"/>
        <v>1091561.4961399999</v>
      </c>
      <c r="S52" s="258">
        <f t="shared" si="5"/>
        <v>-123.04469391477367</v>
      </c>
    </row>
    <row r="53" spans="1:19" s="258" customFormat="1" ht="24.95" customHeight="1" x14ac:dyDescent="0.2">
      <c r="A53" s="293">
        <f t="shared" si="0"/>
        <v>39.43</v>
      </c>
      <c r="B53" s="259">
        <v>0</v>
      </c>
      <c r="C53" s="259">
        <v>0</v>
      </c>
      <c r="E53" s="296">
        <f t="shared" si="1"/>
        <v>39.43</v>
      </c>
      <c r="F53" s="296">
        <v>823243.95348999999</v>
      </c>
      <c r="G53" s="296">
        <v>1091562.5837099999</v>
      </c>
      <c r="H53" s="296">
        <v>-123.03268098159509</v>
      </c>
      <c r="L53" s="258">
        <f>L52+1.2</f>
        <v>39.43</v>
      </c>
      <c r="P53" s="258" t="str">
        <f t="shared" si="2"/>
        <v>A_39.43</v>
      </c>
      <c r="Q53" s="258">
        <f t="shared" si="3"/>
        <v>823243.95348999999</v>
      </c>
      <c r="R53" s="258">
        <f t="shared" si="4"/>
        <v>1091562.5837099999</v>
      </c>
      <c r="S53" s="258">
        <f t="shared" si="5"/>
        <v>-123.03268098159509</v>
      </c>
    </row>
    <row r="54" spans="1:19" s="258" customFormat="1" ht="24.95" customHeight="1" x14ac:dyDescent="0.2">
      <c r="A54" s="293">
        <f t="shared" si="0"/>
        <v>40.630000000000003</v>
      </c>
      <c r="B54" s="259">
        <v>0</v>
      </c>
      <c r="C54" s="259">
        <v>0</v>
      </c>
      <c r="E54" s="296">
        <f t="shared" si="1"/>
        <v>40.630000000000003</v>
      </c>
      <c r="F54" s="296">
        <v>823243.44634999998</v>
      </c>
      <c r="G54" s="296">
        <v>1091563.6712799999</v>
      </c>
      <c r="H54" s="296">
        <v>-123.02066804841651</v>
      </c>
      <c r="L54" s="258">
        <f>L53+1.2</f>
        <v>40.630000000000003</v>
      </c>
      <c r="P54" s="258" t="str">
        <f t="shared" si="2"/>
        <v>A_40.63</v>
      </c>
      <c r="Q54" s="258">
        <f t="shared" si="3"/>
        <v>823243.44634999998</v>
      </c>
      <c r="R54" s="258">
        <f t="shared" si="4"/>
        <v>1091563.6712799999</v>
      </c>
      <c r="S54" s="258">
        <f t="shared" si="5"/>
        <v>-123.02066804841651</v>
      </c>
    </row>
    <row r="55" spans="1:19" s="258" customFormat="1" ht="24.95" customHeight="1" x14ac:dyDescent="0.2">
      <c r="A55" s="293">
        <f>L55</f>
        <v>41.830000000000005</v>
      </c>
      <c r="B55" s="259">
        <v>0</v>
      </c>
      <c r="C55" s="259">
        <v>0</v>
      </c>
      <c r="E55" s="296">
        <f t="shared" si="1"/>
        <v>41.830000000000005</v>
      </c>
      <c r="F55" s="296">
        <v>823242.93920999998</v>
      </c>
      <c r="G55" s="296">
        <v>1091564.75884</v>
      </c>
      <c r="H55" s="296">
        <v>-123.00865511523794</v>
      </c>
      <c r="L55" s="258">
        <f>L54+1.2</f>
        <v>41.830000000000005</v>
      </c>
      <c r="P55" s="258" t="str">
        <f t="shared" si="2"/>
        <v>A_41.83</v>
      </c>
      <c r="Q55" s="258">
        <f t="shared" si="3"/>
        <v>823242.93920999998</v>
      </c>
      <c r="R55" s="258">
        <f t="shared" si="4"/>
        <v>1091564.75884</v>
      </c>
      <c r="S55" s="258">
        <f t="shared" si="5"/>
        <v>-123.00865511523794</v>
      </c>
    </row>
    <row r="56" spans="1:19" s="258" customFormat="1" ht="24.95" customHeight="1" x14ac:dyDescent="0.2">
      <c r="A56" s="293">
        <f>L56</f>
        <v>43.030000000000008</v>
      </c>
      <c r="B56" s="259">
        <v>0</v>
      </c>
      <c r="C56" s="259">
        <v>0</v>
      </c>
      <c r="E56" s="296">
        <f t="shared" si="1"/>
        <v>43.030000000000008</v>
      </c>
      <c r="F56" s="296">
        <v>823242.43206000002</v>
      </c>
      <c r="G56" s="296">
        <v>1091565.84641</v>
      </c>
      <c r="H56" s="296">
        <v>-122.99664218205936</v>
      </c>
      <c r="L56" s="258">
        <f>L55+1.2</f>
        <v>43.030000000000008</v>
      </c>
      <c r="P56" s="258" t="str">
        <f t="shared" si="2"/>
        <v>A_43.03</v>
      </c>
      <c r="Q56" s="258">
        <f t="shared" si="3"/>
        <v>823242.43206000002</v>
      </c>
      <c r="R56" s="258">
        <f t="shared" si="4"/>
        <v>1091565.84641</v>
      </c>
      <c r="S56" s="258">
        <f t="shared" si="5"/>
        <v>-122.99664218205936</v>
      </c>
    </row>
    <row r="57" spans="1:19" s="258" customFormat="1" ht="24.95" customHeight="1" x14ac:dyDescent="0.2">
      <c r="A57" s="293"/>
      <c r="B57" s="259"/>
      <c r="C57" s="259"/>
      <c r="E57" s="296">
        <f t="shared" si="1"/>
        <v>0</v>
      </c>
      <c r="F57" s="296"/>
      <c r="G57" s="296"/>
      <c r="H57" s="296"/>
      <c r="L57" s="258">
        <v>44.51</v>
      </c>
      <c r="P57" s="258" t="str">
        <f t="shared" si="2"/>
        <v>A_0</v>
      </c>
      <c r="Q57" s="258">
        <f t="shared" si="3"/>
        <v>0</v>
      </c>
      <c r="R57" s="258">
        <f t="shared" si="4"/>
        <v>0</v>
      </c>
      <c r="S57" s="258">
        <f t="shared" si="5"/>
        <v>0</v>
      </c>
    </row>
    <row r="58" spans="1:19" s="258" customFormat="1" ht="24.95" customHeight="1" x14ac:dyDescent="0.2">
      <c r="A58" s="293"/>
      <c r="B58" s="259"/>
      <c r="C58" s="259"/>
      <c r="E58" s="296">
        <f t="shared" si="1"/>
        <v>0</v>
      </c>
      <c r="F58" s="296"/>
      <c r="G58" s="296"/>
      <c r="H58" s="296"/>
      <c r="P58" s="258" t="str">
        <f t="shared" si="2"/>
        <v>A_0</v>
      </c>
      <c r="Q58" s="258">
        <f t="shared" si="3"/>
        <v>0</v>
      </c>
      <c r="R58" s="258">
        <f t="shared" si="4"/>
        <v>0</v>
      </c>
      <c r="S58" s="258">
        <f t="shared" si="5"/>
        <v>0</v>
      </c>
    </row>
    <row r="59" spans="1:19" s="258" customFormat="1" ht="24.95" customHeight="1" x14ac:dyDescent="0.2">
      <c r="A59" s="293"/>
      <c r="B59" s="259"/>
      <c r="C59" s="259"/>
      <c r="E59" s="296">
        <f t="shared" si="1"/>
        <v>0</v>
      </c>
      <c r="F59" s="296"/>
      <c r="G59" s="296"/>
      <c r="H59" s="296"/>
      <c r="P59" s="258" t="str">
        <f t="shared" si="2"/>
        <v>A_0</v>
      </c>
      <c r="Q59" s="258">
        <f t="shared" si="3"/>
        <v>0</v>
      </c>
      <c r="R59" s="258">
        <f t="shared" si="4"/>
        <v>0</v>
      </c>
      <c r="S59" s="258">
        <f t="shared" si="5"/>
        <v>0</v>
      </c>
    </row>
    <row r="60" spans="1:19" s="258" customFormat="1" ht="24.95" customHeight="1" x14ac:dyDescent="0.2">
      <c r="A60" s="293"/>
      <c r="B60" s="259"/>
      <c r="C60" s="259"/>
      <c r="E60" s="296">
        <f t="shared" si="1"/>
        <v>0</v>
      </c>
      <c r="F60" s="296"/>
      <c r="G60" s="296"/>
      <c r="H60" s="296"/>
      <c r="P60" s="258" t="str">
        <f t="shared" si="2"/>
        <v>A_0</v>
      </c>
      <c r="Q60" s="258">
        <f t="shared" si="3"/>
        <v>0</v>
      </c>
      <c r="R60" s="258">
        <f t="shared" si="4"/>
        <v>0</v>
      </c>
      <c r="S60" s="258">
        <f t="shared" si="5"/>
        <v>0</v>
      </c>
    </row>
    <row r="61" spans="1:19" s="258" customFormat="1" ht="24.95" customHeight="1" x14ac:dyDescent="0.2">
      <c r="A61" s="293"/>
      <c r="B61" s="259"/>
      <c r="C61" s="259"/>
      <c r="E61" s="296">
        <f t="shared" si="1"/>
        <v>0</v>
      </c>
      <c r="F61" s="296"/>
      <c r="G61" s="296"/>
      <c r="H61" s="296"/>
      <c r="P61" s="258" t="str">
        <f t="shared" si="2"/>
        <v>A_0</v>
      </c>
      <c r="Q61" s="258">
        <f t="shared" si="3"/>
        <v>0</v>
      </c>
      <c r="R61" s="258">
        <f t="shared" si="4"/>
        <v>0</v>
      </c>
      <c r="S61" s="258">
        <f t="shared" si="5"/>
        <v>0</v>
      </c>
    </row>
    <row r="62" spans="1:19" s="258" customFormat="1" ht="24.95" customHeight="1" x14ac:dyDescent="0.2">
      <c r="A62" s="293"/>
      <c r="B62" s="259"/>
      <c r="C62" s="259"/>
      <c r="E62" s="296">
        <f t="shared" si="1"/>
        <v>0</v>
      </c>
      <c r="F62" s="296"/>
      <c r="G62" s="296"/>
      <c r="H62" s="296"/>
      <c r="P62" s="258" t="str">
        <f t="shared" si="2"/>
        <v>A_0</v>
      </c>
      <c r="Q62" s="258">
        <f t="shared" si="3"/>
        <v>0</v>
      </c>
      <c r="R62" s="258">
        <f t="shared" si="4"/>
        <v>0</v>
      </c>
      <c r="S62" s="258">
        <f t="shared" si="5"/>
        <v>0</v>
      </c>
    </row>
    <row r="63" spans="1:19" s="258" customFormat="1" ht="24.95" customHeight="1" x14ac:dyDescent="0.2">
      <c r="A63" s="293"/>
      <c r="B63" s="259"/>
      <c r="C63" s="259"/>
      <c r="E63" s="296">
        <f t="shared" si="1"/>
        <v>0</v>
      </c>
      <c r="F63" s="296"/>
      <c r="G63" s="296"/>
      <c r="H63" s="296"/>
      <c r="P63" s="258" t="str">
        <f t="shared" si="2"/>
        <v>A_0</v>
      </c>
      <c r="Q63" s="258">
        <f t="shared" si="3"/>
        <v>0</v>
      </c>
      <c r="R63" s="258">
        <f t="shared" si="4"/>
        <v>0</v>
      </c>
      <c r="S63" s="258">
        <f t="shared" si="5"/>
        <v>0</v>
      </c>
    </row>
    <row r="64" spans="1:19" s="258" customFormat="1" ht="24.95" customHeight="1" x14ac:dyDescent="0.2">
      <c r="A64" s="293"/>
      <c r="B64" s="259"/>
      <c r="C64" s="259"/>
      <c r="E64" s="296">
        <f t="shared" si="1"/>
        <v>0</v>
      </c>
      <c r="F64" s="296"/>
      <c r="G64" s="296"/>
      <c r="H64" s="296"/>
      <c r="P64" s="258" t="str">
        <f t="shared" si="2"/>
        <v>A_0</v>
      </c>
      <c r="Q64" s="258">
        <f t="shared" si="3"/>
        <v>0</v>
      </c>
      <c r="R64" s="258">
        <f t="shared" si="4"/>
        <v>0</v>
      </c>
      <c r="S64" s="258">
        <f t="shared" si="5"/>
        <v>0</v>
      </c>
    </row>
    <row r="65" spans="1:19" s="258" customFormat="1" ht="24.95" customHeight="1" x14ac:dyDescent="0.2">
      <c r="A65" s="293"/>
      <c r="B65" s="259"/>
      <c r="C65" s="259"/>
      <c r="E65" s="296">
        <f t="shared" si="1"/>
        <v>0</v>
      </c>
      <c r="F65" s="296"/>
      <c r="G65" s="296"/>
      <c r="H65" s="296"/>
      <c r="P65" s="258" t="str">
        <f t="shared" si="2"/>
        <v>A_0</v>
      </c>
      <c r="Q65" s="258">
        <f t="shared" si="3"/>
        <v>0</v>
      </c>
      <c r="R65" s="258">
        <f t="shared" si="4"/>
        <v>0</v>
      </c>
      <c r="S65" s="258">
        <f t="shared" si="5"/>
        <v>0</v>
      </c>
    </row>
    <row r="66" spans="1:19" s="258" customFormat="1" ht="24.95" customHeight="1" x14ac:dyDescent="0.2">
      <c r="A66" s="293"/>
      <c r="B66" s="259"/>
      <c r="C66" s="259"/>
      <c r="E66" s="296">
        <f t="shared" si="1"/>
        <v>0</v>
      </c>
      <c r="F66" s="296"/>
      <c r="G66" s="296"/>
      <c r="H66" s="296"/>
      <c r="P66" s="258" t="str">
        <f t="shared" si="2"/>
        <v>A_0</v>
      </c>
      <c r="Q66" s="258">
        <f t="shared" si="3"/>
        <v>0</v>
      </c>
      <c r="R66" s="258">
        <f t="shared" si="4"/>
        <v>0</v>
      </c>
      <c r="S66" s="258">
        <f t="shared" si="5"/>
        <v>0</v>
      </c>
    </row>
    <row r="67" spans="1:19" s="258" customFormat="1" ht="24.95" customHeight="1" x14ac:dyDescent="0.2">
      <c r="A67" s="293"/>
      <c r="B67" s="259"/>
      <c r="C67" s="259"/>
      <c r="E67" s="296">
        <f t="shared" si="1"/>
        <v>0</v>
      </c>
      <c r="F67" s="296"/>
      <c r="G67" s="296"/>
      <c r="H67" s="296"/>
      <c r="P67" s="258" t="str">
        <f t="shared" si="2"/>
        <v>A_0</v>
      </c>
      <c r="Q67" s="258">
        <f t="shared" si="3"/>
        <v>0</v>
      </c>
      <c r="R67" s="258">
        <f t="shared" si="4"/>
        <v>0</v>
      </c>
      <c r="S67" s="258">
        <f t="shared" si="5"/>
        <v>0</v>
      </c>
    </row>
    <row r="68" spans="1:19" s="258" customFormat="1" ht="24.95" customHeight="1" x14ac:dyDescent="0.2">
      <c r="A68" s="293"/>
      <c r="B68" s="259"/>
      <c r="C68" s="259"/>
      <c r="E68" s="296">
        <f t="shared" si="1"/>
        <v>0</v>
      </c>
      <c r="F68" s="296"/>
      <c r="G68" s="296"/>
      <c r="H68" s="296"/>
      <c r="P68" s="258" t="str">
        <f t="shared" si="2"/>
        <v>A_0</v>
      </c>
      <c r="Q68" s="258">
        <f t="shared" si="3"/>
        <v>0</v>
      </c>
      <c r="R68" s="258">
        <f t="shared" si="4"/>
        <v>0</v>
      </c>
      <c r="S68" s="258">
        <f t="shared" si="5"/>
        <v>0</v>
      </c>
    </row>
    <row r="69" spans="1:19" s="258" customFormat="1" ht="24.95" customHeight="1" x14ac:dyDescent="0.2">
      <c r="A69" s="293"/>
      <c r="B69" s="259"/>
      <c r="C69" s="259"/>
      <c r="E69" s="296">
        <f t="shared" si="1"/>
        <v>0</v>
      </c>
      <c r="F69" s="296"/>
      <c r="G69" s="296"/>
      <c r="H69" s="296"/>
      <c r="P69" s="258" t="str">
        <f t="shared" si="2"/>
        <v>A_0</v>
      </c>
      <c r="Q69" s="258">
        <f t="shared" si="3"/>
        <v>0</v>
      </c>
      <c r="R69" s="258">
        <f t="shared" si="4"/>
        <v>0</v>
      </c>
      <c r="S69" s="258">
        <f t="shared" si="5"/>
        <v>0</v>
      </c>
    </row>
    <row r="70" spans="1:19" s="258" customFormat="1" ht="24.95" customHeight="1" x14ac:dyDescent="0.2">
      <c r="A70" s="293"/>
      <c r="B70" s="259"/>
      <c r="C70" s="259"/>
      <c r="E70" s="296">
        <f t="shared" si="1"/>
        <v>0</v>
      </c>
      <c r="F70" s="296"/>
      <c r="G70" s="296"/>
      <c r="H70" s="296"/>
      <c r="P70" s="258" t="str">
        <f t="shared" si="2"/>
        <v>A_0</v>
      </c>
      <c r="Q70" s="258">
        <f t="shared" si="3"/>
        <v>0</v>
      </c>
      <c r="R70" s="258">
        <f t="shared" si="4"/>
        <v>0</v>
      </c>
      <c r="S70" s="258">
        <f t="shared" si="5"/>
        <v>0</v>
      </c>
    </row>
    <row r="71" spans="1:19" s="258" customFormat="1" ht="24.95" customHeight="1" x14ac:dyDescent="0.2">
      <c r="A71" s="293"/>
      <c r="B71" s="259"/>
      <c r="C71" s="259"/>
      <c r="E71" s="296">
        <f t="shared" si="1"/>
        <v>0</v>
      </c>
      <c r="F71" s="296"/>
      <c r="G71" s="296"/>
      <c r="H71" s="296"/>
      <c r="P71" s="258" t="str">
        <f t="shared" si="2"/>
        <v>A_0</v>
      </c>
      <c r="Q71" s="258">
        <f t="shared" si="3"/>
        <v>0</v>
      </c>
      <c r="R71" s="258">
        <f t="shared" si="4"/>
        <v>0</v>
      </c>
      <c r="S71" s="258">
        <f t="shared" si="5"/>
        <v>0</v>
      </c>
    </row>
    <row r="72" spans="1:19" s="258" customFormat="1" ht="24.95" customHeight="1" x14ac:dyDescent="0.2">
      <c r="A72" s="293"/>
      <c r="B72" s="259"/>
      <c r="C72" s="259"/>
      <c r="E72" s="296">
        <f t="shared" si="1"/>
        <v>0</v>
      </c>
      <c r="F72" s="296"/>
      <c r="G72" s="296"/>
      <c r="H72" s="296"/>
      <c r="P72" s="258" t="str">
        <f t="shared" si="2"/>
        <v>A_0</v>
      </c>
      <c r="Q72" s="258">
        <f t="shared" si="3"/>
        <v>0</v>
      </c>
      <c r="R72" s="258">
        <f t="shared" si="4"/>
        <v>0</v>
      </c>
      <c r="S72" s="258">
        <f t="shared" si="5"/>
        <v>0</v>
      </c>
    </row>
    <row r="73" spans="1:19" s="258" customFormat="1" ht="24.95" customHeight="1" x14ac:dyDescent="0.2">
      <c r="A73" s="293"/>
      <c r="B73" s="259"/>
      <c r="C73" s="259"/>
      <c r="E73" s="296">
        <f t="shared" si="1"/>
        <v>0</v>
      </c>
      <c r="F73" s="296"/>
      <c r="G73" s="296"/>
      <c r="H73" s="296"/>
      <c r="P73" s="258" t="str">
        <f t="shared" si="2"/>
        <v>A_0</v>
      </c>
      <c r="Q73" s="258">
        <f t="shared" si="3"/>
        <v>0</v>
      </c>
      <c r="R73" s="258">
        <f t="shared" si="4"/>
        <v>0</v>
      </c>
      <c r="S73" s="258">
        <f t="shared" si="5"/>
        <v>0</v>
      </c>
    </row>
    <row r="74" spans="1:19" s="258" customFormat="1" ht="24.95" customHeight="1" x14ac:dyDescent="0.2">
      <c r="A74" s="293"/>
      <c r="B74" s="259"/>
      <c r="C74" s="259"/>
      <c r="E74" s="296">
        <f t="shared" si="1"/>
        <v>0</v>
      </c>
      <c r="F74" s="296"/>
      <c r="G74" s="296"/>
      <c r="H74" s="296"/>
      <c r="P74" s="258" t="str">
        <f t="shared" si="2"/>
        <v>A_0</v>
      </c>
      <c r="Q74" s="258">
        <f t="shared" si="3"/>
        <v>0</v>
      </c>
      <c r="R74" s="258">
        <f t="shared" si="4"/>
        <v>0</v>
      </c>
      <c r="S74" s="258">
        <f t="shared" si="5"/>
        <v>0</v>
      </c>
    </row>
    <row r="75" spans="1:19" s="258" customFormat="1" ht="24.95" customHeight="1" x14ac:dyDescent="0.2">
      <c r="A75" s="293"/>
      <c r="B75" s="259"/>
      <c r="C75" s="259"/>
      <c r="E75" s="296">
        <f t="shared" ref="E75:E138" si="8">A75</f>
        <v>0</v>
      </c>
      <c r="F75" s="296"/>
      <c r="G75" s="296"/>
      <c r="H75" s="296"/>
      <c r="P75" s="258" t="str">
        <f t="shared" ref="P75:P138" si="9">"A_"&amp;E75</f>
        <v>A_0</v>
      </c>
      <c r="Q75" s="258">
        <f t="shared" ref="Q75:Q138" si="10">F75</f>
        <v>0</v>
      </c>
      <c r="R75" s="258">
        <f t="shared" ref="R75:R138" si="11">G75</f>
        <v>0</v>
      </c>
      <c r="S75" s="258">
        <f t="shared" ref="S75:S138" si="12">H75</f>
        <v>0</v>
      </c>
    </row>
    <row r="76" spans="1:19" s="258" customFormat="1" ht="24.95" customHeight="1" x14ac:dyDescent="0.2">
      <c r="A76" s="293"/>
      <c r="B76" s="259"/>
      <c r="C76" s="259"/>
      <c r="E76" s="296">
        <f t="shared" si="8"/>
        <v>0</v>
      </c>
      <c r="F76" s="296"/>
      <c r="G76" s="296"/>
      <c r="H76" s="296"/>
      <c r="P76" s="258" t="str">
        <f t="shared" si="9"/>
        <v>A_0</v>
      </c>
      <c r="Q76" s="258">
        <f t="shared" si="10"/>
        <v>0</v>
      </c>
      <c r="R76" s="258">
        <f t="shared" si="11"/>
        <v>0</v>
      </c>
      <c r="S76" s="258">
        <f t="shared" si="12"/>
        <v>0</v>
      </c>
    </row>
    <row r="77" spans="1:19" s="258" customFormat="1" ht="24.95" customHeight="1" x14ac:dyDescent="0.2">
      <c r="A77" s="293"/>
      <c r="B77" s="259"/>
      <c r="C77" s="259"/>
      <c r="E77" s="296">
        <f t="shared" si="8"/>
        <v>0</v>
      </c>
      <c r="F77" s="296"/>
      <c r="G77" s="296"/>
      <c r="H77" s="296"/>
      <c r="P77" s="258" t="str">
        <f t="shared" si="9"/>
        <v>A_0</v>
      </c>
      <c r="Q77" s="258">
        <f t="shared" si="10"/>
        <v>0</v>
      </c>
      <c r="R77" s="258">
        <f t="shared" si="11"/>
        <v>0</v>
      </c>
      <c r="S77" s="258">
        <f t="shared" si="12"/>
        <v>0</v>
      </c>
    </row>
    <row r="78" spans="1:19" s="258" customFormat="1" ht="24.95" customHeight="1" x14ac:dyDescent="0.2">
      <c r="A78" s="293"/>
      <c r="B78" s="259"/>
      <c r="C78" s="259"/>
      <c r="E78" s="296">
        <f t="shared" si="8"/>
        <v>0</v>
      </c>
      <c r="F78" s="296"/>
      <c r="G78" s="296"/>
      <c r="H78" s="296"/>
      <c r="P78" s="258" t="str">
        <f t="shared" si="9"/>
        <v>A_0</v>
      </c>
      <c r="Q78" s="258">
        <f t="shared" si="10"/>
        <v>0</v>
      </c>
      <c r="R78" s="258">
        <f t="shared" si="11"/>
        <v>0</v>
      </c>
      <c r="S78" s="258">
        <f t="shared" si="12"/>
        <v>0</v>
      </c>
    </row>
    <row r="79" spans="1:19" s="258" customFormat="1" ht="24.95" customHeight="1" x14ac:dyDescent="0.2">
      <c r="A79" s="293"/>
      <c r="B79" s="259"/>
      <c r="C79" s="259"/>
      <c r="E79" s="296">
        <f t="shared" si="8"/>
        <v>0</v>
      </c>
      <c r="F79" s="296"/>
      <c r="G79" s="296"/>
      <c r="H79" s="296"/>
      <c r="P79" s="258" t="str">
        <f t="shared" si="9"/>
        <v>A_0</v>
      </c>
      <c r="Q79" s="258">
        <f t="shared" si="10"/>
        <v>0</v>
      </c>
      <c r="R79" s="258">
        <f t="shared" si="11"/>
        <v>0</v>
      </c>
      <c r="S79" s="258">
        <f t="shared" si="12"/>
        <v>0</v>
      </c>
    </row>
    <row r="80" spans="1:19" s="258" customFormat="1" ht="24.95" customHeight="1" x14ac:dyDescent="0.2">
      <c r="A80" s="293"/>
      <c r="B80" s="259"/>
      <c r="C80" s="259"/>
      <c r="E80" s="296">
        <f t="shared" si="8"/>
        <v>0</v>
      </c>
      <c r="F80" s="296"/>
      <c r="G80" s="296"/>
      <c r="H80" s="296"/>
      <c r="P80" s="258" t="str">
        <f t="shared" si="9"/>
        <v>A_0</v>
      </c>
      <c r="Q80" s="258">
        <f t="shared" si="10"/>
        <v>0</v>
      </c>
      <c r="R80" s="258">
        <f t="shared" si="11"/>
        <v>0</v>
      </c>
      <c r="S80" s="258">
        <f t="shared" si="12"/>
        <v>0</v>
      </c>
    </row>
    <row r="81" spans="1:19" s="258" customFormat="1" ht="24.95" customHeight="1" x14ac:dyDescent="0.2">
      <c r="A81" s="293"/>
      <c r="B81" s="259"/>
      <c r="C81" s="259"/>
      <c r="E81" s="296">
        <f t="shared" si="8"/>
        <v>0</v>
      </c>
      <c r="F81" s="296"/>
      <c r="G81" s="296"/>
      <c r="H81" s="296"/>
      <c r="P81" s="258" t="str">
        <f t="shared" si="9"/>
        <v>A_0</v>
      </c>
      <c r="Q81" s="258">
        <f t="shared" si="10"/>
        <v>0</v>
      </c>
      <c r="R81" s="258">
        <f t="shared" si="11"/>
        <v>0</v>
      </c>
      <c r="S81" s="258">
        <f t="shared" si="12"/>
        <v>0</v>
      </c>
    </row>
    <row r="82" spans="1:19" s="258" customFormat="1" ht="24.95" customHeight="1" x14ac:dyDescent="0.2">
      <c r="A82" s="293"/>
      <c r="B82" s="259"/>
      <c r="C82" s="259"/>
      <c r="E82" s="296">
        <f t="shared" si="8"/>
        <v>0</v>
      </c>
      <c r="F82" s="296"/>
      <c r="G82" s="296"/>
      <c r="H82" s="296"/>
      <c r="P82" s="258" t="str">
        <f t="shared" si="9"/>
        <v>A_0</v>
      </c>
      <c r="Q82" s="258">
        <f t="shared" si="10"/>
        <v>0</v>
      </c>
      <c r="R82" s="258">
        <f t="shared" si="11"/>
        <v>0</v>
      </c>
      <c r="S82" s="258">
        <f t="shared" si="12"/>
        <v>0</v>
      </c>
    </row>
    <row r="83" spans="1:19" s="258" customFormat="1" ht="24.95" customHeight="1" x14ac:dyDescent="0.2">
      <c r="A83" s="293"/>
      <c r="B83" s="259"/>
      <c r="C83" s="259"/>
      <c r="E83" s="296">
        <f t="shared" si="8"/>
        <v>0</v>
      </c>
      <c r="F83" s="296"/>
      <c r="G83" s="296"/>
      <c r="H83" s="296"/>
      <c r="P83" s="258" t="str">
        <f t="shared" si="9"/>
        <v>A_0</v>
      </c>
      <c r="Q83" s="258">
        <f t="shared" si="10"/>
        <v>0</v>
      </c>
      <c r="R83" s="258">
        <f t="shared" si="11"/>
        <v>0</v>
      </c>
      <c r="S83" s="258">
        <f t="shared" si="12"/>
        <v>0</v>
      </c>
    </row>
    <row r="84" spans="1:19" s="258" customFormat="1" ht="24.95" customHeight="1" x14ac:dyDescent="0.2">
      <c r="A84" s="293"/>
      <c r="B84" s="259"/>
      <c r="C84" s="259"/>
      <c r="E84" s="296">
        <f t="shared" si="8"/>
        <v>0</v>
      </c>
      <c r="F84" s="296"/>
      <c r="G84" s="296"/>
      <c r="H84" s="296"/>
      <c r="P84" s="258" t="str">
        <f t="shared" si="9"/>
        <v>A_0</v>
      </c>
      <c r="Q84" s="258">
        <f t="shared" si="10"/>
        <v>0</v>
      </c>
      <c r="R84" s="258">
        <f t="shared" si="11"/>
        <v>0</v>
      </c>
      <c r="S84" s="258">
        <f t="shared" si="12"/>
        <v>0</v>
      </c>
    </row>
    <row r="85" spans="1:19" s="258" customFormat="1" ht="24.95" customHeight="1" x14ac:dyDescent="0.2">
      <c r="A85" s="293"/>
      <c r="B85" s="259"/>
      <c r="C85" s="259"/>
      <c r="E85" s="296">
        <f t="shared" si="8"/>
        <v>0</v>
      </c>
      <c r="F85" s="296"/>
      <c r="G85" s="296"/>
      <c r="H85" s="296"/>
      <c r="P85" s="258" t="str">
        <f t="shared" si="9"/>
        <v>A_0</v>
      </c>
      <c r="Q85" s="258">
        <f t="shared" si="10"/>
        <v>0</v>
      </c>
      <c r="R85" s="258">
        <f t="shared" si="11"/>
        <v>0</v>
      </c>
      <c r="S85" s="258">
        <f t="shared" si="12"/>
        <v>0</v>
      </c>
    </row>
    <row r="86" spans="1:19" s="258" customFormat="1" ht="24.95" customHeight="1" x14ac:dyDescent="0.2">
      <c r="A86" s="293"/>
      <c r="B86" s="259"/>
      <c r="C86" s="259"/>
      <c r="E86" s="296">
        <f t="shared" si="8"/>
        <v>0</v>
      </c>
      <c r="F86" s="296"/>
      <c r="G86" s="296"/>
      <c r="H86" s="296"/>
      <c r="P86" s="258" t="str">
        <f t="shared" si="9"/>
        <v>A_0</v>
      </c>
      <c r="Q86" s="258">
        <f t="shared" si="10"/>
        <v>0</v>
      </c>
      <c r="R86" s="258">
        <f t="shared" si="11"/>
        <v>0</v>
      </c>
      <c r="S86" s="258">
        <f t="shared" si="12"/>
        <v>0</v>
      </c>
    </row>
    <row r="87" spans="1:19" s="258" customFormat="1" ht="24.95" customHeight="1" x14ac:dyDescent="0.2">
      <c r="A87" s="293"/>
      <c r="B87" s="259"/>
      <c r="C87" s="259"/>
      <c r="E87" s="296">
        <f t="shared" si="8"/>
        <v>0</v>
      </c>
      <c r="F87" s="296"/>
      <c r="G87" s="296"/>
      <c r="H87" s="296"/>
      <c r="P87" s="258" t="str">
        <f t="shared" si="9"/>
        <v>A_0</v>
      </c>
      <c r="Q87" s="258">
        <f t="shared" si="10"/>
        <v>0</v>
      </c>
      <c r="R87" s="258">
        <f t="shared" si="11"/>
        <v>0</v>
      </c>
      <c r="S87" s="258">
        <f t="shared" si="12"/>
        <v>0</v>
      </c>
    </row>
    <row r="88" spans="1:19" s="258" customFormat="1" ht="24.95" customHeight="1" x14ac:dyDescent="0.2">
      <c r="A88" s="293"/>
      <c r="B88" s="259"/>
      <c r="C88" s="259"/>
      <c r="E88" s="296">
        <f t="shared" si="8"/>
        <v>0</v>
      </c>
      <c r="F88" s="296"/>
      <c r="G88" s="296"/>
      <c r="H88" s="296"/>
      <c r="P88" s="258" t="str">
        <f t="shared" si="9"/>
        <v>A_0</v>
      </c>
      <c r="Q88" s="258">
        <f t="shared" si="10"/>
        <v>0</v>
      </c>
      <c r="R88" s="258">
        <f t="shared" si="11"/>
        <v>0</v>
      </c>
      <c r="S88" s="258">
        <f t="shared" si="12"/>
        <v>0</v>
      </c>
    </row>
    <row r="89" spans="1:19" s="258" customFormat="1" ht="24.95" customHeight="1" x14ac:dyDescent="0.2">
      <c r="A89" s="293"/>
      <c r="B89" s="259"/>
      <c r="C89" s="259"/>
      <c r="E89" s="296">
        <f t="shared" si="8"/>
        <v>0</v>
      </c>
      <c r="F89" s="296"/>
      <c r="G89" s="296"/>
      <c r="H89" s="296"/>
      <c r="P89" s="258" t="str">
        <f t="shared" si="9"/>
        <v>A_0</v>
      </c>
      <c r="Q89" s="258">
        <f t="shared" si="10"/>
        <v>0</v>
      </c>
      <c r="R89" s="258">
        <f t="shared" si="11"/>
        <v>0</v>
      </c>
      <c r="S89" s="258">
        <f t="shared" si="12"/>
        <v>0</v>
      </c>
    </row>
    <row r="90" spans="1:19" s="258" customFormat="1" ht="24.95" customHeight="1" x14ac:dyDescent="0.2">
      <c r="A90" s="293"/>
      <c r="B90" s="259"/>
      <c r="C90" s="259"/>
      <c r="E90" s="296">
        <f t="shared" si="8"/>
        <v>0</v>
      </c>
      <c r="F90" s="296"/>
      <c r="G90" s="296"/>
      <c r="H90" s="296"/>
      <c r="P90" s="258" t="str">
        <f t="shared" si="9"/>
        <v>A_0</v>
      </c>
      <c r="Q90" s="258">
        <f t="shared" si="10"/>
        <v>0</v>
      </c>
      <c r="R90" s="258">
        <f t="shared" si="11"/>
        <v>0</v>
      </c>
      <c r="S90" s="258">
        <f t="shared" si="12"/>
        <v>0</v>
      </c>
    </row>
    <row r="91" spans="1:19" s="258" customFormat="1" ht="24.95" customHeight="1" x14ac:dyDescent="0.2">
      <c r="A91" s="293"/>
      <c r="B91" s="259"/>
      <c r="C91" s="259"/>
      <c r="E91" s="296">
        <f t="shared" si="8"/>
        <v>0</v>
      </c>
      <c r="F91" s="296"/>
      <c r="G91" s="296"/>
      <c r="H91" s="296"/>
      <c r="P91" s="258" t="str">
        <f t="shared" si="9"/>
        <v>A_0</v>
      </c>
      <c r="Q91" s="258">
        <f t="shared" si="10"/>
        <v>0</v>
      </c>
      <c r="R91" s="258">
        <f t="shared" si="11"/>
        <v>0</v>
      </c>
      <c r="S91" s="258">
        <f t="shared" si="12"/>
        <v>0</v>
      </c>
    </row>
    <row r="92" spans="1:19" s="258" customFormat="1" ht="24.95" customHeight="1" x14ac:dyDescent="0.2">
      <c r="A92" s="293"/>
      <c r="B92" s="259"/>
      <c r="C92" s="259"/>
      <c r="E92" s="296">
        <f t="shared" si="8"/>
        <v>0</v>
      </c>
      <c r="F92" s="296"/>
      <c r="G92" s="296"/>
      <c r="H92" s="296"/>
      <c r="P92" s="258" t="str">
        <f t="shared" si="9"/>
        <v>A_0</v>
      </c>
      <c r="Q92" s="258">
        <f t="shared" si="10"/>
        <v>0</v>
      </c>
      <c r="R92" s="258">
        <f t="shared" si="11"/>
        <v>0</v>
      </c>
      <c r="S92" s="258">
        <f t="shared" si="12"/>
        <v>0</v>
      </c>
    </row>
    <row r="93" spans="1:19" s="258" customFormat="1" ht="24.95" customHeight="1" x14ac:dyDescent="0.2">
      <c r="A93" s="293"/>
      <c r="B93" s="259"/>
      <c r="C93" s="259"/>
      <c r="E93" s="296">
        <f t="shared" si="8"/>
        <v>0</v>
      </c>
      <c r="F93" s="296"/>
      <c r="G93" s="296"/>
      <c r="H93" s="296"/>
      <c r="P93" s="258" t="str">
        <f t="shared" si="9"/>
        <v>A_0</v>
      </c>
      <c r="Q93" s="258">
        <f t="shared" si="10"/>
        <v>0</v>
      </c>
      <c r="R93" s="258">
        <f t="shared" si="11"/>
        <v>0</v>
      </c>
      <c r="S93" s="258">
        <f t="shared" si="12"/>
        <v>0</v>
      </c>
    </row>
    <row r="94" spans="1:19" s="258" customFormat="1" ht="24.95" customHeight="1" x14ac:dyDescent="0.2">
      <c r="A94" s="293"/>
      <c r="B94" s="259"/>
      <c r="C94" s="259"/>
      <c r="E94" s="296">
        <f t="shared" si="8"/>
        <v>0</v>
      </c>
      <c r="F94" s="296"/>
      <c r="G94" s="296"/>
      <c r="H94" s="296"/>
      <c r="P94" s="258" t="str">
        <f t="shared" si="9"/>
        <v>A_0</v>
      </c>
      <c r="Q94" s="258">
        <f t="shared" si="10"/>
        <v>0</v>
      </c>
      <c r="R94" s="258">
        <f t="shared" si="11"/>
        <v>0</v>
      </c>
      <c r="S94" s="258">
        <f t="shared" si="12"/>
        <v>0</v>
      </c>
    </row>
    <row r="95" spans="1:19" s="258" customFormat="1" ht="24.95" customHeight="1" x14ac:dyDescent="0.2">
      <c r="A95" s="293"/>
      <c r="B95" s="259"/>
      <c r="C95" s="259"/>
      <c r="E95" s="296">
        <f t="shared" si="8"/>
        <v>0</v>
      </c>
      <c r="F95" s="296"/>
      <c r="G95" s="296"/>
      <c r="H95" s="296"/>
      <c r="P95" s="258" t="str">
        <f t="shared" si="9"/>
        <v>A_0</v>
      </c>
      <c r="Q95" s="258">
        <f t="shared" si="10"/>
        <v>0</v>
      </c>
      <c r="R95" s="258">
        <f t="shared" si="11"/>
        <v>0</v>
      </c>
      <c r="S95" s="258">
        <f t="shared" si="12"/>
        <v>0</v>
      </c>
    </row>
    <row r="96" spans="1:19" s="258" customFormat="1" ht="24.95" customHeight="1" x14ac:dyDescent="0.2">
      <c r="A96" s="293"/>
      <c r="B96" s="259"/>
      <c r="C96" s="259"/>
      <c r="E96" s="296">
        <f t="shared" si="8"/>
        <v>0</v>
      </c>
      <c r="F96" s="296"/>
      <c r="G96" s="296"/>
      <c r="H96" s="296"/>
      <c r="P96" s="258" t="str">
        <f t="shared" si="9"/>
        <v>A_0</v>
      </c>
      <c r="Q96" s="258">
        <f t="shared" si="10"/>
        <v>0</v>
      </c>
      <c r="R96" s="258">
        <f t="shared" si="11"/>
        <v>0</v>
      </c>
      <c r="S96" s="258">
        <f t="shared" si="12"/>
        <v>0</v>
      </c>
    </row>
    <row r="97" spans="1:19" s="258" customFormat="1" ht="24.95" customHeight="1" x14ac:dyDescent="0.2">
      <c r="A97" s="293"/>
      <c r="B97" s="259"/>
      <c r="C97" s="259"/>
      <c r="E97" s="296">
        <f t="shared" si="8"/>
        <v>0</v>
      </c>
      <c r="F97" s="296"/>
      <c r="G97" s="296"/>
      <c r="H97" s="296"/>
      <c r="P97" s="258" t="str">
        <f t="shared" si="9"/>
        <v>A_0</v>
      </c>
      <c r="Q97" s="258">
        <f t="shared" si="10"/>
        <v>0</v>
      </c>
      <c r="R97" s="258">
        <f t="shared" si="11"/>
        <v>0</v>
      </c>
      <c r="S97" s="258">
        <f t="shared" si="12"/>
        <v>0</v>
      </c>
    </row>
    <row r="98" spans="1:19" s="258" customFormat="1" ht="24.95" customHeight="1" x14ac:dyDescent="0.2">
      <c r="A98" s="293"/>
      <c r="B98" s="259"/>
      <c r="C98" s="259"/>
      <c r="E98" s="296">
        <f t="shared" si="8"/>
        <v>0</v>
      </c>
      <c r="F98" s="296"/>
      <c r="G98" s="296"/>
      <c r="H98" s="296"/>
      <c r="P98" s="258" t="str">
        <f t="shared" si="9"/>
        <v>A_0</v>
      </c>
      <c r="Q98" s="258">
        <f t="shared" si="10"/>
        <v>0</v>
      </c>
      <c r="R98" s="258">
        <f t="shared" si="11"/>
        <v>0</v>
      </c>
      <c r="S98" s="258">
        <f t="shared" si="12"/>
        <v>0</v>
      </c>
    </row>
    <row r="99" spans="1:19" s="258" customFormat="1" ht="24.95" customHeight="1" x14ac:dyDescent="0.2">
      <c r="A99" s="293"/>
      <c r="B99" s="259"/>
      <c r="C99" s="259"/>
      <c r="E99" s="296">
        <f t="shared" si="8"/>
        <v>0</v>
      </c>
      <c r="F99" s="296"/>
      <c r="G99" s="296"/>
      <c r="H99" s="296"/>
      <c r="P99" s="258" t="str">
        <f t="shared" si="9"/>
        <v>A_0</v>
      </c>
      <c r="Q99" s="258">
        <f t="shared" si="10"/>
        <v>0</v>
      </c>
      <c r="R99" s="258">
        <f t="shared" si="11"/>
        <v>0</v>
      </c>
      <c r="S99" s="258">
        <f t="shared" si="12"/>
        <v>0</v>
      </c>
    </row>
    <row r="100" spans="1:19" s="258" customFormat="1" ht="24.95" customHeight="1" x14ac:dyDescent="0.2">
      <c r="A100" s="293"/>
      <c r="B100" s="259"/>
      <c r="C100" s="259"/>
      <c r="E100" s="296">
        <f t="shared" si="8"/>
        <v>0</v>
      </c>
      <c r="F100" s="296"/>
      <c r="G100" s="296"/>
      <c r="H100" s="296"/>
      <c r="P100" s="258" t="str">
        <f t="shared" si="9"/>
        <v>A_0</v>
      </c>
      <c r="Q100" s="258">
        <f t="shared" si="10"/>
        <v>0</v>
      </c>
      <c r="R100" s="258">
        <f t="shared" si="11"/>
        <v>0</v>
      </c>
      <c r="S100" s="258">
        <f t="shared" si="12"/>
        <v>0</v>
      </c>
    </row>
    <row r="101" spans="1:19" s="258" customFormat="1" ht="24.95" customHeight="1" x14ac:dyDescent="0.2">
      <c r="A101" s="293"/>
      <c r="B101" s="259"/>
      <c r="C101" s="259"/>
      <c r="E101" s="296">
        <f t="shared" si="8"/>
        <v>0</v>
      </c>
      <c r="F101" s="296"/>
      <c r="G101" s="296"/>
      <c r="H101" s="296"/>
      <c r="P101" s="258" t="str">
        <f t="shared" si="9"/>
        <v>A_0</v>
      </c>
      <c r="Q101" s="258">
        <f t="shared" si="10"/>
        <v>0</v>
      </c>
      <c r="R101" s="258">
        <f t="shared" si="11"/>
        <v>0</v>
      </c>
      <c r="S101" s="258">
        <f t="shared" si="12"/>
        <v>0</v>
      </c>
    </row>
    <row r="102" spans="1:19" s="258" customFormat="1" ht="24.95" customHeight="1" x14ac:dyDescent="0.2">
      <c r="A102" s="293"/>
      <c r="B102" s="259"/>
      <c r="C102" s="259"/>
      <c r="E102" s="296">
        <f t="shared" si="8"/>
        <v>0</v>
      </c>
      <c r="F102" s="296"/>
      <c r="G102" s="296"/>
      <c r="H102" s="296"/>
      <c r="P102" s="258" t="str">
        <f t="shared" si="9"/>
        <v>A_0</v>
      </c>
      <c r="Q102" s="258">
        <f t="shared" si="10"/>
        <v>0</v>
      </c>
      <c r="R102" s="258">
        <f t="shared" si="11"/>
        <v>0</v>
      </c>
      <c r="S102" s="258">
        <f t="shared" si="12"/>
        <v>0</v>
      </c>
    </row>
    <row r="103" spans="1:19" s="258" customFormat="1" ht="24.95" customHeight="1" x14ac:dyDescent="0.2">
      <c r="A103" s="293"/>
      <c r="B103" s="259"/>
      <c r="C103" s="259"/>
      <c r="E103" s="296">
        <f t="shared" si="8"/>
        <v>0</v>
      </c>
      <c r="F103" s="296"/>
      <c r="G103" s="296"/>
      <c r="H103" s="296"/>
      <c r="P103" s="258" t="str">
        <f t="shared" si="9"/>
        <v>A_0</v>
      </c>
      <c r="Q103" s="258">
        <f t="shared" si="10"/>
        <v>0</v>
      </c>
      <c r="R103" s="258">
        <f t="shared" si="11"/>
        <v>0</v>
      </c>
      <c r="S103" s="258">
        <f t="shared" si="12"/>
        <v>0</v>
      </c>
    </row>
    <row r="104" spans="1:19" s="258" customFormat="1" ht="24.95" customHeight="1" x14ac:dyDescent="0.2">
      <c r="A104" s="293"/>
      <c r="B104" s="259"/>
      <c r="C104" s="259"/>
      <c r="E104" s="296">
        <f t="shared" si="8"/>
        <v>0</v>
      </c>
      <c r="F104" s="296"/>
      <c r="G104" s="296"/>
      <c r="H104" s="296"/>
      <c r="P104" s="258" t="str">
        <f t="shared" si="9"/>
        <v>A_0</v>
      </c>
      <c r="Q104" s="258">
        <f t="shared" si="10"/>
        <v>0</v>
      </c>
      <c r="R104" s="258">
        <f t="shared" si="11"/>
        <v>0</v>
      </c>
      <c r="S104" s="258">
        <f t="shared" si="12"/>
        <v>0</v>
      </c>
    </row>
    <row r="105" spans="1:19" s="258" customFormat="1" ht="24.95" customHeight="1" x14ac:dyDescent="0.2">
      <c r="A105" s="293"/>
      <c r="B105" s="259"/>
      <c r="C105" s="259"/>
      <c r="E105" s="296">
        <f t="shared" si="8"/>
        <v>0</v>
      </c>
      <c r="F105" s="296"/>
      <c r="G105" s="296"/>
      <c r="H105" s="296"/>
      <c r="P105" s="258" t="str">
        <f t="shared" si="9"/>
        <v>A_0</v>
      </c>
      <c r="Q105" s="258">
        <f t="shared" si="10"/>
        <v>0</v>
      </c>
      <c r="R105" s="258">
        <f t="shared" si="11"/>
        <v>0</v>
      </c>
      <c r="S105" s="258">
        <f t="shared" si="12"/>
        <v>0</v>
      </c>
    </row>
    <row r="106" spans="1:19" s="258" customFormat="1" ht="24.95" customHeight="1" x14ac:dyDescent="0.2">
      <c r="A106" s="293"/>
      <c r="B106" s="259"/>
      <c r="C106" s="259"/>
      <c r="E106" s="296">
        <f t="shared" si="8"/>
        <v>0</v>
      </c>
      <c r="F106" s="296"/>
      <c r="G106" s="296"/>
      <c r="H106" s="296"/>
      <c r="P106" s="258" t="str">
        <f t="shared" si="9"/>
        <v>A_0</v>
      </c>
      <c r="Q106" s="258">
        <f t="shared" si="10"/>
        <v>0</v>
      </c>
      <c r="R106" s="258">
        <f t="shared" si="11"/>
        <v>0</v>
      </c>
      <c r="S106" s="258">
        <f t="shared" si="12"/>
        <v>0</v>
      </c>
    </row>
    <row r="107" spans="1:19" s="258" customFormat="1" ht="24.95" customHeight="1" x14ac:dyDescent="0.2">
      <c r="A107" s="293"/>
      <c r="B107" s="259"/>
      <c r="C107" s="259"/>
      <c r="E107" s="296">
        <f t="shared" si="8"/>
        <v>0</v>
      </c>
      <c r="F107" s="296"/>
      <c r="G107" s="296"/>
      <c r="H107" s="296"/>
      <c r="P107" s="258" t="str">
        <f t="shared" si="9"/>
        <v>A_0</v>
      </c>
      <c r="Q107" s="258">
        <f t="shared" si="10"/>
        <v>0</v>
      </c>
      <c r="R107" s="258">
        <f t="shared" si="11"/>
        <v>0</v>
      </c>
      <c r="S107" s="258">
        <f t="shared" si="12"/>
        <v>0</v>
      </c>
    </row>
    <row r="108" spans="1:19" s="258" customFormat="1" ht="24.95" customHeight="1" x14ac:dyDescent="0.2">
      <c r="A108" s="293"/>
      <c r="B108" s="259"/>
      <c r="C108" s="259"/>
      <c r="E108" s="296">
        <f t="shared" si="8"/>
        <v>0</v>
      </c>
      <c r="F108" s="296"/>
      <c r="G108" s="296"/>
      <c r="H108" s="296"/>
      <c r="P108" s="258" t="str">
        <f t="shared" si="9"/>
        <v>A_0</v>
      </c>
      <c r="Q108" s="258">
        <f t="shared" si="10"/>
        <v>0</v>
      </c>
      <c r="R108" s="258">
        <f t="shared" si="11"/>
        <v>0</v>
      </c>
      <c r="S108" s="258">
        <f t="shared" si="12"/>
        <v>0</v>
      </c>
    </row>
    <row r="109" spans="1:19" s="258" customFormat="1" ht="24.95" customHeight="1" x14ac:dyDescent="0.2">
      <c r="A109" s="293"/>
      <c r="B109" s="259"/>
      <c r="C109" s="259"/>
      <c r="E109" s="296">
        <f t="shared" si="8"/>
        <v>0</v>
      </c>
      <c r="F109" s="296"/>
      <c r="G109" s="296"/>
      <c r="H109" s="296"/>
      <c r="P109" s="258" t="str">
        <f t="shared" si="9"/>
        <v>A_0</v>
      </c>
      <c r="Q109" s="258">
        <f t="shared" si="10"/>
        <v>0</v>
      </c>
      <c r="R109" s="258">
        <f t="shared" si="11"/>
        <v>0</v>
      </c>
      <c r="S109" s="258">
        <f t="shared" si="12"/>
        <v>0</v>
      </c>
    </row>
    <row r="110" spans="1:19" s="258" customFormat="1" ht="24.95" customHeight="1" x14ac:dyDescent="0.2">
      <c r="A110" s="293"/>
      <c r="B110" s="259"/>
      <c r="C110" s="259"/>
      <c r="E110" s="296">
        <f t="shared" si="8"/>
        <v>0</v>
      </c>
      <c r="F110" s="296"/>
      <c r="G110" s="296"/>
      <c r="H110" s="296"/>
      <c r="P110" s="258" t="str">
        <f t="shared" si="9"/>
        <v>A_0</v>
      </c>
      <c r="Q110" s="258">
        <f t="shared" si="10"/>
        <v>0</v>
      </c>
      <c r="R110" s="258">
        <f t="shared" si="11"/>
        <v>0</v>
      </c>
      <c r="S110" s="258">
        <f t="shared" si="12"/>
        <v>0</v>
      </c>
    </row>
    <row r="111" spans="1:19" s="258" customFormat="1" ht="24.95" customHeight="1" x14ac:dyDescent="0.2">
      <c r="A111" s="293"/>
      <c r="B111" s="259"/>
      <c r="C111" s="259"/>
      <c r="E111" s="296">
        <f t="shared" si="8"/>
        <v>0</v>
      </c>
      <c r="F111" s="296"/>
      <c r="G111" s="296"/>
      <c r="H111" s="296"/>
      <c r="P111" s="258" t="str">
        <f t="shared" si="9"/>
        <v>A_0</v>
      </c>
      <c r="Q111" s="258">
        <f t="shared" si="10"/>
        <v>0</v>
      </c>
      <c r="R111" s="258">
        <f t="shared" si="11"/>
        <v>0</v>
      </c>
      <c r="S111" s="258">
        <f t="shared" si="12"/>
        <v>0</v>
      </c>
    </row>
    <row r="112" spans="1:19" s="258" customFormat="1" ht="24.95" customHeight="1" x14ac:dyDescent="0.2">
      <c r="A112" s="293"/>
      <c r="B112" s="259"/>
      <c r="C112" s="259"/>
      <c r="E112" s="296">
        <f t="shared" si="8"/>
        <v>0</v>
      </c>
      <c r="F112" s="296"/>
      <c r="G112" s="296"/>
      <c r="H112" s="296"/>
      <c r="P112" s="258" t="str">
        <f t="shared" si="9"/>
        <v>A_0</v>
      </c>
      <c r="Q112" s="258">
        <f t="shared" si="10"/>
        <v>0</v>
      </c>
      <c r="R112" s="258">
        <f t="shared" si="11"/>
        <v>0</v>
      </c>
      <c r="S112" s="258">
        <f t="shared" si="12"/>
        <v>0</v>
      </c>
    </row>
    <row r="113" spans="1:19" s="258" customFormat="1" ht="24.95" customHeight="1" x14ac:dyDescent="0.2">
      <c r="A113" s="293"/>
      <c r="B113" s="259"/>
      <c r="C113" s="259"/>
      <c r="E113" s="296">
        <f t="shared" si="8"/>
        <v>0</v>
      </c>
      <c r="F113" s="296"/>
      <c r="G113" s="296"/>
      <c r="H113" s="296"/>
      <c r="P113" s="258" t="str">
        <f t="shared" si="9"/>
        <v>A_0</v>
      </c>
      <c r="Q113" s="258">
        <f t="shared" si="10"/>
        <v>0</v>
      </c>
      <c r="R113" s="258">
        <f t="shared" si="11"/>
        <v>0</v>
      </c>
      <c r="S113" s="258">
        <f t="shared" si="12"/>
        <v>0</v>
      </c>
    </row>
    <row r="114" spans="1:19" s="258" customFormat="1" ht="24.95" customHeight="1" x14ac:dyDescent="0.2">
      <c r="A114" s="293"/>
      <c r="B114" s="259"/>
      <c r="C114" s="259"/>
      <c r="E114" s="296">
        <f t="shared" si="8"/>
        <v>0</v>
      </c>
      <c r="F114" s="296"/>
      <c r="G114" s="296"/>
      <c r="H114" s="296"/>
      <c r="P114" s="258" t="str">
        <f t="shared" si="9"/>
        <v>A_0</v>
      </c>
      <c r="Q114" s="258">
        <f t="shared" si="10"/>
        <v>0</v>
      </c>
      <c r="R114" s="258">
        <f t="shared" si="11"/>
        <v>0</v>
      </c>
      <c r="S114" s="258">
        <f t="shared" si="12"/>
        <v>0</v>
      </c>
    </row>
    <row r="115" spans="1:19" s="258" customFormat="1" ht="24.95" customHeight="1" x14ac:dyDescent="0.2">
      <c r="A115" s="293"/>
      <c r="B115" s="259"/>
      <c r="C115" s="259"/>
      <c r="E115" s="296">
        <f t="shared" si="8"/>
        <v>0</v>
      </c>
      <c r="F115" s="296"/>
      <c r="G115" s="296"/>
      <c r="H115" s="296"/>
      <c r="P115" s="258" t="str">
        <f t="shared" si="9"/>
        <v>A_0</v>
      </c>
      <c r="Q115" s="258">
        <f t="shared" si="10"/>
        <v>0</v>
      </c>
      <c r="R115" s="258">
        <f t="shared" si="11"/>
        <v>0</v>
      </c>
      <c r="S115" s="258">
        <f t="shared" si="12"/>
        <v>0</v>
      </c>
    </row>
    <row r="116" spans="1:19" s="258" customFormat="1" ht="24.95" customHeight="1" x14ac:dyDescent="0.2">
      <c r="A116" s="293"/>
      <c r="B116" s="259"/>
      <c r="C116" s="259"/>
      <c r="E116" s="296">
        <f t="shared" si="8"/>
        <v>0</v>
      </c>
      <c r="F116" s="296"/>
      <c r="G116" s="296"/>
      <c r="H116" s="296"/>
      <c r="P116" s="258" t="str">
        <f t="shared" si="9"/>
        <v>A_0</v>
      </c>
      <c r="Q116" s="258">
        <f t="shared" si="10"/>
        <v>0</v>
      </c>
      <c r="R116" s="258">
        <f t="shared" si="11"/>
        <v>0</v>
      </c>
      <c r="S116" s="258">
        <f t="shared" si="12"/>
        <v>0</v>
      </c>
    </row>
    <row r="117" spans="1:19" s="258" customFormat="1" ht="24.95" customHeight="1" x14ac:dyDescent="0.2">
      <c r="A117" s="293"/>
      <c r="B117" s="259"/>
      <c r="C117" s="259"/>
      <c r="E117" s="296">
        <f t="shared" si="8"/>
        <v>0</v>
      </c>
      <c r="F117" s="296"/>
      <c r="G117" s="296"/>
      <c r="H117" s="296"/>
      <c r="P117" s="258" t="str">
        <f t="shared" si="9"/>
        <v>A_0</v>
      </c>
      <c r="Q117" s="258">
        <f t="shared" si="10"/>
        <v>0</v>
      </c>
      <c r="R117" s="258">
        <f t="shared" si="11"/>
        <v>0</v>
      </c>
      <c r="S117" s="258">
        <f t="shared" si="12"/>
        <v>0</v>
      </c>
    </row>
    <row r="118" spans="1:19" s="258" customFormat="1" ht="24.95" customHeight="1" x14ac:dyDescent="0.2">
      <c r="A118" s="293"/>
      <c r="B118" s="259"/>
      <c r="C118" s="259"/>
      <c r="E118" s="296">
        <f t="shared" si="8"/>
        <v>0</v>
      </c>
      <c r="F118" s="296"/>
      <c r="G118" s="296"/>
      <c r="H118" s="296"/>
      <c r="P118" s="258" t="str">
        <f t="shared" si="9"/>
        <v>A_0</v>
      </c>
      <c r="Q118" s="258">
        <f t="shared" si="10"/>
        <v>0</v>
      </c>
      <c r="R118" s="258">
        <f t="shared" si="11"/>
        <v>0</v>
      </c>
      <c r="S118" s="258">
        <f t="shared" si="12"/>
        <v>0</v>
      </c>
    </row>
    <row r="119" spans="1:19" s="258" customFormat="1" ht="24.95" customHeight="1" x14ac:dyDescent="0.2">
      <c r="A119" s="293"/>
      <c r="B119" s="259"/>
      <c r="C119" s="259"/>
      <c r="E119" s="296">
        <f t="shared" si="8"/>
        <v>0</v>
      </c>
      <c r="F119" s="296"/>
      <c r="G119" s="296"/>
      <c r="H119" s="296"/>
      <c r="P119" s="258" t="str">
        <f t="shared" si="9"/>
        <v>A_0</v>
      </c>
      <c r="Q119" s="258">
        <f t="shared" si="10"/>
        <v>0</v>
      </c>
      <c r="R119" s="258">
        <f t="shared" si="11"/>
        <v>0</v>
      </c>
      <c r="S119" s="258">
        <f t="shared" si="12"/>
        <v>0</v>
      </c>
    </row>
    <row r="120" spans="1:19" s="258" customFormat="1" ht="24.95" customHeight="1" x14ac:dyDescent="0.2">
      <c r="A120" s="293"/>
      <c r="B120" s="259"/>
      <c r="C120" s="259"/>
      <c r="E120" s="296">
        <f t="shared" si="8"/>
        <v>0</v>
      </c>
      <c r="F120" s="296"/>
      <c r="G120" s="296"/>
      <c r="H120" s="296"/>
      <c r="P120" s="258" t="str">
        <f t="shared" si="9"/>
        <v>A_0</v>
      </c>
      <c r="Q120" s="258">
        <f t="shared" si="10"/>
        <v>0</v>
      </c>
      <c r="R120" s="258">
        <f t="shared" si="11"/>
        <v>0</v>
      </c>
      <c r="S120" s="258">
        <f t="shared" si="12"/>
        <v>0</v>
      </c>
    </row>
    <row r="121" spans="1:19" s="258" customFormat="1" ht="24.95" customHeight="1" x14ac:dyDescent="0.2">
      <c r="A121" s="293"/>
      <c r="B121" s="259"/>
      <c r="C121" s="259"/>
      <c r="E121" s="296">
        <f t="shared" si="8"/>
        <v>0</v>
      </c>
      <c r="F121" s="296"/>
      <c r="G121" s="296"/>
      <c r="H121" s="296"/>
      <c r="P121" s="258" t="str">
        <f t="shared" si="9"/>
        <v>A_0</v>
      </c>
      <c r="Q121" s="258">
        <f t="shared" si="10"/>
        <v>0</v>
      </c>
      <c r="R121" s="258">
        <f t="shared" si="11"/>
        <v>0</v>
      </c>
      <c r="S121" s="258">
        <f t="shared" si="12"/>
        <v>0</v>
      </c>
    </row>
    <row r="122" spans="1:19" s="258" customFormat="1" ht="24.95" customHeight="1" x14ac:dyDescent="0.2">
      <c r="A122" s="293"/>
      <c r="B122" s="259"/>
      <c r="C122" s="259"/>
      <c r="E122" s="296">
        <f t="shared" si="8"/>
        <v>0</v>
      </c>
      <c r="F122" s="296"/>
      <c r="G122" s="296"/>
      <c r="H122" s="296"/>
      <c r="P122" s="258" t="str">
        <f t="shared" si="9"/>
        <v>A_0</v>
      </c>
      <c r="Q122" s="258">
        <f t="shared" si="10"/>
        <v>0</v>
      </c>
      <c r="R122" s="258">
        <f t="shared" si="11"/>
        <v>0</v>
      </c>
      <c r="S122" s="258">
        <f t="shared" si="12"/>
        <v>0</v>
      </c>
    </row>
    <row r="123" spans="1:19" s="258" customFormat="1" ht="24.95" customHeight="1" x14ac:dyDescent="0.2">
      <c r="A123" s="293"/>
      <c r="B123" s="259"/>
      <c r="C123" s="259"/>
      <c r="E123" s="296">
        <f t="shared" si="8"/>
        <v>0</v>
      </c>
      <c r="F123" s="296"/>
      <c r="G123" s="296"/>
      <c r="H123" s="296"/>
      <c r="P123" s="258" t="str">
        <f t="shared" si="9"/>
        <v>A_0</v>
      </c>
      <c r="Q123" s="258">
        <f t="shared" si="10"/>
        <v>0</v>
      </c>
      <c r="R123" s="258">
        <f t="shared" si="11"/>
        <v>0</v>
      </c>
      <c r="S123" s="258">
        <f t="shared" si="12"/>
        <v>0</v>
      </c>
    </row>
    <row r="124" spans="1:19" s="258" customFormat="1" ht="24.95" customHeight="1" x14ac:dyDescent="0.2">
      <c r="A124" s="293"/>
      <c r="B124" s="259"/>
      <c r="C124" s="259"/>
      <c r="E124" s="296">
        <f t="shared" si="8"/>
        <v>0</v>
      </c>
      <c r="F124" s="296"/>
      <c r="G124" s="296"/>
      <c r="H124" s="296"/>
      <c r="P124" s="258" t="str">
        <f t="shared" si="9"/>
        <v>A_0</v>
      </c>
      <c r="Q124" s="258">
        <f t="shared" si="10"/>
        <v>0</v>
      </c>
      <c r="R124" s="258">
        <f t="shared" si="11"/>
        <v>0</v>
      </c>
      <c r="S124" s="258">
        <f t="shared" si="12"/>
        <v>0</v>
      </c>
    </row>
    <row r="125" spans="1:19" s="258" customFormat="1" ht="24.95" customHeight="1" x14ac:dyDescent="0.2">
      <c r="A125" s="293"/>
      <c r="B125" s="259"/>
      <c r="C125" s="259"/>
      <c r="E125" s="296">
        <f t="shared" si="8"/>
        <v>0</v>
      </c>
      <c r="F125" s="296"/>
      <c r="G125" s="296"/>
      <c r="H125" s="296"/>
      <c r="P125" s="258" t="str">
        <f t="shared" si="9"/>
        <v>A_0</v>
      </c>
      <c r="Q125" s="258">
        <f t="shared" si="10"/>
        <v>0</v>
      </c>
      <c r="R125" s="258">
        <f t="shared" si="11"/>
        <v>0</v>
      </c>
      <c r="S125" s="258">
        <f t="shared" si="12"/>
        <v>0</v>
      </c>
    </row>
    <row r="126" spans="1:19" s="258" customFormat="1" ht="24.95" customHeight="1" x14ac:dyDescent="0.2">
      <c r="A126" s="293"/>
      <c r="B126" s="259"/>
      <c r="C126" s="259"/>
      <c r="E126" s="296">
        <f t="shared" si="8"/>
        <v>0</v>
      </c>
      <c r="F126" s="296"/>
      <c r="G126" s="296"/>
      <c r="H126" s="296"/>
      <c r="P126" s="258" t="str">
        <f t="shared" si="9"/>
        <v>A_0</v>
      </c>
      <c r="Q126" s="258">
        <f t="shared" si="10"/>
        <v>0</v>
      </c>
      <c r="R126" s="258">
        <f t="shared" si="11"/>
        <v>0</v>
      </c>
      <c r="S126" s="258">
        <f t="shared" si="12"/>
        <v>0</v>
      </c>
    </row>
    <row r="127" spans="1:19" s="258" customFormat="1" ht="24.95" customHeight="1" x14ac:dyDescent="0.2">
      <c r="A127" s="293"/>
      <c r="B127" s="259"/>
      <c r="C127" s="259"/>
      <c r="E127" s="296">
        <f t="shared" si="8"/>
        <v>0</v>
      </c>
      <c r="F127" s="296"/>
      <c r="G127" s="296"/>
      <c r="H127" s="296"/>
      <c r="P127" s="258" t="str">
        <f t="shared" si="9"/>
        <v>A_0</v>
      </c>
      <c r="Q127" s="258">
        <f t="shared" si="10"/>
        <v>0</v>
      </c>
      <c r="R127" s="258">
        <f t="shared" si="11"/>
        <v>0</v>
      </c>
      <c r="S127" s="258">
        <f t="shared" si="12"/>
        <v>0</v>
      </c>
    </row>
    <row r="128" spans="1:19" s="258" customFormat="1" ht="24.95" customHeight="1" x14ac:dyDescent="0.2">
      <c r="A128" s="293"/>
      <c r="B128" s="259"/>
      <c r="C128" s="259"/>
      <c r="E128" s="296">
        <f t="shared" si="8"/>
        <v>0</v>
      </c>
      <c r="F128" s="296"/>
      <c r="G128" s="296"/>
      <c r="H128" s="296"/>
      <c r="P128" s="258" t="str">
        <f t="shared" si="9"/>
        <v>A_0</v>
      </c>
      <c r="Q128" s="258">
        <f t="shared" si="10"/>
        <v>0</v>
      </c>
      <c r="R128" s="258">
        <f t="shared" si="11"/>
        <v>0</v>
      </c>
      <c r="S128" s="258">
        <f t="shared" si="12"/>
        <v>0</v>
      </c>
    </row>
    <row r="129" spans="1:19" s="258" customFormat="1" ht="24.95" customHeight="1" x14ac:dyDescent="0.2">
      <c r="A129" s="293"/>
      <c r="B129" s="259"/>
      <c r="C129" s="259"/>
      <c r="E129" s="296">
        <f t="shared" si="8"/>
        <v>0</v>
      </c>
      <c r="F129" s="296"/>
      <c r="G129" s="296"/>
      <c r="H129" s="296"/>
      <c r="P129" s="258" t="str">
        <f t="shared" si="9"/>
        <v>A_0</v>
      </c>
      <c r="Q129" s="258">
        <f t="shared" si="10"/>
        <v>0</v>
      </c>
      <c r="R129" s="258">
        <f t="shared" si="11"/>
        <v>0</v>
      </c>
      <c r="S129" s="258">
        <f t="shared" si="12"/>
        <v>0</v>
      </c>
    </row>
    <row r="130" spans="1:19" s="258" customFormat="1" ht="24.95" customHeight="1" x14ac:dyDescent="0.2">
      <c r="A130" s="293"/>
      <c r="B130" s="259"/>
      <c r="C130" s="259"/>
      <c r="E130" s="296">
        <f t="shared" si="8"/>
        <v>0</v>
      </c>
      <c r="F130" s="296"/>
      <c r="G130" s="296"/>
      <c r="H130" s="296"/>
      <c r="P130" s="258" t="str">
        <f t="shared" si="9"/>
        <v>A_0</v>
      </c>
      <c r="Q130" s="258">
        <f t="shared" si="10"/>
        <v>0</v>
      </c>
      <c r="R130" s="258">
        <f t="shared" si="11"/>
        <v>0</v>
      </c>
      <c r="S130" s="258">
        <f t="shared" si="12"/>
        <v>0</v>
      </c>
    </row>
    <row r="131" spans="1:19" s="258" customFormat="1" ht="24.95" customHeight="1" x14ac:dyDescent="0.2">
      <c r="A131" s="293"/>
      <c r="B131" s="259"/>
      <c r="C131" s="259"/>
      <c r="E131" s="296">
        <f t="shared" si="8"/>
        <v>0</v>
      </c>
      <c r="F131" s="296"/>
      <c r="G131" s="296"/>
      <c r="H131" s="296"/>
      <c r="P131" s="258" t="str">
        <f t="shared" si="9"/>
        <v>A_0</v>
      </c>
      <c r="Q131" s="258">
        <f t="shared" si="10"/>
        <v>0</v>
      </c>
      <c r="R131" s="258">
        <f t="shared" si="11"/>
        <v>0</v>
      </c>
      <c r="S131" s="258">
        <f t="shared" si="12"/>
        <v>0</v>
      </c>
    </row>
    <row r="132" spans="1:19" s="258" customFormat="1" ht="24.95" customHeight="1" x14ac:dyDescent="0.2">
      <c r="A132" s="293"/>
      <c r="B132" s="259"/>
      <c r="C132" s="259"/>
      <c r="E132" s="296">
        <f t="shared" si="8"/>
        <v>0</v>
      </c>
      <c r="F132" s="296"/>
      <c r="G132" s="296"/>
      <c r="H132" s="296"/>
      <c r="P132" s="258" t="str">
        <f t="shared" si="9"/>
        <v>A_0</v>
      </c>
      <c r="Q132" s="258">
        <f t="shared" si="10"/>
        <v>0</v>
      </c>
      <c r="R132" s="258">
        <f t="shared" si="11"/>
        <v>0</v>
      </c>
      <c r="S132" s="258">
        <f t="shared" si="12"/>
        <v>0</v>
      </c>
    </row>
    <row r="133" spans="1:19" s="258" customFormat="1" ht="24.95" customHeight="1" x14ac:dyDescent="0.2">
      <c r="A133" s="293"/>
      <c r="B133" s="259"/>
      <c r="C133" s="259"/>
      <c r="E133" s="296">
        <f t="shared" si="8"/>
        <v>0</v>
      </c>
      <c r="F133" s="296"/>
      <c r="G133" s="296"/>
      <c r="H133" s="296"/>
      <c r="P133" s="258" t="str">
        <f t="shared" si="9"/>
        <v>A_0</v>
      </c>
      <c r="Q133" s="258">
        <f t="shared" si="10"/>
        <v>0</v>
      </c>
      <c r="R133" s="258">
        <f t="shared" si="11"/>
        <v>0</v>
      </c>
      <c r="S133" s="258">
        <f t="shared" si="12"/>
        <v>0</v>
      </c>
    </row>
    <row r="134" spans="1:19" s="258" customFormat="1" ht="24.95" customHeight="1" x14ac:dyDescent="0.2">
      <c r="A134" s="293"/>
      <c r="B134" s="259"/>
      <c r="C134" s="259"/>
      <c r="E134" s="296">
        <f t="shared" si="8"/>
        <v>0</v>
      </c>
      <c r="F134" s="296"/>
      <c r="G134" s="296"/>
      <c r="H134" s="296"/>
      <c r="P134" s="258" t="str">
        <f t="shared" si="9"/>
        <v>A_0</v>
      </c>
      <c r="Q134" s="258">
        <f t="shared" si="10"/>
        <v>0</v>
      </c>
      <c r="R134" s="258">
        <f t="shared" si="11"/>
        <v>0</v>
      </c>
      <c r="S134" s="258">
        <f t="shared" si="12"/>
        <v>0</v>
      </c>
    </row>
    <row r="135" spans="1:19" s="258" customFormat="1" ht="24.95" customHeight="1" x14ac:dyDescent="0.2">
      <c r="A135" s="293"/>
      <c r="B135" s="259"/>
      <c r="C135" s="259"/>
      <c r="E135" s="296">
        <f t="shared" si="8"/>
        <v>0</v>
      </c>
      <c r="F135" s="296"/>
      <c r="G135" s="296"/>
      <c r="H135" s="296"/>
      <c r="P135" s="258" t="str">
        <f t="shared" si="9"/>
        <v>A_0</v>
      </c>
      <c r="Q135" s="258">
        <f t="shared" si="10"/>
        <v>0</v>
      </c>
      <c r="R135" s="258">
        <f t="shared" si="11"/>
        <v>0</v>
      </c>
      <c r="S135" s="258">
        <f t="shared" si="12"/>
        <v>0</v>
      </c>
    </row>
    <row r="136" spans="1:19" s="258" customFormat="1" ht="24.95" customHeight="1" x14ac:dyDescent="0.2">
      <c r="A136" s="293"/>
      <c r="B136" s="259"/>
      <c r="C136" s="259"/>
      <c r="E136" s="296">
        <f t="shared" si="8"/>
        <v>0</v>
      </c>
      <c r="F136" s="296"/>
      <c r="G136" s="296"/>
      <c r="H136" s="296"/>
      <c r="P136" s="258" t="str">
        <f t="shared" si="9"/>
        <v>A_0</v>
      </c>
      <c r="Q136" s="258">
        <f t="shared" si="10"/>
        <v>0</v>
      </c>
      <c r="R136" s="258">
        <f t="shared" si="11"/>
        <v>0</v>
      </c>
      <c r="S136" s="258">
        <f t="shared" si="12"/>
        <v>0</v>
      </c>
    </row>
    <row r="137" spans="1:19" s="258" customFormat="1" ht="24.95" customHeight="1" x14ac:dyDescent="0.2">
      <c r="A137" s="293"/>
      <c r="B137" s="259"/>
      <c r="C137" s="259"/>
      <c r="E137" s="296">
        <f t="shared" si="8"/>
        <v>0</v>
      </c>
      <c r="F137" s="296"/>
      <c r="G137" s="296"/>
      <c r="H137" s="296"/>
      <c r="P137" s="258" t="str">
        <f t="shared" si="9"/>
        <v>A_0</v>
      </c>
      <c r="Q137" s="258">
        <f t="shared" si="10"/>
        <v>0</v>
      </c>
      <c r="R137" s="258">
        <f t="shared" si="11"/>
        <v>0</v>
      </c>
      <c r="S137" s="258">
        <f t="shared" si="12"/>
        <v>0</v>
      </c>
    </row>
    <row r="138" spans="1:19" s="258" customFormat="1" ht="24.95" customHeight="1" x14ac:dyDescent="0.2">
      <c r="A138" s="293"/>
      <c r="B138" s="259"/>
      <c r="C138" s="259"/>
      <c r="E138" s="296">
        <f t="shared" si="8"/>
        <v>0</v>
      </c>
      <c r="F138" s="296"/>
      <c r="G138" s="296"/>
      <c r="H138" s="296"/>
      <c r="P138" s="258" t="str">
        <f t="shared" si="9"/>
        <v>A_0</v>
      </c>
      <c r="Q138" s="258">
        <f t="shared" si="10"/>
        <v>0</v>
      </c>
      <c r="R138" s="258">
        <f t="shared" si="11"/>
        <v>0</v>
      </c>
      <c r="S138" s="258">
        <f t="shared" si="12"/>
        <v>0</v>
      </c>
    </row>
    <row r="139" spans="1:19" s="258" customFormat="1" ht="24.95" customHeight="1" x14ac:dyDescent="0.2">
      <c r="A139" s="293"/>
      <c r="B139" s="259"/>
      <c r="C139" s="259"/>
      <c r="E139" s="296">
        <f t="shared" ref="E139:E202" si="13">A139</f>
        <v>0</v>
      </c>
      <c r="F139" s="296"/>
      <c r="G139" s="296"/>
      <c r="H139" s="296"/>
      <c r="P139" s="258" t="str">
        <f t="shared" ref="P139:P202" si="14">"A_"&amp;E139</f>
        <v>A_0</v>
      </c>
      <c r="Q139" s="258">
        <f t="shared" ref="Q139:Q202" si="15">F139</f>
        <v>0</v>
      </c>
      <c r="R139" s="258">
        <f t="shared" ref="R139:R202" si="16">G139</f>
        <v>0</v>
      </c>
      <c r="S139" s="258">
        <f t="shared" ref="S139:S202" si="17">H139</f>
        <v>0</v>
      </c>
    </row>
    <row r="140" spans="1:19" s="258" customFormat="1" ht="24.95" customHeight="1" x14ac:dyDescent="0.2">
      <c r="A140" s="293"/>
      <c r="B140" s="259"/>
      <c r="C140" s="259"/>
      <c r="E140" s="296">
        <f t="shared" si="13"/>
        <v>0</v>
      </c>
      <c r="F140" s="296"/>
      <c r="G140" s="296"/>
      <c r="H140" s="296"/>
      <c r="P140" s="258" t="str">
        <f t="shared" si="14"/>
        <v>A_0</v>
      </c>
      <c r="Q140" s="258">
        <f t="shared" si="15"/>
        <v>0</v>
      </c>
      <c r="R140" s="258">
        <f t="shared" si="16"/>
        <v>0</v>
      </c>
      <c r="S140" s="258">
        <f t="shared" si="17"/>
        <v>0</v>
      </c>
    </row>
    <row r="141" spans="1:19" s="258" customFormat="1" ht="24.95" customHeight="1" x14ac:dyDescent="0.2">
      <c r="A141" s="293"/>
      <c r="B141" s="259"/>
      <c r="C141" s="259"/>
      <c r="E141" s="296">
        <f t="shared" si="13"/>
        <v>0</v>
      </c>
      <c r="F141" s="296"/>
      <c r="G141" s="296"/>
      <c r="H141" s="296"/>
      <c r="P141" s="258" t="str">
        <f t="shared" si="14"/>
        <v>A_0</v>
      </c>
      <c r="Q141" s="258">
        <f t="shared" si="15"/>
        <v>0</v>
      </c>
      <c r="R141" s="258">
        <f t="shared" si="16"/>
        <v>0</v>
      </c>
      <c r="S141" s="258">
        <f t="shared" si="17"/>
        <v>0</v>
      </c>
    </row>
    <row r="142" spans="1:19" s="258" customFormat="1" ht="24.95" customHeight="1" x14ac:dyDescent="0.2">
      <c r="A142" s="293"/>
      <c r="B142" s="259"/>
      <c r="C142" s="259"/>
      <c r="E142" s="296">
        <f t="shared" si="13"/>
        <v>0</v>
      </c>
      <c r="F142" s="296"/>
      <c r="G142" s="296"/>
      <c r="H142" s="296"/>
      <c r="P142" s="258" t="str">
        <f t="shared" si="14"/>
        <v>A_0</v>
      </c>
      <c r="Q142" s="258">
        <f t="shared" si="15"/>
        <v>0</v>
      </c>
      <c r="R142" s="258">
        <f t="shared" si="16"/>
        <v>0</v>
      </c>
      <c r="S142" s="258">
        <f t="shared" si="17"/>
        <v>0</v>
      </c>
    </row>
    <row r="143" spans="1:19" s="258" customFormat="1" ht="24.95" customHeight="1" x14ac:dyDescent="0.2">
      <c r="A143" s="293"/>
      <c r="B143" s="259"/>
      <c r="C143" s="259"/>
      <c r="E143" s="296">
        <f t="shared" si="13"/>
        <v>0</v>
      </c>
      <c r="F143" s="296"/>
      <c r="G143" s="296"/>
      <c r="H143" s="296"/>
      <c r="P143" s="258" t="str">
        <f t="shared" si="14"/>
        <v>A_0</v>
      </c>
      <c r="Q143" s="258">
        <f t="shared" si="15"/>
        <v>0</v>
      </c>
      <c r="R143" s="258">
        <f t="shared" si="16"/>
        <v>0</v>
      </c>
      <c r="S143" s="258">
        <f t="shared" si="17"/>
        <v>0</v>
      </c>
    </row>
    <row r="144" spans="1:19" s="258" customFormat="1" ht="24.95" customHeight="1" x14ac:dyDescent="0.2">
      <c r="A144" s="293"/>
      <c r="B144" s="259"/>
      <c r="C144" s="259"/>
      <c r="E144" s="296">
        <f t="shared" si="13"/>
        <v>0</v>
      </c>
      <c r="F144" s="296"/>
      <c r="G144" s="296"/>
      <c r="H144" s="296"/>
      <c r="P144" s="258" t="str">
        <f t="shared" si="14"/>
        <v>A_0</v>
      </c>
      <c r="Q144" s="258">
        <f t="shared" si="15"/>
        <v>0</v>
      </c>
      <c r="R144" s="258">
        <f t="shared" si="16"/>
        <v>0</v>
      </c>
      <c r="S144" s="258">
        <f t="shared" si="17"/>
        <v>0</v>
      </c>
    </row>
    <row r="145" spans="1:19" s="258" customFormat="1" ht="24.95" customHeight="1" x14ac:dyDescent="0.2">
      <c r="A145" s="293"/>
      <c r="B145" s="259"/>
      <c r="C145" s="259"/>
      <c r="E145" s="296">
        <f t="shared" si="13"/>
        <v>0</v>
      </c>
      <c r="F145" s="296"/>
      <c r="G145" s="296"/>
      <c r="H145" s="296"/>
      <c r="P145" s="258" t="str">
        <f t="shared" si="14"/>
        <v>A_0</v>
      </c>
      <c r="Q145" s="258">
        <f t="shared" si="15"/>
        <v>0</v>
      </c>
      <c r="R145" s="258">
        <f t="shared" si="16"/>
        <v>0</v>
      </c>
      <c r="S145" s="258">
        <f t="shared" si="17"/>
        <v>0</v>
      </c>
    </row>
    <row r="146" spans="1:19" s="258" customFormat="1" ht="24.95" customHeight="1" x14ac:dyDescent="0.2">
      <c r="A146" s="293"/>
      <c r="B146" s="259"/>
      <c r="C146" s="259"/>
      <c r="E146" s="296">
        <f t="shared" si="13"/>
        <v>0</v>
      </c>
      <c r="F146" s="296"/>
      <c r="G146" s="296"/>
      <c r="H146" s="296"/>
      <c r="P146" s="258" t="str">
        <f t="shared" si="14"/>
        <v>A_0</v>
      </c>
      <c r="Q146" s="258">
        <f t="shared" si="15"/>
        <v>0</v>
      </c>
      <c r="R146" s="258">
        <f t="shared" si="16"/>
        <v>0</v>
      </c>
      <c r="S146" s="258">
        <f t="shared" si="17"/>
        <v>0</v>
      </c>
    </row>
    <row r="147" spans="1:19" s="258" customFormat="1" ht="24.95" customHeight="1" x14ac:dyDescent="0.2">
      <c r="A147" s="293"/>
      <c r="B147" s="259"/>
      <c r="C147" s="259"/>
      <c r="E147" s="296">
        <f t="shared" si="13"/>
        <v>0</v>
      </c>
      <c r="F147" s="296"/>
      <c r="G147" s="296"/>
      <c r="H147" s="296"/>
      <c r="P147" s="258" t="str">
        <f t="shared" si="14"/>
        <v>A_0</v>
      </c>
      <c r="Q147" s="258">
        <f t="shared" si="15"/>
        <v>0</v>
      </c>
      <c r="R147" s="258">
        <f t="shared" si="16"/>
        <v>0</v>
      </c>
      <c r="S147" s="258">
        <f t="shared" si="17"/>
        <v>0</v>
      </c>
    </row>
    <row r="148" spans="1:19" s="258" customFormat="1" ht="24.95" customHeight="1" x14ac:dyDescent="0.2">
      <c r="A148" s="293"/>
      <c r="B148" s="259"/>
      <c r="C148" s="259"/>
      <c r="E148" s="296">
        <f t="shared" si="13"/>
        <v>0</v>
      </c>
      <c r="F148" s="296"/>
      <c r="G148" s="296"/>
      <c r="H148" s="296"/>
      <c r="P148" s="258" t="str">
        <f t="shared" si="14"/>
        <v>A_0</v>
      </c>
      <c r="Q148" s="258">
        <f t="shared" si="15"/>
        <v>0</v>
      </c>
      <c r="R148" s="258">
        <f t="shared" si="16"/>
        <v>0</v>
      </c>
      <c r="S148" s="258">
        <f t="shared" si="17"/>
        <v>0</v>
      </c>
    </row>
    <row r="149" spans="1:19" s="258" customFormat="1" ht="24.95" customHeight="1" x14ac:dyDescent="0.2">
      <c r="A149" s="293"/>
      <c r="B149" s="259"/>
      <c r="C149" s="259"/>
      <c r="E149" s="296">
        <f t="shared" si="13"/>
        <v>0</v>
      </c>
      <c r="F149" s="296"/>
      <c r="G149" s="296"/>
      <c r="H149" s="296"/>
      <c r="P149" s="258" t="str">
        <f t="shared" si="14"/>
        <v>A_0</v>
      </c>
      <c r="Q149" s="258">
        <f t="shared" si="15"/>
        <v>0</v>
      </c>
      <c r="R149" s="258">
        <f t="shared" si="16"/>
        <v>0</v>
      </c>
      <c r="S149" s="258">
        <f t="shared" si="17"/>
        <v>0</v>
      </c>
    </row>
    <row r="150" spans="1:19" s="258" customFormat="1" ht="24.95" customHeight="1" x14ac:dyDescent="0.2">
      <c r="A150" s="293"/>
      <c r="B150" s="259"/>
      <c r="C150" s="259"/>
      <c r="E150" s="296">
        <f t="shared" si="13"/>
        <v>0</v>
      </c>
      <c r="F150" s="296"/>
      <c r="G150" s="296"/>
      <c r="H150" s="296"/>
      <c r="P150" s="258" t="str">
        <f t="shared" si="14"/>
        <v>A_0</v>
      </c>
      <c r="Q150" s="258">
        <f t="shared" si="15"/>
        <v>0</v>
      </c>
      <c r="R150" s="258">
        <f t="shared" si="16"/>
        <v>0</v>
      </c>
      <c r="S150" s="258">
        <f t="shared" si="17"/>
        <v>0</v>
      </c>
    </row>
    <row r="151" spans="1:19" s="258" customFormat="1" ht="24.95" customHeight="1" x14ac:dyDescent="0.2">
      <c r="A151" s="293"/>
      <c r="B151" s="259"/>
      <c r="C151" s="259"/>
      <c r="E151" s="296">
        <f t="shared" si="13"/>
        <v>0</v>
      </c>
      <c r="F151" s="296"/>
      <c r="G151" s="296"/>
      <c r="H151" s="296"/>
      <c r="P151" s="258" t="str">
        <f t="shared" si="14"/>
        <v>A_0</v>
      </c>
      <c r="Q151" s="258">
        <f t="shared" si="15"/>
        <v>0</v>
      </c>
      <c r="R151" s="258">
        <f t="shared" si="16"/>
        <v>0</v>
      </c>
      <c r="S151" s="258">
        <f t="shared" si="17"/>
        <v>0</v>
      </c>
    </row>
    <row r="152" spans="1:19" s="258" customFormat="1" ht="24.95" customHeight="1" x14ac:dyDescent="0.2">
      <c r="A152" s="293"/>
      <c r="B152" s="259"/>
      <c r="C152" s="259"/>
      <c r="E152" s="296">
        <f t="shared" si="13"/>
        <v>0</v>
      </c>
      <c r="F152" s="296"/>
      <c r="G152" s="296"/>
      <c r="H152" s="296"/>
      <c r="P152" s="258" t="str">
        <f t="shared" si="14"/>
        <v>A_0</v>
      </c>
      <c r="Q152" s="258">
        <f t="shared" si="15"/>
        <v>0</v>
      </c>
      <c r="R152" s="258">
        <f t="shared" si="16"/>
        <v>0</v>
      </c>
      <c r="S152" s="258">
        <f t="shared" si="17"/>
        <v>0</v>
      </c>
    </row>
    <row r="153" spans="1:19" s="258" customFormat="1" ht="24.95" customHeight="1" x14ac:dyDescent="0.2">
      <c r="A153" s="293"/>
      <c r="B153" s="259"/>
      <c r="C153" s="259"/>
      <c r="E153" s="296">
        <f t="shared" si="13"/>
        <v>0</v>
      </c>
      <c r="F153" s="296"/>
      <c r="G153" s="296"/>
      <c r="H153" s="296"/>
      <c r="P153" s="258" t="str">
        <f t="shared" si="14"/>
        <v>A_0</v>
      </c>
      <c r="Q153" s="258">
        <f t="shared" si="15"/>
        <v>0</v>
      </c>
      <c r="R153" s="258">
        <f t="shared" si="16"/>
        <v>0</v>
      </c>
      <c r="S153" s="258">
        <f t="shared" si="17"/>
        <v>0</v>
      </c>
    </row>
    <row r="154" spans="1:19" s="258" customFormat="1" ht="24.95" customHeight="1" x14ac:dyDescent="0.2">
      <c r="A154" s="293"/>
      <c r="B154" s="259"/>
      <c r="C154" s="259"/>
      <c r="E154" s="296">
        <f t="shared" si="13"/>
        <v>0</v>
      </c>
      <c r="F154" s="296"/>
      <c r="G154" s="296"/>
      <c r="H154" s="296"/>
      <c r="P154" s="258" t="str">
        <f t="shared" si="14"/>
        <v>A_0</v>
      </c>
      <c r="Q154" s="258">
        <f t="shared" si="15"/>
        <v>0</v>
      </c>
      <c r="R154" s="258">
        <f t="shared" si="16"/>
        <v>0</v>
      </c>
      <c r="S154" s="258">
        <f t="shared" si="17"/>
        <v>0</v>
      </c>
    </row>
    <row r="155" spans="1:19" s="258" customFormat="1" ht="24.95" customHeight="1" x14ac:dyDescent="0.2">
      <c r="A155" s="293"/>
      <c r="B155" s="259"/>
      <c r="C155" s="259"/>
      <c r="E155" s="296">
        <f t="shared" si="13"/>
        <v>0</v>
      </c>
      <c r="F155" s="296"/>
      <c r="G155" s="296"/>
      <c r="H155" s="296"/>
      <c r="P155" s="258" t="str">
        <f t="shared" si="14"/>
        <v>A_0</v>
      </c>
      <c r="Q155" s="258">
        <f t="shared" si="15"/>
        <v>0</v>
      </c>
      <c r="R155" s="258">
        <f t="shared" si="16"/>
        <v>0</v>
      </c>
      <c r="S155" s="258">
        <f t="shared" si="17"/>
        <v>0</v>
      </c>
    </row>
    <row r="156" spans="1:19" s="258" customFormat="1" ht="24.95" customHeight="1" x14ac:dyDescent="0.2">
      <c r="A156" s="293"/>
      <c r="B156" s="259"/>
      <c r="C156" s="259"/>
      <c r="E156" s="296">
        <f t="shared" si="13"/>
        <v>0</v>
      </c>
      <c r="F156" s="296"/>
      <c r="G156" s="296"/>
      <c r="H156" s="296"/>
      <c r="P156" s="258" t="str">
        <f t="shared" si="14"/>
        <v>A_0</v>
      </c>
      <c r="Q156" s="258">
        <f t="shared" si="15"/>
        <v>0</v>
      </c>
      <c r="R156" s="258">
        <f t="shared" si="16"/>
        <v>0</v>
      </c>
      <c r="S156" s="258">
        <f t="shared" si="17"/>
        <v>0</v>
      </c>
    </row>
    <row r="157" spans="1:19" s="258" customFormat="1" ht="24.95" customHeight="1" x14ac:dyDescent="0.2">
      <c r="A157" s="293"/>
      <c r="B157" s="259"/>
      <c r="C157" s="259"/>
      <c r="E157" s="296">
        <f t="shared" si="13"/>
        <v>0</v>
      </c>
      <c r="F157" s="296"/>
      <c r="G157" s="296"/>
      <c r="H157" s="296"/>
      <c r="P157" s="258" t="str">
        <f t="shared" si="14"/>
        <v>A_0</v>
      </c>
      <c r="Q157" s="258">
        <f t="shared" si="15"/>
        <v>0</v>
      </c>
      <c r="R157" s="258">
        <f t="shared" si="16"/>
        <v>0</v>
      </c>
      <c r="S157" s="258">
        <f t="shared" si="17"/>
        <v>0</v>
      </c>
    </row>
    <row r="158" spans="1:19" s="258" customFormat="1" ht="24.95" customHeight="1" x14ac:dyDescent="0.2">
      <c r="A158" s="293"/>
      <c r="B158" s="259"/>
      <c r="C158" s="259"/>
      <c r="E158" s="296">
        <f t="shared" si="13"/>
        <v>0</v>
      </c>
      <c r="F158" s="296"/>
      <c r="G158" s="296"/>
      <c r="H158" s="296"/>
      <c r="P158" s="258" t="str">
        <f t="shared" si="14"/>
        <v>A_0</v>
      </c>
      <c r="Q158" s="258">
        <f t="shared" si="15"/>
        <v>0</v>
      </c>
      <c r="R158" s="258">
        <f t="shared" si="16"/>
        <v>0</v>
      </c>
      <c r="S158" s="258">
        <f t="shared" si="17"/>
        <v>0</v>
      </c>
    </row>
    <row r="159" spans="1:19" s="258" customFormat="1" ht="24.95" customHeight="1" x14ac:dyDescent="0.2">
      <c r="A159" s="293"/>
      <c r="B159" s="259"/>
      <c r="C159" s="259"/>
      <c r="E159" s="296">
        <f t="shared" si="13"/>
        <v>0</v>
      </c>
      <c r="F159" s="296"/>
      <c r="G159" s="296"/>
      <c r="H159" s="296"/>
      <c r="P159" s="258" t="str">
        <f t="shared" si="14"/>
        <v>A_0</v>
      </c>
      <c r="Q159" s="258">
        <f t="shared" si="15"/>
        <v>0</v>
      </c>
      <c r="R159" s="258">
        <f t="shared" si="16"/>
        <v>0</v>
      </c>
      <c r="S159" s="258">
        <f t="shared" si="17"/>
        <v>0</v>
      </c>
    </row>
    <row r="160" spans="1:19" s="258" customFormat="1" ht="24.95" customHeight="1" x14ac:dyDescent="0.2">
      <c r="A160" s="293"/>
      <c r="B160" s="259"/>
      <c r="C160" s="259"/>
      <c r="E160" s="296">
        <f t="shared" si="13"/>
        <v>0</v>
      </c>
      <c r="F160" s="296"/>
      <c r="G160" s="296"/>
      <c r="H160" s="296"/>
      <c r="P160" s="258" t="str">
        <f t="shared" si="14"/>
        <v>A_0</v>
      </c>
      <c r="Q160" s="258">
        <f t="shared" si="15"/>
        <v>0</v>
      </c>
      <c r="R160" s="258">
        <f t="shared" si="16"/>
        <v>0</v>
      </c>
      <c r="S160" s="258">
        <f t="shared" si="17"/>
        <v>0</v>
      </c>
    </row>
    <row r="161" spans="1:19" s="258" customFormat="1" ht="24.95" customHeight="1" x14ac:dyDescent="0.2">
      <c r="A161" s="293"/>
      <c r="B161" s="259"/>
      <c r="C161" s="259"/>
      <c r="E161" s="296">
        <f t="shared" si="13"/>
        <v>0</v>
      </c>
      <c r="F161" s="296"/>
      <c r="G161" s="296"/>
      <c r="H161" s="296"/>
      <c r="P161" s="258" t="str">
        <f t="shared" si="14"/>
        <v>A_0</v>
      </c>
      <c r="Q161" s="258">
        <f t="shared" si="15"/>
        <v>0</v>
      </c>
      <c r="R161" s="258">
        <f t="shared" si="16"/>
        <v>0</v>
      </c>
      <c r="S161" s="258">
        <f t="shared" si="17"/>
        <v>0</v>
      </c>
    </row>
    <row r="162" spans="1:19" s="258" customFormat="1" ht="24.95" customHeight="1" x14ac:dyDescent="0.2">
      <c r="A162" s="293"/>
      <c r="B162" s="259"/>
      <c r="C162" s="259"/>
      <c r="E162" s="296">
        <f t="shared" si="13"/>
        <v>0</v>
      </c>
      <c r="F162" s="296"/>
      <c r="G162" s="296"/>
      <c r="H162" s="296"/>
      <c r="P162" s="258" t="str">
        <f t="shared" si="14"/>
        <v>A_0</v>
      </c>
      <c r="Q162" s="258">
        <f t="shared" si="15"/>
        <v>0</v>
      </c>
      <c r="R162" s="258">
        <f t="shared" si="16"/>
        <v>0</v>
      </c>
      <c r="S162" s="258">
        <f t="shared" si="17"/>
        <v>0</v>
      </c>
    </row>
    <row r="163" spans="1:19" s="258" customFormat="1" ht="24.95" customHeight="1" x14ac:dyDescent="0.2">
      <c r="A163" s="293"/>
      <c r="B163" s="259"/>
      <c r="C163" s="259"/>
      <c r="E163" s="296">
        <f t="shared" si="13"/>
        <v>0</v>
      </c>
      <c r="F163" s="296"/>
      <c r="G163" s="296"/>
      <c r="H163" s="296"/>
      <c r="P163" s="258" t="str">
        <f t="shared" si="14"/>
        <v>A_0</v>
      </c>
      <c r="Q163" s="258">
        <f t="shared" si="15"/>
        <v>0</v>
      </c>
      <c r="R163" s="258">
        <f t="shared" si="16"/>
        <v>0</v>
      </c>
      <c r="S163" s="258">
        <f t="shared" si="17"/>
        <v>0</v>
      </c>
    </row>
    <row r="164" spans="1:19" s="258" customFormat="1" ht="24.95" customHeight="1" x14ac:dyDescent="0.2">
      <c r="A164" s="293"/>
      <c r="B164" s="259"/>
      <c r="C164" s="259"/>
      <c r="E164" s="296">
        <f t="shared" si="13"/>
        <v>0</v>
      </c>
      <c r="F164" s="296"/>
      <c r="G164" s="296"/>
      <c r="H164" s="296"/>
      <c r="P164" s="258" t="str">
        <f t="shared" si="14"/>
        <v>A_0</v>
      </c>
      <c r="Q164" s="258">
        <f t="shared" si="15"/>
        <v>0</v>
      </c>
      <c r="R164" s="258">
        <f t="shared" si="16"/>
        <v>0</v>
      </c>
      <c r="S164" s="258">
        <f t="shared" si="17"/>
        <v>0</v>
      </c>
    </row>
    <row r="165" spans="1:19" s="258" customFormat="1" ht="24.95" customHeight="1" x14ac:dyDescent="0.2">
      <c r="A165" s="293"/>
      <c r="B165" s="259"/>
      <c r="C165" s="259"/>
      <c r="E165" s="296">
        <f t="shared" si="13"/>
        <v>0</v>
      </c>
      <c r="F165" s="296"/>
      <c r="G165" s="296"/>
      <c r="H165" s="296"/>
      <c r="P165" s="258" t="str">
        <f t="shared" si="14"/>
        <v>A_0</v>
      </c>
      <c r="Q165" s="258">
        <f t="shared" si="15"/>
        <v>0</v>
      </c>
      <c r="R165" s="258">
        <f t="shared" si="16"/>
        <v>0</v>
      </c>
      <c r="S165" s="258">
        <f t="shared" si="17"/>
        <v>0</v>
      </c>
    </row>
    <row r="166" spans="1:19" s="258" customFormat="1" ht="24.95" customHeight="1" x14ac:dyDescent="0.2">
      <c r="A166" s="293"/>
      <c r="B166" s="259"/>
      <c r="C166" s="259"/>
      <c r="E166" s="296">
        <f t="shared" si="13"/>
        <v>0</v>
      </c>
      <c r="F166" s="296"/>
      <c r="G166" s="296"/>
      <c r="H166" s="296"/>
      <c r="P166" s="258" t="str">
        <f t="shared" si="14"/>
        <v>A_0</v>
      </c>
      <c r="Q166" s="258">
        <f t="shared" si="15"/>
        <v>0</v>
      </c>
      <c r="R166" s="258">
        <f t="shared" si="16"/>
        <v>0</v>
      </c>
      <c r="S166" s="258">
        <f t="shared" si="17"/>
        <v>0</v>
      </c>
    </row>
    <row r="167" spans="1:19" s="278" customFormat="1" ht="24.95" customHeight="1" x14ac:dyDescent="0.2">
      <c r="A167" s="293"/>
      <c r="B167" s="259"/>
      <c r="C167" s="259"/>
      <c r="D167" s="258"/>
      <c r="E167" s="296">
        <f t="shared" si="13"/>
        <v>0</v>
      </c>
      <c r="F167" s="296"/>
      <c r="G167" s="296"/>
      <c r="H167" s="296"/>
      <c r="P167" s="258" t="str">
        <f t="shared" si="14"/>
        <v>A_0</v>
      </c>
      <c r="Q167" s="258">
        <f t="shared" si="15"/>
        <v>0</v>
      </c>
      <c r="R167" s="258">
        <f t="shared" si="16"/>
        <v>0</v>
      </c>
      <c r="S167" s="258">
        <f t="shared" si="17"/>
        <v>0</v>
      </c>
    </row>
    <row r="168" spans="1:19" s="278" customFormat="1" ht="24.95" customHeight="1" x14ac:dyDescent="0.2">
      <c r="A168" s="293"/>
      <c r="B168" s="259"/>
      <c r="C168" s="259"/>
      <c r="D168" s="258"/>
      <c r="E168" s="296">
        <f t="shared" si="13"/>
        <v>0</v>
      </c>
      <c r="F168" s="296"/>
      <c r="G168" s="296"/>
      <c r="H168" s="296"/>
      <c r="P168" s="258" t="str">
        <f t="shared" si="14"/>
        <v>A_0</v>
      </c>
      <c r="Q168" s="258">
        <f t="shared" si="15"/>
        <v>0</v>
      </c>
      <c r="R168" s="258">
        <f t="shared" si="16"/>
        <v>0</v>
      </c>
      <c r="S168" s="258">
        <f t="shared" si="17"/>
        <v>0</v>
      </c>
    </row>
    <row r="169" spans="1:19" s="278" customFormat="1" ht="24.95" customHeight="1" x14ac:dyDescent="0.2">
      <c r="A169" s="293"/>
      <c r="B169" s="259"/>
      <c r="C169" s="259"/>
      <c r="D169" s="258"/>
      <c r="E169" s="296">
        <f t="shared" si="13"/>
        <v>0</v>
      </c>
      <c r="F169" s="296"/>
      <c r="G169" s="296"/>
      <c r="H169" s="296"/>
      <c r="P169" s="258" t="str">
        <f t="shared" si="14"/>
        <v>A_0</v>
      </c>
      <c r="Q169" s="258">
        <f t="shared" si="15"/>
        <v>0</v>
      </c>
      <c r="R169" s="258">
        <f t="shared" si="16"/>
        <v>0</v>
      </c>
      <c r="S169" s="258">
        <f t="shared" si="17"/>
        <v>0</v>
      </c>
    </row>
    <row r="170" spans="1:19" s="278" customFormat="1" ht="24.95" customHeight="1" x14ac:dyDescent="0.2">
      <c r="A170" s="293"/>
      <c r="B170" s="259"/>
      <c r="C170" s="259"/>
      <c r="D170" s="258"/>
      <c r="E170" s="296">
        <f t="shared" si="13"/>
        <v>0</v>
      </c>
      <c r="F170" s="296"/>
      <c r="G170" s="296"/>
      <c r="H170" s="296"/>
      <c r="P170" s="258" t="str">
        <f t="shared" si="14"/>
        <v>A_0</v>
      </c>
      <c r="Q170" s="258">
        <f t="shared" si="15"/>
        <v>0</v>
      </c>
      <c r="R170" s="258">
        <f t="shared" si="16"/>
        <v>0</v>
      </c>
      <c r="S170" s="258">
        <f t="shared" si="17"/>
        <v>0</v>
      </c>
    </row>
    <row r="171" spans="1:19" s="278" customFormat="1" ht="24.95" customHeight="1" x14ac:dyDescent="0.2">
      <c r="A171" s="293"/>
      <c r="B171" s="259"/>
      <c r="C171" s="259"/>
      <c r="D171" s="258"/>
      <c r="E171" s="296">
        <f t="shared" si="13"/>
        <v>0</v>
      </c>
      <c r="F171" s="296"/>
      <c r="G171" s="296"/>
      <c r="H171" s="296"/>
      <c r="P171" s="258" t="str">
        <f t="shared" si="14"/>
        <v>A_0</v>
      </c>
      <c r="Q171" s="258">
        <f t="shared" si="15"/>
        <v>0</v>
      </c>
      <c r="R171" s="258">
        <f t="shared" si="16"/>
        <v>0</v>
      </c>
      <c r="S171" s="258">
        <f t="shared" si="17"/>
        <v>0</v>
      </c>
    </row>
    <row r="172" spans="1:19" s="278" customFormat="1" ht="24.95" customHeight="1" x14ac:dyDescent="0.2">
      <c r="A172" s="293"/>
      <c r="B172" s="259"/>
      <c r="C172" s="259"/>
      <c r="D172" s="258"/>
      <c r="E172" s="296">
        <f t="shared" si="13"/>
        <v>0</v>
      </c>
      <c r="F172" s="296"/>
      <c r="G172" s="296"/>
      <c r="H172" s="296"/>
      <c r="P172" s="258" t="str">
        <f t="shared" si="14"/>
        <v>A_0</v>
      </c>
      <c r="Q172" s="258">
        <f t="shared" si="15"/>
        <v>0</v>
      </c>
      <c r="R172" s="258">
        <f t="shared" si="16"/>
        <v>0</v>
      </c>
      <c r="S172" s="258">
        <f t="shared" si="17"/>
        <v>0</v>
      </c>
    </row>
    <row r="173" spans="1:19" s="278" customFormat="1" ht="24.95" customHeight="1" x14ac:dyDescent="0.2">
      <c r="A173" s="293"/>
      <c r="B173" s="259"/>
      <c r="C173" s="259"/>
      <c r="D173" s="258"/>
      <c r="E173" s="296">
        <f t="shared" si="13"/>
        <v>0</v>
      </c>
      <c r="F173" s="296"/>
      <c r="G173" s="296"/>
      <c r="H173" s="296"/>
      <c r="P173" s="258" t="str">
        <f t="shared" si="14"/>
        <v>A_0</v>
      </c>
      <c r="Q173" s="258">
        <f t="shared" si="15"/>
        <v>0</v>
      </c>
      <c r="R173" s="258">
        <f t="shared" si="16"/>
        <v>0</v>
      </c>
      <c r="S173" s="258">
        <f t="shared" si="17"/>
        <v>0</v>
      </c>
    </row>
    <row r="174" spans="1:19" s="278" customFormat="1" ht="24.95" customHeight="1" x14ac:dyDescent="0.2">
      <c r="A174" s="293"/>
      <c r="B174" s="259"/>
      <c r="C174" s="259"/>
      <c r="D174" s="258"/>
      <c r="E174" s="296">
        <f t="shared" si="13"/>
        <v>0</v>
      </c>
      <c r="F174" s="296"/>
      <c r="G174" s="296"/>
      <c r="H174" s="296"/>
      <c r="P174" s="258" t="str">
        <f t="shared" si="14"/>
        <v>A_0</v>
      </c>
      <c r="Q174" s="258">
        <f t="shared" si="15"/>
        <v>0</v>
      </c>
      <c r="R174" s="258">
        <f t="shared" si="16"/>
        <v>0</v>
      </c>
      <c r="S174" s="258">
        <f t="shared" si="17"/>
        <v>0</v>
      </c>
    </row>
    <row r="175" spans="1:19" s="278" customFormat="1" ht="24.95" customHeight="1" x14ac:dyDescent="0.2">
      <c r="A175" s="293"/>
      <c r="B175" s="259"/>
      <c r="C175" s="259"/>
      <c r="D175" s="258"/>
      <c r="E175" s="296">
        <f t="shared" si="13"/>
        <v>0</v>
      </c>
      <c r="F175" s="296"/>
      <c r="G175" s="296"/>
      <c r="H175" s="296"/>
      <c r="P175" s="258" t="str">
        <f t="shared" si="14"/>
        <v>A_0</v>
      </c>
      <c r="Q175" s="258">
        <f t="shared" si="15"/>
        <v>0</v>
      </c>
      <c r="R175" s="258">
        <f t="shared" si="16"/>
        <v>0</v>
      </c>
      <c r="S175" s="258">
        <f t="shared" si="17"/>
        <v>0</v>
      </c>
    </row>
    <row r="176" spans="1:19" s="278" customFormat="1" ht="24.95" customHeight="1" x14ac:dyDescent="0.2">
      <c r="A176" s="293"/>
      <c r="B176" s="259"/>
      <c r="C176" s="259"/>
      <c r="D176" s="258"/>
      <c r="E176" s="296">
        <f t="shared" si="13"/>
        <v>0</v>
      </c>
      <c r="F176" s="296"/>
      <c r="G176" s="296"/>
      <c r="H176" s="296"/>
      <c r="P176" s="258" t="str">
        <f t="shared" si="14"/>
        <v>A_0</v>
      </c>
      <c r="Q176" s="258">
        <f t="shared" si="15"/>
        <v>0</v>
      </c>
      <c r="R176" s="258">
        <f t="shared" si="16"/>
        <v>0</v>
      </c>
      <c r="S176" s="258">
        <f t="shared" si="17"/>
        <v>0</v>
      </c>
    </row>
    <row r="177" spans="1:19" s="278" customFormat="1" ht="24.95" customHeight="1" x14ac:dyDescent="0.2">
      <c r="A177" s="293"/>
      <c r="B177" s="259"/>
      <c r="C177" s="259"/>
      <c r="D177" s="258"/>
      <c r="E177" s="296">
        <f t="shared" si="13"/>
        <v>0</v>
      </c>
      <c r="F177" s="296"/>
      <c r="G177" s="296"/>
      <c r="H177" s="296"/>
      <c r="P177" s="258" t="str">
        <f t="shared" si="14"/>
        <v>A_0</v>
      </c>
      <c r="Q177" s="258">
        <f t="shared" si="15"/>
        <v>0</v>
      </c>
      <c r="R177" s="258">
        <f t="shared" si="16"/>
        <v>0</v>
      </c>
      <c r="S177" s="258">
        <f t="shared" si="17"/>
        <v>0</v>
      </c>
    </row>
    <row r="178" spans="1:19" s="278" customFormat="1" ht="24.95" customHeight="1" x14ac:dyDescent="0.2">
      <c r="A178" s="293"/>
      <c r="B178" s="259"/>
      <c r="C178" s="259"/>
      <c r="D178" s="258"/>
      <c r="E178" s="296">
        <f t="shared" si="13"/>
        <v>0</v>
      </c>
      <c r="F178" s="296"/>
      <c r="G178" s="296"/>
      <c r="H178" s="296"/>
      <c r="P178" s="258" t="str">
        <f t="shared" si="14"/>
        <v>A_0</v>
      </c>
      <c r="Q178" s="258">
        <f t="shared" si="15"/>
        <v>0</v>
      </c>
      <c r="R178" s="258">
        <f t="shared" si="16"/>
        <v>0</v>
      </c>
      <c r="S178" s="258">
        <f t="shared" si="17"/>
        <v>0</v>
      </c>
    </row>
    <row r="179" spans="1:19" s="278" customFormat="1" ht="24.95" customHeight="1" x14ac:dyDescent="0.2">
      <c r="A179" s="293"/>
      <c r="B179" s="259"/>
      <c r="C179" s="259"/>
      <c r="D179" s="258"/>
      <c r="E179" s="296">
        <f t="shared" si="13"/>
        <v>0</v>
      </c>
      <c r="F179" s="296"/>
      <c r="G179" s="296"/>
      <c r="H179" s="296"/>
      <c r="P179" s="258" t="str">
        <f t="shared" si="14"/>
        <v>A_0</v>
      </c>
      <c r="Q179" s="258">
        <f t="shared" si="15"/>
        <v>0</v>
      </c>
      <c r="R179" s="258">
        <f t="shared" si="16"/>
        <v>0</v>
      </c>
      <c r="S179" s="258">
        <f t="shared" si="17"/>
        <v>0</v>
      </c>
    </row>
    <row r="180" spans="1:19" s="278" customFormat="1" ht="24.95" customHeight="1" x14ac:dyDescent="0.2">
      <c r="A180" s="293"/>
      <c r="B180" s="259"/>
      <c r="C180" s="259"/>
      <c r="D180" s="258"/>
      <c r="E180" s="296">
        <f t="shared" si="13"/>
        <v>0</v>
      </c>
      <c r="F180" s="296"/>
      <c r="G180" s="296"/>
      <c r="H180" s="296"/>
      <c r="P180" s="258" t="str">
        <f t="shared" si="14"/>
        <v>A_0</v>
      </c>
      <c r="Q180" s="258">
        <f t="shared" si="15"/>
        <v>0</v>
      </c>
      <c r="R180" s="258">
        <f t="shared" si="16"/>
        <v>0</v>
      </c>
      <c r="S180" s="258">
        <f t="shared" si="17"/>
        <v>0</v>
      </c>
    </row>
    <row r="181" spans="1:19" s="278" customFormat="1" ht="24.95" customHeight="1" x14ac:dyDescent="0.2">
      <c r="A181" s="293"/>
      <c r="B181" s="259"/>
      <c r="C181" s="259"/>
      <c r="D181" s="258"/>
      <c r="E181" s="296">
        <f t="shared" si="13"/>
        <v>0</v>
      </c>
      <c r="F181" s="296"/>
      <c r="G181" s="296"/>
      <c r="H181" s="296"/>
      <c r="P181" s="258" t="str">
        <f t="shared" si="14"/>
        <v>A_0</v>
      </c>
      <c r="Q181" s="258">
        <f t="shared" si="15"/>
        <v>0</v>
      </c>
      <c r="R181" s="258">
        <f t="shared" si="16"/>
        <v>0</v>
      </c>
      <c r="S181" s="258">
        <f t="shared" si="17"/>
        <v>0</v>
      </c>
    </row>
    <row r="182" spans="1:19" s="278" customFormat="1" ht="24.95" customHeight="1" x14ac:dyDescent="0.2">
      <c r="A182" s="293"/>
      <c r="B182" s="259"/>
      <c r="C182" s="259"/>
      <c r="D182" s="258"/>
      <c r="E182" s="296">
        <f t="shared" si="13"/>
        <v>0</v>
      </c>
      <c r="F182" s="296"/>
      <c r="G182" s="296"/>
      <c r="H182" s="296"/>
      <c r="P182" s="258" t="str">
        <f t="shared" si="14"/>
        <v>A_0</v>
      </c>
      <c r="Q182" s="258">
        <f t="shared" si="15"/>
        <v>0</v>
      </c>
      <c r="R182" s="258">
        <f t="shared" si="16"/>
        <v>0</v>
      </c>
      <c r="S182" s="258">
        <f t="shared" si="17"/>
        <v>0</v>
      </c>
    </row>
    <row r="183" spans="1:19" s="278" customFormat="1" ht="24.95" customHeight="1" x14ac:dyDescent="0.2">
      <c r="A183" s="293"/>
      <c r="B183" s="259"/>
      <c r="C183" s="259"/>
      <c r="D183" s="258"/>
      <c r="E183" s="296">
        <f t="shared" si="13"/>
        <v>0</v>
      </c>
      <c r="F183" s="296"/>
      <c r="G183" s="296"/>
      <c r="H183" s="296"/>
      <c r="P183" s="258" t="str">
        <f t="shared" si="14"/>
        <v>A_0</v>
      </c>
      <c r="Q183" s="258">
        <f t="shared" si="15"/>
        <v>0</v>
      </c>
      <c r="R183" s="258">
        <f t="shared" si="16"/>
        <v>0</v>
      </c>
      <c r="S183" s="258">
        <f t="shared" si="17"/>
        <v>0</v>
      </c>
    </row>
    <row r="184" spans="1:19" s="278" customFormat="1" ht="24.95" customHeight="1" x14ac:dyDescent="0.2">
      <c r="A184" s="293"/>
      <c r="B184" s="259"/>
      <c r="C184" s="259"/>
      <c r="D184" s="258"/>
      <c r="E184" s="296">
        <f t="shared" si="13"/>
        <v>0</v>
      </c>
      <c r="F184" s="296"/>
      <c r="G184" s="296"/>
      <c r="H184" s="296"/>
      <c r="P184" s="258" t="str">
        <f t="shared" si="14"/>
        <v>A_0</v>
      </c>
      <c r="Q184" s="258">
        <f t="shared" si="15"/>
        <v>0</v>
      </c>
      <c r="R184" s="258">
        <f t="shared" si="16"/>
        <v>0</v>
      </c>
      <c r="S184" s="258">
        <f t="shared" si="17"/>
        <v>0</v>
      </c>
    </row>
    <row r="185" spans="1:19" s="278" customFormat="1" ht="24.95" customHeight="1" x14ac:dyDescent="0.2">
      <c r="A185" s="293"/>
      <c r="B185" s="259"/>
      <c r="C185" s="259"/>
      <c r="D185" s="258"/>
      <c r="E185" s="296">
        <f t="shared" si="13"/>
        <v>0</v>
      </c>
      <c r="F185" s="296"/>
      <c r="G185" s="296"/>
      <c r="H185" s="296"/>
      <c r="P185" s="258" t="str">
        <f t="shared" si="14"/>
        <v>A_0</v>
      </c>
      <c r="Q185" s="258">
        <f t="shared" si="15"/>
        <v>0</v>
      </c>
      <c r="R185" s="258">
        <f t="shared" si="16"/>
        <v>0</v>
      </c>
      <c r="S185" s="258">
        <f t="shared" si="17"/>
        <v>0</v>
      </c>
    </row>
    <row r="186" spans="1:19" s="278" customFormat="1" ht="24.95" customHeight="1" x14ac:dyDescent="0.2">
      <c r="A186" s="293"/>
      <c r="B186" s="259"/>
      <c r="C186" s="259"/>
      <c r="D186" s="258"/>
      <c r="E186" s="296">
        <f t="shared" si="13"/>
        <v>0</v>
      </c>
      <c r="F186" s="296"/>
      <c r="G186" s="296"/>
      <c r="H186" s="296"/>
      <c r="P186" s="258" t="str">
        <f t="shared" si="14"/>
        <v>A_0</v>
      </c>
      <c r="Q186" s="258">
        <f t="shared" si="15"/>
        <v>0</v>
      </c>
      <c r="R186" s="258">
        <f t="shared" si="16"/>
        <v>0</v>
      </c>
      <c r="S186" s="258">
        <f t="shared" si="17"/>
        <v>0</v>
      </c>
    </row>
    <row r="187" spans="1:19" s="278" customFormat="1" ht="24.95" customHeight="1" x14ac:dyDescent="0.2">
      <c r="A187" s="293"/>
      <c r="B187" s="259"/>
      <c r="C187" s="259"/>
      <c r="D187" s="258"/>
      <c r="E187" s="296">
        <f t="shared" si="13"/>
        <v>0</v>
      </c>
      <c r="F187" s="296"/>
      <c r="G187" s="296"/>
      <c r="H187" s="296"/>
      <c r="P187" s="258" t="str">
        <f t="shared" si="14"/>
        <v>A_0</v>
      </c>
      <c r="Q187" s="258">
        <f t="shared" si="15"/>
        <v>0</v>
      </c>
      <c r="R187" s="258">
        <f t="shared" si="16"/>
        <v>0</v>
      </c>
      <c r="S187" s="258">
        <f t="shared" si="17"/>
        <v>0</v>
      </c>
    </row>
    <row r="188" spans="1:19" s="278" customFormat="1" ht="24.95" customHeight="1" x14ac:dyDescent="0.2">
      <c r="A188" s="293"/>
      <c r="B188" s="259"/>
      <c r="C188" s="259"/>
      <c r="D188" s="258"/>
      <c r="E188" s="296">
        <f t="shared" si="13"/>
        <v>0</v>
      </c>
      <c r="F188" s="296"/>
      <c r="G188" s="296"/>
      <c r="H188" s="296"/>
      <c r="P188" s="258" t="str">
        <f t="shared" si="14"/>
        <v>A_0</v>
      </c>
      <c r="Q188" s="258">
        <f t="shared" si="15"/>
        <v>0</v>
      </c>
      <c r="R188" s="258">
        <f t="shared" si="16"/>
        <v>0</v>
      </c>
      <c r="S188" s="258">
        <f t="shared" si="17"/>
        <v>0</v>
      </c>
    </row>
    <row r="189" spans="1:19" s="278" customFormat="1" ht="24.95" customHeight="1" x14ac:dyDescent="0.2">
      <c r="A189" s="293"/>
      <c r="B189" s="259"/>
      <c r="C189" s="259"/>
      <c r="D189" s="258"/>
      <c r="E189" s="296">
        <f t="shared" si="13"/>
        <v>0</v>
      </c>
      <c r="F189" s="296"/>
      <c r="G189" s="296"/>
      <c r="H189" s="296"/>
      <c r="P189" s="258" t="str">
        <f t="shared" si="14"/>
        <v>A_0</v>
      </c>
      <c r="Q189" s="258">
        <f t="shared" si="15"/>
        <v>0</v>
      </c>
      <c r="R189" s="258">
        <f t="shared" si="16"/>
        <v>0</v>
      </c>
      <c r="S189" s="258">
        <f t="shared" si="17"/>
        <v>0</v>
      </c>
    </row>
    <row r="190" spans="1:19" s="278" customFormat="1" ht="24.95" customHeight="1" x14ac:dyDescent="0.2">
      <c r="A190" s="293"/>
      <c r="B190" s="259"/>
      <c r="C190" s="259"/>
      <c r="D190" s="258"/>
      <c r="E190" s="296">
        <f t="shared" si="13"/>
        <v>0</v>
      </c>
      <c r="F190" s="296"/>
      <c r="G190" s="296"/>
      <c r="H190" s="296"/>
      <c r="P190" s="258" t="str">
        <f t="shared" si="14"/>
        <v>A_0</v>
      </c>
      <c r="Q190" s="258">
        <f t="shared" si="15"/>
        <v>0</v>
      </c>
      <c r="R190" s="258">
        <f t="shared" si="16"/>
        <v>0</v>
      </c>
      <c r="S190" s="258">
        <f t="shared" si="17"/>
        <v>0</v>
      </c>
    </row>
    <row r="191" spans="1:19" s="278" customFormat="1" ht="24.95" customHeight="1" x14ac:dyDescent="0.2">
      <c r="A191" s="293"/>
      <c r="B191" s="259"/>
      <c r="C191" s="259"/>
      <c r="D191" s="258"/>
      <c r="E191" s="296">
        <f t="shared" si="13"/>
        <v>0</v>
      </c>
      <c r="F191" s="296"/>
      <c r="G191" s="296"/>
      <c r="H191" s="296"/>
      <c r="P191" s="258" t="str">
        <f t="shared" si="14"/>
        <v>A_0</v>
      </c>
      <c r="Q191" s="258">
        <f t="shared" si="15"/>
        <v>0</v>
      </c>
      <c r="R191" s="258">
        <f t="shared" si="16"/>
        <v>0</v>
      </c>
      <c r="S191" s="258">
        <f t="shared" si="17"/>
        <v>0</v>
      </c>
    </row>
    <row r="192" spans="1:19" s="278" customFormat="1" ht="24.95" customHeight="1" x14ac:dyDescent="0.2">
      <c r="A192" s="293"/>
      <c r="B192" s="259"/>
      <c r="C192" s="259"/>
      <c r="D192" s="258"/>
      <c r="E192" s="296">
        <f t="shared" si="13"/>
        <v>0</v>
      </c>
      <c r="F192" s="296"/>
      <c r="G192" s="296"/>
      <c r="H192" s="296"/>
      <c r="P192" s="258" t="str">
        <f t="shared" si="14"/>
        <v>A_0</v>
      </c>
      <c r="Q192" s="258">
        <f t="shared" si="15"/>
        <v>0</v>
      </c>
      <c r="R192" s="258">
        <f t="shared" si="16"/>
        <v>0</v>
      </c>
      <c r="S192" s="258">
        <f t="shared" si="17"/>
        <v>0</v>
      </c>
    </row>
    <row r="193" spans="1:19" s="278" customFormat="1" ht="24.95" customHeight="1" x14ac:dyDescent="0.2">
      <c r="A193" s="293"/>
      <c r="B193" s="259"/>
      <c r="C193" s="259"/>
      <c r="D193" s="258"/>
      <c r="E193" s="296">
        <f t="shared" si="13"/>
        <v>0</v>
      </c>
      <c r="F193" s="296"/>
      <c r="G193" s="296"/>
      <c r="H193" s="296"/>
      <c r="P193" s="258" t="str">
        <f t="shared" si="14"/>
        <v>A_0</v>
      </c>
      <c r="Q193" s="258">
        <f t="shared" si="15"/>
        <v>0</v>
      </c>
      <c r="R193" s="258">
        <f t="shared" si="16"/>
        <v>0</v>
      </c>
      <c r="S193" s="258">
        <f t="shared" si="17"/>
        <v>0</v>
      </c>
    </row>
    <row r="194" spans="1:19" s="278" customFormat="1" ht="24.95" customHeight="1" x14ac:dyDescent="0.2">
      <c r="A194" s="293"/>
      <c r="B194" s="259"/>
      <c r="C194" s="259"/>
      <c r="D194" s="258"/>
      <c r="E194" s="296">
        <f t="shared" si="13"/>
        <v>0</v>
      </c>
      <c r="F194" s="296"/>
      <c r="G194" s="296"/>
      <c r="H194" s="296"/>
      <c r="P194" s="258" t="str">
        <f t="shared" si="14"/>
        <v>A_0</v>
      </c>
      <c r="Q194" s="258">
        <f t="shared" si="15"/>
        <v>0</v>
      </c>
      <c r="R194" s="258">
        <f t="shared" si="16"/>
        <v>0</v>
      </c>
      <c r="S194" s="258">
        <f t="shared" si="17"/>
        <v>0</v>
      </c>
    </row>
    <row r="195" spans="1:19" s="278" customFormat="1" ht="24.95" customHeight="1" x14ac:dyDescent="0.2">
      <c r="A195" s="293"/>
      <c r="B195" s="259"/>
      <c r="C195" s="259"/>
      <c r="D195" s="258"/>
      <c r="E195" s="296">
        <f t="shared" si="13"/>
        <v>0</v>
      </c>
      <c r="F195" s="296"/>
      <c r="G195" s="296"/>
      <c r="H195" s="296"/>
      <c r="P195" s="258" t="str">
        <f t="shared" si="14"/>
        <v>A_0</v>
      </c>
      <c r="Q195" s="258">
        <f t="shared" si="15"/>
        <v>0</v>
      </c>
      <c r="R195" s="258">
        <f t="shared" si="16"/>
        <v>0</v>
      </c>
      <c r="S195" s="258">
        <f t="shared" si="17"/>
        <v>0</v>
      </c>
    </row>
    <row r="196" spans="1:19" s="278" customFormat="1" ht="24.95" customHeight="1" x14ac:dyDescent="0.2">
      <c r="A196" s="293"/>
      <c r="B196" s="259"/>
      <c r="C196" s="259"/>
      <c r="D196" s="258"/>
      <c r="E196" s="296">
        <f t="shared" si="13"/>
        <v>0</v>
      </c>
      <c r="F196" s="296"/>
      <c r="G196" s="296"/>
      <c r="H196" s="296"/>
      <c r="P196" s="258" t="str">
        <f t="shared" si="14"/>
        <v>A_0</v>
      </c>
      <c r="Q196" s="258">
        <f t="shared" si="15"/>
        <v>0</v>
      </c>
      <c r="R196" s="258">
        <f t="shared" si="16"/>
        <v>0</v>
      </c>
      <c r="S196" s="258">
        <f t="shared" si="17"/>
        <v>0</v>
      </c>
    </row>
    <row r="197" spans="1:19" s="278" customFormat="1" ht="24.95" customHeight="1" x14ac:dyDescent="0.2">
      <c r="A197" s="293"/>
      <c r="B197" s="259"/>
      <c r="C197" s="259"/>
      <c r="D197" s="258"/>
      <c r="E197" s="296">
        <f t="shared" si="13"/>
        <v>0</v>
      </c>
      <c r="F197" s="296"/>
      <c r="G197" s="296"/>
      <c r="H197" s="296"/>
      <c r="P197" s="258" t="str">
        <f t="shared" si="14"/>
        <v>A_0</v>
      </c>
      <c r="Q197" s="258">
        <f t="shared" si="15"/>
        <v>0</v>
      </c>
      <c r="R197" s="258">
        <f t="shared" si="16"/>
        <v>0</v>
      </c>
      <c r="S197" s="258">
        <f t="shared" si="17"/>
        <v>0</v>
      </c>
    </row>
    <row r="198" spans="1:19" s="278" customFormat="1" ht="24.95" customHeight="1" x14ac:dyDescent="0.2">
      <c r="A198" s="293"/>
      <c r="B198" s="259"/>
      <c r="C198" s="259"/>
      <c r="D198" s="258"/>
      <c r="E198" s="296">
        <f t="shared" si="13"/>
        <v>0</v>
      </c>
      <c r="F198" s="296"/>
      <c r="G198" s="296"/>
      <c r="H198" s="296"/>
      <c r="P198" s="258" t="str">
        <f t="shared" si="14"/>
        <v>A_0</v>
      </c>
      <c r="Q198" s="258">
        <f t="shared" si="15"/>
        <v>0</v>
      </c>
      <c r="R198" s="258">
        <f t="shared" si="16"/>
        <v>0</v>
      </c>
      <c r="S198" s="258">
        <f t="shared" si="17"/>
        <v>0</v>
      </c>
    </row>
    <row r="199" spans="1:19" s="278" customFormat="1" ht="24.95" customHeight="1" x14ac:dyDescent="0.2">
      <c r="A199" s="293"/>
      <c r="B199" s="259"/>
      <c r="C199" s="259"/>
      <c r="D199" s="258"/>
      <c r="E199" s="296">
        <f t="shared" si="13"/>
        <v>0</v>
      </c>
      <c r="F199" s="296"/>
      <c r="G199" s="296"/>
      <c r="H199" s="296"/>
      <c r="P199" s="258" t="str">
        <f t="shared" si="14"/>
        <v>A_0</v>
      </c>
      <c r="Q199" s="258">
        <f t="shared" si="15"/>
        <v>0</v>
      </c>
      <c r="R199" s="258">
        <f t="shared" si="16"/>
        <v>0</v>
      </c>
      <c r="S199" s="258">
        <f t="shared" si="17"/>
        <v>0</v>
      </c>
    </row>
    <row r="200" spans="1:19" s="278" customFormat="1" ht="24.95" customHeight="1" x14ac:dyDescent="0.2">
      <c r="A200" s="293"/>
      <c r="B200" s="259"/>
      <c r="C200" s="259"/>
      <c r="D200" s="258"/>
      <c r="E200" s="296">
        <f t="shared" si="13"/>
        <v>0</v>
      </c>
      <c r="F200" s="296"/>
      <c r="G200" s="296"/>
      <c r="H200" s="296"/>
      <c r="P200" s="258" t="str">
        <f t="shared" si="14"/>
        <v>A_0</v>
      </c>
      <c r="Q200" s="258">
        <f t="shared" si="15"/>
        <v>0</v>
      </c>
      <c r="R200" s="258">
        <f t="shared" si="16"/>
        <v>0</v>
      </c>
      <c r="S200" s="258">
        <f t="shared" si="17"/>
        <v>0</v>
      </c>
    </row>
    <row r="201" spans="1:19" s="278" customFormat="1" ht="24.95" customHeight="1" x14ac:dyDescent="0.2">
      <c r="A201" s="293"/>
      <c r="B201" s="259"/>
      <c r="C201" s="259"/>
      <c r="D201" s="258"/>
      <c r="E201" s="296">
        <f t="shared" si="13"/>
        <v>0</v>
      </c>
      <c r="F201" s="296"/>
      <c r="G201" s="296"/>
      <c r="H201" s="296"/>
      <c r="P201" s="258" t="str">
        <f t="shared" si="14"/>
        <v>A_0</v>
      </c>
      <c r="Q201" s="258">
        <f t="shared" si="15"/>
        <v>0</v>
      </c>
      <c r="R201" s="258">
        <f t="shared" si="16"/>
        <v>0</v>
      </c>
      <c r="S201" s="258">
        <f t="shared" si="17"/>
        <v>0</v>
      </c>
    </row>
    <row r="202" spans="1:19" s="278" customFormat="1" ht="24.95" customHeight="1" x14ac:dyDescent="0.2">
      <c r="A202" s="293"/>
      <c r="B202" s="259"/>
      <c r="C202" s="259"/>
      <c r="D202" s="258"/>
      <c r="E202" s="296">
        <f t="shared" si="13"/>
        <v>0</v>
      </c>
      <c r="F202" s="296"/>
      <c r="G202" s="296"/>
      <c r="H202" s="296"/>
      <c r="P202" s="258" t="str">
        <f t="shared" si="14"/>
        <v>A_0</v>
      </c>
      <c r="Q202" s="258">
        <f t="shared" si="15"/>
        <v>0</v>
      </c>
      <c r="R202" s="258">
        <f t="shared" si="16"/>
        <v>0</v>
      </c>
      <c r="S202" s="258">
        <f t="shared" si="17"/>
        <v>0</v>
      </c>
    </row>
    <row r="203" spans="1:19" s="278" customFormat="1" ht="24.95" customHeight="1" x14ac:dyDescent="0.2">
      <c r="A203" s="293"/>
      <c r="B203" s="259"/>
      <c r="C203" s="259"/>
      <c r="D203" s="258"/>
      <c r="E203" s="296">
        <f t="shared" ref="E203:E266" si="18">A203</f>
        <v>0</v>
      </c>
      <c r="F203" s="296"/>
      <c r="G203" s="296"/>
      <c r="H203" s="296"/>
      <c r="P203" s="258" t="str">
        <f t="shared" ref="P203:P266" si="19">"A_"&amp;E203</f>
        <v>A_0</v>
      </c>
      <c r="Q203" s="258">
        <f t="shared" ref="Q203:Q266" si="20">F203</f>
        <v>0</v>
      </c>
      <c r="R203" s="258">
        <f t="shared" ref="R203:R266" si="21">G203</f>
        <v>0</v>
      </c>
      <c r="S203" s="258">
        <f t="shared" ref="S203:S266" si="22">H203</f>
        <v>0</v>
      </c>
    </row>
    <row r="204" spans="1:19" s="278" customFormat="1" ht="24.95" customHeight="1" x14ac:dyDescent="0.2">
      <c r="A204" s="293"/>
      <c r="B204" s="259"/>
      <c r="C204" s="259"/>
      <c r="D204" s="258"/>
      <c r="E204" s="296">
        <f t="shared" si="18"/>
        <v>0</v>
      </c>
      <c r="F204" s="296"/>
      <c r="G204" s="296"/>
      <c r="H204" s="296"/>
      <c r="P204" s="258" t="str">
        <f t="shared" si="19"/>
        <v>A_0</v>
      </c>
      <c r="Q204" s="258">
        <f t="shared" si="20"/>
        <v>0</v>
      </c>
      <c r="R204" s="258">
        <f t="shared" si="21"/>
        <v>0</v>
      </c>
      <c r="S204" s="258">
        <f t="shared" si="22"/>
        <v>0</v>
      </c>
    </row>
    <row r="205" spans="1:19" s="278" customFormat="1" ht="24.95" customHeight="1" x14ac:dyDescent="0.2">
      <c r="A205" s="293"/>
      <c r="B205" s="259"/>
      <c r="C205" s="259"/>
      <c r="D205" s="258"/>
      <c r="E205" s="296">
        <f t="shared" si="18"/>
        <v>0</v>
      </c>
      <c r="F205" s="296"/>
      <c r="G205" s="296"/>
      <c r="H205" s="296"/>
      <c r="P205" s="258" t="str">
        <f t="shared" si="19"/>
        <v>A_0</v>
      </c>
      <c r="Q205" s="258">
        <f t="shared" si="20"/>
        <v>0</v>
      </c>
      <c r="R205" s="258">
        <f t="shared" si="21"/>
        <v>0</v>
      </c>
      <c r="S205" s="258">
        <f t="shared" si="22"/>
        <v>0</v>
      </c>
    </row>
    <row r="206" spans="1:19" s="278" customFormat="1" ht="24.95" customHeight="1" x14ac:dyDescent="0.2">
      <c r="A206" s="293"/>
      <c r="B206" s="259"/>
      <c r="C206" s="259"/>
      <c r="D206" s="258"/>
      <c r="E206" s="296">
        <f t="shared" si="18"/>
        <v>0</v>
      </c>
      <c r="F206" s="296"/>
      <c r="G206" s="296"/>
      <c r="H206" s="296"/>
      <c r="P206" s="258" t="str">
        <f t="shared" si="19"/>
        <v>A_0</v>
      </c>
      <c r="Q206" s="258">
        <f t="shared" si="20"/>
        <v>0</v>
      </c>
      <c r="R206" s="258">
        <f t="shared" si="21"/>
        <v>0</v>
      </c>
      <c r="S206" s="258">
        <f t="shared" si="22"/>
        <v>0</v>
      </c>
    </row>
    <row r="207" spans="1:19" s="278" customFormat="1" ht="24.95" customHeight="1" x14ac:dyDescent="0.2">
      <c r="A207" s="293"/>
      <c r="B207" s="259"/>
      <c r="C207" s="259"/>
      <c r="D207" s="258"/>
      <c r="E207" s="296">
        <f t="shared" si="18"/>
        <v>0</v>
      </c>
      <c r="F207" s="296"/>
      <c r="G207" s="296"/>
      <c r="H207" s="296"/>
      <c r="P207" s="258" t="str">
        <f t="shared" si="19"/>
        <v>A_0</v>
      </c>
      <c r="Q207" s="258">
        <f t="shared" si="20"/>
        <v>0</v>
      </c>
      <c r="R207" s="258">
        <f t="shared" si="21"/>
        <v>0</v>
      </c>
      <c r="S207" s="258">
        <f t="shared" si="22"/>
        <v>0</v>
      </c>
    </row>
    <row r="208" spans="1:19" s="278" customFormat="1" ht="24.95" customHeight="1" x14ac:dyDescent="0.2">
      <c r="A208" s="293"/>
      <c r="B208" s="259"/>
      <c r="C208" s="259"/>
      <c r="D208" s="258"/>
      <c r="E208" s="296">
        <f t="shared" si="18"/>
        <v>0</v>
      </c>
      <c r="F208" s="296"/>
      <c r="G208" s="296"/>
      <c r="H208" s="296"/>
      <c r="P208" s="258" t="str">
        <f t="shared" si="19"/>
        <v>A_0</v>
      </c>
      <c r="Q208" s="258">
        <f t="shared" si="20"/>
        <v>0</v>
      </c>
      <c r="R208" s="258">
        <f t="shared" si="21"/>
        <v>0</v>
      </c>
      <c r="S208" s="258">
        <f t="shared" si="22"/>
        <v>0</v>
      </c>
    </row>
    <row r="209" spans="1:19" s="278" customFormat="1" ht="24.95" customHeight="1" x14ac:dyDescent="0.2">
      <c r="A209" s="293"/>
      <c r="B209" s="259"/>
      <c r="C209" s="259"/>
      <c r="D209" s="258"/>
      <c r="E209" s="296">
        <f t="shared" si="18"/>
        <v>0</v>
      </c>
      <c r="F209" s="296"/>
      <c r="G209" s="296"/>
      <c r="H209" s="296"/>
      <c r="P209" s="258" t="str">
        <f t="shared" si="19"/>
        <v>A_0</v>
      </c>
      <c r="Q209" s="258">
        <f t="shared" si="20"/>
        <v>0</v>
      </c>
      <c r="R209" s="258">
        <f t="shared" si="21"/>
        <v>0</v>
      </c>
      <c r="S209" s="258">
        <f t="shared" si="22"/>
        <v>0</v>
      </c>
    </row>
    <row r="210" spans="1:19" s="278" customFormat="1" ht="24.95" customHeight="1" x14ac:dyDescent="0.2">
      <c r="A210" s="293"/>
      <c r="B210" s="259"/>
      <c r="C210" s="259"/>
      <c r="D210" s="258"/>
      <c r="E210" s="296">
        <f t="shared" si="18"/>
        <v>0</v>
      </c>
      <c r="F210" s="296"/>
      <c r="G210" s="296"/>
      <c r="H210" s="296"/>
      <c r="P210" s="258" t="str">
        <f t="shared" si="19"/>
        <v>A_0</v>
      </c>
      <c r="Q210" s="258">
        <f t="shared" si="20"/>
        <v>0</v>
      </c>
      <c r="R210" s="258">
        <f t="shared" si="21"/>
        <v>0</v>
      </c>
      <c r="S210" s="258">
        <f t="shared" si="22"/>
        <v>0</v>
      </c>
    </row>
    <row r="211" spans="1:19" s="278" customFormat="1" ht="24.95" customHeight="1" x14ac:dyDescent="0.2">
      <c r="A211" s="293"/>
      <c r="B211" s="259"/>
      <c r="C211" s="259"/>
      <c r="D211" s="258"/>
      <c r="E211" s="296">
        <f t="shared" si="18"/>
        <v>0</v>
      </c>
      <c r="F211" s="296"/>
      <c r="G211" s="296"/>
      <c r="H211" s="296"/>
      <c r="P211" s="258" t="str">
        <f t="shared" si="19"/>
        <v>A_0</v>
      </c>
      <c r="Q211" s="258">
        <f t="shared" si="20"/>
        <v>0</v>
      </c>
      <c r="R211" s="258">
        <f t="shared" si="21"/>
        <v>0</v>
      </c>
      <c r="S211" s="258">
        <f t="shared" si="22"/>
        <v>0</v>
      </c>
    </row>
    <row r="212" spans="1:19" s="278" customFormat="1" ht="24.95" customHeight="1" x14ac:dyDescent="0.2">
      <c r="A212" s="293"/>
      <c r="B212" s="259"/>
      <c r="C212" s="259"/>
      <c r="D212" s="258"/>
      <c r="E212" s="296">
        <f t="shared" si="18"/>
        <v>0</v>
      </c>
      <c r="F212" s="296"/>
      <c r="G212" s="296"/>
      <c r="H212" s="296"/>
      <c r="P212" s="258" t="str">
        <f t="shared" si="19"/>
        <v>A_0</v>
      </c>
      <c r="Q212" s="258">
        <f t="shared" si="20"/>
        <v>0</v>
      </c>
      <c r="R212" s="258">
        <f t="shared" si="21"/>
        <v>0</v>
      </c>
      <c r="S212" s="258">
        <f t="shared" si="22"/>
        <v>0</v>
      </c>
    </row>
    <row r="213" spans="1:19" s="278" customFormat="1" ht="24.95" customHeight="1" x14ac:dyDescent="0.2">
      <c r="A213" s="293"/>
      <c r="B213" s="259"/>
      <c r="C213" s="259"/>
      <c r="D213" s="258"/>
      <c r="E213" s="296">
        <f t="shared" si="18"/>
        <v>0</v>
      </c>
      <c r="F213" s="296"/>
      <c r="G213" s="296"/>
      <c r="H213" s="296"/>
      <c r="P213" s="258" t="str">
        <f t="shared" si="19"/>
        <v>A_0</v>
      </c>
      <c r="Q213" s="258">
        <f t="shared" si="20"/>
        <v>0</v>
      </c>
      <c r="R213" s="258">
        <f t="shared" si="21"/>
        <v>0</v>
      </c>
      <c r="S213" s="258">
        <f t="shared" si="22"/>
        <v>0</v>
      </c>
    </row>
    <row r="214" spans="1:19" s="278" customFormat="1" ht="24.95" customHeight="1" x14ac:dyDescent="0.2">
      <c r="A214" s="293"/>
      <c r="B214" s="259"/>
      <c r="C214" s="259"/>
      <c r="D214" s="258"/>
      <c r="E214" s="296">
        <f t="shared" si="18"/>
        <v>0</v>
      </c>
      <c r="F214" s="296"/>
      <c r="G214" s="296"/>
      <c r="H214" s="296"/>
      <c r="P214" s="258" t="str">
        <f t="shared" si="19"/>
        <v>A_0</v>
      </c>
      <c r="Q214" s="258">
        <f t="shared" si="20"/>
        <v>0</v>
      </c>
      <c r="R214" s="258">
        <f t="shared" si="21"/>
        <v>0</v>
      </c>
      <c r="S214" s="258">
        <f t="shared" si="22"/>
        <v>0</v>
      </c>
    </row>
    <row r="215" spans="1:19" s="278" customFormat="1" ht="24.95" customHeight="1" x14ac:dyDescent="0.2">
      <c r="A215" s="293"/>
      <c r="B215" s="259"/>
      <c r="C215" s="259"/>
      <c r="D215" s="258"/>
      <c r="E215" s="296">
        <f t="shared" si="18"/>
        <v>0</v>
      </c>
      <c r="F215" s="296"/>
      <c r="G215" s="296"/>
      <c r="H215" s="296"/>
      <c r="P215" s="258" t="str">
        <f t="shared" si="19"/>
        <v>A_0</v>
      </c>
      <c r="Q215" s="258">
        <f t="shared" si="20"/>
        <v>0</v>
      </c>
      <c r="R215" s="258">
        <f t="shared" si="21"/>
        <v>0</v>
      </c>
      <c r="S215" s="258">
        <f t="shared" si="22"/>
        <v>0</v>
      </c>
    </row>
    <row r="216" spans="1:19" s="278" customFormat="1" ht="24.95" customHeight="1" x14ac:dyDescent="0.2">
      <c r="A216" s="293"/>
      <c r="B216" s="259"/>
      <c r="C216" s="259"/>
      <c r="D216" s="258"/>
      <c r="E216" s="296">
        <f t="shared" si="18"/>
        <v>0</v>
      </c>
      <c r="F216" s="296"/>
      <c r="G216" s="296"/>
      <c r="H216" s="296"/>
      <c r="P216" s="258" t="str">
        <f t="shared" si="19"/>
        <v>A_0</v>
      </c>
      <c r="Q216" s="258">
        <f t="shared" si="20"/>
        <v>0</v>
      </c>
      <c r="R216" s="258">
        <f t="shared" si="21"/>
        <v>0</v>
      </c>
      <c r="S216" s="258">
        <f t="shared" si="22"/>
        <v>0</v>
      </c>
    </row>
    <row r="217" spans="1:19" s="278" customFormat="1" ht="24.95" customHeight="1" x14ac:dyDescent="0.2">
      <c r="A217" s="293"/>
      <c r="B217" s="259"/>
      <c r="C217" s="259"/>
      <c r="D217" s="258"/>
      <c r="E217" s="296">
        <f t="shared" si="18"/>
        <v>0</v>
      </c>
      <c r="F217" s="296"/>
      <c r="G217" s="296"/>
      <c r="H217" s="296"/>
      <c r="P217" s="258" t="str">
        <f t="shared" si="19"/>
        <v>A_0</v>
      </c>
      <c r="Q217" s="258">
        <f t="shared" si="20"/>
        <v>0</v>
      </c>
      <c r="R217" s="258">
        <f t="shared" si="21"/>
        <v>0</v>
      </c>
      <c r="S217" s="258">
        <f t="shared" si="22"/>
        <v>0</v>
      </c>
    </row>
    <row r="218" spans="1:19" s="278" customFormat="1" ht="24.95" customHeight="1" x14ac:dyDescent="0.2">
      <c r="A218" s="293"/>
      <c r="B218" s="259"/>
      <c r="C218" s="259"/>
      <c r="D218" s="258"/>
      <c r="E218" s="296">
        <f t="shared" si="18"/>
        <v>0</v>
      </c>
      <c r="F218" s="296"/>
      <c r="G218" s="296"/>
      <c r="H218" s="296"/>
      <c r="P218" s="258" t="str">
        <f t="shared" si="19"/>
        <v>A_0</v>
      </c>
      <c r="Q218" s="258">
        <f t="shared" si="20"/>
        <v>0</v>
      </c>
      <c r="R218" s="258">
        <f t="shared" si="21"/>
        <v>0</v>
      </c>
      <c r="S218" s="258">
        <f t="shared" si="22"/>
        <v>0</v>
      </c>
    </row>
    <row r="219" spans="1:19" s="278" customFormat="1" ht="24.95" customHeight="1" x14ac:dyDescent="0.2">
      <c r="A219" s="293"/>
      <c r="B219" s="259"/>
      <c r="C219" s="259"/>
      <c r="D219" s="258"/>
      <c r="E219" s="296">
        <f t="shared" si="18"/>
        <v>0</v>
      </c>
      <c r="F219" s="296"/>
      <c r="G219" s="296"/>
      <c r="H219" s="296"/>
      <c r="P219" s="258" t="str">
        <f t="shared" si="19"/>
        <v>A_0</v>
      </c>
      <c r="Q219" s="258">
        <f t="shared" si="20"/>
        <v>0</v>
      </c>
      <c r="R219" s="258">
        <f t="shared" si="21"/>
        <v>0</v>
      </c>
      <c r="S219" s="258">
        <f t="shared" si="22"/>
        <v>0</v>
      </c>
    </row>
    <row r="220" spans="1:19" s="278" customFormat="1" ht="24.95" customHeight="1" x14ac:dyDescent="0.2">
      <c r="A220" s="293"/>
      <c r="B220" s="259"/>
      <c r="C220" s="259"/>
      <c r="D220" s="258"/>
      <c r="E220" s="296">
        <f t="shared" si="18"/>
        <v>0</v>
      </c>
      <c r="F220" s="296"/>
      <c r="G220" s="296"/>
      <c r="H220" s="296"/>
      <c r="P220" s="258" t="str">
        <f t="shared" si="19"/>
        <v>A_0</v>
      </c>
      <c r="Q220" s="258">
        <f t="shared" si="20"/>
        <v>0</v>
      </c>
      <c r="R220" s="258">
        <f t="shared" si="21"/>
        <v>0</v>
      </c>
      <c r="S220" s="258">
        <f t="shared" si="22"/>
        <v>0</v>
      </c>
    </row>
    <row r="221" spans="1:19" s="278" customFormat="1" ht="24.95" customHeight="1" x14ac:dyDescent="0.2">
      <c r="A221" s="293"/>
      <c r="B221" s="259"/>
      <c r="C221" s="259"/>
      <c r="D221" s="258"/>
      <c r="E221" s="296">
        <f t="shared" si="18"/>
        <v>0</v>
      </c>
      <c r="F221" s="296"/>
      <c r="G221" s="296"/>
      <c r="H221" s="296"/>
      <c r="P221" s="258" t="str">
        <f t="shared" si="19"/>
        <v>A_0</v>
      </c>
      <c r="Q221" s="258">
        <f t="shared" si="20"/>
        <v>0</v>
      </c>
      <c r="R221" s="258">
        <f t="shared" si="21"/>
        <v>0</v>
      </c>
      <c r="S221" s="258">
        <f t="shared" si="22"/>
        <v>0</v>
      </c>
    </row>
    <row r="222" spans="1:19" s="278" customFormat="1" ht="24.95" customHeight="1" x14ac:dyDescent="0.2">
      <c r="A222" s="293"/>
      <c r="B222" s="259"/>
      <c r="C222" s="259"/>
      <c r="D222" s="258"/>
      <c r="E222" s="296">
        <f t="shared" si="18"/>
        <v>0</v>
      </c>
      <c r="F222" s="296"/>
      <c r="G222" s="296"/>
      <c r="H222" s="296"/>
      <c r="P222" s="258" t="str">
        <f t="shared" si="19"/>
        <v>A_0</v>
      </c>
      <c r="Q222" s="258">
        <f t="shared" si="20"/>
        <v>0</v>
      </c>
      <c r="R222" s="258">
        <f t="shared" si="21"/>
        <v>0</v>
      </c>
      <c r="S222" s="258">
        <f t="shared" si="22"/>
        <v>0</v>
      </c>
    </row>
    <row r="223" spans="1:19" s="278" customFormat="1" ht="24.95" customHeight="1" x14ac:dyDescent="0.2">
      <c r="A223" s="293"/>
      <c r="B223" s="259"/>
      <c r="C223" s="259"/>
      <c r="D223" s="258"/>
      <c r="E223" s="296">
        <f t="shared" si="18"/>
        <v>0</v>
      </c>
      <c r="F223" s="296"/>
      <c r="G223" s="296"/>
      <c r="H223" s="296"/>
      <c r="P223" s="258" t="str">
        <f t="shared" si="19"/>
        <v>A_0</v>
      </c>
      <c r="Q223" s="258">
        <f t="shared" si="20"/>
        <v>0</v>
      </c>
      <c r="R223" s="258">
        <f t="shared" si="21"/>
        <v>0</v>
      </c>
      <c r="S223" s="258">
        <f t="shared" si="22"/>
        <v>0</v>
      </c>
    </row>
    <row r="224" spans="1:19" s="278" customFormat="1" ht="24.95" customHeight="1" x14ac:dyDescent="0.2">
      <c r="A224" s="293"/>
      <c r="B224" s="259"/>
      <c r="C224" s="259"/>
      <c r="D224" s="258"/>
      <c r="E224" s="296">
        <f t="shared" si="18"/>
        <v>0</v>
      </c>
      <c r="F224" s="296"/>
      <c r="G224" s="296"/>
      <c r="H224" s="296"/>
      <c r="P224" s="258" t="str">
        <f t="shared" si="19"/>
        <v>A_0</v>
      </c>
      <c r="Q224" s="258">
        <f t="shared" si="20"/>
        <v>0</v>
      </c>
      <c r="R224" s="258">
        <f t="shared" si="21"/>
        <v>0</v>
      </c>
      <c r="S224" s="258">
        <f t="shared" si="22"/>
        <v>0</v>
      </c>
    </row>
    <row r="225" spans="1:19" s="278" customFormat="1" ht="24.95" customHeight="1" x14ac:dyDescent="0.2">
      <c r="A225" s="293"/>
      <c r="B225" s="259"/>
      <c r="C225" s="259"/>
      <c r="D225" s="258"/>
      <c r="E225" s="296">
        <f t="shared" si="18"/>
        <v>0</v>
      </c>
      <c r="F225" s="296"/>
      <c r="G225" s="296"/>
      <c r="H225" s="296"/>
      <c r="P225" s="258" t="str">
        <f t="shared" si="19"/>
        <v>A_0</v>
      </c>
      <c r="Q225" s="258">
        <f t="shared" si="20"/>
        <v>0</v>
      </c>
      <c r="R225" s="258">
        <f t="shared" si="21"/>
        <v>0</v>
      </c>
      <c r="S225" s="258">
        <f t="shared" si="22"/>
        <v>0</v>
      </c>
    </row>
    <row r="226" spans="1:19" s="278" customFormat="1" ht="24.95" customHeight="1" x14ac:dyDescent="0.2">
      <c r="A226" s="293"/>
      <c r="B226" s="259"/>
      <c r="C226" s="259"/>
      <c r="D226" s="258"/>
      <c r="E226" s="296">
        <f t="shared" si="18"/>
        <v>0</v>
      </c>
      <c r="F226" s="296"/>
      <c r="G226" s="296"/>
      <c r="H226" s="296"/>
      <c r="P226" s="258" t="str">
        <f t="shared" si="19"/>
        <v>A_0</v>
      </c>
      <c r="Q226" s="258">
        <f t="shared" si="20"/>
        <v>0</v>
      </c>
      <c r="R226" s="258">
        <f t="shared" si="21"/>
        <v>0</v>
      </c>
      <c r="S226" s="258">
        <f t="shared" si="22"/>
        <v>0</v>
      </c>
    </row>
    <row r="227" spans="1:19" s="278" customFormat="1" ht="24.95" customHeight="1" x14ac:dyDescent="0.2">
      <c r="A227" s="293"/>
      <c r="B227" s="259"/>
      <c r="C227" s="259"/>
      <c r="D227" s="258"/>
      <c r="E227" s="296">
        <f t="shared" si="18"/>
        <v>0</v>
      </c>
      <c r="F227" s="296"/>
      <c r="G227" s="296"/>
      <c r="H227" s="296"/>
      <c r="P227" s="258" t="str">
        <f t="shared" si="19"/>
        <v>A_0</v>
      </c>
      <c r="Q227" s="258">
        <f t="shared" si="20"/>
        <v>0</v>
      </c>
      <c r="R227" s="258">
        <f t="shared" si="21"/>
        <v>0</v>
      </c>
      <c r="S227" s="258">
        <f t="shared" si="22"/>
        <v>0</v>
      </c>
    </row>
    <row r="228" spans="1:19" s="278" customFormat="1" ht="24.95" customHeight="1" x14ac:dyDescent="0.2">
      <c r="A228" s="293"/>
      <c r="B228" s="259"/>
      <c r="C228" s="259"/>
      <c r="D228" s="258"/>
      <c r="E228" s="296">
        <f t="shared" si="18"/>
        <v>0</v>
      </c>
      <c r="F228" s="296"/>
      <c r="G228" s="296"/>
      <c r="H228" s="296"/>
      <c r="P228" s="258" t="str">
        <f t="shared" si="19"/>
        <v>A_0</v>
      </c>
      <c r="Q228" s="258">
        <f t="shared" si="20"/>
        <v>0</v>
      </c>
      <c r="R228" s="258">
        <f t="shared" si="21"/>
        <v>0</v>
      </c>
      <c r="S228" s="258">
        <f t="shared" si="22"/>
        <v>0</v>
      </c>
    </row>
    <row r="229" spans="1:19" s="278" customFormat="1" ht="24.95" customHeight="1" x14ac:dyDescent="0.2">
      <c r="A229" s="293"/>
      <c r="B229" s="259"/>
      <c r="C229" s="259"/>
      <c r="D229" s="258"/>
      <c r="E229" s="296">
        <f t="shared" si="18"/>
        <v>0</v>
      </c>
      <c r="F229" s="296"/>
      <c r="G229" s="296"/>
      <c r="H229" s="296"/>
      <c r="P229" s="258" t="str">
        <f t="shared" si="19"/>
        <v>A_0</v>
      </c>
      <c r="Q229" s="258">
        <f t="shared" si="20"/>
        <v>0</v>
      </c>
      <c r="R229" s="258">
        <f t="shared" si="21"/>
        <v>0</v>
      </c>
      <c r="S229" s="258">
        <f t="shared" si="22"/>
        <v>0</v>
      </c>
    </row>
    <row r="230" spans="1:19" s="278" customFormat="1" ht="24.95" customHeight="1" x14ac:dyDescent="0.2">
      <c r="A230" s="293"/>
      <c r="B230" s="259"/>
      <c r="C230" s="259"/>
      <c r="D230" s="258"/>
      <c r="E230" s="296">
        <f t="shared" si="18"/>
        <v>0</v>
      </c>
      <c r="F230" s="296"/>
      <c r="G230" s="296"/>
      <c r="H230" s="296"/>
      <c r="P230" s="258" t="str">
        <f t="shared" si="19"/>
        <v>A_0</v>
      </c>
      <c r="Q230" s="258">
        <f t="shared" si="20"/>
        <v>0</v>
      </c>
      <c r="R230" s="258">
        <f t="shared" si="21"/>
        <v>0</v>
      </c>
      <c r="S230" s="258">
        <f t="shared" si="22"/>
        <v>0</v>
      </c>
    </row>
    <row r="231" spans="1:19" s="278" customFormat="1" ht="24.95" customHeight="1" x14ac:dyDescent="0.2">
      <c r="A231" s="293"/>
      <c r="B231" s="259"/>
      <c r="C231" s="259"/>
      <c r="D231" s="258"/>
      <c r="E231" s="296">
        <f t="shared" si="18"/>
        <v>0</v>
      </c>
      <c r="F231" s="296"/>
      <c r="G231" s="296"/>
      <c r="H231" s="296"/>
      <c r="P231" s="258" t="str">
        <f t="shared" si="19"/>
        <v>A_0</v>
      </c>
      <c r="Q231" s="258">
        <f t="shared" si="20"/>
        <v>0</v>
      </c>
      <c r="R231" s="258">
        <f t="shared" si="21"/>
        <v>0</v>
      </c>
      <c r="S231" s="258">
        <f t="shared" si="22"/>
        <v>0</v>
      </c>
    </row>
    <row r="232" spans="1:19" s="278" customFormat="1" ht="24.95" customHeight="1" x14ac:dyDescent="0.2">
      <c r="A232" s="293"/>
      <c r="B232" s="259"/>
      <c r="C232" s="259"/>
      <c r="D232" s="258"/>
      <c r="E232" s="296">
        <f t="shared" si="18"/>
        <v>0</v>
      </c>
      <c r="F232" s="296"/>
      <c r="G232" s="296"/>
      <c r="H232" s="296"/>
      <c r="P232" s="258" t="str">
        <f t="shared" si="19"/>
        <v>A_0</v>
      </c>
      <c r="Q232" s="258">
        <f t="shared" si="20"/>
        <v>0</v>
      </c>
      <c r="R232" s="258">
        <f t="shared" si="21"/>
        <v>0</v>
      </c>
      <c r="S232" s="258">
        <f t="shared" si="22"/>
        <v>0</v>
      </c>
    </row>
    <row r="233" spans="1:19" s="278" customFormat="1" ht="24.95" customHeight="1" x14ac:dyDescent="0.2">
      <c r="A233" s="293"/>
      <c r="B233" s="259"/>
      <c r="C233" s="259"/>
      <c r="D233" s="258"/>
      <c r="E233" s="296">
        <f t="shared" si="18"/>
        <v>0</v>
      </c>
      <c r="F233" s="296"/>
      <c r="G233" s="296"/>
      <c r="H233" s="296"/>
      <c r="P233" s="258" t="str">
        <f t="shared" si="19"/>
        <v>A_0</v>
      </c>
      <c r="Q233" s="258">
        <f t="shared" si="20"/>
        <v>0</v>
      </c>
      <c r="R233" s="258">
        <f t="shared" si="21"/>
        <v>0</v>
      </c>
      <c r="S233" s="258">
        <f t="shared" si="22"/>
        <v>0</v>
      </c>
    </row>
    <row r="234" spans="1:19" s="278" customFormat="1" ht="24.95" customHeight="1" x14ac:dyDescent="0.2">
      <c r="A234" s="293"/>
      <c r="B234" s="259"/>
      <c r="C234" s="259"/>
      <c r="D234" s="258"/>
      <c r="E234" s="296">
        <f t="shared" si="18"/>
        <v>0</v>
      </c>
      <c r="F234" s="296"/>
      <c r="G234" s="296"/>
      <c r="H234" s="296"/>
      <c r="P234" s="258" t="str">
        <f t="shared" si="19"/>
        <v>A_0</v>
      </c>
      <c r="Q234" s="258">
        <f t="shared" si="20"/>
        <v>0</v>
      </c>
      <c r="R234" s="258">
        <f t="shared" si="21"/>
        <v>0</v>
      </c>
      <c r="S234" s="258">
        <f t="shared" si="22"/>
        <v>0</v>
      </c>
    </row>
    <row r="235" spans="1:19" s="278" customFormat="1" ht="24.95" customHeight="1" x14ac:dyDescent="0.2">
      <c r="A235" s="293"/>
      <c r="B235" s="259"/>
      <c r="C235" s="259"/>
      <c r="D235" s="258"/>
      <c r="E235" s="296">
        <f t="shared" si="18"/>
        <v>0</v>
      </c>
      <c r="F235" s="296"/>
      <c r="G235" s="296"/>
      <c r="H235" s="296"/>
      <c r="P235" s="258" t="str">
        <f t="shared" si="19"/>
        <v>A_0</v>
      </c>
      <c r="Q235" s="258">
        <f t="shared" si="20"/>
        <v>0</v>
      </c>
      <c r="R235" s="258">
        <f t="shared" si="21"/>
        <v>0</v>
      </c>
      <c r="S235" s="258">
        <f t="shared" si="22"/>
        <v>0</v>
      </c>
    </row>
    <row r="236" spans="1:19" s="278" customFormat="1" ht="24.95" customHeight="1" x14ac:dyDescent="0.2">
      <c r="A236" s="293"/>
      <c r="B236" s="259"/>
      <c r="C236" s="259"/>
      <c r="D236" s="258"/>
      <c r="E236" s="296">
        <f t="shared" si="18"/>
        <v>0</v>
      </c>
      <c r="F236" s="296"/>
      <c r="G236" s="296"/>
      <c r="H236" s="296"/>
      <c r="P236" s="258" t="str">
        <f t="shared" si="19"/>
        <v>A_0</v>
      </c>
      <c r="Q236" s="258">
        <f t="shared" si="20"/>
        <v>0</v>
      </c>
      <c r="R236" s="258">
        <f t="shared" si="21"/>
        <v>0</v>
      </c>
      <c r="S236" s="258">
        <f t="shared" si="22"/>
        <v>0</v>
      </c>
    </row>
    <row r="237" spans="1:19" s="278" customFormat="1" ht="24.95" customHeight="1" x14ac:dyDescent="0.2">
      <c r="A237" s="293"/>
      <c r="B237" s="259"/>
      <c r="C237" s="259"/>
      <c r="D237" s="258"/>
      <c r="E237" s="296">
        <f t="shared" si="18"/>
        <v>0</v>
      </c>
      <c r="F237" s="296"/>
      <c r="G237" s="296"/>
      <c r="H237" s="296"/>
      <c r="P237" s="258" t="str">
        <f t="shared" si="19"/>
        <v>A_0</v>
      </c>
      <c r="Q237" s="258">
        <f t="shared" si="20"/>
        <v>0</v>
      </c>
      <c r="R237" s="258">
        <f t="shared" si="21"/>
        <v>0</v>
      </c>
      <c r="S237" s="258">
        <f t="shared" si="22"/>
        <v>0</v>
      </c>
    </row>
    <row r="238" spans="1:19" s="278" customFormat="1" ht="24.95" customHeight="1" x14ac:dyDescent="0.2">
      <c r="A238" s="293"/>
      <c r="B238" s="259"/>
      <c r="C238" s="259"/>
      <c r="D238" s="258"/>
      <c r="E238" s="296">
        <f t="shared" si="18"/>
        <v>0</v>
      </c>
      <c r="F238" s="296"/>
      <c r="G238" s="296"/>
      <c r="H238" s="296"/>
      <c r="P238" s="258" t="str">
        <f t="shared" si="19"/>
        <v>A_0</v>
      </c>
      <c r="Q238" s="258">
        <f t="shared" si="20"/>
        <v>0</v>
      </c>
      <c r="R238" s="258">
        <f t="shared" si="21"/>
        <v>0</v>
      </c>
      <c r="S238" s="258">
        <f t="shared" si="22"/>
        <v>0</v>
      </c>
    </row>
    <row r="239" spans="1:19" s="278" customFormat="1" ht="24.95" customHeight="1" x14ac:dyDescent="0.2">
      <c r="A239" s="293"/>
      <c r="B239" s="259"/>
      <c r="C239" s="259"/>
      <c r="D239" s="258"/>
      <c r="E239" s="296">
        <f t="shared" si="18"/>
        <v>0</v>
      </c>
      <c r="F239" s="296"/>
      <c r="G239" s="296"/>
      <c r="H239" s="296"/>
      <c r="P239" s="258" t="str">
        <f t="shared" si="19"/>
        <v>A_0</v>
      </c>
      <c r="Q239" s="258">
        <f t="shared" si="20"/>
        <v>0</v>
      </c>
      <c r="R239" s="258">
        <f t="shared" si="21"/>
        <v>0</v>
      </c>
      <c r="S239" s="258">
        <f t="shared" si="22"/>
        <v>0</v>
      </c>
    </row>
    <row r="240" spans="1:19" s="278" customFormat="1" ht="24.95" customHeight="1" x14ac:dyDescent="0.2">
      <c r="A240" s="293"/>
      <c r="B240" s="259"/>
      <c r="C240" s="259"/>
      <c r="D240" s="258"/>
      <c r="E240" s="296">
        <f t="shared" si="18"/>
        <v>0</v>
      </c>
      <c r="F240" s="296"/>
      <c r="G240" s="296"/>
      <c r="H240" s="296"/>
      <c r="P240" s="258" t="str">
        <f t="shared" si="19"/>
        <v>A_0</v>
      </c>
      <c r="Q240" s="258">
        <f t="shared" si="20"/>
        <v>0</v>
      </c>
      <c r="R240" s="258">
        <f t="shared" si="21"/>
        <v>0</v>
      </c>
      <c r="S240" s="258">
        <f t="shared" si="22"/>
        <v>0</v>
      </c>
    </row>
    <row r="241" spans="1:19" s="278" customFormat="1" ht="24.95" customHeight="1" x14ac:dyDescent="0.2">
      <c r="A241" s="293"/>
      <c r="B241" s="259"/>
      <c r="C241" s="259"/>
      <c r="D241" s="258"/>
      <c r="E241" s="296">
        <f t="shared" si="18"/>
        <v>0</v>
      </c>
      <c r="F241" s="296"/>
      <c r="G241" s="296"/>
      <c r="H241" s="296"/>
      <c r="P241" s="258" t="str">
        <f t="shared" si="19"/>
        <v>A_0</v>
      </c>
      <c r="Q241" s="258">
        <f t="shared" si="20"/>
        <v>0</v>
      </c>
      <c r="R241" s="258">
        <f t="shared" si="21"/>
        <v>0</v>
      </c>
      <c r="S241" s="258">
        <f t="shared" si="22"/>
        <v>0</v>
      </c>
    </row>
    <row r="242" spans="1:19" s="278" customFormat="1" ht="24.95" customHeight="1" x14ac:dyDescent="0.2">
      <c r="A242" s="293"/>
      <c r="B242" s="259"/>
      <c r="C242" s="259"/>
      <c r="D242" s="258"/>
      <c r="E242" s="296">
        <f t="shared" si="18"/>
        <v>0</v>
      </c>
      <c r="F242" s="296"/>
      <c r="G242" s="296"/>
      <c r="H242" s="296"/>
      <c r="P242" s="258" t="str">
        <f t="shared" si="19"/>
        <v>A_0</v>
      </c>
      <c r="Q242" s="258">
        <f t="shared" si="20"/>
        <v>0</v>
      </c>
      <c r="R242" s="258">
        <f t="shared" si="21"/>
        <v>0</v>
      </c>
      <c r="S242" s="258">
        <f t="shared" si="22"/>
        <v>0</v>
      </c>
    </row>
    <row r="243" spans="1:19" s="278" customFormat="1" ht="24.95" customHeight="1" x14ac:dyDescent="0.2">
      <c r="A243" s="293"/>
      <c r="B243" s="259"/>
      <c r="C243" s="259"/>
      <c r="D243" s="258"/>
      <c r="E243" s="296">
        <f t="shared" si="18"/>
        <v>0</v>
      </c>
      <c r="F243" s="296"/>
      <c r="G243" s="296"/>
      <c r="H243" s="296"/>
      <c r="P243" s="258" t="str">
        <f t="shared" si="19"/>
        <v>A_0</v>
      </c>
      <c r="Q243" s="258">
        <f t="shared" si="20"/>
        <v>0</v>
      </c>
      <c r="R243" s="258">
        <f t="shared" si="21"/>
        <v>0</v>
      </c>
      <c r="S243" s="258">
        <f t="shared" si="22"/>
        <v>0</v>
      </c>
    </row>
    <row r="244" spans="1:19" s="278" customFormat="1" ht="24.95" customHeight="1" x14ac:dyDescent="0.2">
      <c r="A244" s="293"/>
      <c r="B244" s="259"/>
      <c r="C244" s="259"/>
      <c r="D244" s="258"/>
      <c r="E244" s="296">
        <f t="shared" si="18"/>
        <v>0</v>
      </c>
      <c r="F244" s="296"/>
      <c r="G244" s="296"/>
      <c r="H244" s="296"/>
      <c r="P244" s="258" t="str">
        <f t="shared" si="19"/>
        <v>A_0</v>
      </c>
      <c r="Q244" s="258">
        <f t="shared" si="20"/>
        <v>0</v>
      </c>
      <c r="R244" s="258">
        <f t="shared" si="21"/>
        <v>0</v>
      </c>
      <c r="S244" s="258">
        <f t="shared" si="22"/>
        <v>0</v>
      </c>
    </row>
    <row r="245" spans="1:19" s="278" customFormat="1" ht="24.95" customHeight="1" x14ac:dyDescent="0.2">
      <c r="A245" s="293"/>
      <c r="B245" s="259"/>
      <c r="C245" s="259"/>
      <c r="D245" s="258"/>
      <c r="E245" s="296">
        <f t="shared" si="18"/>
        <v>0</v>
      </c>
      <c r="F245" s="296"/>
      <c r="G245" s="296"/>
      <c r="H245" s="296"/>
      <c r="P245" s="258" t="str">
        <f t="shared" si="19"/>
        <v>A_0</v>
      </c>
      <c r="Q245" s="258">
        <f t="shared" si="20"/>
        <v>0</v>
      </c>
      <c r="R245" s="258">
        <f t="shared" si="21"/>
        <v>0</v>
      </c>
      <c r="S245" s="258">
        <f t="shared" si="22"/>
        <v>0</v>
      </c>
    </row>
    <row r="246" spans="1:19" s="278" customFormat="1" ht="24.95" customHeight="1" x14ac:dyDescent="0.2">
      <c r="A246" s="293"/>
      <c r="B246" s="259"/>
      <c r="C246" s="259"/>
      <c r="D246" s="258"/>
      <c r="E246" s="296">
        <f t="shared" si="18"/>
        <v>0</v>
      </c>
      <c r="F246" s="296"/>
      <c r="G246" s="296"/>
      <c r="H246" s="296"/>
      <c r="P246" s="258" t="str">
        <f t="shared" si="19"/>
        <v>A_0</v>
      </c>
      <c r="Q246" s="258">
        <f t="shared" si="20"/>
        <v>0</v>
      </c>
      <c r="R246" s="258">
        <f t="shared" si="21"/>
        <v>0</v>
      </c>
      <c r="S246" s="258">
        <f t="shared" si="22"/>
        <v>0</v>
      </c>
    </row>
    <row r="247" spans="1:19" s="278" customFormat="1" ht="24.95" customHeight="1" x14ac:dyDescent="0.2">
      <c r="A247" s="293"/>
      <c r="B247" s="259"/>
      <c r="C247" s="259"/>
      <c r="D247" s="258"/>
      <c r="E247" s="296">
        <f t="shared" si="18"/>
        <v>0</v>
      </c>
      <c r="F247" s="296"/>
      <c r="G247" s="296"/>
      <c r="H247" s="296"/>
      <c r="P247" s="258" t="str">
        <f t="shared" si="19"/>
        <v>A_0</v>
      </c>
      <c r="Q247" s="258">
        <f t="shared" si="20"/>
        <v>0</v>
      </c>
      <c r="R247" s="258">
        <f t="shared" si="21"/>
        <v>0</v>
      </c>
      <c r="S247" s="258">
        <f t="shared" si="22"/>
        <v>0</v>
      </c>
    </row>
    <row r="248" spans="1:19" s="278" customFormat="1" ht="24.95" customHeight="1" x14ac:dyDescent="0.2">
      <c r="A248" s="293"/>
      <c r="B248" s="259"/>
      <c r="C248" s="259"/>
      <c r="D248" s="258"/>
      <c r="E248" s="296">
        <f t="shared" si="18"/>
        <v>0</v>
      </c>
      <c r="F248" s="296"/>
      <c r="G248" s="296"/>
      <c r="H248" s="296"/>
      <c r="P248" s="258" t="str">
        <f t="shared" si="19"/>
        <v>A_0</v>
      </c>
      <c r="Q248" s="258">
        <f t="shared" si="20"/>
        <v>0</v>
      </c>
      <c r="R248" s="258">
        <f t="shared" si="21"/>
        <v>0</v>
      </c>
      <c r="S248" s="258">
        <f t="shared" si="22"/>
        <v>0</v>
      </c>
    </row>
    <row r="249" spans="1:19" s="278" customFormat="1" ht="24.95" customHeight="1" x14ac:dyDescent="0.2">
      <c r="A249" s="293"/>
      <c r="B249" s="259"/>
      <c r="C249" s="259"/>
      <c r="D249" s="258"/>
      <c r="E249" s="296">
        <f t="shared" si="18"/>
        <v>0</v>
      </c>
      <c r="F249" s="296"/>
      <c r="G249" s="296"/>
      <c r="H249" s="296"/>
      <c r="P249" s="258" t="str">
        <f t="shared" si="19"/>
        <v>A_0</v>
      </c>
      <c r="Q249" s="258">
        <f t="shared" si="20"/>
        <v>0</v>
      </c>
      <c r="R249" s="258">
        <f t="shared" si="21"/>
        <v>0</v>
      </c>
      <c r="S249" s="258">
        <f t="shared" si="22"/>
        <v>0</v>
      </c>
    </row>
    <row r="250" spans="1:19" s="278" customFormat="1" ht="24.95" customHeight="1" x14ac:dyDescent="0.2">
      <c r="A250" s="293"/>
      <c r="B250" s="259"/>
      <c r="C250" s="259"/>
      <c r="D250" s="258"/>
      <c r="E250" s="296">
        <f t="shared" si="18"/>
        <v>0</v>
      </c>
      <c r="F250" s="296"/>
      <c r="G250" s="296"/>
      <c r="H250" s="296"/>
      <c r="P250" s="258" t="str">
        <f t="shared" si="19"/>
        <v>A_0</v>
      </c>
      <c r="Q250" s="258">
        <f t="shared" si="20"/>
        <v>0</v>
      </c>
      <c r="R250" s="258">
        <f t="shared" si="21"/>
        <v>0</v>
      </c>
      <c r="S250" s="258">
        <f t="shared" si="22"/>
        <v>0</v>
      </c>
    </row>
    <row r="251" spans="1:19" s="278" customFormat="1" ht="24.95" customHeight="1" x14ac:dyDescent="0.2">
      <c r="A251" s="293"/>
      <c r="B251" s="259"/>
      <c r="C251" s="259"/>
      <c r="D251" s="258"/>
      <c r="E251" s="296">
        <f t="shared" si="18"/>
        <v>0</v>
      </c>
      <c r="F251" s="296"/>
      <c r="G251" s="296"/>
      <c r="H251" s="296"/>
      <c r="P251" s="258" t="str">
        <f t="shared" si="19"/>
        <v>A_0</v>
      </c>
      <c r="Q251" s="258">
        <f t="shared" si="20"/>
        <v>0</v>
      </c>
      <c r="R251" s="258">
        <f t="shared" si="21"/>
        <v>0</v>
      </c>
      <c r="S251" s="258">
        <f t="shared" si="22"/>
        <v>0</v>
      </c>
    </row>
    <row r="252" spans="1:19" s="278" customFormat="1" ht="24.95" customHeight="1" x14ac:dyDescent="0.2">
      <c r="A252" s="293"/>
      <c r="B252" s="259"/>
      <c r="C252" s="259"/>
      <c r="D252" s="258"/>
      <c r="E252" s="296">
        <f t="shared" si="18"/>
        <v>0</v>
      </c>
      <c r="F252" s="296"/>
      <c r="G252" s="296"/>
      <c r="H252" s="296"/>
      <c r="P252" s="258" t="str">
        <f t="shared" si="19"/>
        <v>A_0</v>
      </c>
      <c r="Q252" s="258">
        <f t="shared" si="20"/>
        <v>0</v>
      </c>
      <c r="R252" s="258">
        <f t="shared" si="21"/>
        <v>0</v>
      </c>
      <c r="S252" s="258">
        <f t="shared" si="22"/>
        <v>0</v>
      </c>
    </row>
    <row r="253" spans="1:19" s="278" customFormat="1" ht="24.95" customHeight="1" x14ac:dyDescent="0.2">
      <c r="A253" s="293"/>
      <c r="B253" s="259"/>
      <c r="C253" s="259"/>
      <c r="D253" s="258"/>
      <c r="E253" s="296">
        <f t="shared" si="18"/>
        <v>0</v>
      </c>
      <c r="F253" s="296"/>
      <c r="G253" s="296"/>
      <c r="H253" s="296"/>
      <c r="P253" s="258" t="str">
        <f t="shared" si="19"/>
        <v>A_0</v>
      </c>
      <c r="Q253" s="258">
        <f t="shared" si="20"/>
        <v>0</v>
      </c>
      <c r="R253" s="258">
        <f t="shared" si="21"/>
        <v>0</v>
      </c>
      <c r="S253" s="258">
        <f t="shared" si="22"/>
        <v>0</v>
      </c>
    </row>
    <row r="254" spans="1:19" s="278" customFormat="1" ht="24.95" customHeight="1" x14ac:dyDescent="0.2">
      <c r="A254" s="293"/>
      <c r="B254" s="259"/>
      <c r="C254" s="259"/>
      <c r="D254" s="258"/>
      <c r="E254" s="296">
        <f t="shared" si="18"/>
        <v>0</v>
      </c>
      <c r="F254" s="296"/>
      <c r="G254" s="296"/>
      <c r="H254" s="296"/>
      <c r="P254" s="258" t="str">
        <f t="shared" si="19"/>
        <v>A_0</v>
      </c>
      <c r="Q254" s="258">
        <f t="shared" si="20"/>
        <v>0</v>
      </c>
      <c r="R254" s="258">
        <f t="shared" si="21"/>
        <v>0</v>
      </c>
      <c r="S254" s="258">
        <f t="shared" si="22"/>
        <v>0</v>
      </c>
    </row>
    <row r="255" spans="1:19" s="278" customFormat="1" ht="24.95" customHeight="1" x14ac:dyDescent="0.2">
      <c r="A255" s="293"/>
      <c r="B255" s="259"/>
      <c r="C255" s="259"/>
      <c r="D255" s="258"/>
      <c r="E255" s="296">
        <f t="shared" si="18"/>
        <v>0</v>
      </c>
      <c r="F255" s="296"/>
      <c r="G255" s="296"/>
      <c r="H255" s="296"/>
      <c r="P255" s="258" t="str">
        <f t="shared" si="19"/>
        <v>A_0</v>
      </c>
      <c r="Q255" s="258">
        <f t="shared" si="20"/>
        <v>0</v>
      </c>
      <c r="R255" s="258">
        <f t="shared" si="21"/>
        <v>0</v>
      </c>
      <c r="S255" s="258">
        <f t="shared" si="22"/>
        <v>0</v>
      </c>
    </row>
    <row r="256" spans="1:19" s="278" customFormat="1" ht="24.95" customHeight="1" x14ac:dyDescent="0.2">
      <c r="A256" s="293"/>
      <c r="B256" s="259"/>
      <c r="C256" s="259"/>
      <c r="D256" s="258"/>
      <c r="E256" s="296">
        <f t="shared" si="18"/>
        <v>0</v>
      </c>
      <c r="F256" s="296"/>
      <c r="G256" s="296"/>
      <c r="H256" s="296"/>
      <c r="P256" s="258" t="str">
        <f t="shared" si="19"/>
        <v>A_0</v>
      </c>
      <c r="Q256" s="258">
        <f t="shared" si="20"/>
        <v>0</v>
      </c>
      <c r="R256" s="258">
        <f t="shared" si="21"/>
        <v>0</v>
      </c>
      <c r="S256" s="258">
        <f t="shared" si="22"/>
        <v>0</v>
      </c>
    </row>
    <row r="257" spans="1:19" s="278" customFormat="1" ht="24.95" customHeight="1" x14ac:dyDescent="0.2">
      <c r="A257" s="293"/>
      <c r="B257" s="259"/>
      <c r="C257" s="259"/>
      <c r="D257" s="258"/>
      <c r="E257" s="296">
        <f t="shared" si="18"/>
        <v>0</v>
      </c>
      <c r="F257" s="296"/>
      <c r="G257" s="296"/>
      <c r="H257" s="296"/>
      <c r="P257" s="258" t="str">
        <f t="shared" si="19"/>
        <v>A_0</v>
      </c>
      <c r="Q257" s="258">
        <f t="shared" si="20"/>
        <v>0</v>
      </c>
      <c r="R257" s="258">
        <f t="shared" si="21"/>
        <v>0</v>
      </c>
      <c r="S257" s="258">
        <f t="shared" si="22"/>
        <v>0</v>
      </c>
    </row>
    <row r="258" spans="1:19" s="278" customFormat="1" ht="24.95" customHeight="1" x14ac:dyDescent="0.2">
      <c r="A258" s="293"/>
      <c r="B258" s="259"/>
      <c r="C258" s="259"/>
      <c r="D258" s="258"/>
      <c r="E258" s="296">
        <f t="shared" si="18"/>
        <v>0</v>
      </c>
      <c r="F258" s="296"/>
      <c r="G258" s="296"/>
      <c r="H258" s="296"/>
      <c r="P258" s="258" t="str">
        <f t="shared" si="19"/>
        <v>A_0</v>
      </c>
      <c r="Q258" s="258">
        <f t="shared" si="20"/>
        <v>0</v>
      </c>
      <c r="R258" s="258">
        <f t="shared" si="21"/>
        <v>0</v>
      </c>
      <c r="S258" s="258">
        <f t="shared" si="22"/>
        <v>0</v>
      </c>
    </row>
    <row r="259" spans="1:19" s="278" customFormat="1" ht="24.95" customHeight="1" x14ac:dyDescent="0.2">
      <c r="A259" s="293"/>
      <c r="B259" s="259"/>
      <c r="C259" s="259"/>
      <c r="D259" s="258"/>
      <c r="E259" s="296">
        <f t="shared" si="18"/>
        <v>0</v>
      </c>
      <c r="F259" s="296"/>
      <c r="G259" s="296"/>
      <c r="H259" s="296"/>
      <c r="P259" s="258" t="str">
        <f t="shared" si="19"/>
        <v>A_0</v>
      </c>
      <c r="Q259" s="258">
        <f t="shared" si="20"/>
        <v>0</v>
      </c>
      <c r="R259" s="258">
        <f t="shared" si="21"/>
        <v>0</v>
      </c>
      <c r="S259" s="258">
        <f t="shared" si="22"/>
        <v>0</v>
      </c>
    </row>
    <row r="260" spans="1:19" s="278" customFormat="1" ht="24.95" customHeight="1" x14ac:dyDescent="0.2">
      <c r="A260" s="293"/>
      <c r="B260" s="259"/>
      <c r="C260" s="259"/>
      <c r="D260" s="258"/>
      <c r="E260" s="296">
        <f t="shared" si="18"/>
        <v>0</v>
      </c>
      <c r="F260" s="296"/>
      <c r="G260" s="296"/>
      <c r="H260" s="296"/>
      <c r="P260" s="258" t="str">
        <f t="shared" si="19"/>
        <v>A_0</v>
      </c>
      <c r="Q260" s="258">
        <f t="shared" si="20"/>
        <v>0</v>
      </c>
      <c r="R260" s="258">
        <f t="shared" si="21"/>
        <v>0</v>
      </c>
      <c r="S260" s="258">
        <f t="shared" si="22"/>
        <v>0</v>
      </c>
    </row>
    <row r="261" spans="1:19" s="278" customFormat="1" ht="24.95" customHeight="1" x14ac:dyDescent="0.2">
      <c r="A261" s="293"/>
      <c r="B261" s="259"/>
      <c r="C261" s="259"/>
      <c r="D261" s="258"/>
      <c r="E261" s="296">
        <f t="shared" si="18"/>
        <v>0</v>
      </c>
      <c r="F261" s="296"/>
      <c r="G261" s="296"/>
      <c r="H261" s="296"/>
      <c r="P261" s="258" t="str">
        <f t="shared" si="19"/>
        <v>A_0</v>
      </c>
      <c r="Q261" s="258">
        <f t="shared" si="20"/>
        <v>0</v>
      </c>
      <c r="R261" s="258">
        <f t="shared" si="21"/>
        <v>0</v>
      </c>
      <c r="S261" s="258">
        <f t="shared" si="22"/>
        <v>0</v>
      </c>
    </row>
    <row r="262" spans="1:19" s="278" customFormat="1" ht="24.95" customHeight="1" x14ac:dyDescent="0.2">
      <c r="A262" s="293"/>
      <c r="B262" s="259"/>
      <c r="C262" s="259"/>
      <c r="D262" s="258"/>
      <c r="E262" s="296">
        <f t="shared" si="18"/>
        <v>0</v>
      </c>
      <c r="F262" s="296"/>
      <c r="G262" s="296"/>
      <c r="H262" s="296"/>
      <c r="P262" s="258" t="str">
        <f t="shared" si="19"/>
        <v>A_0</v>
      </c>
      <c r="Q262" s="258">
        <f t="shared" si="20"/>
        <v>0</v>
      </c>
      <c r="R262" s="258">
        <f t="shared" si="21"/>
        <v>0</v>
      </c>
      <c r="S262" s="258">
        <f t="shared" si="22"/>
        <v>0</v>
      </c>
    </row>
    <row r="263" spans="1:19" s="278" customFormat="1" ht="24.95" customHeight="1" x14ac:dyDescent="0.2">
      <c r="A263" s="293"/>
      <c r="B263" s="259"/>
      <c r="C263" s="259"/>
      <c r="D263" s="258"/>
      <c r="E263" s="296">
        <f t="shared" si="18"/>
        <v>0</v>
      </c>
      <c r="F263" s="296"/>
      <c r="G263" s="296"/>
      <c r="H263" s="296"/>
      <c r="P263" s="258" t="str">
        <f t="shared" si="19"/>
        <v>A_0</v>
      </c>
      <c r="Q263" s="258">
        <f t="shared" si="20"/>
        <v>0</v>
      </c>
      <c r="R263" s="258">
        <f t="shared" si="21"/>
        <v>0</v>
      </c>
      <c r="S263" s="258">
        <f t="shared" si="22"/>
        <v>0</v>
      </c>
    </row>
    <row r="264" spans="1:19" s="278" customFormat="1" ht="24.95" customHeight="1" x14ac:dyDescent="0.2">
      <c r="A264" s="293"/>
      <c r="B264" s="259"/>
      <c r="C264" s="259"/>
      <c r="D264" s="258"/>
      <c r="E264" s="296">
        <f t="shared" si="18"/>
        <v>0</v>
      </c>
      <c r="F264" s="296"/>
      <c r="G264" s="296"/>
      <c r="H264" s="296"/>
      <c r="P264" s="258" t="str">
        <f t="shared" si="19"/>
        <v>A_0</v>
      </c>
      <c r="Q264" s="258">
        <f t="shared" si="20"/>
        <v>0</v>
      </c>
      <c r="R264" s="258">
        <f t="shared" si="21"/>
        <v>0</v>
      </c>
      <c r="S264" s="258">
        <f t="shared" si="22"/>
        <v>0</v>
      </c>
    </row>
    <row r="265" spans="1:19" s="278" customFormat="1" ht="24.95" customHeight="1" x14ac:dyDescent="0.2">
      <c r="A265" s="293"/>
      <c r="B265" s="259"/>
      <c r="C265" s="259"/>
      <c r="E265" s="296">
        <f t="shared" si="18"/>
        <v>0</v>
      </c>
      <c r="F265" s="297"/>
      <c r="G265" s="297"/>
      <c r="H265" s="297"/>
      <c r="P265" s="258" t="str">
        <f t="shared" si="19"/>
        <v>A_0</v>
      </c>
      <c r="Q265" s="258">
        <f t="shared" si="20"/>
        <v>0</v>
      </c>
      <c r="R265" s="258">
        <f t="shared" si="21"/>
        <v>0</v>
      </c>
      <c r="S265" s="258">
        <f t="shared" si="22"/>
        <v>0</v>
      </c>
    </row>
    <row r="266" spans="1:19" s="278" customFormat="1" ht="24.95" customHeight="1" x14ac:dyDescent="0.2">
      <c r="A266" s="293"/>
      <c r="B266" s="259"/>
      <c r="C266" s="259"/>
      <c r="E266" s="296">
        <f t="shared" si="18"/>
        <v>0</v>
      </c>
      <c r="F266" s="297"/>
      <c r="G266" s="297"/>
      <c r="H266" s="297"/>
      <c r="P266" s="258" t="str">
        <f t="shared" si="19"/>
        <v>A_0</v>
      </c>
      <c r="Q266" s="258">
        <f t="shared" si="20"/>
        <v>0</v>
      </c>
      <c r="R266" s="258">
        <f t="shared" si="21"/>
        <v>0</v>
      </c>
      <c r="S266" s="258">
        <f t="shared" si="22"/>
        <v>0</v>
      </c>
    </row>
    <row r="267" spans="1:19" s="278" customFormat="1" ht="24.95" customHeight="1" x14ac:dyDescent="0.2">
      <c r="A267" s="293"/>
      <c r="B267" s="259"/>
      <c r="C267" s="259"/>
      <c r="E267" s="296">
        <f t="shared" ref="E267:E330" si="23">A267</f>
        <v>0</v>
      </c>
      <c r="F267" s="297"/>
      <c r="G267" s="297"/>
      <c r="H267" s="297"/>
      <c r="P267" s="258" t="str">
        <f t="shared" ref="P267:P330" si="24">"A_"&amp;E267</f>
        <v>A_0</v>
      </c>
      <c r="Q267" s="258">
        <f t="shared" ref="Q267:Q330" si="25">F267</f>
        <v>0</v>
      </c>
      <c r="R267" s="258">
        <f t="shared" ref="R267:R330" si="26">G267</f>
        <v>0</v>
      </c>
      <c r="S267" s="258">
        <f t="shared" ref="S267:S330" si="27">H267</f>
        <v>0</v>
      </c>
    </row>
    <row r="268" spans="1:19" s="278" customFormat="1" ht="24.95" customHeight="1" x14ac:dyDescent="0.2">
      <c r="A268" s="293"/>
      <c r="B268" s="259"/>
      <c r="C268" s="259"/>
      <c r="E268" s="296">
        <f t="shared" si="23"/>
        <v>0</v>
      </c>
      <c r="F268" s="297"/>
      <c r="G268" s="297"/>
      <c r="H268" s="297"/>
      <c r="P268" s="258" t="str">
        <f t="shared" si="24"/>
        <v>A_0</v>
      </c>
      <c r="Q268" s="258">
        <f t="shared" si="25"/>
        <v>0</v>
      </c>
      <c r="R268" s="258">
        <f t="shared" si="26"/>
        <v>0</v>
      </c>
      <c r="S268" s="258">
        <f t="shared" si="27"/>
        <v>0</v>
      </c>
    </row>
    <row r="269" spans="1:19" s="278" customFormat="1" ht="24.95" customHeight="1" x14ac:dyDescent="0.2">
      <c r="A269" s="293"/>
      <c r="B269" s="259"/>
      <c r="C269" s="259"/>
      <c r="E269" s="296">
        <f t="shared" si="23"/>
        <v>0</v>
      </c>
      <c r="F269" s="297"/>
      <c r="G269" s="297"/>
      <c r="H269" s="297"/>
      <c r="P269" s="258" t="str">
        <f t="shared" si="24"/>
        <v>A_0</v>
      </c>
      <c r="Q269" s="258">
        <f t="shared" si="25"/>
        <v>0</v>
      </c>
      <c r="R269" s="258">
        <f t="shared" si="26"/>
        <v>0</v>
      </c>
      <c r="S269" s="258">
        <f t="shared" si="27"/>
        <v>0</v>
      </c>
    </row>
    <row r="270" spans="1:19" s="278" customFormat="1" ht="24.95" customHeight="1" x14ac:dyDescent="0.2">
      <c r="A270" s="293"/>
      <c r="B270" s="259"/>
      <c r="C270" s="259"/>
      <c r="E270" s="296">
        <f t="shared" si="23"/>
        <v>0</v>
      </c>
      <c r="F270" s="297"/>
      <c r="G270" s="297"/>
      <c r="H270" s="297"/>
      <c r="P270" s="258" t="str">
        <f t="shared" si="24"/>
        <v>A_0</v>
      </c>
      <c r="Q270" s="258">
        <f t="shared" si="25"/>
        <v>0</v>
      </c>
      <c r="R270" s="258">
        <f t="shared" si="26"/>
        <v>0</v>
      </c>
      <c r="S270" s="258">
        <f t="shared" si="27"/>
        <v>0</v>
      </c>
    </row>
    <row r="271" spans="1:19" s="278" customFormat="1" ht="24.95" customHeight="1" x14ac:dyDescent="0.2">
      <c r="A271" s="293"/>
      <c r="B271" s="259"/>
      <c r="C271" s="259"/>
      <c r="E271" s="296">
        <f t="shared" si="23"/>
        <v>0</v>
      </c>
      <c r="F271" s="297"/>
      <c r="G271" s="297"/>
      <c r="H271" s="297"/>
      <c r="P271" s="258" t="str">
        <f t="shared" si="24"/>
        <v>A_0</v>
      </c>
      <c r="Q271" s="258">
        <f t="shared" si="25"/>
        <v>0</v>
      </c>
      <c r="R271" s="258">
        <f t="shared" si="26"/>
        <v>0</v>
      </c>
      <c r="S271" s="258">
        <f t="shared" si="27"/>
        <v>0</v>
      </c>
    </row>
    <row r="272" spans="1:19" s="278" customFormat="1" ht="24.95" customHeight="1" x14ac:dyDescent="0.2">
      <c r="A272" s="293"/>
      <c r="B272" s="259"/>
      <c r="C272" s="259"/>
      <c r="E272" s="296">
        <f t="shared" si="23"/>
        <v>0</v>
      </c>
      <c r="F272" s="297"/>
      <c r="G272" s="297"/>
      <c r="H272" s="297"/>
      <c r="P272" s="258" t="str">
        <f t="shared" si="24"/>
        <v>A_0</v>
      </c>
      <c r="Q272" s="258">
        <f t="shared" si="25"/>
        <v>0</v>
      </c>
      <c r="R272" s="258">
        <f t="shared" si="26"/>
        <v>0</v>
      </c>
      <c r="S272" s="258">
        <f t="shared" si="27"/>
        <v>0</v>
      </c>
    </row>
    <row r="273" spans="1:19" s="278" customFormat="1" ht="24.95" customHeight="1" x14ac:dyDescent="0.2">
      <c r="A273" s="293"/>
      <c r="B273" s="259"/>
      <c r="C273" s="259"/>
      <c r="E273" s="296">
        <f t="shared" si="23"/>
        <v>0</v>
      </c>
      <c r="F273" s="297"/>
      <c r="G273" s="297"/>
      <c r="H273" s="297"/>
      <c r="P273" s="258" t="str">
        <f t="shared" si="24"/>
        <v>A_0</v>
      </c>
      <c r="Q273" s="258">
        <f t="shared" si="25"/>
        <v>0</v>
      </c>
      <c r="R273" s="258">
        <f t="shared" si="26"/>
        <v>0</v>
      </c>
      <c r="S273" s="258">
        <f t="shared" si="27"/>
        <v>0</v>
      </c>
    </row>
    <row r="274" spans="1:19" s="278" customFormat="1" ht="24.95" customHeight="1" x14ac:dyDescent="0.2">
      <c r="A274" s="293"/>
      <c r="B274" s="259"/>
      <c r="C274" s="259"/>
      <c r="E274" s="296">
        <f t="shared" si="23"/>
        <v>0</v>
      </c>
      <c r="F274" s="297"/>
      <c r="G274" s="297"/>
      <c r="H274" s="297"/>
      <c r="P274" s="258" t="str">
        <f t="shared" si="24"/>
        <v>A_0</v>
      </c>
      <c r="Q274" s="258">
        <f t="shared" si="25"/>
        <v>0</v>
      </c>
      <c r="R274" s="258">
        <f t="shared" si="26"/>
        <v>0</v>
      </c>
      <c r="S274" s="258">
        <f t="shared" si="27"/>
        <v>0</v>
      </c>
    </row>
    <row r="275" spans="1:19" s="278" customFormat="1" ht="24.95" customHeight="1" x14ac:dyDescent="0.2">
      <c r="A275" s="293"/>
      <c r="B275" s="259"/>
      <c r="C275" s="259"/>
      <c r="E275" s="296">
        <f t="shared" si="23"/>
        <v>0</v>
      </c>
      <c r="F275" s="297"/>
      <c r="G275" s="297"/>
      <c r="H275" s="297"/>
      <c r="P275" s="258" t="str">
        <f t="shared" si="24"/>
        <v>A_0</v>
      </c>
      <c r="Q275" s="258">
        <f t="shared" si="25"/>
        <v>0</v>
      </c>
      <c r="R275" s="258">
        <f t="shared" si="26"/>
        <v>0</v>
      </c>
      <c r="S275" s="258">
        <f t="shared" si="27"/>
        <v>0</v>
      </c>
    </row>
    <row r="276" spans="1:19" s="278" customFormat="1" ht="24.95" customHeight="1" x14ac:dyDescent="0.2">
      <c r="A276" s="293"/>
      <c r="B276" s="259"/>
      <c r="C276" s="259"/>
      <c r="E276" s="296">
        <f t="shared" si="23"/>
        <v>0</v>
      </c>
      <c r="F276" s="297"/>
      <c r="G276" s="297"/>
      <c r="H276" s="297"/>
      <c r="P276" s="258" t="str">
        <f t="shared" si="24"/>
        <v>A_0</v>
      </c>
      <c r="Q276" s="258">
        <f t="shared" si="25"/>
        <v>0</v>
      </c>
      <c r="R276" s="258">
        <f t="shared" si="26"/>
        <v>0</v>
      </c>
      <c r="S276" s="258">
        <f t="shared" si="27"/>
        <v>0</v>
      </c>
    </row>
    <row r="277" spans="1:19" s="278" customFormat="1" ht="24.95" customHeight="1" x14ac:dyDescent="0.2">
      <c r="A277" s="293"/>
      <c r="B277" s="259"/>
      <c r="C277" s="259"/>
      <c r="E277" s="296">
        <f t="shared" si="23"/>
        <v>0</v>
      </c>
      <c r="F277" s="297"/>
      <c r="G277" s="297"/>
      <c r="H277" s="297"/>
      <c r="P277" s="258" t="str">
        <f t="shared" si="24"/>
        <v>A_0</v>
      </c>
      <c r="Q277" s="258">
        <f t="shared" si="25"/>
        <v>0</v>
      </c>
      <c r="R277" s="258">
        <f t="shared" si="26"/>
        <v>0</v>
      </c>
      <c r="S277" s="258">
        <f t="shared" si="27"/>
        <v>0</v>
      </c>
    </row>
    <row r="278" spans="1:19" s="278" customFormat="1" ht="24.95" customHeight="1" x14ac:dyDescent="0.2">
      <c r="A278" s="293"/>
      <c r="B278" s="259"/>
      <c r="C278" s="259"/>
      <c r="E278" s="296">
        <f t="shared" si="23"/>
        <v>0</v>
      </c>
      <c r="F278" s="297"/>
      <c r="G278" s="297"/>
      <c r="H278" s="297"/>
      <c r="P278" s="258" t="str">
        <f t="shared" si="24"/>
        <v>A_0</v>
      </c>
      <c r="Q278" s="258">
        <f t="shared" si="25"/>
        <v>0</v>
      </c>
      <c r="R278" s="258">
        <f t="shared" si="26"/>
        <v>0</v>
      </c>
      <c r="S278" s="258">
        <f t="shared" si="27"/>
        <v>0</v>
      </c>
    </row>
    <row r="279" spans="1:19" s="278" customFormat="1" ht="24.95" customHeight="1" x14ac:dyDescent="0.2">
      <c r="A279" s="293"/>
      <c r="B279" s="259"/>
      <c r="C279" s="259"/>
      <c r="E279" s="296">
        <f t="shared" si="23"/>
        <v>0</v>
      </c>
      <c r="F279" s="297"/>
      <c r="G279" s="297"/>
      <c r="H279" s="297"/>
      <c r="P279" s="258" t="str">
        <f t="shared" si="24"/>
        <v>A_0</v>
      </c>
      <c r="Q279" s="258">
        <f t="shared" si="25"/>
        <v>0</v>
      </c>
      <c r="R279" s="258">
        <f t="shared" si="26"/>
        <v>0</v>
      </c>
      <c r="S279" s="258">
        <f t="shared" si="27"/>
        <v>0</v>
      </c>
    </row>
    <row r="280" spans="1:19" s="278" customFormat="1" ht="24.95" customHeight="1" x14ac:dyDescent="0.2">
      <c r="A280" s="293"/>
      <c r="B280" s="259"/>
      <c r="C280" s="259"/>
      <c r="E280" s="296">
        <f t="shared" si="23"/>
        <v>0</v>
      </c>
      <c r="F280" s="297"/>
      <c r="G280" s="297"/>
      <c r="H280" s="297"/>
      <c r="P280" s="258" t="str">
        <f t="shared" si="24"/>
        <v>A_0</v>
      </c>
      <c r="Q280" s="258">
        <f t="shared" si="25"/>
        <v>0</v>
      </c>
      <c r="R280" s="258">
        <f t="shared" si="26"/>
        <v>0</v>
      </c>
      <c r="S280" s="258">
        <f t="shared" si="27"/>
        <v>0</v>
      </c>
    </row>
    <row r="281" spans="1:19" s="278" customFormat="1" ht="24.95" customHeight="1" x14ac:dyDescent="0.2">
      <c r="A281" s="293"/>
      <c r="B281" s="259"/>
      <c r="C281" s="259"/>
      <c r="E281" s="296">
        <f t="shared" si="23"/>
        <v>0</v>
      </c>
      <c r="F281" s="297"/>
      <c r="G281" s="297"/>
      <c r="H281" s="297"/>
      <c r="P281" s="258" t="str">
        <f t="shared" si="24"/>
        <v>A_0</v>
      </c>
      <c r="Q281" s="258">
        <f t="shared" si="25"/>
        <v>0</v>
      </c>
      <c r="R281" s="258">
        <f t="shared" si="26"/>
        <v>0</v>
      </c>
      <c r="S281" s="258">
        <f t="shared" si="27"/>
        <v>0</v>
      </c>
    </row>
    <row r="282" spans="1:19" s="278" customFormat="1" ht="24.95" customHeight="1" x14ac:dyDescent="0.2">
      <c r="A282" s="293"/>
      <c r="B282" s="259"/>
      <c r="C282" s="259"/>
      <c r="E282" s="296">
        <f t="shared" si="23"/>
        <v>0</v>
      </c>
      <c r="F282" s="297"/>
      <c r="G282" s="297"/>
      <c r="H282" s="297"/>
      <c r="P282" s="258" t="str">
        <f t="shared" si="24"/>
        <v>A_0</v>
      </c>
      <c r="Q282" s="258">
        <f t="shared" si="25"/>
        <v>0</v>
      </c>
      <c r="R282" s="258">
        <f t="shared" si="26"/>
        <v>0</v>
      </c>
      <c r="S282" s="258">
        <f t="shared" si="27"/>
        <v>0</v>
      </c>
    </row>
    <row r="283" spans="1:19" s="278" customFormat="1" ht="24.95" customHeight="1" x14ac:dyDescent="0.2">
      <c r="A283" s="293"/>
      <c r="B283" s="259"/>
      <c r="C283" s="259"/>
      <c r="E283" s="296">
        <f t="shared" si="23"/>
        <v>0</v>
      </c>
      <c r="F283" s="297"/>
      <c r="G283" s="297"/>
      <c r="H283" s="297"/>
      <c r="P283" s="258" t="str">
        <f t="shared" si="24"/>
        <v>A_0</v>
      </c>
      <c r="Q283" s="258">
        <f t="shared" si="25"/>
        <v>0</v>
      </c>
      <c r="R283" s="258">
        <f t="shared" si="26"/>
        <v>0</v>
      </c>
      <c r="S283" s="258">
        <f t="shared" si="27"/>
        <v>0</v>
      </c>
    </row>
    <row r="284" spans="1:19" s="278" customFormat="1" ht="24.95" customHeight="1" x14ac:dyDescent="0.2">
      <c r="A284" s="293"/>
      <c r="B284" s="259"/>
      <c r="C284" s="259"/>
      <c r="E284" s="296">
        <f t="shared" si="23"/>
        <v>0</v>
      </c>
      <c r="F284" s="297"/>
      <c r="G284" s="297"/>
      <c r="H284" s="297"/>
      <c r="P284" s="258" t="str">
        <f t="shared" si="24"/>
        <v>A_0</v>
      </c>
      <c r="Q284" s="258">
        <f t="shared" si="25"/>
        <v>0</v>
      </c>
      <c r="R284" s="258">
        <f t="shared" si="26"/>
        <v>0</v>
      </c>
      <c r="S284" s="258">
        <f t="shared" si="27"/>
        <v>0</v>
      </c>
    </row>
    <row r="285" spans="1:19" s="278" customFormat="1" ht="24.95" customHeight="1" x14ac:dyDescent="0.2">
      <c r="A285" s="293"/>
      <c r="B285" s="259"/>
      <c r="C285" s="259"/>
      <c r="E285" s="296">
        <f t="shared" si="23"/>
        <v>0</v>
      </c>
      <c r="F285" s="297"/>
      <c r="G285" s="297"/>
      <c r="H285" s="297"/>
      <c r="P285" s="258" t="str">
        <f t="shared" si="24"/>
        <v>A_0</v>
      </c>
      <c r="Q285" s="258">
        <f t="shared" si="25"/>
        <v>0</v>
      </c>
      <c r="R285" s="258">
        <f t="shared" si="26"/>
        <v>0</v>
      </c>
      <c r="S285" s="258">
        <f t="shared" si="27"/>
        <v>0</v>
      </c>
    </row>
    <row r="286" spans="1:19" s="278" customFormat="1" ht="24.95" customHeight="1" x14ac:dyDescent="0.2">
      <c r="A286" s="293"/>
      <c r="B286" s="259"/>
      <c r="C286" s="259"/>
      <c r="E286" s="296">
        <f t="shared" si="23"/>
        <v>0</v>
      </c>
      <c r="F286" s="297"/>
      <c r="G286" s="297"/>
      <c r="H286" s="297"/>
      <c r="P286" s="258" t="str">
        <f t="shared" si="24"/>
        <v>A_0</v>
      </c>
      <c r="Q286" s="258">
        <f t="shared" si="25"/>
        <v>0</v>
      </c>
      <c r="R286" s="258">
        <f t="shared" si="26"/>
        <v>0</v>
      </c>
      <c r="S286" s="258">
        <f t="shared" si="27"/>
        <v>0</v>
      </c>
    </row>
    <row r="287" spans="1:19" s="278" customFormat="1" ht="24.95" customHeight="1" x14ac:dyDescent="0.2">
      <c r="A287" s="293"/>
      <c r="B287" s="259"/>
      <c r="C287" s="259"/>
      <c r="E287" s="296">
        <f t="shared" si="23"/>
        <v>0</v>
      </c>
      <c r="F287" s="297"/>
      <c r="G287" s="297"/>
      <c r="H287" s="297"/>
      <c r="P287" s="258" t="str">
        <f t="shared" si="24"/>
        <v>A_0</v>
      </c>
      <c r="Q287" s="258">
        <f t="shared" si="25"/>
        <v>0</v>
      </c>
      <c r="R287" s="258">
        <f t="shared" si="26"/>
        <v>0</v>
      </c>
      <c r="S287" s="258">
        <f t="shared" si="27"/>
        <v>0</v>
      </c>
    </row>
    <row r="288" spans="1:19" s="278" customFormat="1" ht="24.95" customHeight="1" x14ac:dyDescent="0.2">
      <c r="A288" s="293"/>
      <c r="B288" s="259"/>
      <c r="C288" s="259"/>
      <c r="E288" s="296">
        <f t="shared" si="23"/>
        <v>0</v>
      </c>
      <c r="F288" s="297"/>
      <c r="G288" s="297"/>
      <c r="H288" s="297"/>
      <c r="P288" s="258" t="str">
        <f t="shared" si="24"/>
        <v>A_0</v>
      </c>
      <c r="Q288" s="258">
        <f t="shared" si="25"/>
        <v>0</v>
      </c>
      <c r="R288" s="258">
        <f t="shared" si="26"/>
        <v>0</v>
      </c>
      <c r="S288" s="258">
        <f t="shared" si="27"/>
        <v>0</v>
      </c>
    </row>
    <row r="289" spans="1:19" s="278" customFormat="1" ht="24.95" customHeight="1" x14ac:dyDescent="0.2">
      <c r="A289" s="293"/>
      <c r="B289" s="259"/>
      <c r="C289" s="259"/>
      <c r="E289" s="296">
        <f t="shared" si="23"/>
        <v>0</v>
      </c>
      <c r="F289" s="297"/>
      <c r="G289" s="297"/>
      <c r="H289" s="297"/>
      <c r="P289" s="258" t="str">
        <f t="shared" si="24"/>
        <v>A_0</v>
      </c>
      <c r="Q289" s="258">
        <f t="shared" si="25"/>
        <v>0</v>
      </c>
      <c r="R289" s="258">
        <f t="shared" si="26"/>
        <v>0</v>
      </c>
      <c r="S289" s="258">
        <f t="shared" si="27"/>
        <v>0</v>
      </c>
    </row>
    <row r="290" spans="1:19" s="278" customFormat="1" ht="24.95" customHeight="1" x14ac:dyDescent="0.2">
      <c r="A290" s="293"/>
      <c r="B290" s="259"/>
      <c r="C290" s="259"/>
      <c r="E290" s="296">
        <f t="shared" si="23"/>
        <v>0</v>
      </c>
      <c r="F290" s="297"/>
      <c r="G290" s="297"/>
      <c r="H290" s="297"/>
      <c r="P290" s="258" t="str">
        <f t="shared" si="24"/>
        <v>A_0</v>
      </c>
      <c r="Q290" s="258">
        <f t="shared" si="25"/>
        <v>0</v>
      </c>
      <c r="R290" s="258">
        <f t="shared" si="26"/>
        <v>0</v>
      </c>
      <c r="S290" s="258">
        <f t="shared" si="27"/>
        <v>0</v>
      </c>
    </row>
    <row r="291" spans="1:19" s="278" customFormat="1" ht="24.95" customHeight="1" x14ac:dyDescent="0.2">
      <c r="A291" s="293"/>
      <c r="B291" s="259"/>
      <c r="C291" s="259"/>
      <c r="E291" s="296">
        <f t="shared" si="23"/>
        <v>0</v>
      </c>
      <c r="F291" s="297"/>
      <c r="G291" s="297"/>
      <c r="H291" s="297"/>
      <c r="P291" s="258" t="str">
        <f t="shared" si="24"/>
        <v>A_0</v>
      </c>
      <c r="Q291" s="258">
        <f t="shared" si="25"/>
        <v>0</v>
      </c>
      <c r="R291" s="258">
        <f t="shared" si="26"/>
        <v>0</v>
      </c>
      <c r="S291" s="258">
        <f t="shared" si="27"/>
        <v>0</v>
      </c>
    </row>
    <row r="292" spans="1:19" s="278" customFormat="1" ht="24.95" customHeight="1" x14ac:dyDescent="0.2">
      <c r="A292" s="293"/>
      <c r="B292" s="259"/>
      <c r="C292" s="259"/>
      <c r="E292" s="296">
        <f t="shared" si="23"/>
        <v>0</v>
      </c>
      <c r="F292" s="297"/>
      <c r="G292" s="297"/>
      <c r="H292" s="297"/>
      <c r="P292" s="258" t="str">
        <f t="shared" si="24"/>
        <v>A_0</v>
      </c>
      <c r="Q292" s="258">
        <f t="shared" si="25"/>
        <v>0</v>
      </c>
      <c r="R292" s="258">
        <f t="shared" si="26"/>
        <v>0</v>
      </c>
      <c r="S292" s="258">
        <f t="shared" si="27"/>
        <v>0</v>
      </c>
    </row>
    <row r="293" spans="1:19" s="278" customFormat="1" ht="24.95" customHeight="1" x14ac:dyDescent="0.2">
      <c r="A293" s="293"/>
      <c r="B293" s="259"/>
      <c r="C293" s="259"/>
      <c r="E293" s="296">
        <f t="shared" si="23"/>
        <v>0</v>
      </c>
      <c r="F293" s="297"/>
      <c r="G293" s="297"/>
      <c r="H293" s="297"/>
      <c r="P293" s="258" t="str">
        <f t="shared" si="24"/>
        <v>A_0</v>
      </c>
      <c r="Q293" s="258">
        <f t="shared" si="25"/>
        <v>0</v>
      </c>
      <c r="R293" s="258">
        <f t="shared" si="26"/>
        <v>0</v>
      </c>
      <c r="S293" s="258">
        <f t="shared" si="27"/>
        <v>0</v>
      </c>
    </row>
    <row r="294" spans="1:19" s="278" customFormat="1" ht="24.95" customHeight="1" x14ac:dyDescent="0.2">
      <c r="A294" s="293"/>
      <c r="B294" s="259"/>
      <c r="C294" s="259"/>
      <c r="E294" s="296">
        <f t="shared" si="23"/>
        <v>0</v>
      </c>
      <c r="F294" s="297"/>
      <c r="G294" s="297"/>
      <c r="H294" s="297"/>
      <c r="P294" s="258" t="str">
        <f t="shared" si="24"/>
        <v>A_0</v>
      </c>
      <c r="Q294" s="258">
        <f t="shared" si="25"/>
        <v>0</v>
      </c>
      <c r="R294" s="258">
        <f t="shared" si="26"/>
        <v>0</v>
      </c>
      <c r="S294" s="258">
        <f t="shared" si="27"/>
        <v>0</v>
      </c>
    </row>
    <row r="295" spans="1:19" s="278" customFormat="1" ht="24.95" customHeight="1" x14ac:dyDescent="0.2">
      <c r="A295" s="293"/>
      <c r="B295" s="259"/>
      <c r="C295" s="259"/>
      <c r="E295" s="296">
        <f t="shared" si="23"/>
        <v>0</v>
      </c>
      <c r="F295" s="297"/>
      <c r="G295" s="297"/>
      <c r="H295" s="297"/>
      <c r="P295" s="258" t="str">
        <f t="shared" si="24"/>
        <v>A_0</v>
      </c>
      <c r="Q295" s="258">
        <f t="shared" si="25"/>
        <v>0</v>
      </c>
      <c r="R295" s="258">
        <f t="shared" si="26"/>
        <v>0</v>
      </c>
      <c r="S295" s="258">
        <f t="shared" si="27"/>
        <v>0</v>
      </c>
    </row>
    <row r="296" spans="1:19" s="278" customFormat="1" ht="24.95" customHeight="1" x14ac:dyDescent="0.2">
      <c r="A296" s="293"/>
      <c r="B296" s="259"/>
      <c r="C296" s="259"/>
      <c r="E296" s="296">
        <f t="shared" si="23"/>
        <v>0</v>
      </c>
      <c r="F296" s="297"/>
      <c r="G296" s="297"/>
      <c r="H296" s="297"/>
      <c r="P296" s="258" t="str">
        <f t="shared" si="24"/>
        <v>A_0</v>
      </c>
      <c r="Q296" s="258">
        <f t="shared" si="25"/>
        <v>0</v>
      </c>
      <c r="R296" s="258">
        <f t="shared" si="26"/>
        <v>0</v>
      </c>
      <c r="S296" s="258">
        <f t="shared" si="27"/>
        <v>0</v>
      </c>
    </row>
    <row r="297" spans="1:19" s="278" customFormat="1" ht="24.95" customHeight="1" x14ac:dyDescent="0.2">
      <c r="A297" s="293"/>
      <c r="B297" s="259"/>
      <c r="C297" s="259"/>
      <c r="E297" s="296">
        <f t="shared" si="23"/>
        <v>0</v>
      </c>
      <c r="F297" s="297"/>
      <c r="G297" s="297"/>
      <c r="H297" s="297"/>
      <c r="P297" s="258" t="str">
        <f t="shared" si="24"/>
        <v>A_0</v>
      </c>
      <c r="Q297" s="258">
        <f t="shared" si="25"/>
        <v>0</v>
      </c>
      <c r="R297" s="258">
        <f t="shared" si="26"/>
        <v>0</v>
      </c>
      <c r="S297" s="258">
        <f t="shared" si="27"/>
        <v>0</v>
      </c>
    </row>
    <row r="298" spans="1:19" s="278" customFormat="1" ht="24.95" customHeight="1" x14ac:dyDescent="0.2">
      <c r="A298" s="293"/>
      <c r="B298" s="259"/>
      <c r="C298" s="259"/>
      <c r="E298" s="296">
        <f t="shared" si="23"/>
        <v>0</v>
      </c>
      <c r="F298" s="297"/>
      <c r="G298" s="297"/>
      <c r="H298" s="297"/>
      <c r="P298" s="258" t="str">
        <f t="shared" si="24"/>
        <v>A_0</v>
      </c>
      <c r="Q298" s="258">
        <f t="shared" si="25"/>
        <v>0</v>
      </c>
      <c r="R298" s="258">
        <f t="shared" si="26"/>
        <v>0</v>
      </c>
      <c r="S298" s="258">
        <f t="shared" si="27"/>
        <v>0</v>
      </c>
    </row>
    <row r="299" spans="1:19" s="278" customFormat="1" ht="24.95" customHeight="1" x14ac:dyDescent="0.2">
      <c r="A299" s="293"/>
      <c r="B299" s="259"/>
      <c r="C299" s="259"/>
      <c r="E299" s="296">
        <f t="shared" si="23"/>
        <v>0</v>
      </c>
      <c r="F299" s="297"/>
      <c r="G299" s="297"/>
      <c r="H299" s="297"/>
      <c r="P299" s="258" t="str">
        <f t="shared" si="24"/>
        <v>A_0</v>
      </c>
      <c r="Q299" s="258">
        <f t="shared" si="25"/>
        <v>0</v>
      </c>
      <c r="R299" s="258">
        <f t="shared" si="26"/>
        <v>0</v>
      </c>
      <c r="S299" s="258">
        <f t="shared" si="27"/>
        <v>0</v>
      </c>
    </row>
    <row r="300" spans="1:19" s="278" customFormat="1" ht="24.95" customHeight="1" x14ac:dyDescent="0.2">
      <c r="A300" s="293"/>
      <c r="B300" s="259"/>
      <c r="C300" s="259"/>
      <c r="E300" s="296">
        <f t="shared" si="23"/>
        <v>0</v>
      </c>
      <c r="F300" s="297"/>
      <c r="G300" s="297"/>
      <c r="H300" s="297"/>
      <c r="P300" s="258" t="str">
        <f t="shared" si="24"/>
        <v>A_0</v>
      </c>
      <c r="Q300" s="258">
        <f t="shared" si="25"/>
        <v>0</v>
      </c>
      <c r="R300" s="258">
        <f t="shared" si="26"/>
        <v>0</v>
      </c>
      <c r="S300" s="258">
        <f t="shared" si="27"/>
        <v>0</v>
      </c>
    </row>
    <row r="301" spans="1:19" s="278" customFormat="1" ht="24.95" customHeight="1" x14ac:dyDescent="0.2">
      <c r="A301" s="293"/>
      <c r="B301" s="259"/>
      <c r="C301" s="259"/>
      <c r="E301" s="296">
        <f t="shared" si="23"/>
        <v>0</v>
      </c>
      <c r="F301" s="297"/>
      <c r="G301" s="297"/>
      <c r="H301" s="297"/>
      <c r="P301" s="258" t="str">
        <f t="shared" si="24"/>
        <v>A_0</v>
      </c>
      <c r="Q301" s="258">
        <f t="shared" si="25"/>
        <v>0</v>
      </c>
      <c r="R301" s="258">
        <f t="shared" si="26"/>
        <v>0</v>
      </c>
      <c r="S301" s="258">
        <f t="shared" si="27"/>
        <v>0</v>
      </c>
    </row>
    <row r="302" spans="1:19" s="278" customFormat="1" ht="24.95" customHeight="1" x14ac:dyDescent="0.2">
      <c r="A302" s="293"/>
      <c r="B302" s="259"/>
      <c r="C302" s="259"/>
      <c r="E302" s="296">
        <f t="shared" si="23"/>
        <v>0</v>
      </c>
      <c r="F302" s="297"/>
      <c r="G302" s="297"/>
      <c r="H302" s="297"/>
      <c r="P302" s="258" t="str">
        <f t="shared" si="24"/>
        <v>A_0</v>
      </c>
      <c r="Q302" s="258">
        <f t="shared" si="25"/>
        <v>0</v>
      </c>
      <c r="R302" s="258">
        <f t="shared" si="26"/>
        <v>0</v>
      </c>
      <c r="S302" s="258">
        <f t="shared" si="27"/>
        <v>0</v>
      </c>
    </row>
    <row r="303" spans="1:19" s="278" customFormat="1" ht="24.95" customHeight="1" x14ac:dyDescent="0.2">
      <c r="A303" s="293"/>
      <c r="B303" s="259"/>
      <c r="C303" s="259"/>
      <c r="E303" s="296">
        <f t="shared" si="23"/>
        <v>0</v>
      </c>
      <c r="F303" s="297"/>
      <c r="G303" s="297"/>
      <c r="H303" s="297"/>
      <c r="P303" s="258" t="str">
        <f t="shared" si="24"/>
        <v>A_0</v>
      </c>
      <c r="Q303" s="258">
        <f t="shared" si="25"/>
        <v>0</v>
      </c>
      <c r="R303" s="258">
        <f t="shared" si="26"/>
        <v>0</v>
      </c>
      <c r="S303" s="258">
        <f t="shared" si="27"/>
        <v>0</v>
      </c>
    </row>
    <row r="304" spans="1:19" s="278" customFormat="1" ht="24.95" customHeight="1" x14ac:dyDescent="0.2">
      <c r="A304" s="293"/>
      <c r="B304" s="259"/>
      <c r="C304" s="259"/>
      <c r="E304" s="296">
        <f t="shared" si="23"/>
        <v>0</v>
      </c>
      <c r="F304" s="297"/>
      <c r="G304" s="297"/>
      <c r="H304" s="297"/>
      <c r="P304" s="258" t="str">
        <f t="shared" si="24"/>
        <v>A_0</v>
      </c>
      <c r="Q304" s="258">
        <f t="shared" si="25"/>
        <v>0</v>
      </c>
      <c r="R304" s="258">
        <f t="shared" si="26"/>
        <v>0</v>
      </c>
      <c r="S304" s="258">
        <f t="shared" si="27"/>
        <v>0</v>
      </c>
    </row>
    <row r="305" spans="1:19" s="278" customFormat="1" ht="24.95" customHeight="1" x14ac:dyDescent="0.2">
      <c r="A305" s="293"/>
      <c r="B305" s="259"/>
      <c r="C305" s="259"/>
      <c r="E305" s="296">
        <f t="shared" si="23"/>
        <v>0</v>
      </c>
      <c r="F305" s="297"/>
      <c r="G305" s="297"/>
      <c r="H305" s="297"/>
      <c r="P305" s="258" t="str">
        <f t="shared" si="24"/>
        <v>A_0</v>
      </c>
      <c r="Q305" s="258">
        <f t="shared" si="25"/>
        <v>0</v>
      </c>
      <c r="R305" s="258">
        <f t="shared" si="26"/>
        <v>0</v>
      </c>
      <c r="S305" s="258">
        <f t="shared" si="27"/>
        <v>0</v>
      </c>
    </row>
    <row r="306" spans="1:19" s="278" customFormat="1" ht="24.95" customHeight="1" x14ac:dyDescent="0.2">
      <c r="A306" s="293"/>
      <c r="B306" s="259"/>
      <c r="C306" s="259"/>
      <c r="E306" s="296">
        <f t="shared" si="23"/>
        <v>0</v>
      </c>
      <c r="F306" s="297"/>
      <c r="G306" s="297"/>
      <c r="H306" s="297"/>
      <c r="P306" s="258" t="str">
        <f t="shared" si="24"/>
        <v>A_0</v>
      </c>
      <c r="Q306" s="258">
        <f t="shared" si="25"/>
        <v>0</v>
      </c>
      <c r="R306" s="258">
        <f t="shared" si="26"/>
        <v>0</v>
      </c>
      <c r="S306" s="258">
        <f t="shared" si="27"/>
        <v>0</v>
      </c>
    </row>
    <row r="307" spans="1:19" s="278" customFormat="1" ht="24.95" customHeight="1" x14ac:dyDescent="0.2">
      <c r="A307" s="293"/>
      <c r="B307" s="259"/>
      <c r="C307" s="259"/>
      <c r="E307" s="296">
        <f t="shared" si="23"/>
        <v>0</v>
      </c>
      <c r="F307" s="297"/>
      <c r="G307" s="297"/>
      <c r="H307" s="297"/>
      <c r="P307" s="258" t="str">
        <f t="shared" si="24"/>
        <v>A_0</v>
      </c>
      <c r="Q307" s="258">
        <f t="shared" si="25"/>
        <v>0</v>
      </c>
      <c r="R307" s="258">
        <f t="shared" si="26"/>
        <v>0</v>
      </c>
      <c r="S307" s="258">
        <f t="shared" si="27"/>
        <v>0</v>
      </c>
    </row>
    <row r="308" spans="1:19" s="278" customFormat="1" ht="24.95" customHeight="1" x14ac:dyDescent="0.2">
      <c r="A308" s="293"/>
      <c r="B308" s="259"/>
      <c r="C308" s="259"/>
      <c r="E308" s="296">
        <f t="shared" si="23"/>
        <v>0</v>
      </c>
      <c r="F308" s="297"/>
      <c r="G308" s="297"/>
      <c r="H308" s="297"/>
      <c r="P308" s="258" t="str">
        <f t="shared" si="24"/>
        <v>A_0</v>
      </c>
      <c r="Q308" s="258">
        <f t="shared" si="25"/>
        <v>0</v>
      </c>
      <c r="R308" s="258">
        <f t="shared" si="26"/>
        <v>0</v>
      </c>
      <c r="S308" s="258">
        <f t="shared" si="27"/>
        <v>0</v>
      </c>
    </row>
    <row r="309" spans="1:19" s="278" customFormat="1" ht="24.95" customHeight="1" x14ac:dyDescent="0.2">
      <c r="A309" s="293"/>
      <c r="B309" s="259"/>
      <c r="C309" s="259"/>
      <c r="E309" s="296">
        <f t="shared" si="23"/>
        <v>0</v>
      </c>
      <c r="F309" s="297"/>
      <c r="G309" s="297"/>
      <c r="H309" s="297"/>
      <c r="P309" s="258" t="str">
        <f t="shared" si="24"/>
        <v>A_0</v>
      </c>
      <c r="Q309" s="258">
        <f t="shared" si="25"/>
        <v>0</v>
      </c>
      <c r="R309" s="258">
        <f t="shared" si="26"/>
        <v>0</v>
      </c>
      <c r="S309" s="258">
        <f t="shared" si="27"/>
        <v>0</v>
      </c>
    </row>
    <row r="310" spans="1:19" s="278" customFormat="1" ht="24.95" customHeight="1" x14ac:dyDescent="0.2">
      <c r="A310" s="293"/>
      <c r="B310" s="259"/>
      <c r="C310" s="259"/>
      <c r="E310" s="296">
        <f t="shared" si="23"/>
        <v>0</v>
      </c>
      <c r="F310" s="297"/>
      <c r="G310" s="297"/>
      <c r="H310" s="297"/>
      <c r="P310" s="258" t="str">
        <f t="shared" si="24"/>
        <v>A_0</v>
      </c>
      <c r="Q310" s="258">
        <f t="shared" si="25"/>
        <v>0</v>
      </c>
      <c r="R310" s="258">
        <f t="shared" si="26"/>
        <v>0</v>
      </c>
      <c r="S310" s="258">
        <f t="shared" si="27"/>
        <v>0</v>
      </c>
    </row>
    <row r="311" spans="1:19" s="278" customFormat="1" ht="24.95" customHeight="1" x14ac:dyDescent="0.2">
      <c r="A311" s="293"/>
      <c r="B311" s="259"/>
      <c r="C311" s="259"/>
      <c r="E311" s="296">
        <f t="shared" si="23"/>
        <v>0</v>
      </c>
      <c r="F311" s="297"/>
      <c r="G311" s="297"/>
      <c r="H311" s="297"/>
      <c r="P311" s="258" t="str">
        <f t="shared" si="24"/>
        <v>A_0</v>
      </c>
      <c r="Q311" s="258">
        <f t="shared" si="25"/>
        <v>0</v>
      </c>
      <c r="R311" s="258">
        <f t="shared" si="26"/>
        <v>0</v>
      </c>
      <c r="S311" s="258">
        <f t="shared" si="27"/>
        <v>0</v>
      </c>
    </row>
    <row r="312" spans="1:19" s="278" customFormat="1" ht="24.95" customHeight="1" x14ac:dyDescent="0.2">
      <c r="A312" s="293"/>
      <c r="B312" s="259"/>
      <c r="C312" s="259"/>
      <c r="E312" s="296">
        <f t="shared" si="23"/>
        <v>0</v>
      </c>
      <c r="F312" s="297"/>
      <c r="G312" s="297"/>
      <c r="H312" s="297"/>
      <c r="P312" s="258" t="str">
        <f t="shared" si="24"/>
        <v>A_0</v>
      </c>
      <c r="Q312" s="258">
        <f t="shared" si="25"/>
        <v>0</v>
      </c>
      <c r="R312" s="258">
        <f t="shared" si="26"/>
        <v>0</v>
      </c>
      <c r="S312" s="258">
        <f t="shared" si="27"/>
        <v>0</v>
      </c>
    </row>
    <row r="313" spans="1:19" s="278" customFormat="1" ht="24.95" customHeight="1" x14ac:dyDescent="0.2">
      <c r="A313" s="293"/>
      <c r="B313" s="259"/>
      <c r="C313" s="259"/>
      <c r="E313" s="296">
        <f t="shared" si="23"/>
        <v>0</v>
      </c>
      <c r="F313" s="297"/>
      <c r="G313" s="297"/>
      <c r="H313" s="297"/>
      <c r="P313" s="258" t="str">
        <f t="shared" si="24"/>
        <v>A_0</v>
      </c>
      <c r="Q313" s="258">
        <f t="shared" si="25"/>
        <v>0</v>
      </c>
      <c r="R313" s="258">
        <f t="shared" si="26"/>
        <v>0</v>
      </c>
      <c r="S313" s="258">
        <f t="shared" si="27"/>
        <v>0</v>
      </c>
    </row>
    <row r="314" spans="1:19" s="278" customFormat="1" ht="24.95" customHeight="1" x14ac:dyDescent="0.2">
      <c r="A314" s="293"/>
      <c r="B314" s="259"/>
      <c r="C314" s="259"/>
      <c r="E314" s="296">
        <f t="shared" si="23"/>
        <v>0</v>
      </c>
      <c r="F314" s="297"/>
      <c r="G314" s="297"/>
      <c r="H314" s="297"/>
      <c r="P314" s="258" t="str">
        <f t="shared" si="24"/>
        <v>A_0</v>
      </c>
      <c r="Q314" s="258">
        <f t="shared" si="25"/>
        <v>0</v>
      </c>
      <c r="R314" s="258">
        <f t="shared" si="26"/>
        <v>0</v>
      </c>
      <c r="S314" s="258">
        <f t="shared" si="27"/>
        <v>0</v>
      </c>
    </row>
    <row r="315" spans="1:19" s="278" customFormat="1" ht="24.95" customHeight="1" x14ac:dyDescent="0.2">
      <c r="A315" s="293"/>
      <c r="B315" s="259"/>
      <c r="C315" s="259"/>
      <c r="E315" s="296">
        <f t="shared" si="23"/>
        <v>0</v>
      </c>
      <c r="F315" s="297"/>
      <c r="G315" s="297"/>
      <c r="H315" s="297"/>
      <c r="P315" s="258" t="str">
        <f t="shared" si="24"/>
        <v>A_0</v>
      </c>
      <c r="Q315" s="258">
        <f t="shared" si="25"/>
        <v>0</v>
      </c>
      <c r="R315" s="258">
        <f t="shared" si="26"/>
        <v>0</v>
      </c>
      <c r="S315" s="258">
        <f t="shared" si="27"/>
        <v>0</v>
      </c>
    </row>
    <row r="316" spans="1:19" s="278" customFormat="1" ht="24.95" customHeight="1" x14ac:dyDescent="0.2">
      <c r="A316" s="293"/>
      <c r="B316" s="259"/>
      <c r="C316" s="259"/>
      <c r="E316" s="296">
        <f t="shared" si="23"/>
        <v>0</v>
      </c>
      <c r="F316" s="297"/>
      <c r="G316" s="297"/>
      <c r="H316" s="297"/>
      <c r="P316" s="258" t="str">
        <f t="shared" si="24"/>
        <v>A_0</v>
      </c>
      <c r="Q316" s="258">
        <f t="shared" si="25"/>
        <v>0</v>
      </c>
      <c r="R316" s="258">
        <f t="shared" si="26"/>
        <v>0</v>
      </c>
      <c r="S316" s="258">
        <f t="shared" si="27"/>
        <v>0</v>
      </c>
    </row>
    <row r="317" spans="1:19" s="278" customFormat="1" ht="24.95" customHeight="1" x14ac:dyDescent="0.2">
      <c r="A317" s="293"/>
      <c r="B317" s="259"/>
      <c r="C317" s="259"/>
      <c r="E317" s="296">
        <f t="shared" si="23"/>
        <v>0</v>
      </c>
      <c r="F317" s="297"/>
      <c r="G317" s="297"/>
      <c r="H317" s="297"/>
      <c r="P317" s="258" t="str">
        <f t="shared" si="24"/>
        <v>A_0</v>
      </c>
      <c r="Q317" s="258">
        <f t="shared" si="25"/>
        <v>0</v>
      </c>
      <c r="R317" s="258">
        <f t="shared" si="26"/>
        <v>0</v>
      </c>
      <c r="S317" s="258">
        <f t="shared" si="27"/>
        <v>0</v>
      </c>
    </row>
    <row r="318" spans="1:19" s="278" customFormat="1" ht="24.95" customHeight="1" x14ac:dyDescent="0.2">
      <c r="A318" s="293"/>
      <c r="B318" s="259"/>
      <c r="C318" s="259"/>
      <c r="E318" s="296">
        <f t="shared" si="23"/>
        <v>0</v>
      </c>
      <c r="F318" s="297"/>
      <c r="G318" s="297"/>
      <c r="H318" s="297"/>
      <c r="P318" s="258" t="str">
        <f t="shared" si="24"/>
        <v>A_0</v>
      </c>
      <c r="Q318" s="258">
        <f t="shared" si="25"/>
        <v>0</v>
      </c>
      <c r="R318" s="258">
        <f t="shared" si="26"/>
        <v>0</v>
      </c>
      <c r="S318" s="258">
        <f t="shared" si="27"/>
        <v>0</v>
      </c>
    </row>
    <row r="319" spans="1:19" s="278" customFormat="1" ht="24.95" customHeight="1" x14ac:dyDescent="0.2">
      <c r="A319" s="293"/>
      <c r="B319" s="259"/>
      <c r="C319" s="259"/>
      <c r="E319" s="296">
        <f t="shared" si="23"/>
        <v>0</v>
      </c>
      <c r="F319" s="297"/>
      <c r="G319" s="297"/>
      <c r="H319" s="297"/>
      <c r="P319" s="258" t="str">
        <f t="shared" si="24"/>
        <v>A_0</v>
      </c>
      <c r="Q319" s="258">
        <f t="shared" si="25"/>
        <v>0</v>
      </c>
      <c r="R319" s="258">
        <f t="shared" si="26"/>
        <v>0</v>
      </c>
      <c r="S319" s="258">
        <f t="shared" si="27"/>
        <v>0</v>
      </c>
    </row>
    <row r="320" spans="1:19" s="278" customFormat="1" ht="24.95" customHeight="1" x14ac:dyDescent="0.2">
      <c r="A320" s="293"/>
      <c r="B320" s="259"/>
      <c r="C320" s="259"/>
      <c r="E320" s="296">
        <f t="shared" si="23"/>
        <v>0</v>
      </c>
      <c r="F320" s="297"/>
      <c r="G320" s="297"/>
      <c r="H320" s="297"/>
      <c r="P320" s="258" t="str">
        <f t="shared" si="24"/>
        <v>A_0</v>
      </c>
      <c r="Q320" s="258">
        <f t="shared" si="25"/>
        <v>0</v>
      </c>
      <c r="R320" s="258">
        <f t="shared" si="26"/>
        <v>0</v>
      </c>
      <c r="S320" s="258">
        <f t="shared" si="27"/>
        <v>0</v>
      </c>
    </row>
    <row r="321" spans="1:19" s="278" customFormat="1" ht="24.95" customHeight="1" x14ac:dyDescent="0.2">
      <c r="A321" s="293"/>
      <c r="B321" s="259"/>
      <c r="C321" s="259"/>
      <c r="E321" s="296">
        <f t="shared" si="23"/>
        <v>0</v>
      </c>
      <c r="F321" s="297"/>
      <c r="G321" s="297"/>
      <c r="H321" s="297"/>
      <c r="P321" s="258" t="str">
        <f t="shared" si="24"/>
        <v>A_0</v>
      </c>
      <c r="Q321" s="258">
        <f t="shared" si="25"/>
        <v>0</v>
      </c>
      <c r="R321" s="258">
        <f t="shared" si="26"/>
        <v>0</v>
      </c>
      <c r="S321" s="258">
        <f t="shared" si="27"/>
        <v>0</v>
      </c>
    </row>
    <row r="322" spans="1:19" s="278" customFormat="1" ht="24.95" customHeight="1" x14ac:dyDescent="0.2">
      <c r="A322" s="293"/>
      <c r="B322" s="259"/>
      <c r="C322" s="259"/>
      <c r="E322" s="296">
        <f t="shared" si="23"/>
        <v>0</v>
      </c>
      <c r="F322" s="297"/>
      <c r="G322" s="297"/>
      <c r="H322" s="297"/>
      <c r="P322" s="258" t="str">
        <f t="shared" si="24"/>
        <v>A_0</v>
      </c>
      <c r="Q322" s="258">
        <f t="shared" si="25"/>
        <v>0</v>
      </c>
      <c r="R322" s="258">
        <f t="shared" si="26"/>
        <v>0</v>
      </c>
      <c r="S322" s="258">
        <f t="shared" si="27"/>
        <v>0</v>
      </c>
    </row>
    <row r="323" spans="1:19" s="278" customFormat="1" ht="24.95" customHeight="1" x14ac:dyDescent="0.2">
      <c r="A323" s="293"/>
      <c r="B323" s="259"/>
      <c r="C323" s="259"/>
      <c r="E323" s="296">
        <f t="shared" si="23"/>
        <v>0</v>
      </c>
      <c r="F323" s="297"/>
      <c r="G323" s="297"/>
      <c r="H323" s="297"/>
      <c r="P323" s="258" t="str">
        <f t="shared" si="24"/>
        <v>A_0</v>
      </c>
      <c r="Q323" s="258">
        <f t="shared" si="25"/>
        <v>0</v>
      </c>
      <c r="R323" s="258">
        <f t="shared" si="26"/>
        <v>0</v>
      </c>
      <c r="S323" s="258">
        <f t="shared" si="27"/>
        <v>0</v>
      </c>
    </row>
    <row r="324" spans="1:19" s="278" customFormat="1" ht="24.95" customHeight="1" x14ac:dyDescent="0.2">
      <c r="A324" s="293"/>
      <c r="B324" s="259"/>
      <c r="C324" s="259"/>
      <c r="E324" s="296">
        <f t="shared" si="23"/>
        <v>0</v>
      </c>
      <c r="F324" s="297"/>
      <c r="G324" s="297"/>
      <c r="H324" s="297"/>
      <c r="P324" s="258" t="str">
        <f t="shared" si="24"/>
        <v>A_0</v>
      </c>
      <c r="Q324" s="258">
        <f t="shared" si="25"/>
        <v>0</v>
      </c>
      <c r="R324" s="258">
        <f t="shared" si="26"/>
        <v>0</v>
      </c>
      <c r="S324" s="258">
        <f t="shared" si="27"/>
        <v>0</v>
      </c>
    </row>
    <row r="325" spans="1:19" s="278" customFormat="1" ht="24.95" customHeight="1" x14ac:dyDescent="0.2">
      <c r="A325" s="293"/>
      <c r="B325" s="259"/>
      <c r="C325" s="259"/>
      <c r="E325" s="296">
        <f t="shared" si="23"/>
        <v>0</v>
      </c>
      <c r="F325" s="297"/>
      <c r="G325" s="297"/>
      <c r="H325" s="297"/>
      <c r="P325" s="258" t="str">
        <f t="shared" si="24"/>
        <v>A_0</v>
      </c>
      <c r="Q325" s="258">
        <f t="shared" si="25"/>
        <v>0</v>
      </c>
      <c r="R325" s="258">
        <f t="shared" si="26"/>
        <v>0</v>
      </c>
      <c r="S325" s="258">
        <f t="shared" si="27"/>
        <v>0</v>
      </c>
    </row>
    <row r="326" spans="1:19" s="278" customFormat="1" ht="24.95" customHeight="1" x14ac:dyDescent="0.2">
      <c r="A326" s="293"/>
      <c r="B326" s="259"/>
      <c r="C326" s="259"/>
      <c r="E326" s="296">
        <f t="shared" si="23"/>
        <v>0</v>
      </c>
      <c r="F326" s="297"/>
      <c r="G326" s="297"/>
      <c r="H326" s="297"/>
      <c r="P326" s="258" t="str">
        <f t="shared" si="24"/>
        <v>A_0</v>
      </c>
      <c r="Q326" s="258">
        <f t="shared" si="25"/>
        <v>0</v>
      </c>
      <c r="R326" s="258">
        <f t="shared" si="26"/>
        <v>0</v>
      </c>
      <c r="S326" s="258">
        <f t="shared" si="27"/>
        <v>0</v>
      </c>
    </row>
    <row r="327" spans="1:19" s="278" customFormat="1" ht="24.95" customHeight="1" x14ac:dyDescent="0.2">
      <c r="A327" s="293"/>
      <c r="B327" s="259"/>
      <c r="C327" s="259"/>
      <c r="E327" s="296">
        <f t="shared" si="23"/>
        <v>0</v>
      </c>
      <c r="F327" s="297"/>
      <c r="G327" s="297"/>
      <c r="H327" s="297"/>
      <c r="P327" s="258" t="str">
        <f t="shared" si="24"/>
        <v>A_0</v>
      </c>
      <c r="Q327" s="258">
        <f t="shared" si="25"/>
        <v>0</v>
      </c>
      <c r="R327" s="258">
        <f t="shared" si="26"/>
        <v>0</v>
      </c>
      <c r="S327" s="258">
        <f t="shared" si="27"/>
        <v>0</v>
      </c>
    </row>
    <row r="328" spans="1:19" s="278" customFormat="1" ht="24.95" customHeight="1" x14ac:dyDescent="0.2">
      <c r="A328" s="293"/>
      <c r="B328" s="259"/>
      <c r="C328" s="259"/>
      <c r="E328" s="296">
        <f t="shared" si="23"/>
        <v>0</v>
      </c>
      <c r="F328" s="297"/>
      <c r="G328" s="297"/>
      <c r="H328" s="297"/>
      <c r="P328" s="258" t="str">
        <f t="shared" si="24"/>
        <v>A_0</v>
      </c>
      <c r="Q328" s="258">
        <f t="shared" si="25"/>
        <v>0</v>
      </c>
      <c r="R328" s="258">
        <f t="shared" si="26"/>
        <v>0</v>
      </c>
      <c r="S328" s="258">
        <f t="shared" si="27"/>
        <v>0</v>
      </c>
    </row>
    <row r="329" spans="1:19" s="278" customFormat="1" ht="24.95" customHeight="1" x14ac:dyDescent="0.2">
      <c r="A329" s="293"/>
      <c r="B329" s="259"/>
      <c r="C329" s="259"/>
      <c r="E329" s="296">
        <f t="shared" si="23"/>
        <v>0</v>
      </c>
      <c r="F329" s="297"/>
      <c r="G329" s="297"/>
      <c r="H329" s="297"/>
      <c r="P329" s="258" t="str">
        <f t="shared" si="24"/>
        <v>A_0</v>
      </c>
      <c r="Q329" s="258">
        <f t="shared" si="25"/>
        <v>0</v>
      </c>
      <c r="R329" s="258">
        <f t="shared" si="26"/>
        <v>0</v>
      </c>
      <c r="S329" s="258">
        <f t="shared" si="27"/>
        <v>0</v>
      </c>
    </row>
    <row r="330" spans="1:19" s="278" customFormat="1" ht="24.95" customHeight="1" x14ac:dyDescent="0.2">
      <c r="A330" s="293"/>
      <c r="B330" s="259"/>
      <c r="C330" s="259"/>
      <c r="E330" s="296">
        <f t="shared" si="23"/>
        <v>0</v>
      </c>
      <c r="F330" s="297"/>
      <c r="G330" s="297"/>
      <c r="H330" s="297"/>
      <c r="P330" s="258" t="str">
        <f t="shared" si="24"/>
        <v>A_0</v>
      </c>
      <c r="Q330" s="258">
        <f t="shared" si="25"/>
        <v>0</v>
      </c>
      <c r="R330" s="258">
        <f t="shared" si="26"/>
        <v>0</v>
      </c>
      <c r="S330" s="258">
        <f t="shared" si="27"/>
        <v>0</v>
      </c>
    </row>
    <row r="331" spans="1:19" s="278" customFormat="1" ht="24.95" customHeight="1" x14ac:dyDescent="0.2">
      <c r="A331" s="293"/>
      <c r="B331" s="259"/>
      <c r="C331" s="259"/>
      <c r="E331" s="296">
        <f t="shared" ref="E331:E394" si="28">A331</f>
        <v>0</v>
      </c>
      <c r="F331" s="297"/>
      <c r="G331" s="297"/>
      <c r="H331" s="297"/>
      <c r="P331" s="258" t="str">
        <f t="shared" ref="P331:P394" si="29">"A_"&amp;E331</f>
        <v>A_0</v>
      </c>
      <c r="Q331" s="258">
        <f t="shared" ref="Q331:Q394" si="30">F331</f>
        <v>0</v>
      </c>
      <c r="R331" s="258">
        <f t="shared" ref="R331:R394" si="31">G331</f>
        <v>0</v>
      </c>
      <c r="S331" s="258">
        <f t="shared" ref="S331:S394" si="32">H331</f>
        <v>0</v>
      </c>
    </row>
    <row r="332" spans="1:19" s="278" customFormat="1" ht="24.95" customHeight="1" x14ac:dyDescent="0.2">
      <c r="A332" s="293"/>
      <c r="B332" s="259"/>
      <c r="C332" s="259"/>
      <c r="E332" s="296">
        <f t="shared" si="28"/>
        <v>0</v>
      </c>
      <c r="F332" s="297"/>
      <c r="G332" s="297"/>
      <c r="H332" s="297"/>
      <c r="P332" s="258" t="str">
        <f t="shared" si="29"/>
        <v>A_0</v>
      </c>
      <c r="Q332" s="258">
        <f t="shared" si="30"/>
        <v>0</v>
      </c>
      <c r="R332" s="258">
        <f t="shared" si="31"/>
        <v>0</v>
      </c>
      <c r="S332" s="258">
        <f t="shared" si="32"/>
        <v>0</v>
      </c>
    </row>
    <row r="333" spans="1:19" s="278" customFormat="1" ht="24.95" customHeight="1" x14ac:dyDescent="0.2">
      <c r="A333" s="293"/>
      <c r="B333" s="259"/>
      <c r="C333" s="259"/>
      <c r="E333" s="296">
        <f t="shared" si="28"/>
        <v>0</v>
      </c>
      <c r="F333" s="297"/>
      <c r="G333" s="297"/>
      <c r="H333" s="297"/>
      <c r="P333" s="258" t="str">
        <f t="shared" si="29"/>
        <v>A_0</v>
      </c>
      <c r="Q333" s="258">
        <f t="shared" si="30"/>
        <v>0</v>
      </c>
      <c r="R333" s="258">
        <f t="shared" si="31"/>
        <v>0</v>
      </c>
      <c r="S333" s="258">
        <f t="shared" si="32"/>
        <v>0</v>
      </c>
    </row>
    <row r="334" spans="1:19" s="278" customFormat="1" ht="24.95" customHeight="1" x14ac:dyDescent="0.2">
      <c r="A334" s="293"/>
      <c r="B334" s="259"/>
      <c r="C334" s="259"/>
      <c r="E334" s="296">
        <f t="shared" si="28"/>
        <v>0</v>
      </c>
      <c r="F334" s="297"/>
      <c r="G334" s="297"/>
      <c r="H334" s="297"/>
      <c r="P334" s="258" t="str">
        <f t="shared" si="29"/>
        <v>A_0</v>
      </c>
      <c r="Q334" s="258">
        <f t="shared" si="30"/>
        <v>0</v>
      </c>
      <c r="R334" s="258">
        <f t="shared" si="31"/>
        <v>0</v>
      </c>
      <c r="S334" s="258">
        <f t="shared" si="32"/>
        <v>0</v>
      </c>
    </row>
    <row r="335" spans="1:19" s="278" customFormat="1" ht="24.95" customHeight="1" x14ac:dyDescent="0.2">
      <c r="A335" s="293"/>
      <c r="B335" s="259"/>
      <c r="C335" s="259"/>
      <c r="E335" s="296">
        <f t="shared" si="28"/>
        <v>0</v>
      </c>
      <c r="F335" s="297"/>
      <c r="G335" s="297"/>
      <c r="H335" s="297"/>
      <c r="P335" s="258" t="str">
        <f t="shared" si="29"/>
        <v>A_0</v>
      </c>
      <c r="Q335" s="258">
        <f t="shared" si="30"/>
        <v>0</v>
      </c>
      <c r="R335" s="258">
        <f t="shared" si="31"/>
        <v>0</v>
      </c>
      <c r="S335" s="258">
        <f t="shared" si="32"/>
        <v>0</v>
      </c>
    </row>
    <row r="336" spans="1:19" s="278" customFormat="1" ht="24.95" customHeight="1" x14ac:dyDescent="0.2">
      <c r="A336" s="293"/>
      <c r="B336" s="259"/>
      <c r="C336" s="259"/>
      <c r="E336" s="296">
        <f t="shared" si="28"/>
        <v>0</v>
      </c>
      <c r="F336" s="297"/>
      <c r="G336" s="297"/>
      <c r="H336" s="297"/>
      <c r="P336" s="258" t="str">
        <f t="shared" si="29"/>
        <v>A_0</v>
      </c>
      <c r="Q336" s="258">
        <f t="shared" si="30"/>
        <v>0</v>
      </c>
      <c r="R336" s="258">
        <f t="shared" si="31"/>
        <v>0</v>
      </c>
      <c r="S336" s="258">
        <f t="shared" si="32"/>
        <v>0</v>
      </c>
    </row>
    <row r="337" spans="1:19" s="278" customFormat="1" ht="24.95" customHeight="1" x14ac:dyDescent="0.2">
      <c r="A337" s="293"/>
      <c r="B337" s="259"/>
      <c r="C337" s="259"/>
      <c r="E337" s="296">
        <f t="shared" si="28"/>
        <v>0</v>
      </c>
      <c r="F337" s="297"/>
      <c r="G337" s="297"/>
      <c r="H337" s="297"/>
      <c r="P337" s="258" t="str">
        <f t="shared" si="29"/>
        <v>A_0</v>
      </c>
      <c r="Q337" s="258">
        <f t="shared" si="30"/>
        <v>0</v>
      </c>
      <c r="R337" s="258">
        <f t="shared" si="31"/>
        <v>0</v>
      </c>
      <c r="S337" s="258">
        <f t="shared" si="32"/>
        <v>0</v>
      </c>
    </row>
    <row r="338" spans="1:19" s="278" customFormat="1" ht="24.95" customHeight="1" x14ac:dyDescent="0.2">
      <c r="A338" s="293"/>
      <c r="B338" s="259"/>
      <c r="C338" s="259"/>
      <c r="E338" s="296">
        <f t="shared" si="28"/>
        <v>0</v>
      </c>
      <c r="F338" s="297"/>
      <c r="G338" s="297"/>
      <c r="H338" s="297"/>
      <c r="P338" s="258" t="str">
        <f t="shared" si="29"/>
        <v>A_0</v>
      </c>
      <c r="Q338" s="258">
        <f t="shared" si="30"/>
        <v>0</v>
      </c>
      <c r="R338" s="258">
        <f t="shared" si="31"/>
        <v>0</v>
      </c>
      <c r="S338" s="258">
        <f t="shared" si="32"/>
        <v>0</v>
      </c>
    </row>
    <row r="339" spans="1:19" s="278" customFormat="1" ht="24.95" customHeight="1" x14ac:dyDescent="0.2">
      <c r="A339" s="293"/>
      <c r="B339" s="259"/>
      <c r="C339" s="259"/>
      <c r="E339" s="296">
        <f t="shared" si="28"/>
        <v>0</v>
      </c>
      <c r="F339" s="297"/>
      <c r="G339" s="297"/>
      <c r="H339" s="297"/>
      <c r="P339" s="258" t="str">
        <f t="shared" si="29"/>
        <v>A_0</v>
      </c>
      <c r="Q339" s="258">
        <f t="shared" si="30"/>
        <v>0</v>
      </c>
      <c r="R339" s="258">
        <f t="shared" si="31"/>
        <v>0</v>
      </c>
      <c r="S339" s="258">
        <f t="shared" si="32"/>
        <v>0</v>
      </c>
    </row>
    <row r="340" spans="1:19" s="278" customFormat="1" ht="24.95" customHeight="1" x14ac:dyDescent="0.2">
      <c r="A340" s="293"/>
      <c r="B340" s="259"/>
      <c r="C340" s="259"/>
      <c r="E340" s="296">
        <f t="shared" si="28"/>
        <v>0</v>
      </c>
      <c r="F340" s="297"/>
      <c r="G340" s="297"/>
      <c r="H340" s="297"/>
      <c r="P340" s="258" t="str">
        <f t="shared" si="29"/>
        <v>A_0</v>
      </c>
      <c r="Q340" s="258">
        <f t="shared" si="30"/>
        <v>0</v>
      </c>
      <c r="R340" s="258">
        <f t="shared" si="31"/>
        <v>0</v>
      </c>
      <c r="S340" s="258">
        <f t="shared" si="32"/>
        <v>0</v>
      </c>
    </row>
    <row r="341" spans="1:19" s="278" customFormat="1" ht="24.95" customHeight="1" x14ac:dyDescent="0.2">
      <c r="A341" s="293"/>
      <c r="B341" s="259"/>
      <c r="C341" s="259"/>
      <c r="E341" s="296">
        <f t="shared" si="28"/>
        <v>0</v>
      </c>
      <c r="F341" s="297"/>
      <c r="G341" s="297"/>
      <c r="H341" s="297"/>
      <c r="P341" s="258" t="str">
        <f t="shared" si="29"/>
        <v>A_0</v>
      </c>
      <c r="Q341" s="258">
        <f t="shared" si="30"/>
        <v>0</v>
      </c>
      <c r="R341" s="258">
        <f t="shared" si="31"/>
        <v>0</v>
      </c>
      <c r="S341" s="258">
        <f t="shared" si="32"/>
        <v>0</v>
      </c>
    </row>
    <row r="342" spans="1:19" s="278" customFormat="1" ht="24.95" customHeight="1" x14ac:dyDescent="0.2">
      <c r="A342" s="293"/>
      <c r="B342" s="259"/>
      <c r="C342" s="259"/>
      <c r="E342" s="296">
        <f t="shared" si="28"/>
        <v>0</v>
      </c>
      <c r="F342" s="297"/>
      <c r="G342" s="297"/>
      <c r="H342" s="297"/>
      <c r="P342" s="258" t="str">
        <f t="shared" si="29"/>
        <v>A_0</v>
      </c>
      <c r="Q342" s="258">
        <f t="shared" si="30"/>
        <v>0</v>
      </c>
      <c r="R342" s="258">
        <f t="shared" si="31"/>
        <v>0</v>
      </c>
      <c r="S342" s="258">
        <f t="shared" si="32"/>
        <v>0</v>
      </c>
    </row>
    <row r="343" spans="1:19" s="278" customFormat="1" ht="24.95" customHeight="1" x14ac:dyDescent="0.2">
      <c r="A343" s="293"/>
      <c r="B343" s="259"/>
      <c r="C343" s="259"/>
      <c r="E343" s="296">
        <f t="shared" si="28"/>
        <v>0</v>
      </c>
      <c r="F343" s="297"/>
      <c r="G343" s="297"/>
      <c r="H343" s="297"/>
      <c r="P343" s="258" t="str">
        <f t="shared" si="29"/>
        <v>A_0</v>
      </c>
      <c r="Q343" s="258">
        <f t="shared" si="30"/>
        <v>0</v>
      </c>
      <c r="R343" s="258">
        <f t="shared" si="31"/>
        <v>0</v>
      </c>
      <c r="S343" s="258">
        <f t="shared" si="32"/>
        <v>0</v>
      </c>
    </row>
    <row r="344" spans="1:19" s="278" customFormat="1" ht="24.95" customHeight="1" x14ac:dyDescent="0.2">
      <c r="A344" s="293"/>
      <c r="B344" s="259"/>
      <c r="C344" s="259"/>
      <c r="E344" s="296">
        <f t="shared" si="28"/>
        <v>0</v>
      </c>
      <c r="F344" s="297"/>
      <c r="G344" s="297"/>
      <c r="H344" s="297"/>
      <c r="P344" s="258" t="str">
        <f t="shared" si="29"/>
        <v>A_0</v>
      </c>
      <c r="Q344" s="258">
        <f t="shared" si="30"/>
        <v>0</v>
      </c>
      <c r="R344" s="258">
        <f t="shared" si="31"/>
        <v>0</v>
      </c>
      <c r="S344" s="258">
        <f t="shared" si="32"/>
        <v>0</v>
      </c>
    </row>
    <row r="345" spans="1:19" s="278" customFormat="1" ht="24.95" customHeight="1" x14ac:dyDescent="0.2">
      <c r="A345" s="293"/>
      <c r="B345" s="259"/>
      <c r="C345" s="259"/>
      <c r="E345" s="296">
        <f t="shared" si="28"/>
        <v>0</v>
      </c>
      <c r="F345" s="297"/>
      <c r="G345" s="297"/>
      <c r="H345" s="297"/>
      <c r="P345" s="258" t="str">
        <f t="shared" si="29"/>
        <v>A_0</v>
      </c>
      <c r="Q345" s="258">
        <f t="shared" si="30"/>
        <v>0</v>
      </c>
      <c r="R345" s="258">
        <f t="shared" si="31"/>
        <v>0</v>
      </c>
      <c r="S345" s="258">
        <f t="shared" si="32"/>
        <v>0</v>
      </c>
    </row>
    <row r="346" spans="1:19" s="278" customFormat="1" ht="24.95" customHeight="1" x14ac:dyDescent="0.2">
      <c r="A346" s="293"/>
      <c r="B346" s="259"/>
      <c r="C346" s="259"/>
      <c r="E346" s="296">
        <f t="shared" si="28"/>
        <v>0</v>
      </c>
      <c r="F346" s="297"/>
      <c r="G346" s="297"/>
      <c r="H346" s="297"/>
      <c r="P346" s="258" t="str">
        <f t="shared" si="29"/>
        <v>A_0</v>
      </c>
      <c r="Q346" s="258">
        <f t="shared" si="30"/>
        <v>0</v>
      </c>
      <c r="R346" s="258">
        <f t="shared" si="31"/>
        <v>0</v>
      </c>
      <c r="S346" s="258">
        <f t="shared" si="32"/>
        <v>0</v>
      </c>
    </row>
    <row r="347" spans="1:19" s="278" customFormat="1" ht="24.95" customHeight="1" x14ac:dyDescent="0.2">
      <c r="A347" s="293"/>
      <c r="B347" s="259"/>
      <c r="C347" s="259"/>
      <c r="E347" s="296">
        <f t="shared" si="28"/>
        <v>0</v>
      </c>
      <c r="F347" s="297"/>
      <c r="G347" s="297"/>
      <c r="H347" s="297"/>
      <c r="P347" s="258" t="str">
        <f t="shared" si="29"/>
        <v>A_0</v>
      </c>
      <c r="Q347" s="258">
        <f t="shared" si="30"/>
        <v>0</v>
      </c>
      <c r="R347" s="258">
        <f t="shared" si="31"/>
        <v>0</v>
      </c>
      <c r="S347" s="258">
        <f t="shared" si="32"/>
        <v>0</v>
      </c>
    </row>
    <row r="348" spans="1:19" s="278" customFormat="1" ht="24.95" customHeight="1" x14ac:dyDescent="0.2">
      <c r="A348" s="293"/>
      <c r="B348" s="259"/>
      <c r="C348" s="259"/>
      <c r="E348" s="296">
        <f t="shared" si="28"/>
        <v>0</v>
      </c>
      <c r="F348" s="297"/>
      <c r="G348" s="297"/>
      <c r="H348" s="297"/>
      <c r="P348" s="258" t="str">
        <f t="shared" si="29"/>
        <v>A_0</v>
      </c>
      <c r="Q348" s="258">
        <f t="shared" si="30"/>
        <v>0</v>
      </c>
      <c r="R348" s="258">
        <f t="shared" si="31"/>
        <v>0</v>
      </c>
      <c r="S348" s="258">
        <f t="shared" si="32"/>
        <v>0</v>
      </c>
    </row>
    <row r="349" spans="1:19" s="278" customFormat="1" ht="24.95" customHeight="1" x14ac:dyDescent="0.2">
      <c r="A349" s="293"/>
      <c r="B349" s="259"/>
      <c r="C349" s="259"/>
      <c r="E349" s="296">
        <f t="shared" si="28"/>
        <v>0</v>
      </c>
      <c r="F349" s="297"/>
      <c r="G349" s="297"/>
      <c r="H349" s="297"/>
      <c r="P349" s="258" t="str">
        <f t="shared" si="29"/>
        <v>A_0</v>
      </c>
      <c r="Q349" s="258">
        <f t="shared" si="30"/>
        <v>0</v>
      </c>
      <c r="R349" s="258">
        <f t="shared" si="31"/>
        <v>0</v>
      </c>
      <c r="S349" s="258">
        <f t="shared" si="32"/>
        <v>0</v>
      </c>
    </row>
    <row r="350" spans="1:19" s="278" customFormat="1" ht="24.95" customHeight="1" x14ac:dyDescent="0.2">
      <c r="A350" s="293"/>
      <c r="B350" s="259"/>
      <c r="C350" s="259"/>
      <c r="E350" s="296">
        <f t="shared" si="28"/>
        <v>0</v>
      </c>
      <c r="F350" s="297"/>
      <c r="G350" s="297"/>
      <c r="H350" s="297"/>
      <c r="P350" s="258" t="str">
        <f t="shared" si="29"/>
        <v>A_0</v>
      </c>
      <c r="Q350" s="258">
        <f t="shared" si="30"/>
        <v>0</v>
      </c>
      <c r="R350" s="258">
        <f t="shared" si="31"/>
        <v>0</v>
      </c>
      <c r="S350" s="258">
        <f t="shared" si="32"/>
        <v>0</v>
      </c>
    </row>
    <row r="351" spans="1:19" s="278" customFormat="1" ht="24.95" customHeight="1" x14ac:dyDescent="0.2">
      <c r="A351" s="293"/>
      <c r="B351" s="259"/>
      <c r="C351" s="259"/>
      <c r="E351" s="296">
        <f t="shared" si="28"/>
        <v>0</v>
      </c>
      <c r="F351" s="297"/>
      <c r="G351" s="297"/>
      <c r="H351" s="297"/>
      <c r="P351" s="258" t="str">
        <f t="shared" si="29"/>
        <v>A_0</v>
      </c>
      <c r="Q351" s="258">
        <f t="shared" si="30"/>
        <v>0</v>
      </c>
      <c r="R351" s="258">
        <f t="shared" si="31"/>
        <v>0</v>
      </c>
      <c r="S351" s="258">
        <f t="shared" si="32"/>
        <v>0</v>
      </c>
    </row>
    <row r="352" spans="1:19" s="278" customFormat="1" ht="24.95" customHeight="1" x14ac:dyDescent="0.2">
      <c r="A352" s="293"/>
      <c r="B352" s="259"/>
      <c r="C352" s="259"/>
      <c r="E352" s="296">
        <f t="shared" si="28"/>
        <v>0</v>
      </c>
      <c r="F352" s="297"/>
      <c r="G352" s="297"/>
      <c r="H352" s="297"/>
      <c r="P352" s="258" t="str">
        <f t="shared" si="29"/>
        <v>A_0</v>
      </c>
      <c r="Q352" s="258">
        <f t="shared" si="30"/>
        <v>0</v>
      </c>
      <c r="R352" s="258">
        <f t="shared" si="31"/>
        <v>0</v>
      </c>
      <c r="S352" s="258">
        <f t="shared" si="32"/>
        <v>0</v>
      </c>
    </row>
    <row r="353" spans="1:19" s="278" customFormat="1" ht="24.95" customHeight="1" x14ac:dyDescent="0.2">
      <c r="A353" s="293"/>
      <c r="B353" s="259"/>
      <c r="C353" s="259"/>
      <c r="E353" s="296">
        <f t="shared" si="28"/>
        <v>0</v>
      </c>
      <c r="F353" s="297"/>
      <c r="G353" s="297"/>
      <c r="H353" s="297"/>
      <c r="P353" s="258" t="str">
        <f t="shared" si="29"/>
        <v>A_0</v>
      </c>
      <c r="Q353" s="258">
        <f t="shared" si="30"/>
        <v>0</v>
      </c>
      <c r="R353" s="258">
        <f t="shared" si="31"/>
        <v>0</v>
      </c>
      <c r="S353" s="258">
        <f t="shared" si="32"/>
        <v>0</v>
      </c>
    </row>
    <row r="354" spans="1:19" s="278" customFormat="1" ht="24.95" customHeight="1" x14ac:dyDescent="0.2">
      <c r="A354" s="293"/>
      <c r="B354" s="259"/>
      <c r="C354" s="259"/>
      <c r="E354" s="296">
        <f t="shared" si="28"/>
        <v>0</v>
      </c>
      <c r="F354" s="297"/>
      <c r="G354" s="297"/>
      <c r="H354" s="297"/>
      <c r="P354" s="258" t="str">
        <f t="shared" si="29"/>
        <v>A_0</v>
      </c>
      <c r="Q354" s="258">
        <f t="shared" si="30"/>
        <v>0</v>
      </c>
      <c r="R354" s="258">
        <f t="shared" si="31"/>
        <v>0</v>
      </c>
      <c r="S354" s="258">
        <f t="shared" si="32"/>
        <v>0</v>
      </c>
    </row>
    <row r="355" spans="1:19" s="278" customFormat="1" ht="24.95" customHeight="1" x14ac:dyDescent="0.2">
      <c r="A355" s="293"/>
      <c r="B355" s="259"/>
      <c r="C355" s="259"/>
      <c r="E355" s="296">
        <f t="shared" si="28"/>
        <v>0</v>
      </c>
      <c r="F355" s="297"/>
      <c r="G355" s="297"/>
      <c r="H355" s="297"/>
      <c r="P355" s="258" t="str">
        <f t="shared" si="29"/>
        <v>A_0</v>
      </c>
      <c r="Q355" s="258">
        <f t="shared" si="30"/>
        <v>0</v>
      </c>
      <c r="R355" s="258">
        <f t="shared" si="31"/>
        <v>0</v>
      </c>
      <c r="S355" s="258">
        <f t="shared" si="32"/>
        <v>0</v>
      </c>
    </row>
    <row r="356" spans="1:19" s="278" customFormat="1" ht="24.95" customHeight="1" x14ac:dyDescent="0.2">
      <c r="A356" s="293"/>
      <c r="B356" s="259"/>
      <c r="C356" s="259"/>
      <c r="E356" s="296">
        <f t="shared" si="28"/>
        <v>0</v>
      </c>
      <c r="F356" s="297"/>
      <c r="G356" s="297"/>
      <c r="H356" s="297"/>
      <c r="P356" s="258" t="str">
        <f t="shared" si="29"/>
        <v>A_0</v>
      </c>
      <c r="Q356" s="258">
        <f t="shared" si="30"/>
        <v>0</v>
      </c>
      <c r="R356" s="258">
        <f t="shared" si="31"/>
        <v>0</v>
      </c>
      <c r="S356" s="258">
        <f t="shared" si="32"/>
        <v>0</v>
      </c>
    </row>
    <row r="357" spans="1:19" s="278" customFormat="1" ht="24.95" customHeight="1" x14ac:dyDescent="0.2">
      <c r="A357" s="293"/>
      <c r="B357" s="259"/>
      <c r="C357" s="259"/>
      <c r="E357" s="296">
        <f t="shared" si="28"/>
        <v>0</v>
      </c>
      <c r="F357" s="297"/>
      <c r="G357" s="297"/>
      <c r="H357" s="297"/>
      <c r="P357" s="258" t="str">
        <f t="shared" si="29"/>
        <v>A_0</v>
      </c>
      <c r="Q357" s="258">
        <f t="shared" si="30"/>
        <v>0</v>
      </c>
      <c r="R357" s="258">
        <f t="shared" si="31"/>
        <v>0</v>
      </c>
      <c r="S357" s="258">
        <f t="shared" si="32"/>
        <v>0</v>
      </c>
    </row>
    <row r="358" spans="1:19" s="278" customFormat="1" ht="24.95" customHeight="1" x14ac:dyDescent="0.2">
      <c r="A358" s="293"/>
      <c r="B358" s="259"/>
      <c r="C358" s="259"/>
      <c r="E358" s="296">
        <f t="shared" si="28"/>
        <v>0</v>
      </c>
      <c r="F358" s="297"/>
      <c r="G358" s="297"/>
      <c r="H358" s="297"/>
      <c r="P358" s="258" t="str">
        <f t="shared" si="29"/>
        <v>A_0</v>
      </c>
      <c r="Q358" s="258">
        <f t="shared" si="30"/>
        <v>0</v>
      </c>
      <c r="R358" s="258">
        <f t="shared" si="31"/>
        <v>0</v>
      </c>
      <c r="S358" s="258">
        <f t="shared" si="32"/>
        <v>0</v>
      </c>
    </row>
    <row r="359" spans="1:19" s="278" customFormat="1" ht="24.95" customHeight="1" x14ac:dyDescent="0.2">
      <c r="A359" s="293"/>
      <c r="B359" s="259"/>
      <c r="C359" s="259"/>
      <c r="E359" s="296">
        <f t="shared" si="28"/>
        <v>0</v>
      </c>
      <c r="F359" s="297"/>
      <c r="G359" s="297"/>
      <c r="H359" s="297"/>
      <c r="P359" s="258" t="str">
        <f t="shared" si="29"/>
        <v>A_0</v>
      </c>
      <c r="Q359" s="258">
        <f t="shared" si="30"/>
        <v>0</v>
      </c>
      <c r="R359" s="258">
        <f t="shared" si="31"/>
        <v>0</v>
      </c>
      <c r="S359" s="258">
        <f t="shared" si="32"/>
        <v>0</v>
      </c>
    </row>
    <row r="360" spans="1:19" s="278" customFormat="1" ht="24.95" customHeight="1" x14ac:dyDescent="0.2">
      <c r="A360" s="293"/>
      <c r="B360" s="259"/>
      <c r="C360" s="259"/>
      <c r="E360" s="296">
        <f t="shared" si="28"/>
        <v>0</v>
      </c>
      <c r="F360" s="297"/>
      <c r="G360" s="297"/>
      <c r="H360" s="297"/>
      <c r="P360" s="258" t="str">
        <f t="shared" si="29"/>
        <v>A_0</v>
      </c>
      <c r="Q360" s="258">
        <f t="shared" si="30"/>
        <v>0</v>
      </c>
      <c r="R360" s="258">
        <f t="shared" si="31"/>
        <v>0</v>
      </c>
      <c r="S360" s="258">
        <f t="shared" si="32"/>
        <v>0</v>
      </c>
    </row>
    <row r="361" spans="1:19" s="278" customFormat="1" ht="24.95" customHeight="1" x14ac:dyDescent="0.2">
      <c r="A361" s="293"/>
      <c r="B361" s="259"/>
      <c r="C361" s="259"/>
      <c r="E361" s="296">
        <f t="shared" si="28"/>
        <v>0</v>
      </c>
      <c r="F361" s="297"/>
      <c r="G361" s="297"/>
      <c r="H361" s="297"/>
      <c r="P361" s="258" t="str">
        <f t="shared" si="29"/>
        <v>A_0</v>
      </c>
      <c r="Q361" s="258">
        <f t="shared" si="30"/>
        <v>0</v>
      </c>
      <c r="R361" s="258">
        <f t="shared" si="31"/>
        <v>0</v>
      </c>
      <c r="S361" s="258">
        <f t="shared" si="32"/>
        <v>0</v>
      </c>
    </row>
    <row r="362" spans="1:19" s="278" customFormat="1" ht="24.95" customHeight="1" x14ac:dyDescent="0.2">
      <c r="A362" s="293"/>
      <c r="B362" s="259"/>
      <c r="C362" s="259"/>
      <c r="E362" s="296">
        <f t="shared" si="28"/>
        <v>0</v>
      </c>
      <c r="F362" s="297"/>
      <c r="G362" s="297"/>
      <c r="H362" s="297"/>
      <c r="P362" s="258" t="str">
        <f t="shared" si="29"/>
        <v>A_0</v>
      </c>
      <c r="Q362" s="258">
        <f t="shared" si="30"/>
        <v>0</v>
      </c>
      <c r="R362" s="258">
        <f t="shared" si="31"/>
        <v>0</v>
      </c>
      <c r="S362" s="258">
        <f t="shared" si="32"/>
        <v>0</v>
      </c>
    </row>
    <row r="363" spans="1:19" s="278" customFormat="1" ht="24.95" customHeight="1" x14ac:dyDescent="0.2">
      <c r="A363" s="293"/>
      <c r="B363" s="259"/>
      <c r="C363" s="259"/>
      <c r="E363" s="296">
        <f t="shared" si="28"/>
        <v>0</v>
      </c>
      <c r="F363" s="297"/>
      <c r="G363" s="297"/>
      <c r="H363" s="297"/>
      <c r="P363" s="258" t="str">
        <f t="shared" si="29"/>
        <v>A_0</v>
      </c>
      <c r="Q363" s="258">
        <f t="shared" si="30"/>
        <v>0</v>
      </c>
      <c r="R363" s="258">
        <f t="shared" si="31"/>
        <v>0</v>
      </c>
      <c r="S363" s="258">
        <f t="shared" si="32"/>
        <v>0</v>
      </c>
    </row>
    <row r="364" spans="1:19" s="278" customFormat="1" ht="24.95" customHeight="1" x14ac:dyDescent="0.2">
      <c r="A364" s="293"/>
      <c r="B364" s="259"/>
      <c r="C364" s="259"/>
      <c r="E364" s="296">
        <f t="shared" si="28"/>
        <v>0</v>
      </c>
      <c r="F364" s="297"/>
      <c r="G364" s="297"/>
      <c r="H364" s="297"/>
      <c r="P364" s="258" t="str">
        <f t="shared" si="29"/>
        <v>A_0</v>
      </c>
      <c r="Q364" s="258">
        <f t="shared" si="30"/>
        <v>0</v>
      </c>
      <c r="R364" s="258">
        <f t="shared" si="31"/>
        <v>0</v>
      </c>
      <c r="S364" s="258">
        <f t="shared" si="32"/>
        <v>0</v>
      </c>
    </row>
    <row r="365" spans="1:19" s="278" customFormat="1" ht="24.95" customHeight="1" x14ac:dyDescent="0.2">
      <c r="A365" s="293"/>
      <c r="B365" s="259"/>
      <c r="C365" s="259"/>
      <c r="E365" s="296">
        <f t="shared" si="28"/>
        <v>0</v>
      </c>
      <c r="F365" s="297"/>
      <c r="G365" s="297"/>
      <c r="H365" s="297"/>
      <c r="P365" s="258" t="str">
        <f t="shared" si="29"/>
        <v>A_0</v>
      </c>
      <c r="Q365" s="258">
        <f t="shared" si="30"/>
        <v>0</v>
      </c>
      <c r="R365" s="258">
        <f t="shared" si="31"/>
        <v>0</v>
      </c>
      <c r="S365" s="258">
        <f t="shared" si="32"/>
        <v>0</v>
      </c>
    </row>
    <row r="366" spans="1:19" s="278" customFormat="1" ht="24.95" customHeight="1" x14ac:dyDescent="0.2">
      <c r="A366" s="293"/>
      <c r="B366" s="259"/>
      <c r="C366" s="259"/>
      <c r="E366" s="296">
        <f t="shared" si="28"/>
        <v>0</v>
      </c>
      <c r="F366" s="297"/>
      <c r="G366" s="297"/>
      <c r="H366" s="297"/>
      <c r="P366" s="258" t="str">
        <f t="shared" si="29"/>
        <v>A_0</v>
      </c>
      <c r="Q366" s="258">
        <f t="shared" si="30"/>
        <v>0</v>
      </c>
      <c r="R366" s="258">
        <f t="shared" si="31"/>
        <v>0</v>
      </c>
      <c r="S366" s="258">
        <f t="shared" si="32"/>
        <v>0</v>
      </c>
    </row>
    <row r="367" spans="1:19" s="278" customFormat="1" ht="24.95" customHeight="1" x14ac:dyDescent="0.2">
      <c r="A367" s="293"/>
      <c r="B367" s="259"/>
      <c r="C367" s="259"/>
      <c r="E367" s="296">
        <f t="shared" si="28"/>
        <v>0</v>
      </c>
      <c r="F367" s="297"/>
      <c r="G367" s="297"/>
      <c r="H367" s="297"/>
      <c r="P367" s="258" t="str">
        <f t="shared" si="29"/>
        <v>A_0</v>
      </c>
      <c r="Q367" s="258">
        <f t="shared" si="30"/>
        <v>0</v>
      </c>
      <c r="R367" s="258">
        <f t="shared" si="31"/>
        <v>0</v>
      </c>
      <c r="S367" s="258">
        <f t="shared" si="32"/>
        <v>0</v>
      </c>
    </row>
    <row r="368" spans="1:19" s="278" customFormat="1" ht="24.95" customHeight="1" x14ac:dyDescent="0.2">
      <c r="A368" s="293"/>
      <c r="B368" s="259"/>
      <c r="C368" s="259"/>
      <c r="E368" s="296">
        <f t="shared" si="28"/>
        <v>0</v>
      </c>
      <c r="F368" s="297"/>
      <c r="G368" s="297"/>
      <c r="H368" s="297"/>
      <c r="P368" s="258" t="str">
        <f t="shared" si="29"/>
        <v>A_0</v>
      </c>
      <c r="Q368" s="258">
        <f t="shared" si="30"/>
        <v>0</v>
      </c>
      <c r="R368" s="258">
        <f t="shared" si="31"/>
        <v>0</v>
      </c>
      <c r="S368" s="258">
        <f t="shared" si="32"/>
        <v>0</v>
      </c>
    </row>
    <row r="369" spans="1:19" s="278" customFormat="1" ht="24.95" customHeight="1" x14ac:dyDescent="0.2">
      <c r="A369" s="293"/>
      <c r="B369" s="259"/>
      <c r="C369" s="259"/>
      <c r="E369" s="296">
        <f t="shared" si="28"/>
        <v>0</v>
      </c>
      <c r="F369" s="297"/>
      <c r="G369" s="297"/>
      <c r="H369" s="297"/>
      <c r="P369" s="258" t="str">
        <f t="shared" si="29"/>
        <v>A_0</v>
      </c>
      <c r="Q369" s="258">
        <f t="shared" si="30"/>
        <v>0</v>
      </c>
      <c r="R369" s="258">
        <f t="shared" si="31"/>
        <v>0</v>
      </c>
      <c r="S369" s="258">
        <f t="shared" si="32"/>
        <v>0</v>
      </c>
    </row>
    <row r="370" spans="1:19" s="278" customFormat="1" ht="24.95" customHeight="1" x14ac:dyDescent="0.2">
      <c r="A370" s="293"/>
      <c r="B370" s="259"/>
      <c r="C370" s="259"/>
      <c r="E370" s="296">
        <f t="shared" si="28"/>
        <v>0</v>
      </c>
      <c r="F370" s="297"/>
      <c r="G370" s="297"/>
      <c r="H370" s="297"/>
      <c r="P370" s="258" t="str">
        <f t="shared" si="29"/>
        <v>A_0</v>
      </c>
      <c r="Q370" s="258">
        <f t="shared" si="30"/>
        <v>0</v>
      </c>
      <c r="R370" s="258">
        <f t="shared" si="31"/>
        <v>0</v>
      </c>
      <c r="S370" s="258">
        <f t="shared" si="32"/>
        <v>0</v>
      </c>
    </row>
    <row r="371" spans="1:19" s="278" customFormat="1" ht="24.95" customHeight="1" x14ac:dyDescent="0.2">
      <c r="A371" s="293"/>
      <c r="B371" s="259"/>
      <c r="C371" s="259"/>
      <c r="E371" s="296">
        <f t="shared" si="28"/>
        <v>0</v>
      </c>
      <c r="F371" s="297"/>
      <c r="G371" s="297"/>
      <c r="H371" s="297"/>
      <c r="P371" s="258" t="str">
        <f t="shared" si="29"/>
        <v>A_0</v>
      </c>
      <c r="Q371" s="258">
        <f t="shared" si="30"/>
        <v>0</v>
      </c>
      <c r="R371" s="258">
        <f t="shared" si="31"/>
        <v>0</v>
      </c>
      <c r="S371" s="258">
        <f t="shared" si="32"/>
        <v>0</v>
      </c>
    </row>
    <row r="372" spans="1:19" s="278" customFormat="1" ht="24.95" customHeight="1" x14ac:dyDescent="0.2">
      <c r="A372" s="293"/>
      <c r="B372" s="259"/>
      <c r="C372" s="259"/>
      <c r="E372" s="296">
        <f t="shared" si="28"/>
        <v>0</v>
      </c>
      <c r="F372" s="297"/>
      <c r="G372" s="297"/>
      <c r="H372" s="297"/>
      <c r="P372" s="258" t="str">
        <f t="shared" si="29"/>
        <v>A_0</v>
      </c>
      <c r="Q372" s="258">
        <f t="shared" si="30"/>
        <v>0</v>
      </c>
      <c r="R372" s="258">
        <f t="shared" si="31"/>
        <v>0</v>
      </c>
      <c r="S372" s="258">
        <f t="shared" si="32"/>
        <v>0</v>
      </c>
    </row>
    <row r="373" spans="1:19" s="278" customFormat="1" ht="24.95" customHeight="1" x14ac:dyDescent="0.2">
      <c r="A373" s="293"/>
      <c r="B373" s="259"/>
      <c r="C373" s="259"/>
      <c r="E373" s="296">
        <f t="shared" si="28"/>
        <v>0</v>
      </c>
      <c r="F373" s="297"/>
      <c r="G373" s="297"/>
      <c r="H373" s="297"/>
      <c r="P373" s="258" t="str">
        <f t="shared" si="29"/>
        <v>A_0</v>
      </c>
      <c r="Q373" s="258">
        <f t="shared" si="30"/>
        <v>0</v>
      </c>
      <c r="R373" s="258">
        <f t="shared" si="31"/>
        <v>0</v>
      </c>
      <c r="S373" s="258">
        <f t="shared" si="32"/>
        <v>0</v>
      </c>
    </row>
    <row r="374" spans="1:19" s="278" customFormat="1" ht="24.95" customHeight="1" x14ac:dyDescent="0.2">
      <c r="A374" s="293"/>
      <c r="B374" s="259"/>
      <c r="C374" s="259"/>
      <c r="E374" s="296">
        <f t="shared" si="28"/>
        <v>0</v>
      </c>
      <c r="F374" s="297"/>
      <c r="G374" s="297"/>
      <c r="H374" s="297"/>
      <c r="P374" s="258" t="str">
        <f t="shared" si="29"/>
        <v>A_0</v>
      </c>
      <c r="Q374" s="258">
        <f t="shared" si="30"/>
        <v>0</v>
      </c>
      <c r="R374" s="258">
        <f t="shared" si="31"/>
        <v>0</v>
      </c>
      <c r="S374" s="258">
        <f t="shared" si="32"/>
        <v>0</v>
      </c>
    </row>
    <row r="375" spans="1:19" s="278" customFormat="1" ht="24.95" customHeight="1" x14ac:dyDescent="0.2">
      <c r="A375" s="293"/>
      <c r="B375" s="259"/>
      <c r="C375" s="259"/>
      <c r="E375" s="296">
        <f t="shared" si="28"/>
        <v>0</v>
      </c>
      <c r="F375" s="297"/>
      <c r="G375" s="297"/>
      <c r="H375" s="297"/>
      <c r="P375" s="258" t="str">
        <f t="shared" si="29"/>
        <v>A_0</v>
      </c>
      <c r="Q375" s="258">
        <f t="shared" si="30"/>
        <v>0</v>
      </c>
      <c r="R375" s="258">
        <f t="shared" si="31"/>
        <v>0</v>
      </c>
      <c r="S375" s="258">
        <f t="shared" si="32"/>
        <v>0</v>
      </c>
    </row>
    <row r="376" spans="1:19" s="278" customFormat="1" ht="24.95" customHeight="1" x14ac:dyDescent="0.2">
      <c r="A376" s="293"/>
      <c r="B376" s="259"/>
      <c r="C376" s="259"/>
      <c r="E376" s="296">
        <f t="shared" si="28"/>
        <v>0</v>
      </c>
      <c r="F376" s="297"/>
      <c r="G376" s="297"/>
      <c r="H376" s="297"/>
      <c r="P376" s="258" t="str">
        <f t="shared" si="29"/>
        <v>A_0</v>
      </c>
      <c r="Q376" s="258">
        <f t="shared" si="30"/>
        <v>0</v>
      </c>
      <c r="R376" s="258">
        <f t="shared" si="31"/>
        <v>0</v>
      </c>
      <c r="S376" s="258">
        <f t="shared" si="32"/>
        <v>0</v>
      </c>
    </row>
    <row r="377" spans="1:19" s="278" customFormat="1" ht="24.95" customHeight="1" x14ac:dyDescent="0.2">
      <c r="A377" s="293"/>
      <c r="B377" s="259"/>
      <c r="C377" s="259"/>
      <c r="E377" s="296">
        <f t="shared" si="28"/>
        <v>0</v>
      </c>
      <c r="F377" s="297"/>
      <c r="G377" s="297"/>
      <c r="H377" s="297"/>
      <c r="P377" s="258" t="str">
        <f t="shared" si="29"/>
        <v>A_0</v>
      </c>
      <c r="Q377" s="258">
        <f t="shared" si="30"/>
        <v>0</v>
      </c>
      <c r="R377" s="258">
        <f t="shared" si="31"/>
        <v>0</v>
      </c>
      <c r="S377" s="258">
        <f t="shared" si="32"/>
        <v>0</v>
      </c>
    </row>
    <row r="378" spans="1:19" s="278" customFormat="1" ht="24.95" customHeight="1" x14ac:dyDescent="0.2">
      <c r="A378" s="293"/>
      <c r="B378" s="259"/>
      <c r="C378" s="259"/>
      <c r="E378" s="296">
        <f t="shared" si="28"/>
        <v>0</v>
      </c>
      <c r="F378" s="297"/>
      <c r="G378" s="297"/>
      <c r="H378" s="297"/>
      <c r="P378" s="258" t="str">
        <f t="shared" si="29"/>
        <v>A_0</v>
      </c>
      <c r="Q378" s="258">
        <f t="shared" si="30"/>
        <v>0</v>
      </c>
      <c r="R378" s="258">
        <f t="shared" si="31"/>
        <v>0</v>
      </c>
      <c r="S378" s="258">
        <f t="shared" si="32"/>
        <v>0</v>
      </c>
    </row>
    <row r="379" spans="1:19" s="278" customFormat="1" ht="24.95" customHeight="1" x14ac:dyDescent="0.2">
      <c r="A379" s="293"/>
      <c r="B379" s="259"/>
      <c r="C379" s="259"/>
      <c r="E379" s="296">
        <f t="shared" si="28"/>
        <v>0</v>
      </c>
      <c r="F379" s="297"/>
      <c r="G379" s="297"/>
      <c r="H379" s="297"/>
      <c r="P379" s="258" t="str">
        <f t="shared" si="29"/>
        <v>A_0</v>
      </c>
      <c r="Q379" s="258">
        <f t="shared" si="30"/>
        <v>0</v>
      </c>
      <c r="R379" s="258">
        <f t="shared" si="31"/>
        <v>0</v>
      </c>
      <c r="S379" s="258">
        <f t="shared" si="32"/>
        <v>0</v>
      </c>
    </row>
    <row r="380" spans="1:19" s="278" customFormat="1" ht="24.95" customHeight="1" x14ac:dyDescent="0.2">
      <c r="A380" s="293"/>
      <c r="B380" s="259"/>
      <c r="C380" s="259"/>
      <c r="E380" s="296">
        <f t="shared" si="28"/>
        <v>0</v>
      </c>
      <c r="F380" s="297"/>
      <c r="G380" s="297"/>
      <c r="H380" s="297"/>
      <c r="P380" s="258" t="str">
        <f t="shared" si="29"/>
        <v>A_0</v>
      </c>
      <c r="Q380" s="258">
        <f t="shared" si="30"/>
        <v>0</v>
      </c>
      <c r="R380" s="258">
        <f t="shared" si="31"/>
        <v>0</v>
      </c>
      <c r="S380" s="258">
        <f t="shared" si="32"/>
        <v>0</v>
      </c>
    </row>
    <row r="381" spans="1:19" s="278" customFormat="1" ht="24.95" customHeight="1" x14ac:dyDescent="0.2">
      <c r="A381" s="293"/>
      <c r="B381" s="259"/>
      <c r="C381" s="259"/>
      <c r="E381" s="296">
        <f t="shared" si="28"/>
        <v>0</v>
      </c>
      <c r="F381" s="297"/>
      <c r="G381" s="297"/>
      <c r="H381" s="297"/>
      <c r="P381" s="258" t="str">
        <f t="shared" si="29"/>
        <v>A_0</v>
      </c>
      <c r="Q381" s="258">
        <f t="shared" si="30"/>
        <v>0</v>
      </c>
      <c r="R381" s="258">
        <f t="shared" si="31"/>
        <v>0</v>
      </c>
      <c r="S381" s="258">
        <f t="shared" si="32"/>
        <v>0</v>
      </c>
    </row>
    <row r="382" spans="1:19" s="278" customFormat="1" ht="24.95" customHeight="1" x14ac:dyDescent="0.2">
      <c r="A382" s="293"/>
      <c r="B382" s="259"/>
      <c r="C382" s="259"/>
      <c r="E382" s="296">
        <f t="shared" si="28"/>
        <v>0</v>
      </c>
      <c r="F382" s="297"/>
      <c r="G382" s="297"/>
      <c r="H382" s="297"/>
      <c r="P382" s="258" t="str">
        <f t="shared" si="29"/>
        <v>A_0</v>
      </c>
      <c r="Q382" s="258">
        <f t="shared" si="30"/>
        <v>0</v>
      </c>
      <c r="R382" s="258">
        <f t="shared" si="31"/>
        <v>0</v>
      </c>
      <c r="S382" s="258">
        <f t="shared" si="32"/>
        <v>0</v>
      </c>
    </row>
    <row r="383" spans="1:19" s="278" customFormat="1" ht="24.95" customHeight="1" x14ac:dyDescent="0.2">
      <c r="A383" s="293"/>
      <c r="B383" s="259"/>
      <c r="C383" s="259"/>
      <c r="E383" s="296">
        <f t="shared" si="28"/>
        <v>0</v>
      </c>
      <c r="F383" s="297"/>
      <c r="G383" s="297"/>
      <c r="H383" s="297"/>
      <c r="P383" s="258" t="str">
        <f t="shared" si="29"/>
        <v>A_0</v>
      </c>
      <c r="Q383" s="258">
        <f t="shared" si="30"/>
        <v>0</v>
      </c>
      <c r="R383" s="258">
        <f t="shared" si="31"/>
        <v>0</v>
      </c>
      <c r="S383" s="258">
        <f t="shared" si="32"/>
        <v>0</v>
      </c>
    </row>
    <row r="384" spans="1:19" s="278" customFormat="1" ht="24.95" customHeight="1" x14ac:dyDescent="0.2">
      <c r="A384" s="293"/>
      <c r="B384" s="259"/>
      <c r="C384" s="259"/>
      <c r="E384" s="296">
        <f t="shared" si="28"/>
        <v>0</v>
      </c>
      <c r="F384" s="297"/>
      <c r="G384" s="297"/>
      <c r="H384" s="297"/>
      <c r="P384" s="258" t="str">
        <f t="shared" si="29"/>
        <v>A_0</v>
      </c>
      <c r="Q384" s="258">
        <f t="shared" si="30"/>
        <v>0</v>
      </c>
      <c r="R384" s="258">
        <f t="shared" si="31"/>
        <v>0</v>
      </c>
      <c r="S384" s="258">
        <f t="shared" si="32"/>
        <v>0</v>
      </c>
    </row>
    <row r="385" spans="1:19" s="278" customFormat="1" ht="24.95" customHeight="1" x14ac:dyDescent="0.2">
      <c r="A385" s="293"/>
      <c r="B385" s="259"/>
      <c r="C385" s="259"/>
      <c r="E385" s="296">
        <f t="shared" si="28"/>
        <v>0</v>
      </c>
      <c r="F385" s="297"/>
      <c r="G385" s="297"/>
      <c r="H385" s="297"/>
      <c r="P385" s="258" t="str">
        <f t="shared" si="29"/>
        <v>A_0</v>
      </c>
      <c r="Q385" s="258">
        <f t="shared" si="30"/>
        <v>0</v>
      </c>
      <c r="R385" s="258">
        <f t="shared" si="31"/>
        <v>0</v>
      </c>
      <c r="S385" s="258">
        <f t="shared" si="32"/>
        <v>0</v>
      </c>
    </row>
    <row r="386" spans="1:19" s="278" customFormat="1" ht="24.95" customHeight="1" x14ac:dyDescent="0.2">
      <c r="A386" s="293"/>
      <c r="B386" s="259"/>
      <c r="C386" s="259"/>
      <c r="E386" s="296">
        <f t="shared" si="28"/>
        <v>0</v>
      </c>
      <c r="F386" s="297"/>
      <c r="G386" s="297"/>
      <c r="H386" s="297"/>
      <c r="P386" s="258" t="str">
        <f t="shared" si="29"/>
        <v>A_0</v>
      </c>
      <c r="Q386" s="258">
        <f t="shared" si="30"/>
        <v>0</v>
      </c>
      <c r="R386" s="258">
        <f t="shared" si="31"/>
        <v>0</v>
      </c>
      <c r="S386" s="258">
        <f t="shared" si="32"/>
        <v>0</v>
      </c>
    </row>
    <row r="387" spans="1:19" s="278" customFormat="1" ht="24.95" customHeight="1" x14ac:dyDescent="0.2">
      <c r="A387" s="293"/>
      <c r="B387" s="259"/>
      <c r="C387" s="259"/>
      <c r="E387" s="296">
        <f t="shared" si="28"/>
        <v>0</v>
      </c>
      <c r="F387" s="297"/>
      <c r="G387" s="297"/>
      <c r="H387" s="297"/>
      <c r="P387" s="258" t="str">
        <f t="shared" si="29"/>
        <v>A_0</v>
      </c>
      <c r="Q387" s="258">
        <f t="shared" si="30"/>
        <v>0</v>
      </c>
      <c r="R387" s="258">
        <f t="shared" si="31"/>
        <v>0</v>
      </c>
      <c r="S387" s="258">
        <f t="shared" si="32"/>
        <v>0</v>
      </c>
    </row>
    <row r="388" spans="1:19" s="278" customFormat="1" ht="24.95" customHeight="1" x14ac:dyDescent="0.2">
      <c r="A388" s="293"/>
      <c r="B388" s="259"/>
      <c r="C388" s="259"/>
      <c r="E388" s="296">
        <f t="shared" si="28"/>
        <v>0</v>
      </c>
      <c r="F388" s="297"/>
      <c r="G388" s="297"/>
      <c r="H388" s="297"/>
      <c r="P388" s="258" t="str">
        <f t="shared" si="29"/>
        <v>A_0</v>
      </c>
      <c r="Q388" s="258">
        <f t="shared" si="30"/>
        <v>0</v>
      </c>
      <c r="R388" s="258">
        <f t="shared" si="31"/>
        <v>0</v>
      </c>
      <c r="S388" s="258">
        <f t="shared" si="32"/>
        <v>0</v>
      </c>
    </row>
    <row r="389" spans="1:19" s="278" customFormat="1" ht="24.95" customHeight="1" x14ac:dyDescent="0.2">
      <c r="A389" s="293"/>
      <c r="B389" s="259"/>
      <c r="C389" s="259"/>
      <c r="E389" s="296">
        <f t="shared" si="28"/>
        <v>0</v>
      </c>
      <c r="F389" s="297"/>
      <c r="G389" s="297"/>
      <c r="H389" s="297"/>
      <c r="P389" s="258" t="str">
        <f t="shared" si="29"/>
        <v>A_0</v>
      </c>
      <c r="Q389" s="258">
        <f t="shared" si="30"/>
        <v>0</v>
      </c>
      <c r="R389" s="258">
        <f t="shared" si="31"/>
        <v>0</v>
      </c>
      <c r="S389" s="258">
        <f t="shared" si="32"/>
        <v>0</v>
      </c>
    </row>
    <row r="390" spans="1:19" s="278" customFormat="1" ht="24.95" customHeight="1" x14ac:dyDescent="0.2">
      <c r="A390" s="293"/>
      <c r="B390" s="259"/>
      <c r="C390" s="259"/>
      <c r="E390" s="296">
        <f t="shared" si="28"/>
        <v>0</v>
      </c>
      <c r="F390" s="297"/>
      <c r="G390" s="297"/>
      <c r="H390" s="297"/>
      <c r="P390" s="258" t="str">
        <f t="shared" si="29"/>
        <v>A_0</v>
      </c>
      <c r="Q390" s="258">
        <f t="shared" si="30"/>
        <v>0</v>
      </c>
      <c r="R390" s="258">
        <f t="shared" si="31"/>
        <v>0</v>
      </c>
      <c r="S390" s="258">
        <f t="shared" si="32"/>
        <v>0</v>
      </c>
    </row>
    <row r="391" spans="1:19" s="278" customFormat="1" ht="24.95" customHeight="1" x14ac:dyDescent="0.2">
      <c r="A391" s="293"/>
      <c r="B391" s="259"/>
      <c r="C391" s="259"/>
      <c r="E391" s="296">
        <f t="shared" si="28"/>
        <v>0</v>
      </c>
      <c r="F391" s="297"/>
      <c r="G391" s="297"/>
      <c r="H391" s="297"/>
      <c r="P391" s="258" t="str">
        <f t="shared" si="29"/>
        <v>A_0</v>
      </c>
      <c r="Q391" s="258">
        <f t="shared" si="30"/>
        <v>0</v>
      </c>
      <c r="R391" s="258">
        <f t="shared" si="31"/>
        <v>0</v>
      </c>
      <c r="S391" s="258">
        <f t="shared" si="32"/>
        <v>0</v>
      </c>
    </row>
    <row r="392" spans="1:19" s="278" customFormat="1" ht="24.95" customHeight="1" x14ac:dyDescent="0.2">
      <c r="A392" s="293"/>
      <c r="B392" s="259"/>
      <c r="C392" s="259"/>
      <c r="E392" s="296">
        <f t="shared" si="28"/>
        <v>0</v>
      </c>
      <c r="F392" s="297"/>
      <c r="G392" s="297"/>
      <c r="H392" s="297"/>
      <c r="P392" s="258" t="str">
        <f t="shared" si="29"/>
        <v>A_0</v>
      </c>
      <c r="Q392" s="258">
        <f t="shared" si="30"/>
        <v>0</v>
      </c>
      <c r="R392" s="258">
        <f t="shared" si="31"/>
        <v>0</v>
      </c>
      <c r="S392" s="258">
        <f t="shared" si="32"/>
        <v>0</v>
      </c>
    </row>
    <row r="393" spans="1:19" s="278" customFormat="1" ht="24.95" customHeight="1" x14ac:dyDescent="0.2">
      <c r="A393" s="293"/>
      <c r="B393" s="259"/>
      <c r="C393" s="259"/>
      <c r="E393" s="296">
        <f t="shared" si="28"/>
        <v>0</v>
      </c>
      <c r="F393" s="297"/>
      <c r="G393" s="297"/>
      <c r="H393" s="297"/>
      <c r="P393" s="258" t="str">
        <f t="shared" si="29"/>
        <v>A_0</v>
      </c>
      <c r="Q393" s="258">
        <f t="shared" si="30"/>
        <v>0</v>
      </c>
      <c r="R393" s="258">
        <f t="shared" si="31"/>
        <v>0</v>
      </c>
      <c r="S393" s="258">
        <f t="shared" si="32"/>
        <v>0</v>
      </c>
    </row>
    <row r="394" spans="1:19" s="278" customFormat="1" ht="24.95" customHeight="1" x14ac:dyDescent="0.2">
      <c r="A394" s="293"/>
      <c r="B394" s="259"/>
      <c r="C394" s="259"/>
      <c r="E394" s="296">
        <f t="shared" si="28"/>
        <v>0</v>
      </c>
      <c r="F394" s="297"/>
      <c r="G394" s="297"/>
      <c r="H394" s="297"/>
      <c r="P394" s="258" t="str">
        <f t="shared" si="29"/>
        <v>A_0</v>
      </c>
      <c r="Q394" s="258">
        <f t="shared" si="30"/>
        <v>0</v>
      </c>
      <c r="R394" s="258">
        <f t="shared" si="31"/>
        <v>0</v>
      </c>
      <c r="S394" s="258">
        <f t="shared" si="32"/>
        <v>0</v>
      </c>
    </row>
    <row r="395" spans="1:19" s="278" customFormat="1" ht="24.95" customHeight="1" x14ac:dyDescent="0.2">
      <c r="A395" s="293"/>
      <c r="B395" s="259"/>
      <c r="C395" s="259"/>
      <c r="E395" s="296">
        <f t="shared" ref="E395:E458" si="33">A395</f>
        <v>0</v>
      </c>
      <c r="F395" s="297"/>
      <c r="G395" s="297"/>
      <c r="H395" s="297"/>
      <c r="P395" s="258" t="str">
        <f t="shared" ref="P395:P408" si="34">"A_"&amp;E395</f>
        <v>A_0</v>
      </c>
      <c r="Q395" s="258">
        <f t="shared" ref="Q395:Q408" si="35">F395</f>
        <v>0</v>
      </c>
      <c r="R395" s="258">
        <f t="shared" ref="R395:R408" si="36">G395</f>
        <v>0</v>
      </c>
      <c r="S395" s="258">
        <f t="shared" ref="S395:S408" si="37">H395</f>
        <v>0</v>
      </c>
    </row>
    <row r="396" spans="1:19" s="278" customFormat="1" ht="24.95" customHeight="1" x14ac:dyDescent="0.2">
      <c r="A396" s="293"/>
      <c r="B396" s="259"/>
      <c r="C396" s="259"/>
      <c r="E396" s="296">
        <f t="shared" si="33"/>
        <v>0</v>
      </c>
      <c r="F396" s="297"/>
      <c r="G396" s="297"/>
      <c r="H396" s="297"/>
      <c r="P396" s="258" t="str">
        <f t="shared" si="34"/>
        <v>A_0</v>
      </c>
      <c r="Q396" s="258">
        <f t="shared" si="35"/>
        <v>0</v>
      </c>
      <c r="R396" s="258">
        <f t="shared" si="36"/>
        <v>0</v>
      </c>
      <c r="S396" s="258">
        <f t="shared" si="37"/>
        <v>0</v>
      </c>
    </row>
    <row r="397" spans="1:19" s="278" customFormat="1" ht="24.95" customHeight="1" x14ac:dyDescent="0.2">
      <c r="A397" s="293"/>
      <c r="B397" s="259"/>
      <c r="C397" s="259"/>
      <c r="E397" s="296">
        <f t="shared" si="33"/>
        <v>0</v>
      </c>
      <c r="F397" s="297"/>
      <c r="G397" s="297"/>
      <c r="H397" s="297"/>
      <c r="P397" s="258" t="str">
        <f t="shared" si="34"/>
        <v>A_0</v>
      </c>
      <c r="Q397" s="258">
        <f t="shared" si="35"/>
        <v>0</v>
      </c>
      <c r="R397" s="258">
        <f t="shared" si="36"/>
        <v>0</v>
      </c>
      <c r="S397" s="258">
        <f t="shared" si="37"/>
        <v>0</v>
      </c>
    </row>
    <row r="398" spans="1:19" s="278" customFormat="1" ht="24.95" customHeight="1" x14ac:dyDescent="0.2">
      <c r="A398" s="293"/>
      <c r="B398" s="259"/>
      <c r="C398" s="259"/>
      <c r="E398" s="296">
        <f t="shared" si="33"/>
        <v>0</v>
      </c>
      <c r="F398" s="297"/>
      <c r="G398" s="297"/>
      <c r="H398" s="297"/>
      <c r="P398" s="258" t="str">
        <f t="shared" si="34"/>
        <v>A_0</v>
      </c>
      <c r="Q398" s="258">
        <f t="shared" si="35"/>
        <v>0</v>
      </c>
      <c r="R398" s="258">
        <f t="shared" si="36"/>
        <v>0</v>
      </c>
      <c r="S398" s="258">
        <f t="shared" si="37"/>
        <v>0</v>
      </c>
    </row>
    <row r="399" spans="1:19" s="278" customFormat="1" ht="24.95" customHeight="1" x14ac:dyDescent="0.2">
      <c r="A399" s="293"/>
      <c r="B399" s="259"/>
      <c r="C399" s="259"/>
      <c r="E399" s="296">
        <f t="shared" si="33"/>
        <v>0</v>
      </c>
      <c r="F399" s="297"/>
      <c r="G399" s="297"/>
      <c r="H399" s="297"/>
      <c r="P399" s="258" t="str">
        <f t="shared" si="34"/>
        <v>A_0</v>
      </c>
      <c r="Q399" s="258">
        <f t="shared" si="35"/>
        <v>0</v>
      </c>
      <c r="R399" s="258">
        <f t="shared" si="36"/>
        <v>0</v>
      </c>
      <c r="S399" s="258">
        <f t="shared" si="37"/>
        <v>0</v>
      </c>
    </row>
    <row r="400" spans="1:19" s="278" customFormat="1" ht="24.95" customHeight="1" x14ac:dyDescent="0.2">
      <c r="A400" s="293"/>
      <c r="B400" s="259"/>
      <c r="C400" s="259"/>
      <c r="E400" s="296">
        <f t="shared" si="33"/>
        <v>0</v>
      </c>
      <c r="F400" s="297"/>
      <c r="G400" s="297"/>
      <c r="H400" s="297"/>
      <c r="P400" s="258" t="str">
        <f t="shared" si="34"/>
        <v>A_0</v>
      </c>
      <c r="Q400" s="258">
        <f t="shared" si="35"/>
        <v>0</v>
      </c>
      <c r="R400" s="258">
        <f t="shared" si="36"/>
        <v>0</v>
      </c>
      <c r="S400" s="258">
        <f t="shared" si="37"/>
        <v>0</v>
      </c>
    </row>
    <row r="401" spans="1:19" s="278" customFormat="1" ht="24.95" customHeight="1" x14ac:dyDescent="0.2">
      <c r="A401" s="293"/>
      <c r="B401" s="259"/>
      <c r="C401" s="259"/>
      <c r="E401" s="296">
        <f t="shared" si="33"/>
        <v>0</v>
      </c>
      <c r="F401" s="297"/>
      <c r="G401" s="297"/>
      <c r="H401" s="297"/>
      <c r="P401" s="258" t="str">
        <f t="shared" si="34"/>
        <v>A_0</v>
      </c>
      <c r="Q401" s="258">
        <f t="shared" si="35"/>
        <v>0</v>
      </c>
      <c r="R401" s="258">
        <f t="shared" si="36"/>
        <v>0</v>
      </c>
      <c r="S401" s="258">
        <f t="shared" si="37"/>
        <v>0</v>
      </c>
    </row>
    <row r="402" spans="1:19" s="278" customFormat="1" ht="24.95" customHeight="1" x14ac:dyDescent="0.2">
      <c r="A402" s="293"/>
      <c r="B402" s="259"/>
      <c r="C402" s="259"/>
      <c r="E402" s="296">
        <f t="shared" si="33"/>
        <v>0</v>
      </c>
      <c r="F402" s="297"/>
      <c r="G402" s="297"/>
      <c r="H402" s="297"/>
      <c r="P402" s="258" t="str">
        <f t="shared" si="34"/>
        <v>A_0</v>
      </c>
      <c r="Q402" s="258">
        <f t="shared" si="35"/>
        <v>0</v>
      </c>
      <c r="R402" s="258">
        <f t="shared" si="36"/>
        <v>0</v>
      </c>
      <c r="S402" s="258">
        <f t="shared" si="37"/>
        <v>0</v>
      </c>
    </row>
    <row r="403" spans="1:19" s="278" customFormat="1" ht="24.95" customHeight="1" x14ac:dyDescent="0.2">
      <c r="A403" s="293"/>
      <c r="B403" s="259"/>
      <c r="C403" s="259"/>
      <c r="E403" s="296">
        <f t="shared" si="33"/>
        <v>0</v>
      </c>
      <c r="F403" s="297"/>
      <c r="G403" s="297"/>
      <c r="H403" s="297"/>
      <c r="P403" s="258" t="str">
        <f t="shared" si="34"/>
        <v>A_0</v>
      </c>
      <c r="Q403" s="258">
        <f t="shared" si="35"/>
        <v>0</v>
      </c>
      <c r="R403" s="258">
        <f t="shared" si="36"/>
        <v>0</v>
      </c>
      <c r="S403" s="258">
        <f t="shared" si="37"/>
        <v>0</v>
      </c>
    </row>
    <row r="404" spans="1:19" s="278" customFormat="1" ht="24.95" customHeight="1" x14ac:dyDescent="0.2">
      <c r="A404" s="293"/>
      <c r="B404" s="259"/>
      <c r="C404" s="259"/>
      <c r="E404" s="296">
        <f t="shared" si="33"/>
        <v>0</v>
      </c>
      <c r="F404" s="297"/>
      <c r="G404" s="297"/>
      <c r="H404" s="297"/>
      <c r="P404" s="258" t="str">
        <f t="shared" si="34"/>
        <v>A_0</v>
      </c>
      <c r="Q404" s="258">
        <f t="shared" si="35"/>
        <v>0</v>
      </c>
      <c r="R404" s="258">
        <f t="shared" si="36"/>
        <v>0</v>
      </c>
      <c r="S404" s="258">
        <f t="shared" si="37"/>
        <v>0</v>
      </c>
    </row>
    <row r="405" spans="1:19" s="278" customFormat="1" ht="24.95" customHeight="1" x14ac:dyDescent="0.2">
      <c r="A405" s="293"/>
      <c r="B405" s="259"/>
      <c r="C405" s="259"/>
      <c r="E405" s="296">
        <f t="shared" si="33"/>
        <v>0</v>
      </c>
      <c r="F405" s="297"/>
      <c r="G405" s="297"/>
      <c r="H405" s="297"/>
      <c r="P405" s="258" t="str">
        <f t="shared" si="34"/>
        <v>A_0</v>
      </c>
      <c r="Q405" s="258">
        <f t="shared" si="35"/>
        <v>0</v>
      </c>
      <c r="R405" s="258">
        <f t="shared" si="36"/>
        <v>0</v>
      </c>
      <c r="S405" s="258">
        <f t="shared" si="37"/>
        <v>0</v>
      </c>
    </row>
    <row r="406" spans="1:19" s="278" customFormat="1" ht="24.95" customHeight="1" x14ac:dyDescent="0.2">
      <c r="A406" s="293"/>
      <c r="B406" s="259"/>
      <c r="C406" s="259"/>
      <c r="E406" s="296">
        <f t="shared" si="33"/>
        <v>0</v>
      </c>
      <c r="F406" s="297"/>
      <c r="G406" s="297"/>
      <c r="H406" s="297"/>
      <c r="P406" s="258" t="str">
        <f t="shared" si="34"/>
        <v>A_0</v>
      </c>
      <c r="Q406" s="258">
        <f t="shared" si="35"/>
        <v>0</v>
      </c>
      <c r="R406" s="258">
        <f t="shared" si="36"/>
        <v>0</v>
      </c>
      <c r="S406" s="258">
        <f t="shared" si="37"/>
        <v>0</v>
      </c>
    </row>
    <row r="407" spans="1:19" s="278" customFormat="1" ht="24.95" customHeight="1" x14ac:dyDescent="0.2">
      <c r="A407" s="293"/>
      <c r="B407" s="259"/>
      <c r="C407" s="259"/>
      <c r="E407" s="296">
        <f t="shared" si="33"/>
        <v>0</v>
      </c>
      <c r="F407" s="297"/>
      <c r="G407" s="297"/>
      <c r="H407" s="297"/>
      <c r="P407" s="258" t="str">
        <f t="shared" si="34"/>
        <v>A_0</v>
      </c>
      <c r="Q407" s="258">
        <f t="shared" si="35"/>
        <v>0</v>
      </c>
      <c r="R407" s="258">
        <f t="shared" si="36"/>
        <v>0</v>
      </c>
      <c r="S407" s="258">
        <f t="shared" si="37"/>
        <v>0</v>
      </c>
    </row>
    <row r="408" spans="1:19" s="278" customFormat="1" ht="24.95" customHeight="1" x14ac:dyDescent="0.2">
      <c r="A408" s="293"/>
      <c r="B408" s="259"/>
      <c r="C408" s="259"/>
      <c r="E408" s="296">
        <f t="shared" si="33"/>
        <v>0</v>
      </c>
      <c r="F408" s="297"/>
      <c r="G408" s="297"/>
      <c r="H408" s="297"/>
      <c r="P408" s="258" t="str">
        <f t="shared" si="34"/>
        <v>A_0</v>
      </c>
      <c r="Q408" s="258">
        <f t="shared" si="35"/>
        <v>0</v>
      </c>
      <c r="R408" s="258">
        <f t="shared" si="36"/>
        <v>0</v>
      </c>
      <c r="S408" s="258">
        <f t="shared" si="37"/>
        <v>0</v>
      </c>
    </row>
    <row r="409" spans="1:19" s="278" customFormat="1" ht="24.95" customHeight="1" x14ac:dyDescent="0.2">
      <c r="A409" s="293"/>
      <c r="B409" s="259"/>
      <c r="C409" s="259"/>
      <c r="E409" s="296">
        <f t="shared" si="33"/>
        <v>0</v>
      </c>
      <c r="F409" s="297"/>
      <c r="G409" s="297"/>
      <c r="H409" s="297"/>
    </row>
    <row r="410" spans="1:19" s="278" customFormat="1" ht="24.95" customHeight="1" x14ac:dyDescent="0.2">
      <c r="A410" s="293"/>
      <c r="B410" s="259"/>
      <c r="C410" s="259"/>
      <c r="E410" s="296">
        <f t="shared" si="33"/>
        <v>0</v>
      </c>
      <c r="F410" s="297"/>
      <c r="G410" s="297"/>
      <c r="H410" s="297"/>
    </row>
    <row r="411" spans="1:19" s="278" customFormat="1" ht="24.95" customHeight="1" x14ac:dyDescent="0.2">
      <c r="A411" s="293"/>
      <c r="B411" s="259"/>
      <c r="C411" s="259"/>
      <c r="E411" s="296">
        <f t="shared" si="33"/>
        <v>0</v>
      </c>
      <c r="F411" s="297"/>
      <c r="G411" s="297"/>
      <c r="H411" s="297"/>
    </row>
    <row r="412" spans="1:19" s="278" customFormat="1" ht="24.95" customHeight="1" x14ac:dyDescent="0.2">
      <c r="A412" s="293"/>
      <c r="B412" s="259"/>
      <c r="C412" s="259"/>
      <c r="E412" s="296">
        <f t="shared" si="33"/>
        <v>0</v>
      </c>
      <c r="F412" s="297"/>
      <c r="G412" s="297"/>
      <c r="H412" s="297"/>
    </row>
    <row r="413" spans="1:19" s="278" customFormat="1" ht="24.95" customHeight="1" x14ac:dyDescent="0.2">
      <c r="A413" s="293"/>
      <c r="B413" s="259"/>
      <c r="C413" s="259"/>
      <c r="E413" s="296">
        <f t="shared" si="33"/>
        <v>0</v>
      </c>
      <c r="F413" s="297"/>
      <c r="G413" s="297"/>
      <c r="H413" s="297"/>
    </row>
    <row r="414" spans="1:19" s="278" customFormat="1" ht="24.95" customHeight="1" x14ac:dyDescent="0.2">
      <c r="A414" s="293"/>
      <c r="B414" s="259"/>
      <c r="C414" s="259"/>
      <c r="E414" s="296">
        <f t="shared" si="33"/>
        <v>0</v>
      </c>
      <c r="F414" s="297"/>
      <c r="G414" s="297"/>
      <c r="H414" s="297"/>
    </row>
    <row r="415" spans="1:19" s="278" customFormat="1" ht="24.95" customHeight="1" x14ac:dyDescent="0.2">
      <c r="A415" s="293"/>
      <c r="B415" s="259"/>
      <c r="C415" s="259"/>
      <c r="E415" s="296">
        <f t="shared" si="33"/>
        <v>0</v>
      </c>
      <c r="F415" s="297"/>
      <c r="G415" s="297"/>
      <c r="H415" s="297"/>
    </row>
    <row r="416" spans="1:19" s="278" customFormat="1" ht="24.95" customHeight="1" x14ac:dyDescent="0.2">
      <c r="A416" s="293"/>
      <c r="B416" s="259"/>
      <c r="C416" s="259"/>
      <c r="E416" s="296">
        <f t="shared" si="33"/>
        <v>0</v>
      </c>
      <c r="F416" s="297"/>
      <c r="G416" s="297"/>
      <c r="H416" s="297"/>
    </row>
    <row r="417" spans="1:8" s="278" customFormat="1" ht="24.95" customHeight="1" x14ac:dyDescent="0.2">
      <c r="A417" s="293"/>
      <c r="B417" s="259"/>
      <c r="C417" s="259"/>
      <c r="E417" s="296">
        <f t="shared" si="33"/>
        <v>0</v>
      </c>
      <c r="F417" s="297"/>
      <c r="G417" s="297"/>
      <c r="H417" s="297"/>
    </row>
    <row r="418" spans="1:8" s="278" customFormat="1" ht="24.95" customHeight="1" x14ac:dyDescent="0.2">
      <c r="A418" s="293"/>
      <c r="B418" s="259"/>
      <c r="C418" s="259"/>
      <c r="E418" s="296">
        <f t="shared" si="33"/>
        <v>0</v>
      </c>
      <c r="F418" s="297"/>
      <c r="G418" s="297"/>
      <c r="H418" s="297"/>
    </row>
    <row r="419" spans="1:8" s="278" customFormat="1" ht="24.95" customHeight="1" x14ac:dyDescent="0.2">
      <c r="A419" s="293"/>
      <c r="B419" s="259"/>
      <c r="C419" s="259"/>
      <c r="E419" s="296">
        <f t="shared" si="33"/>
        <v>0</v>
      </c>
      <c r="F419" s="297"/>
      <c r="G419" s="297"/>
      <c r="H419" s="297"/>
    </row>
    <row r="420" spans="1:8" s="278" customFormat="1" ht="24.95" customHeight="1" x14ac:dyDescent="0.2">
      <c r="A420" s="293"/>
      <c r="B420" s="259"/>
      <c r="C420" s="259"/>
      <c r="E420" s="296">
        <f t="shared" si="33"/>
        <v>0</v>
      </c>
      <c r="F420" s="297"/>
      <c r="G420" s="297"/>
      <c r="H420" s="297"/>
    </row>
    <row r="421" spans="1:8" s="278" customFormat="1" ht="24.95" customHeight="1" x14ac:dyDescent="0.2">
      <c r="A421" s="293"/>
      <c r="B421" s="259"/>
      <c r="C421" s="259"/>
      <c r="E421" s="296">
        <f t="shared" si="33"/>
        <v>0</v>
      </c>
      <c r="F421" s="297"/>
      <c r="G421" s="297"/>
      <c r="H421" s="297"/>
    </row>
    <row r="422" spans="1:8" s="278" customFormat="1" ht="24.95" customHeight="1" x14ac:dyDescent="0.2">
      <c r="A422" s="293"/>
      <c r="B422" s="259"/>
      <c r="C422" s="259"/>
      <c r="E422" s="296">
        <f t="shared" si="33"/>
        <v>0</v>
      </c>
      <c r="F422" s="297"/>
      <c r="G422" s="297"/>
      <c r="H422" s="297"/>
    </row>
    <row r="423" spans="1:8" s="278" customFormat="1" ht="24.95" customHeight="1" x14ac:dyDescent="0.2">
      <c r="A423" s="293"/>
      <c r="B423" s="259"/>
      <c r="C423" s="259"/>
      <c r="E423" s="296">
        <f t="shared" si="33"/>
        <v>0</v>
      </c>
      <c r="F423" s="297"/>
      <c r="G423" s="297"/>
      <c r="H423" s="297"/>
    </row>
    <row r="424" spans="1:8" s="278" customFormat="1" ht="24.95" customHeight="1" x14ac:dyDescent="0.2">
      <c r="A424" s="293"/>
      <c r="B424" s="259"/>
      <c r="C424" s="259"/>
      <c r="E424" s="296">
        <f t="shared" si="33"/>
        <v>0</v>
      </c>
      <c r="F424" s="297"/>
      <c r="G424" s="297"/>
      <c r="H424" s="297"/>
    </row>
    <row r="425" spans="1:8" s="278" customFormat="1" ht="24.95" customHeight="1" x14ac:dyDescent="0.2">
      <c r="A425" s="293"/>
      <c r="B425" s="259"/>
      <c r="C425" s="259"/>
      <c r="E425" s="296">
        <f t="shared" si="33"/>
        <v>0</v>
      </c>
      <c r="F425" s="297"/>
      <c r="G425" s="297"/>
      <c r="H425" s="297"/>
    </row>
    <row r="426" spans="1:8" s="278" customFormat="1" ht="24.95" customHeight="1" x14ac:dyDescent="0.2">
      <c r="A426" s="293"/>
      <c r="B426" s="259"/>
      <c r="C426" s="259"/>
      <c r="E426" s="296">
        <f t="shared" si="33"/>
        <v>0</v>
      </c>
      <c r="F426" s="297"/>
      <c r="G426" s="297"/>
      <c r="H426" s="297"/>
    </row>
    <row r="427" spans="1:8" s="278" customFormat="1" ht="24.95" customHeight="1" x14ac:dyDescent="0.2">
      <c r="A427" s="293"/>
      <c r="B427" s="259"/>
      <c r="C427" s="259"/>
      <c r="E427" s="296">
        <f t="shared" si="33"/>
        <v>0</v>
      </c>
      <c r="F427" s="297"/>
      <c r="G427" s="297"/>
      <c r="H427" s="297"/>
    </row>
    <row r="428" spans="1:8" s="278" customFormat="1" ht="24.95" customHeight="1" x14ac:dyDescent="0.2">
      <c r="A428" s="293"/>
      <c r="B428" s="259"/>
      <c r="C428" s="259"/>
      <c r="E428" s="296">
        <f t="shared" si="33"/>
        <v>0</v>
      </c>
      <c r="F428" s="297"/>
      <c r="G428" s="297"/>
      <c r="H428" s="297"/>
    </row>
    <row r="429" spans="1:8" s="278" customFormat="1" ht="24.95" customHeight="1" x14ac:dyDescent="0.2">
      <c r="A429" s="293"/>
      <c r="B429" s="259"/>
      <c r="C429" s="259"/>
      <c r="E429" s="296">
        <f t="shared" si="33"/>
        <v>0</v>
      </c>
      <c r="F429" s="297"/>
      <c r="G429" s="297"/>
      <c r="H429" s="297"/>
    </row>
    <row r="430" spans="1:8" s="278" customFormat="1" ht="24.95" customHeight="1" x14ac:dyDescent="0.2">
      <c r="A430" s="293"/>
      <c r="B430" s="259"/>
      <c r="C430" s="259"/>
      <c r="E430" s="296">
        <f t="shared" si="33"/>
        <v>0</v>
      </c>
      <c r="F430" s="297"/>
      <c r="G430" s="297"/>
      <c r="H430" s="297"/>
    </row>
    <row r="431" spans="1:8" s="278" customFormat="1" ht="24.95" customHeight="1" x14ac:dyDescent="0.2">
      <c r="A431" s="293"/>
      <c r="B431" s="259"/>
      <c r="C431" s="259"/>
      <c r="E431" s="296">
        <f t="shared" si="33"/>
        <v>0</v>
      </c>
      <c r="F431" s="297"/>
      <c r="G431" s="297"/>
      <c r="H431" s="297"/>
    </row>
    <row r="432" spans="1:8" s="278" customFormat="1" ht="24.95" customHeight="1" x14ac:dyDescent="0.2">
      <c r="A432" s="293"/>
      <c r="B432" s="259"/>
      <c r="C432" s="259"/>
      <c r="E432" s="296">
        <f t="shared" si="33"/>
        <v>0</v>
      </c>
      <c r="F432" s="297"/>
      <c r="G432" s="297"/>
      <c r="H432" s="297"/>
    </row>
    <row r="433" spans="1:8" s="278" customFormat="1" ht="24.95" customHeight="1" x14ac:dyDescent="0.2">
      <c r="A433" s="293"/>
      <c r="B433" s="259"/>
      <c r="C433" s="259"/>
      <c r="E433" s="296">
        <f t="shared" si="33"/>
        <v>0</v>
      </c>
      <c r="F433" s="297"/>
      <c r="G433" s="297"/>
      <c r="H433" s="297"/>
    </row>
    <row r="434" spans="1:8" s="278" customFormat="1" ht="24.95" customHeight="1" x14ac:dyDescent="0.2">
      <c r="A434" s="293"/>
      <c r="B434" s="259"/>
      <c r="C434" s="259"/>
      <c r="E434" s="296">
        <f t="shared" si="33"/>
        <v>0</v>
      </c>
      <c r="F434" s="297"/>
      <c r="G434" s="297"/>
      <c r="H434" s="297"/>
    </row>
    <row r="435" spans="1:8" s="278" customFormat="1" ht="24.95" customHeight="1" x14ac:dyDescent="0.2">
      <c r="A435" s="293"/>
      <c r="B435" s="259"/>
      <c r="C435" s="259"/>
      <c r="E435" s="296">
        <f t="shared" si="33"/>
        <v>0</v>
      </c>
      <c r="F435" s="297"/>
      <c r="G435" s="297"/>
      <c r="H435" s="297"/>
    </row>
    <row r="436" spans="1:8" s="278" customFormat="1" ht="24.95" customHeight="1" x14ac:dyDescent="0.2">
      <c r="A436" s="293"/>
      <c r="B436" s="259"/>
      <c r="C436" s="259"/>
      <c r="E436" s="296">
        <f t="shared" si="33"/>
        <v>0</v>
      </c>
      <c r="F436" s="297"/>
      <c r="G436" s="297"/>
      <c r="H436" s="297"/>
    </row>
    <row r="437" spans="1:8" s="278" customFormat="1" ht="24.95" customHeight="1" x14ac:dyDescent="0.2">
      <c r="A437" s="293"/>
      <c r="B437" s="259"/>
      <c r="C437" s="259"/>
      <c r="E437" s="296">
        <f t="shared" si="33"/>
        <v>0</v>
      </c>
      <c r="F437" s="297"/>
      <c r="G437" s="297"/>
      <c r="H437" s="297"/>
    </row>
    <row r="438" spans="1:8" s="278" customFormat="1" ht="24.95" customHeight="1" x14ac:dyDescent="0.2">
      <c r="A438" s="293"/>
      <c r="B438" s="259"/>
      <c r="C438" s="259"/>
      <c r="E438" s="296">
        <f t="shared" si="33"/>
        <v>0</v>
      </c>
      <c r="F438" s="297"/>
      <c r="G438" s="297"/>
      <c r="H438" s="297"/>
    </row>
    <row r="439" spans="1:8" s="278" customFormat="1" ht="24.95" customHeight="1" x14ac:dyDescent="0.2">
      <c r="A439" s="293"/>
      <c r="B439" s="259"/>
      <c r="C439" s="259"/>
      <c r="E439" s="296">
        <f t="shared" si="33"/>
        <v>0</v>
      </c>
      <c r="F439" s="297"/>
      <c r="G439" s="297"/>
      <c r="H439" s="297"/>
    </row>
    <row r="440" spans="1:8" s="278" customFormat="1" ht="24.95" customHeight="1" x14ac:dyDescent="0.2">
      <c r="A440" s="293"/>
      <c r="B440" s="259"/>
      <c r="C440" s="259"/>
      <c r="E440" s="296">
        <f t="shared" si="33"/>
        <v>0</v>
      </c>
      <c r="F440" s="297"/>
      <c r="G440" s="297"/>
      <c r="H440" s="297"/>
    </row>
    <row r="441" spans="1:8" s="278" customFormat="1" ht="24.95" customHeight="1" x14ac:dyDescent="0.2">
      <c r="A441" s="293"/>
      <c r="B441" s="259"/>
      <c r="C441" s="259"/>
      <c r="E441" s="296">
        <f t="shared" si="33"/>
        <v>0</v>
      </c>
      <c r="F441" s="297"/>
      <c r="G441" s="297"/>
      <c r="H441" s="297"/>
    </row>
    <row r="442" spans="1:8" s="278" customFormat="1" ht="24.95" customHeight="1" x14ac:dyDescent="0.2">
      <c r="A442" s="293"/>
      <c r="B442" s="259"/>
      <c r="C442" s="259"/>
      <c r="E442" s="296">
        <f t="shared" si="33"/>
        <v>0</v>
      </c>
      <c r="F442" s="297"/>
      <c r="G442" s="297"/>
      <c r="H442" s="297"/>
    </row>
    <row r="443" spans="1:8" s="278" customFormat="1" ht="24.95" customHeight="1" x14ac:dyDescent="0.2">
      <c r="A443" s="293"/>
      <c r="B443" s="259"/>
      <c r="C443" s="259"/>
      <c r="E443" s="296">
        <f t="shared" si="33"/>
        <v>0</v>
      </c>
      <c r="F443" s="297"/>
      <c r="G443" s="297"/>
      <c r="H443" s="297"/>
    </row>
    <row r="444" spans="1:8" s="278" customFormat="1" ht="24.95" customHeight="1" x14ac:dyDescent="0.2">
      <c r="A444" s="293"/>
      <c r="B444" s="259"/>
      <c r="C444" s="259"/>
      <c r="E444" s="296">
        <f t="shared" si="33"/>
        <v>0</v>
      </c>
      <c r="F444" s="297"/>
      <c r="G444" s="297"/>
      <c r="H444" s="297"/>
    </row>
    <row r="445" spans="1:8" s="278" customFormat="1" ht="24.95" customHeight="1" x14ac:dyDescent="0.2">
      <c r="A445" s="293"/>
      <c r="B445" s="259"/>
      <c r="C445" s="259"/>
      <c r="E445" s="296">
        <f t="shared" si="33"/>
        <v>0</v>
      </c>
      <c r="F445" s="297"/>
      <c r="G445" s="297"/>
      <c r="H445" s="297"/>
    </row>
    <row r="446" spans="1:8" s="278" customFormat="1" ht="24.95" customHeight="1" x14ac:dyDescent="0.2">
      <c r="A446" s="293"/>
      <c r="B446" s="259"/>
      <c r="C446" s="259"/>
      <c r="E446" s="296">
        <f t="shared" si="33"/>
        <v>0</v>
      </c>
      <c r="F446" s="297"/>
      <c r="G446" s="297"/>
      <c r="H446" s="297"/>
    </row>
    <row r="447" spans="1:8" s="278" customFormat="1" ht="24.95" customHeight="1" x14ac:dyDescent="0.2">
      <c r="A447" s="293"/>
      <c r="B447" s="259"/>
      <c r="C447" s="259"/>
      <c r="E447" s="296">
        <f t="shared" si="33"/>
        <v>0</v>
      </c>
      <c r="F447" s="297"/>
      <c r="G447" s="297"/>
      <c r="H447" s="297"/>
    </row>
    <row r="448" spans="1:8" s="278" customFormat="1" ht="24.95" customHeight="1" x14ac:dyDescent="0.2">
      <c r="A448" s="293"/>
      <c r="B448" s="259"/>
      <c r="C448" s="259"/>
      <c r="E448" s="296">
        <f t="shared" si="33"/>
        <v>0</v>
      </c>
      <c r="F448" s="297"/>
      <c r="G448" s="297"/>
      <c r="H448" s="297"/>
    </row>
    <row r="449" spans="1:8" s="278" customFormat="1" ht="24.95" customHeight="1" x14ac:dyDescent="0.2">
      <c r="A449" s="293"/>
      <c r="B449" s="259"/>
      <c r="C449" s="259"/>
      <c r="E449" s="296">
        <f t="shared" si="33"/>
        <v>0</v>
      </c>
      <c r="F449" s="297"/>
      <c r="G449" s="297"/>
      <c r="H449" s="297"/>
    </row>
    <row r="450" spans="1:8" s="278" customFormat="1" ht="24.95" customHeight="1" x14ac:dyDescent="0.2">
      <c r="A450" s="293"/>
      <c r="B450" s="259"/>
      <c r="C450" s="259"/>
      <c r="E450" s="296">
        <f t="shared" si="33"/>
        <v>0</v>
      </c>
      <c r="F450" s="297"/>
      <c r="G450" s="297"/>
      <c r="H450" s="297"/>
    </row>
    <row r="451" spans="1:8" s="278" customFormat="1" ht="24.95" customHeight="1" x14ac:dyDescent="0.2">
      <c r="A451" s="293"/>
      <c r="B451" s="259"/>
      <c r="C451" s="259"/>
      <c r="E451" s="296">
        <f t="shared" si="33"/>
        <v>0</v>
      </c>
      <c r="F451" s="297"/>
      <c r="G451" s="297"/>
      <c r="H451" s="297"/>
    </row>
    <row r="452" spans="1:8" s="278" customFormat="1" ht="24.95" customHeight="1" x14ac:dyDescent="0.2">
      <c r="A452" s="293"/>
      <c r="B452" s="259"/>
      <c r="C452" s="259"/>
      <c r="E452" s="296">
        <f t="shared" si="33"/>
        <v>0</v>
      </c>
      <c r="F452" s="297"/>
      <c r="G452" s="297"/>
      <c r="H452" s="297"/>
    </row>
    <row r="453" spans="1:8" s="278" customFormat="1" ht="24.95" customHeight="1" x14ac:dyDescent="0.2">
      <c r="A453" s="293"/>
      <c r="B453" s="259"/>
      <c r="C453" s="259"/>
      <c r="E453" s="296">
        <f t="shared" si="33"/>
        <v>0</v>
      </c>
      <c r="F453" s="297"/>
      <c r="G453" s="297"/>
      <c r="H453" s="297"/>
    </row>
    <row r="454" spans="1:8" s="278" customFormat="1" ht="24.95" customHeight="1" x14ac:dyDescent="0.2">
      <c r="A454" s="293"/>
      <c r="B454" s="259"/>
      <c r="C454" s="259"/>
      <c r="E454" s="296">
        <f t="shared" si="33"/>
        <v>0</v>
      </c>
      <c r="F454" s="297"/>
      <c r="G454" s="297"/>
      <c r="H454" s="297"/>
    </row>
    <row r="455" spans="1:8" s="278" customFormat="1" ht="24.95" customHeight="1" x14ac:dyDescent="0.2">
      <c r="A455" s="293"/>
      <c r="B455" s="259"/>
      <c r="C455" s="259"/>
      <c r="E455" s="296">
        <f t="shared" si="33"/>
        <v>0</v>
      </c>
      <c r="F455" s="297"/>
      <c r="G455" s="297"/>
      <c r="H455" s="297"/>
    </row>
    <row r="456" spans="1:8" s="278" customFormat="1" ht="24.95" customHeight="1" x14ac:dyDescent="0.2">
      <c r="A456" s="293"/>
      <c r="B456" s="259"/>
      <c r="C456" s="259"/>
      <c r="E456" s="296">
        <f t="shared" si="33"/>
        <v>0</v>
      </c>
      <c r="F456" s="297"/>
      <c r="G456" s="297"/>
      <c r="H456" s="297"/>
    </row>
    <row r="457" spans="1:8" s="278" customFormat="1" ht="24.95" customHeight="1" x14ac:dyDescent="0.2">
      <c r="A457" s="293"/>
      <c r="B457" s="259"/>
      <c r="C457" s="259"/>
      <c r="E457" s="296">
        <f t="shared" si="33"/>
        <v>0</v>
      </c>
      <c r="F457" s="297"/>
      <c r="G457" s="297"/>
      <c r="H457" s="297"/>
    </row>
    <row r="458" spans="1:8" s="278" customFormat="1" ht="24.95" customHeight="1" x14ac:dyDescent="0.2">
      <c r="A458" s="293"/>
      <c r="B458" s="259"/>
      <c r="C458" s="259"/>
      <c r="E458" s="296">
        <f t="shared" si="33"/>
        <v>0</v>
      </c>
      <c r="F458" s="297"/>
      <c r="G458" s="297"/>
      <c r="H458" s="297"/>
    </row>
    <row r="459" spans="1:8" s="278" customFormat="1" ht="24.95" customHeight="1" x14ac:dyDescent="0.2">
      <c r="A459" s="293"/>
      <c r="B459" s="259"/>
      <c r="C459" s="259"/>
      <c r="E459" s="296">
        <f t="shared" ref="E459:E522" si="38">A459</f>
        <v>0</v>
      </c>
      <c r="F459" s="297"/>
      <c r="G459" s="297"/>
      <c r="H459" s="297"/>
    </row>
    <row r="460" spans="1:8" s="278" customFormat="1" ht="24.95" customHeight="1" x14ac:dyDescent="0.2">
      <c r="A460" s="293"/>
      <c r="B460" s="259"/>
      <c r="C460" s="259"/>
      <c r="E460" s="296">
        <f t="shared" si="38"/>
        <v>0</v>
      </c>
      <c r="F460" s="297"/>
      <c r="G460" s="297"/>
      <c r="H460" s="297"/>
    </row>
    <row r="461" spans="1:8" s="278" customFormat="1" ht="24.95" customHeight="1" x14ac:dyDescent="0.2">
      <c r="A461" s="293"/>
      <c r="B461" s="259"/>
      <c r="C461" s="259"/>
      <c r="E461" s="296">
        <f t="shared" si="38"/>
        <v>0</v>
      </c>
      <c r="F461" s="297"/>
      <c r="G461" s="297"/>
      <c r="H461" s="297"/>
    </row>
    <row r="462" spans="1:8" s="278" customFormat="1" ht="24.95" customHeight="1" x14ac:dyDescent="0.2">
      <c r="A462" s="293"/>
      <c r="B462" s="259"/>
      <c r="C462" s="259"/>
      <c r="E462" s="296">
        <f t="shared" si="38"/>
        <v>0</v>
      </c>
      <c r="F462" s="297"/>
      <c r="G462" s="297"/>
      <c r="H462" s="297"/>
    </row>
    <row r="463" spans="1:8" s="278" customFormat="1" ht="24.95" customHeight="1" x14ac:dyDescent="0.2">
      <c r="A463" s="293"/>
      <c r="B463" s="259"/>
      <c r="C463" s="259"/>
      <c r="E463" s="296">
        <f t="shared" si="38"/>
        <v>0</v>
      </c>
      <c r="F463" s="297"/>
      <c r="G463" s="297"/>
      <c r="H463" s="297"/>
    </row>
    <row r="464" spans="1:8" s="278" customFormat="1" ht="24.95" customHeight="1" x14ac:dyDescent="0.2">
      <c r="A464" s="293"/>
      <c r="B464" s="259"/>
      <c r="C464" s="259"/>
      <c r="E464" s="296">
        <f t="shared" si="38"/>
        <v>0</v>
      </c>
      <c r="F464" s="297"/>
      <c r="G464" s="297"/>
      <c r="H464" s="297"/>
    </row>
    <row r="465" spans="1:8" s="278" customFormat="1" ht="24.95" customHeight="1" x14ac:dyDescent="0.2">
      <c r="A465" s="293"/>
      <c r="B465" s="259"/>
      <c r="C465" s="259"/>
      <c r="E465" s="296">
        <f t="shared" si="38"/>
        <v>0</v>
      </c>
      <c r="F465" s="297"/>
      <c r="G465" s="297"/>
      <c r="H465" s="297"/>
    </row>
    <row r="466" spans="1:8" s="278" customFormat="1" ht="24.95" customHeight="1" x14ac:dyDescent="0.2">
      <c r="A466" s="293"/>
      <c r="B466" s="259"/>
      <c r="C466" s="259"/>
      <c r="E466" s="296">
        <f t="shared" si="38"/>
        <v>0</v>
      </c>
      <c r="F466" s="297"/>
      <c r="G466" s="297"/>
      <c r="H466" s="297"/>
    </row>
    <row r="467" spans="1:8" s="278" customFormat="1" ht="24.95" customHeight="1" x14ac:dyDescent="0.2">
      <c r="A467" s="293"/>
      <c r="B467" s="259"/>
      <c r="C467" s="259"/>
      <c r="E467" s="296">
        <f t="shared" si="38"/>
        <v>0</v>
      </c>
      <c r="F467" s="297"/>
      <c r="G467" s="297"/>
      <c r="H467" s="297"/>
    </row>
    <row r="468" spans="1:8" s="278" customFormat="1" ht="24.95" customHeight="1" x14ac:dyDescent="0.2">
      <c r="A468" s="293"/>
      <c r="B468" s="259"/>
      <c r="C468" s="259"/>
      <c r="E468" s="296">
        <f t="shared" si="38"/>
        <v>0</v>
      </c>
      <c r="F468" s="297"/>
      <c r="G468" s="297"/>
      <c r="H468" s="297"/>
    </row>
    <row r="469" spans="1:8" s="278" customFormat="1" ht="24.95" customHeight="1" x14ac:dyDescent="0.2">
      <c r="A469" s="293"/>
      <c r="B469" s="259"/>
      <c r="C469" s="259"/>
      <c r="E469" s="296">
        <f t="shared" si="38"/>
        <v>0</v>
      </c>
      <c r="F469" s="297"/>
      <c r="G469" s="297"/>
      <c r="H469" s="297"/>
    </row>
    <row r="470" spans="1:8" s="278" customFormat="1" ht="24.95" customHeight="1" x14ac:dyDescent="0.2">
      <c r="A470" s="293"/>
      <c r="B470" s="259"/>
      <c r="C470" s="259"/>
      <c r="E470" s="296">
        <f t="shared" si="38"/>
        <v>0</v>
      </c>
      <c r="F470" s="297"/>
      <c r="G470" s="297"/>
      <c r="H470" s="297"/>
    </row>
    <row r="471" spans="1:8" s="278" customFormat="1" ht="24.95" customHeight="1" x14ac:dyDescent="0.2">
      <c r="A471" s="293"/>
      <c r="B471" s="259"/>
      <c r="C471" s="259"/>
      <c r="E471" s="296">
        <f t="shared" si="38"/>
        <v>0</v>
      </c>
      <c r="F471" s="297"/>
      <c r="G471" s="297"/>
      <c r="H471" s="297"/>
    </row>
    <row r="472" spans="1:8" s="278" customFormat="1" ht="24.95" customHeight="1" x14ac:dyDescent="0.2">
      <c r="A472" s="293"/>
      <c r="B472" s="259"/>
      <c r="C472" s="259"/>
      <c r="E472" s="296">
        <f t="shared" si="38"/>
        <v>0</v>
      </c>
      <c r="F472" s="297"/>
      <c r="G472" s="297"/>
      <c r="H472" s="297"/>
    </row>
    <row r="473" spans="1:8" s="278" customFormat="1" ht="24.95" customHeight="1" x14ac:dyDescent="0.2">
      <c r="A473" s="293"/>
      <c r="B473" s="259"/>
      <c r="C473" s="259"/>
      <c r="E473" s="296">
        <f t="shared" si="38"/>
        <v>0</v>
      </c>
      <c r="F473" s="297"/>
      <c r="G473" s="297"/>
      <c r="H473" s="297"/>
    </row>
    <row r="474" spans="1:8" s="278" customFormat="1" ht="24.95" customHeight="1" x14ac:dyDescent="0.2">
      <c r="A474" s="293"/>
      <c r="B474" s="259"/>
      <c r="C474" s="259"/>
      <c r="E474" s="296">
        <f t="shared" si="38"/>
        <v>0</v>
      </c>
      <c r="F474" s="297"/>
      <c r="G474" s="297"/>
      <c r="H474" s="297"/>
    </row>
    <row r="475" spans="1:8" s="278" customFormat="1" ht="24.95" customHeight="1" x14ac:dyDescent="0.2">
      <c r="A475" s="293"/>
      <c r="B475" s="259"/>
      <c r="C475" s="259"/>
      <c r="E475" s="296">
        <f t="shared" si="38"/>
        <v>0</v>
      </c>
      <c r="F475" s="297"/>
      <c r="G475" s="297"/>
      <c r="H475" s="297"/>
    </row>
    <row r="476" spans="1:8" s="278" customFormat="1" ht="24.95" customHeight="1" x14ac:dyDescent="0.2">
      <c r="A476" s="293"/>
      <c r="B476" s="259"/>
      <c r="C476" s="259"/>
      <c r="E476" s="296">
        <f t="shared" si="38"/>
        <v>0</v>
      </c>
      <c r="F476" s="297"/>
      <c r="G476" s="297"/>
      <c r="H476" s="297"/>
    </row>
    <row r="477" spans="1:8" s="278" customFormat="1" ht="24.95" customHeight="1" x14ac:dyDescent="0.2">
      <c r="A477" s="293"/>
      <c r="B477" s="259"/>
      <c r="C477" s="259"/>
      <c r="E477" s="296">
        <f t="shared" si="38"/>
        <v>0</v>
      </c>
      <c r="F477" s="297"/>
      <c r="G477" s="297"/>
      <c r="H477" s="297"/>
    </row>
    <row r="478" spans="1:8" s="278" customFormat="1" ht="24.95" customHeight="1" x14ac:dyDescent="0.2">
      <c r="A478" s="293"/>
      <c r="B478" s="259"/>
      <c r="C478" s="259"/>
      <c r="E478" s="296">
        <f t="shared" si="38"/>
        <v>0</v>
      </c>
      <c r="F478" s="297"/>
      <c r="G478" s="297"/>
      <c r="H478" s="297"/>
    </row>
    <row r="479" spans="1:8" s="278" customFormat="1" ht="24.95" customHeight="1" x14ac:dyDescent="0.2">
      <c r="A479" s="293"/>
      <c r="B479" s="259"/>
      <c r="C479" s="259"/>
      <c r="E479" s="296">
        <f t="shared" si="38"/>
        <v>0</v>
      </c>
      <c r="F479" s="297"/>
      <c r="G479" s="297"/>
      <c r="H479" s="297"/>
    </row>
    <row r="480" spans="1:8" s="278" customFormat="1" ht="24.95" customHeight="1" x14ac:dyDescent="0.2">
      <c r="A480" s="293"/>
      <c r="B480" s="259"/>
      <c r="C480" s="259"/>
      <c r="E480" s="296">
        <f t="shared" si="38"/>
        <v>0</v>
      </c>
      <c r="F480" s="297"/>
      <c r="G480" s="297"/>
      <c r="H480" s="297"/>
    </row>
    <row r="481" spans="1:8" s="278" customFormat="1" ht="24.95" customHeight="1" x14ac:dyDescent="0.2">
      <c r="A481" s="293"/>
      <c r="B481" s="259"/>
      <c r="C481" s="259"/>
      <c r="E481" s="296">
        <f t="shared" si="38"/>
        <v>0</v>
      </c>
      <c r="F481" s="297"/>
      <c r="G481" s="297"/>
      <c r="H481" s="297"/>
    </row>
    <row r="482" spans="1:8" s="278" customFormat="1" ht="24.95" customHeight="1" x14ac:dyDescent="0.2">
      <c r="A482" s="293"/>
      <c r="B482" s="259"/>
      <c r="C482" s="259"/>
      <c r="E482" s="296">
        <f t="shared" si="38"/>
        <v>0</v>
      </c>
      <c r="F482" s="297"/>
      <c r="G482" s="297"/>
      <c r="H482" s="297"/>
    </row>
    <row r="483" spans="1:8" s="278" customFormat="1" ht="24.95" customHeight="1" x14ac:dyDescent="0.2">
      <c r="A483" s="293"/>
      <c r="B483" s="259"/>
      <c r="C483" s="259"/>
      <c r="E483" s="296">
        <f t="shared" si="38"/>
        <v>0</v>
      </c>
      <c r="F483" s="297"/>
      <c r="G483" s="297"/>
      <c r="H483" s="297"/>
    </row>
    <row r="484" spans="1:8" s="278" customFormat="1" ht="24.95" customHeight="1" x14ac:dyDescent="0.2">
      <c r="A484" s="293"/>
      <c r="B484" s="259"/>
      <c r="C484" s="259"/>
      <c r="E484" s="296">
        <f t="shared" si="38"/>
        <v>0</v>
      </c>
      <c r="F484" s="297"/>
      <c r="G484" s="297"/>
      <c r="H484" s="297"/>
    </row>
    <row r="485" spans="1:8" s="278" customFormat="1" ht="24.95" customHeight="1" x14ac:dyDescent="0.2">
      <c r="A485" s="293"/>
      <c r="B485" s="259"/>
      <c r="C485" s="259"/>
      <c r="E485" s="296">
        <f t="shared" si="38"/>
        <v>0</v>
      </c>
      <c r="F485" s="297"/>
      <c r="G485" s="297"/>
      <c r="H485" s="297"/>
    </row>
    <row r="486" spans="1:8" s="278" customFormat="1" ht="24.95" customHeight="1" x14ac:dyDescent="0.2">
      <c r="A486" s="293"/>
      <c r="B486" s="259"/>
      <c r="C486" s="259"/>
      <c r="E486" s="296">
        <f t="shared" si="38"/>
        <v>0</v>
      </c>
      <c r="F486" s="297"/>
      <c r="G486" s="297"/>
      <c r="H486" s="297"/>
    </row>
    <row r="487" spans="1:8" s="278" customFormat="1" ht="24.95" customHeight="1" x14ac:dyDescent="0.2">
      <c r="A487" s="293"/>
      <c r="B487" s="259"/>
      <c r="C487" s="259"/>
      <c r="E487" s="296">
        <f t="shared" si="38"/>
        <v>0</v>
      </c>
      <c r="F487" s="297"/>
      <c r="G487" s="297"/>
      <c r="H487" s="297"/>
    </row>
    <row r="488" spans="1:8" s="278" customFormat="1" ht="24.95" customHeight="1" x14ac:dyDescent="0.2">
      <c r="A488" s="293"/>
      <c r="B488" s="259"/>
      <c r="C488" s="259"/>
      <c r="E488" s="296">
        <f t="shared" si="38"/>
        <v>0</v>
      </c>
      <c r="F488" s="297"/>
      <c r="G488" s="297"/>
      <c r="H488" s="297"/>
    </row>
    <row r="489" spans="1:8" s="278" customFormat="1" ht="24.95" customHeight="1" x14ac:dyDescent="0.2">
      <c r="A489" s="293"/>
      <c r="B489" s="259"/>
      <c r="C489" s="259"/>
      <c r="E489" s="296">
        <f t="shared" si="38"/>
        <v>0</v>
      </c>
      <c r="F489" s="297"/>
      <c r="G489" s="297"/>
      <c r="H489" s="297"/>
    </row>
    <row r="490" spans="1:8" s="278" customFormat="1" ht="24.95" customHeight="1" x14ac:dyDescent="0.2">
      <c r="A490" s="293"/>
      <c r="B490" s="259"/>
      <c r="C490" s="259"/>
      <c r="E490" s="296">
        <f t="shared" si="38"/>
        <v>0</v>
      </c>
      <c r="F490" s="297"/>
      <c r="G490" s="297"/>
      <c r="H490" s="297"/>
    </row>
    <row r="491" spans="1:8" s="278" customFormat="1" ht="24.95" customHeight="1" x14ac:dyDescent="0.2">
      <c r="A491" s="293"/>
      <c r="B491" s="259"/>
      <c r="C491" s="259"/>
      <c r="E491" s="296">
        <f t="shared" si="38"/>
        <v>0</v>
      </c>
      <c r="F491" s="297"/>
      <c r="G491" s="297"/>
      <c r="H491" s="297"/>
    </row>
    <row r="492" spans="1:8" s="278" customFormat="1" ht="24.95" customHeight="1" x14ac:dyDescent="0.2">
      <c r="A492" s="293"/>
      <c r="B492" s="259"/>
      <c r="C492" s="259"/>
      <c r="E492" s="296">
        <f t="shared" si="38"/>
        <v>0</v>
      </c>
      <c r="F492" s="297"/>
      <c r="G492" s="297"/>
      <c r="H492" s="297"/>
    </row>
    <row r="493" spans="1:8" s="278" customFormat="1" ht="24.95" customHeight="1" x14ac:dyDescent="0.2">
      <c r="A493" s="293"/>
      <c r="B493" s="259"/>
      <c r="C493" s="259"/>
      <c r="E493" s="296">
        <f t="shared" si="38"/>
        <v>0</v>
      </c>
      <c r="F493" s="297"/>
      <c r="G493" s="297"/>
      <c r="H493" s="297"/>
    </row>
    <row r="494" spans="1:8" s="278" customFormat="1" ht="24.95" customHeight="1" x14ac:dyDescent="0.2">
      <c r="A494" s="293"/>
      <c r="B494" s="259"/>
      <c r="C494" s="259"/>
      <c r="E494" s="296">
        <f t="shared" si="38"/>
        <v>0</v>
      </c>
      <c r="F494" s="297"/>
      <c r="G494" s="297"/>
      <c r="H494" s="297"/>
    </row>
    <row r="495" spans="1:8" s="278" customFormat="1" ht="24.95" customHeight="1" x14ac:dyDescent="0.2">
      <c r="A495" s="293"/>
      <c r="B495" s="259"/>
      <c r="C495" s="259"/>
      <c r="E495" s="296">
        <f t="shared" si="38"/>
        <v>0</v>
      </c>
      <c r="F495" s="297"/>
      <c r="G495" s="297"/>
      <c r="H495" s="297"/>
    </row>
    <row r="496" spans="1:8" s="278" customFormat="1" ht="24.95" customHeight="1" x14ac:dyDescent="0.2">
      <c r="A496" s="293"/>
      <c r="B496" s="259"/>
      <c r="C496" s="259"/>
      <c r="E496" s="296">
        <f t="shared" si="38"/>
        <v>0</v>
      </c>
      <c r="F496" s="297"/>
      <c r="G496" s="297"/>
      <c r="H496" s="297"/>
    </row>
    <row r="497" spans="1:8" s="278" customFormat="1" ht="24.95" customHeight="1" x14ac:dyDescent="0.2">
      <c r="A497" s="293"/>
      <c r="B497" s="259"/>
      <c r="C497" s="259"/>
      <c r="E497" s="296">
        <f t="shared" si="38"/>
        <v>0</v>
      </c>
      <c r="F497" s="297"/>
      <c r="G497" s="297"/>
      <c r="H497" s="297"/>
    </row>
    <row r="498" spans="1:8" s="278" customFormat="1" ht="24.95" customHeight="1" x14ac:dyDescent="0.2">
      <c r="A498" s="293"/>
      <c r="B498" s="259"/>
      <c r="C498" s="259"/>
      <c r="E498" s="296">
        <f t="shared" si="38"/>
        <v>0</v>
      </c>
      <c r="F498" s="297"/>
      <c r="G498" s="297"/>
      <c r="H498" s="297"/>
    </row>
    <row r="499" spans="1:8" s="278" customFormat="1" ht="24.95" customHeight="1" x14ac:dyDescent="0.2">
      <c r="A499" s="293"/>
      <c r="B499" s="259"/>
      <c r="C499" s="259"/>
      <c r="E499" s="296">
        <f t="shared" si="38"/>
        <v>0</v>
      </c>
      <c r="F499" s="297"/>
      <c r="G499" s="297"/>
      <c r="H499" s="297"/>
    </row>
    <row r="500" spans="1:8" s="278" customFormat="1" ht="24.95" customHeight="1" x14ac:dyDescent="0.2">
      <c r="A500" s="293"/>
      <c r="B500" s="259"/>
      <c r="C500" s="259"/>
      <c r="E500" s="296">
        <f t="shared" si="38"/>
        <v>0</v>
      </c>
      <c r="F500" s="297"/>
      <c r="G500" s="297"/>
      <c r="H500" s="297"/>
    </row>
    <row r="501" spans="1:8" s="278" customFormat="1" ht="24.95" customHeight="1" x14ac:dyDescent="0.2">
      <c r="A501" s="293"/>
      <c r="B501" s="259"/>
      <c r="C501" s="259"/>
      <c r="E501" s="296">
        <f t="shared" si="38"/>
        <v>0</v>
      </c>
      <c r="F501" s="297"/>
      <c r="G501" s="297"/>
      <c r="H501" s="297"/>
    </row>
    <row r="502" spans="1:8" s="278" customFormat="1" ht="24.95" customHeight="1" x14ac:dyDescent="0.2">
      <c r="A502" s="293"/>
      <c r="B502" s="259"/>
      <c r="C502" s="259"/>
      <c r="E502" s="296">
        <f t="shared" si="38"/>
        <v>0</v>
      </c>
      <c r="F502" s="297"/>
      <c r="G502" s="297"/>
      <c r="H502" s="297"/>
    </row>
    <row r="503" spans="1:8" s="278" customFormat="1" ht="24.95" customHeight="1" x14ac:dyDescent="0.2">
      <c r="A503" s="293"/>
      <c r="B503" s="259"/>
      <c r="C503" s="259"/>
      <c r="E503" s="296">
        <f t="shared" si="38"/>
        <v>0</v>
      </c>
      <c r="F503" s="297"/>
      <c r="G503" s="297"/>
      <c r="H503" s="297"/>
    </row>
    <row r="504" spans="1:8" s="278" customFormat="1" ht="24.95" customHeight="1" x14ac:dyDescent="0.2">
      <c r="A504" s="293"/>
      <c r="B504" s="259"/>
      <c r="C504" s="259"/>
      <c r="E504" s="296">
        <f t="shared" si="38"/>
        <v>0</v>
      </c>
      <c r="F504" s="297"/>
      <c r="G504" s="297"/>
      <c r="H504" s="297"/>
    </row>
    <row r="505" spans="1:8" s="278" customFormat="1" ht="24.95" customHeight="1" x14ac:dyDescent="0.2">
      <c r="A505" s="293"/>
      <c r="B505" s="259"/>
      <c r="C505" s="259"/>
      <c r="E505" s="296">
        <f t="shared" si="38"/>
        <v>0</v>
      </c>
      <c r="F505" s="297"/>
      <c r="G505" s="297"/>
      <c r="H505" s="297"/>
    </row>
    <row r="506" spans="1:8" s="278" customFormat="1" ht="24.95" customHeight="1" x14ac:dyDescent="0.2">
      <c r="A506" s="293"/>
      <c r="B506" s="259"/>
      <c r="C506" s="259"/>
      <c r="E506" s="296">
        <f t="shared" si="38"/>
        <v>0</v>
      </c>
      <c r="F506" s="297"/>
      <c r="G506" s="297"/>
      <c r="H506" s="297"/>
    </row>
    <row r="507" spans="1:8" s="278" customFormat="1" ht="24.95" customHeight="1" x14ac:dyDescent="0.2">
      <c r="A507" s="293"/>
      <c r="B507" s="259"/>
      <c r="C507" s="259"/>
      <c r="E507" s="296">
        <f t="shared" si="38"/>
        <v>0</v>
      </c>
      <c r="F507" s="297"/>
      <c r="G507" s="297"/>
      <c r="H507" s="297"/>
    </row>
    <row r="508" spans="1:8" s="278" customFormat="1" ht="24.95" customHeight="1" x14ac:dyDescent="0.2">
      <c r="A508" s="293"/>
      <c r="B508" s="259"/>
      <c r="C508" s="259"/>
      <c r="E508" s="296">
        <f t="shared" si="38"/>
        <v>0</v>
      </c>
      <c r="F508" s="297"/>
      <c r="G508" s="297"/>
      <c r="H508" s="297"/>
    </row>
    <row r="509" spans="1:8" s="278" customFormat="1" ht="24.95" customHeight="1" x14ac:dyDescent="0.2">
      <c r="A509" s="293"/>
      <c r="B509" s="259"/>
      <c r="C509" s="259"/>
      <c r="E509" s="296">
        <f t="shared" si="38"/>
        <v>0</v>
      </c>
      <c r="F509" s="297"/>
      <c r="G509" s="297"/>
      <c r="H509" s="297"/>
    </row>
    <row r="510" spans="1:8" s="278" customFormat="1" ht="24.95" customHeight="1" x14ac:dyDescent="0.2">
      <c r="A510" s="293"/>
      <c r="B510" s="259"/>
      <c r="C510" s="259"/>
      <c r="E510" s="296">
        <f t="shared" si="38"/>
        <v>0</v>
      </c>
      <c r="F510" s="297"/>
      <c r="G510" s="297"/>
      <c r="H510" s="297"/>
    </row>
    <row r="511" spans="1:8" s="278" customFormat="1" ht="24.95" customHeight="1" x14ac:dyDescent="0.2">
      <c r="A511" s="293"/>
      <c r="B511" s="259"/>
      <c r="C511" s="259"/>
      <c r="E511" s="296">
        <f t="shared" si="38"/>
        <v>0</v>
      </c>
      <c r="F511" s="297"/>
      <c r="G511" s="297"/>
      <c r="H511" s="297"/>
    </row>
    <row r="512" spans="1:8" s="278" customFormat="1" ht="24.95" customHeight="1" x14ac:dyDescent="0.2">
      <c r="A512" s="293"/>
      <c r="B512" s="259"/>
      <c r="C512" s="259"/>
      <c r="E512" s="296">
        <f t="shared" si="38"/>
        <v>0</v>
      </c>
      <c r="F512" s="297"/>
      <c r="G512" s="297"/>
      <c r="H512" s="297"/>
    </row>
    <row r="513" spans="1:8" s="278" customFormat="1" ht="24.95" customHeight="1" x14ac:dyDescent="0.2">
      <c r="A513" s="293"/>
      <c r="B513" s="259"/>
      <c r="C513" s="259"/>
      <c r="E513" s="296">
        <f t="shared" si="38"/>
        <v>0</v>
      </c>
      <c r="F513" s="297"/>
      <c r="G513" s="297"/>
      <c r="H513" s="297"/>
    </row>
    <row r="514" spans="1:8" s="278" customFormat="1" ht="24.95" customHeight="1" x14ac:dyDescent="0.2">
      <c r="A514" s="293"/>
      <c r="B514" s="259"/>
      <c r="C514" s="259"/>
      <c r="E514" s="296">
        <f t="shared" si="38"/>
        <v>0</v>
      </c>
      <c r="F514" s="297"/>
      <c r="G514" s="297"/>
      <c r="H514" s="297"/>
    </row>
    <row r="515" spans="1:8" s="278" customFormat="1" ht="24.95" customHeight="1" x14ac:dyDescent="0.2">
      <c r="A515" s="293"/>
      <c r="B515" s="259"/>
      <c r="C515" s="259"/>
      <c r="E515" s="296">
        <f t="shared" si="38"/>
        <v>0</v>
      </c>
      <c r="F515" s="297"/>
      <c r="G515" s="297"/>
      <c r="H515" s="297"/>
    </row>
    <row r="516" spans="1:8" s="278" customFormat="1" ht="24.95" customHeight="1" x14ac:dyDescent="0.2">
      <c r="A516" s="293"/>
      <c r="B516" s="259"/>
      <c r="C516" s="259"/>
      <c r="E516" s="296">
        <f t="shared" si="38"/>
        <v>0</v>
      </c>
      <c r="F516" s="297"/>
      <c r="G516" s="297"/>
      <c r="H516" s="297"/>
    </row>
    <row r="517" spans="1:8" s="278" customFormat="1" ht="24.95" customHeight="1" x14ac:dyDescent="0.2">
      <c r="A517" s="293"/>
      <c r="B517" s="259"/>
      <c r="C517" s="259"/>
      <c r="E517" s="296">
        <f t="shared" si="38"/>
        <v>0</v>
      </c>
      <c r="F517" s="297"/>
      <c r="G517" s="297"/>
      <c r="H517" s="297"/>
    </row>
    <row r="518" spans="1:8" s="278" customFormat="1" ht="24.95" customHeight="1" x14ac:dyDescent="0.2">
      <c r="A518" s="293"/>
      <c r="B518" s="259"/>
      <c r="C518" s="259"/>
      <c r="E518" s="296">
        <f t="shared" si="38"/>
        <v>0</v>
      </c>
      <c r="F518" s="297"/>
      <c r="G518" s="297"/>
      <c r="H518" s="297"/>
    </row>
    <row r="519" spans="1:8" s="278" customFormat="1" ht="24.95" customHeight="1" x14ac:dyDescent="0.2">
      <c r="A519" s="293"/>
      <c r="B519" s="259"/>
      <c r="C519" s="259"/>
      <c r="E519" s="296">
        <f t="shared" si="38"/>
        <v>0</v>
      </c>
      <c r="F519" s="297"/>
      <c r="G519" s="297"/>
      <c r="H519" s="297"/>
    </row>
    <row r="520" spans="1:8" s="278" customFormat="1" ht="24.95" customHeight="1" x14ac:dyDescent="0.2">
      <c r="A520" s="293"/>
      <c r="B520" s="259"/>
      <c r="C520" s="259"/>
      <c r="E520" s="296">
        <f t="shared" si="38"/>
        <v>0</v>
      </c>
      <c r="F520" s="297"/>
      <c r="G520" s="297"/>
      <c r="H520" s="297"/>
    </row>
    <row r="521" spans="1:8" s="278" customFormat="1" ht="24.95" customHeight="1" x14ac:dyDescent="0.2">
      <c r="A521" s="293"/>
      <c r="B521" s="259"/>
      <c r="C521" s="259"/>
      <c r="E521" s="296">
        <f t="shared" si="38"/>
        <v>0</v>
      </c>
      <c r="F521" s="297"/>
      <c r="G521" s="297"/>
      <c r="H521" s="297"/>
    </row>
    <row r="522" spans="1:8" s="278" customFormat="1" ht="24.95" customHeight="1" x14ac:dyDescent="0.2">
      <c r="A522" s="293"/>
      <c r="B522" s="259"/>
      <c r="C522" s="259"/>
      <c r="E522" s="296">
        <f t="shared" si="38"/>
        <v>0</v>
      </c>
      <c r="F522" s="297"/>
      <c r="G522" s="297"/>
      <c r="H522" s="297"/>
    </row>
    <row r="523" spans="1:8" s="278" customFormat="1" ht="24.95" customHeight="1" x14ac:dyDescent="0.2">
      <c r="A523" s="293"/>
      <c r="B523" s="259"/>
      <c r="C523" s="259"/>
      <c r="E523" s="296">
        <f t="shared" ref="E523:E586" si="39">A523</f>
        <v>0</v>
      </c>
      <c r="F523" s="297"/>
      <c r="G523" s="297"/>
      <c r="H523" s="297"/>
    </row>
    <row r="524" spans="1:8" s="278" customFormat="1" ht="24.95" customHeight="1" x14ac:dyDescent="0.2">
      <c r="A524" s="293"/>
      <c r="B524" s="259"/>
      <c r="C524" s="259"/>
      <c r="E524" s="296">
        <f t="shared" si="39"/>
        <v>0</v>
      </c>
      <c r="F524" s="297"/>
      <c r="G524" s="297"/>
      <c r="H524" s="297"/>
    </row>
    <row r="525" spans="1:8" s="278" customFormat="1" ht="24.95" customHeight="1" x14ac:dyDescent="0.2">
      <c r="A525" s="293"/>
      <c r="B525" s="259"/>
      <c r="C525" s="259"/>
      <c r="E525" s="296">
        <f t="shared" si="39"/>
        <v>0</v>
      </c>
      <c r="F525" s="297"/>
      <c r="G525" s="297"/>
      <c r="H525" s="297"/>
    </row>
    <row r="526" spans="1:8" s="278" customFormat="1" ht="24.95" customHeight="1" x14ac:dyDescent="0.2">
      <c r="A526" s="293"/>
      <c r="B526" s="259"/>
      <c r="C526" s="259"/>
      <c r="E526" s="296">
        <f t="shared" si="39"/>
        <v>0</v>
      </c>
      <c r="F526" s="297"/>
      <c r="G526" s="297"/>
      <c r="H526" s="297"/>
    </row>
    <row r="527" spans="1:8" s="278" customFormat="1" ht="24.95" customHeight="1" x14ac:dyDescent="0.2">
      <c r="A527" s="293"/>
      <c r="B527" s="259"/>
      <c r="C527" s="259"/>
      <c r="E527" s="296">
        <f t="shared" si="39"/>
        <v>0</v>
      </c>
      <c r="F527" s="297"/>
      <c r="G527" s="297"/>
      <c r="H527" s="297"/>
    </row>
    <row r="528" spans="1:8" s="278" customFormat="1" ht="24.95" customHeight="1" x14ac:dyDescent="0.2">
      <c r="A528" s="293"/>
      <c r="B528" s="259"/>
      <c r="C528" s="259"/>
      <c r="E528" s="296">
        <f t="shared" si="39"/>
        <v>0</v>
      </c>
      <c r="F528" s="297"/>
      <c r="G528" s="297"/>
      <c r="H528" s="297"/>
    </row>
    <row r="529" spans="1:8" s="278" customFormat="1" ht="24.95" customHeight="1" x14ac:dyDescent="0.2">
      <c r="A529" s="293"/>
      <c r="B529" s="259"/>
      <c r="C529" s="259"/>
      <c r="E529" s="296">
        <f t="shared" si="39"/>
        <v>0</v>
      </c>
      <c r="F529" s="297"/>
      <c r="G529" s="297"/>
      <c r="H529" s="297"/>
    </row>
    <row r="530" spans="1:8" s="278" customFormat="1" ht="24.95" customHeight="1" x14ac:dyDescent="0.2">
      <c r="A530" s="293"/>
      <c r="B530" s="259"/>
      <c r="C530" s="259"/>
      <c r="E530" s="296">
        <f t="shared" si="39"/>
        <v>0</v>
      </c>
      <c r="F530" s="297"/>
      <c r="G530" s="297"/>
      <c r="H530" s="297"/>
    </row>
    <row r="531" spans="1:8" s="278" customFormat="1" ht="24.95" customHeight="1" x14ac:dyDescent="0.2">
      <c r="A531" s="293"/>
      <c r="B531" s="259"/>
      <c r="C531" s="259"/>
      <c r="E531" s="296">
        <f t="shared" si="39"/>
        <v>0</v>
      </c>
      <c r="F531" s="297"/>
      <c r="G531" s="297"/>
      <c r="H531" s="297"/>
    </row>
    <row r="532" spans="1:8" s="278" customFormat="1" ht="24.95" customHeight="1" x14ac:dyDescent="0.2">
      <c r="A532" s="293"/>
      <c r="B532" s="259"/>
      <c r="C532" s="259"/>
      <c r="E532" s="296">
        <f t="shared" si="39"/>
        <v>0</v>
      </c>
      <c r="F532" s="297"/>
      <c r="G532" s="297"/>
      <c r="H532" s="297"/>
    </row>
    <row r="533" spans="1:8" s="278" customFormat="1" ht="24.95" customHeight="1" x14ac:dyDescent="0.2">
      <c r="A533" s="293"/>
      <c r="B533" s="259"/>
      <c r="C533" s="259"/>
      <c r="E533" s="296">
        <f t="shared" si="39"/>
        <v>0</v>
      </c>
      <c r="F533" s="297"/>
      <c r="G533" s="297"/>
      <c r="H533" s="297"/>
    </row>
    <row r="534" spans="1:8" s="278" customFormat="1" ht="24.95" customHeight="1" x14ac:dyDescent="0.2">
      <c r="A534" s="293"/>
      <c r="B534" s="259"/>
      <c r="C534" s="259"/>
      <c r="E534" s="296">
        <f t="shared" si="39"/>
        <v>0</v>
      </c>
      <c r="F534" s="297"/>
      <c r="G534" s="297"/>
      <c r="H534" s="297"/>
    </row>
    <row r="535" spans="1:8" s="278" customFormat="1" ht="24.95" customHeight="1" x14ac:dyDescent="0.2">
      <c r="A535" s="293"/>
      <c r="B535" s="259"/>
      <c r="C535" s="259"/>
      <c r="E535" s="296">
        <f t="shared" si="39"/>
        <v>0</v>
      </c>
      <c r="F535" s="297"/>
      <c r="G535" s="297"/>
      <c r="H535" s="297"/>
    </row>
    <row r="536" spans="1:8" s="278" customFormat="1" ht="24.95" customHeight="1" x14ac:dyDescent="0.2">
      <c r="A536" s="293"/>
      <c r="B536" s="259"/>
      <c r="C536" s="259"/>
      <c r="E536" s="296">
        <f t="shared" si="39"/>
        <v>0</v>
      </c>
      <c r="F536" s="297"/>
      <c r="G536" s="297"/>
      <c r="H536" s="297"/>
    </row>
    <row r="537" spans="1:8" s="278" customFormat="1" ht="24.95" customHeight="1" x14ac:dyDescent="0.2">
      <c r="A537" s="293"/>
      <c r="B537" s="259"/>
      <c r="C537" s="259"/>
      <c r="E537" s="296">
        <f t="shared" si="39"/>
        <v>0</v>
      </c>
      <c r="F537" s="297"/>
      <c r="G537" s="297"/>
      <c r="H537" s="297"/>
    </row>
    <row r="538" spans="1:8" s="278" customFormat="1" ht="24.95" customHeight="1" x14ac:dyDescent="0.2">
      <c r="A538" s="293"/>
      <c r="B538" s="259"/>
      <c r="C538" s="259"/>
      <c r="E538" s="296">
        <f t="shared" si="39"/>
        <v>0</v>
      </c>
      <c r="F538" s="297"/>
      <c r="G538" s="297"/>
      <c r="H538" s="297"/>
    </row>
    <row r="539" spans="1:8" s="278" customFormat="1" ht="24.95" customHeight="1" x14ac:dyDescent="0.2">
      <c r="A539" s="293"/>
      <c r="B539" s="259"/>
      <c r="C539" s="259"/>
      <c r="E539" s="296">
        <f t="shared" si="39"/>
        <v>0</v>
      </c>
      <c r="F539" s="297"/>
      <c r="G539" s="297"/>
      <c r="H539" s="297"/>
    </row>
    <row r="540" spans="1:8" s="278" customFormat="1" ht="24.95" customHeight="1" x14ac:dyDescent="0.2">
      <c r="A540" s="293"/>
      <c r="B540" s="259"/>
      <c r="C540" s="259"/>
      <c r="E540" s="296">
        <f t="shared" si="39"/>
        <v>0</v>
      </c>
      <c r="F540" s="297"/>
      <c r="G540" s="297"/>
      <c r="H540" s="297"/>
    </row>
    <row r="541" spans="1:8" s="278" customFormat="1" ht="24.95" customHeight="1" x14ac:dyDescent="0.2">
      <c r="A541" s="293"/>
      <c r="B541" s="259"/>
      <c r="C541" s="259"/>
      <c r="E541" s="296">
        <f t="shared" si="39"/>
        <v>0</v>
      </c>
      <c r="F541" s="297"/>
      <c r="G541" s="297"/>
      <c r="H541" s="297"/>
    </row>
    <row r="542" spans="1:8" s="278" customFormat="1" ht="24.95" customHeight="1" x14ac:dyDescent="0.2">
      <c r="A542" s="293"/>
      <c r="B542" s="259"/>
      <c r="C542" s="259"/>
      <c r="E542" s="296">
        <f t="shared" si="39"/>
        <v>0</v>
      </c>
      <c r="F542" s="297"/>
      <c r="G542" s="297"/>
      <c r="H542" s="297"/>
    </row>
    <row r="543" spans="1:8" s="278" customFormat="1" ht="24.95" customHeight="1" x14ac:dyDescent="0.2">
      <c r="A543" s="293"/>
      <c r="B543" s="259"/>
      <c r="C543" s="259"/>
      <c r="E543" s="296">
        <f t="shared" si="39"/>
        <v>0</v>
      </c>
      <c r="F543" s="297"/>
      <c r="G543" s="297"/>
      <c r="H543" s="297"/>
    </row>
    <row r="544" spans="1:8" s="278" customFormat="1" ht="24.95" customHeight="1" x14ac:dyDescent="0.2">
      <c r="A544" s="293"/>
      <c r="B544" s="259"/>
      <c r="C544" s="259"/>
      <c r="E544" s="296">
        <f t="shared" si="39"/>
        <v>0</v>
      </c>
      <c r="F544" s="297"/>
      <c r="G544" s="297"/>
      <c r="H544" s="297"/>
    </row>
    <row r="545" spans="1:8" s="278" customFormat="1" ht="24.95" customHeight="1" x14ac:dyDescent="0.2">
      <c r="A545" s="293"/>
      <c r="B545" s="259"/>
      <c r="C545" s="259"/>
      <c r="E545" s="296">
        <f t="shared" si="39"/>
        <v>0</v>
      </c>
      <c r="F545" s="297"/>
      <c r="G545" s="297"/>
      <c r="H545" s="297"/>
    </row>
    <row r="546" spans="1:8" s="278" customFormat="1" ht="24.95" customHeight="1" x14ac:dyDescent="0.2">
      <c r="A546" s="293"/>
      <c r="B546" s="259"/>
      <c r="C546" s="259"/>
      <c r="E546" s="296">
        <f t="shared" si="39"/>
        <v>0</v>
      </c>
      <c r="F546" s="297"/>
      <c r="G546" s="297"/>
      <c r="H546" s="297"/>
    </row>
    <row r="547" spans="1:8" s="278" customFormat="1" ht="24.95" customHeight="1" x14ac:dyDescent="0.2">
      <c r="A547" s="293"/>
      <c r="B547" s="259"/>
      <c r="C547" s="259"/>
      <c r="E547" s="296">
        <f t="shared" si="39"/>
        <v>0</v>
      </c>
      <c r="F547" s="297"/>
      <c r="G547" s="297"/>
      <c r="H547" s="297"/>
    </row>
    <row r="548" spans="1:8" s="278" customFormat="1" ht="24.95" customHeight="1" x14ac:dyDescent="0.2">
      <c r="A548" s="293"/>
      <c r="B548" s="259"/>
      <c r="C548" s="259"/>
      <c r="E548" s="296">
        <f t="shared" si="39"/>
        <v>0</v>
      </c>
      <c r="F548" s="297"/>
      <c r="G548" s="297"/>
      <c r="H548" s="297"/>
    </row>
    <row r="549" spans="1:8" s="278" customFormat="1" ht="24.95" customHeight="1" x14ac:dyDescent="0.2">
      <c r="A549" s="293"/>
      <c r="B549" s="259"/>
      <c r="C549" s="259"/>
      <c r="E549" s="296">
        <f t="shared" si="39"/>
        <v>0</v>
      </c>
      <c r="F549" s="297"/>
      <c r="G549" s="297"/>
      <c r="H549" s="297"/>
    </row>
    <row r="550" spans="1:8" s="278" customFormat="1" ht="24.95" customHeight="1" x14ac:dyDescent="0.2">
      <c r="A550" s="293"/>
      <c r="B550" s="259"/>
      <c r="C550" s="259"/>
      <c r="E550" s="296">
        <f t="shared" si="39"/>
        <v>0</v>
      </c>
      <c r="F550" s="297"/>
      <c r="G550" s="297"/>
      <c r="H550" s="297"/>
    </row>
    <row r="551" spans="1:8" s="278" customFormat="1" ht="24.95" customHeight="1" x14ac:dyDescent="0.2">
      <c r="A551" s="293"/>
      <c r="B551" s="259"/>
      <c r="C551" s="259"/>
      <c r="E551" s="296">
        <f t="shared" si="39"/>
        <v>0</v>
      </c>
      <c r="F551" s="297"/>
      <c r="G551" s="297"/>
      <c r="H551" s="297"/>
    </row>
    <row r="552" spans="1:8" s="278" customFormat="1" ht="24.95" customHeight="1" x14ac:dyDescent="0.2">
      <c r="A552" s="293"/>
      <c r="B552" s="259"/>
      <c r="C552" s="259"/>
      <c r="E552" s="296">
        <f t="shared" si="39"/>
        <v>0</v>
      </c>
      <c r="F552" s="297"/>
      <c r="G552" s="297"/>
      <c r="H552" s="297"/>
    </row>
    <row r="553" spans="1:8" s="278" customFormat="1" ht="24.95" customHeight="1" x14ac:dyDescent="0.2">
      <c r="A553" s="293"/>
      <c r="B553" s="259"/>
      <c r="C553" s="259"/>
      <c r="E553" s="296">
        <f t="shared" si="39"/>
        <v>0</v>
      </c>
      <c r="F553" s="297"/>
      <c r="G553" s="297"/>
      <c r="H553" s="297"/>
    </row>
    <row r="554" spans="1:8" s="278" customFormat="1" ht="24.95" customHeight="1" x14ac:dyDescent="0.2">
      <c r="A554" s="293"/>
      <c r="B554" s="259"/>
      <c r="C554" s="259"/>
      <c r="E554" s="296">
        <f t="shared" si="39"/>
        <v>0</v>
      </c>
      <c r="F554" s="297"/>
      <c r="G554" s="297"/>
      <c r="H554" s="297"/>
    </row>
    <row r="555" spans="1:8" s="278" customFormat="1" ht="24.95" customHeight="1" x14ac:dyDescent="0.2">
      <c r="A555" s="293"/>
      <c r="B555" s="259"/>
      <c r="C555" s="259"/>
      <c r="E555" s="296">
        <f t="shared" si="39"/>
        <v>0</v>
      </c>
      <c r="F555" s="297"/>
      <c r="G555" s="297"/>
      <c r="H555" s="297"/>
    </row>
    <row r="556" spans="1:8" s="278" customFormat="1" ht="24.95" customHeight="1" x14ac:dyDescent="0.2">
      <c r="A556" s="293"/>
      <c r="B556" s="259"/>
      <c r="C556" s="259"/>
      <c r="E556" s="296">
        <f t="shared" si="39"/>
        <v>0</v>
      </c>
      <c r="F556" s="297"/>
      <c r="G556" s="297"/>
      <c r="H556" s="297"/>
    </row>
    <row r="557" spans="1:8" s="278" customFormat="1" ht="24.95" customHeight="1" x14ac:dyDescent="0.2">
      <c r="A557" s="293"/>
      <c r="B557" s="259"/>
      <c r="C557" s="259"/>
      <c r="E557" s="296">
        <f t="shared" si="39"/>
        <v>0</v>
      </c>
      <c r="F557" s="297"/>
      <c r="G557" s="297"/>
      <c r="H557" s="297"/>
    </row>
    <row r="558" spans="1:8" s="278" customFormat="1" ht="24.95" customHeight="1" x14ac:dyDescent="0.2">
      <c r="A558" s="293"/>
      <c r="B558" s="259"/>
      <c r="C558" s="259"/>
      <c r="E558" s="296">
        <f t="shared" si="39"/>
        <v>0</v>
      </c>
      <c r="F558" s="297"/>
      <c r="G558" s="297"/>
      <c r="H558" s="297"/>
    </row>
    <row r="559" spans="1:8" s="278" customFormat="1" ht="24.95" customHeight="1" x14ac:dyDescent="0.2">
      <c r="A559" s="293"/>
      <c r="B559" s="259"/>
      <c r="C559" s="259"/>
      <c r="E559" s="296">
        <f t="shared" si="39"/>
        <v>0</v>
      </c>
      <c r="F559" s="297"/>
      <c r="G559" s="297"/>
      <c r="H559" s="297"/>
    </row>
    <row r="560" spans="1:8" s="278" customFormat="1" ht="24.95" customHeight="1" x14ac:dyDescent="0.2">
      <c r="A560" s="293"/>
      <c r="B560" s="259"/>
      <c r="C560" s="259"/>
      <c r="E560" s="296">
        <f t="shared" si="39"/>
        <v>0</v>
      </c>
      <c r="F560" s="297"/>
      <c r="G560" s="297"/>
      <c r="H560" s="297"/>
    </row>
    <row r="561" spans="1:8" s="278" customFormat="1" ht="24.95" customHeight="1" x14ac:dyDescent="0.2">
      <c r="A561" s="293"/>
      <c r="B561" s="259"/>
      <c r="C561" s="259"/>
      <c r="E561" s="296">
        <f t="shared" si="39"/>
        <v>0</v>
      </c>
      <c r="F561" s="297"/>
      <c r="G561" s="297"/>
      <c r="H561" s="297"/>
    </row>
    <row r="562" spans="1:8" s="278" customFormat="1" ht="24.95" customHeight="1" x14ac:dyDescent="0.2">
      <c r="A562" s="293"/>
      <c r="B562" s="259"/>
      <c r="C562" s="259"/>
      <c r="E562" s="296">
        <f t="shared" si="39"/>
        <v>0</v>
      </c>
      <c r="F562" s="297"/>
      <c r="G562" s="297"/>
      <c r="H562" s="297"/>
    </row>
    <row r="563" spans="1:8" s="278" customFormat="1" ht="24.95" customHeight="1" x14ac:dyDescent="0.2">
      <c r="A563" s="293"/>
      <c r="B563" s="259"/>
      <c r="C563" s="259"/>
      <c r="E563" s="296">
        <f t="shared" si="39"/>
        <v>0</v>
      </c>
      <c r="F563" s="297"/>
      <c r="G563" s="297"/>
      <c r="H563" s="297"/>
    </row>
    <row r="564" spans="1:8" s="278" customFormat="1" ht="24.95" customHeight="1" x14ac:dyDescent="0.2">
      <c r="A564" s="293"/>
      <c r="B564" s="259"/>
      <c r="C564" s="259"/>
      <c r="E564" s="296">
        <f t="shared" si="39"/>
        <v>0</v>
      </c>
      <c r="F564" s="297"/>
      <c r="G564" s="297"/>
      <c r="H564" s="297"/>
    </row>
    <row r="565" spans="1:8" s="278" customFormat="1" ht="24.95" customHeight="1" x14ac:dyDescent="0.2">
      <c r="A565" s="293"/>
      <c r="B565" s="259"/>
      <c r="C565" s="259"/>
      <c r="E565" s="296">
        <f t="shared" si="39"/>
        <v>0</v>
      </c>
      <c r="F565" s="297"/>
      <c r="G565" s="297"/>
      <c r="H565" s="297"/>
    </row>
    <row r="566" spans="1:8" s="278" customFormat="1" ht="24.95" customHeight="1" x14ac:dyDescent="0.2">
      <c r="A566" s="293"/>
      <c r="B566" s="259"/>
      <c r="C566" s="259"/>
      <c r="E566" s="296">
        <f t="shared" si="39"/>
        <v>0</v>
      </c>
      <c r="F566" s="297"/>
      <c r="G566" s="297"/>
      <c r="H566" s="297"/>
    </row>
    <row r="567" spans="1:8" s="278" customFormat="1" ht="24.95" customHeight="1" x14ac:dyDescent="0.2">
      <c r="A567" s="293"/>
      <c r="B567" s="259"/>
      <c r="C567" s="259"/>
      <c r="E567" s="296">
        <f t="shared" si="39"/>
        <v>0</v>
      </c>
      <c r="F567" s="297"/>
      <c r="G567" s="297"/>
      <c r="H567" s="297"/>
    </row>
    <row r="568" spans="1:8" s="278" customFormat="1" ht="24.95" customHeight="1" x14ac:dyDescent="0.2">
      <c r="A568" s="293"/>
      <c r="B568" s="259"/>
      <c r="C568" s="259"/>
      <c r="E568" s="296">
        <f t="shared" si="39"/>
        <v>0</v>
      </c>
      <c r="F568" s="297"/>
      <c r="G568" s="297"/>
      <c r="H568" s="297"/>
    </row>
    <row r="569" spans="1:8" s="278" customFormat="1" ht="24.95" customHeight="1" x14ac:dyDescent="0.2">
      <c r="A569" s="293"/>
      <c r="B569" s="259"/>
      <c r="C569" s="259"/>
      <c r="E569" s="296">
        <f t="shared" si="39"/>
        <v>0</v>
      </c>
      <c r="F569" s="297"/>
      <c r="G569" s="297"/>
      <c r="H569" s="297"/>
    </row>
    <row r="570" spans="1:8" s="278" customFormat="1" ht="24.95" customHeight="1" x14ac:dyDescent="0.2">
      <c r="A570" s="293"/>
      <c r="B570" s="259"/>
      <c r="C570" s="259"/>
      <c r="E570" s="296">
        <f t="shared" si="39"/>
        <v>0</v>
      </c>
      <c r="F570" s="297"/>
      <c r="G570" s="297"/>
      <c r="H570" s="297"/>
    </row>
    <row r="571" spans="1:8" s="278" customFormat="1" ht="24.95" customHeight="1" x14ac:dyDescent="0.2">
      <c r="A571" s="293"/>
      <c r="B571" s="259"/>
      <c r="C571" s="259"/>
      <c r="E571" s="296">
        <f t="shared" si="39"/>
        <v>0</v>
      </c>
      <c r="F571" s="297"/>
      <c r="G571" s="297"/>
      <c r="H571" s="297"/>
    </row>
    <row r="572" spans="1:8" s="278" customFormat="1" ht="24.95" customHeight="1" x14ac:dyDescent="0.2">
      <c r="A572" s="293"/>
      <c r="B572" s="259"/>
      <c r="C572" s="259"/>
      <c r="E572" s="296">
        <f t="shared" si="39"/>
        <v>0</v>
      </c>
      <c r="F572" s="297"/>
      <c r="G572" s="297"/>
      <c r="H572" s="297"/>
    </row>
    <row r="573" spans="1:8" s="278" customFormat="1" ht="24.95" customHeight="1" x14ac:dyDescent="0.2">
      <c r="A573" s="293"/>
      <c r="B573" s="259"/>
      <c r="C573" s="259"/>
      <c r="E573" s="296">
        <f t="shared" si="39"/>
        <v>0</v>
      </c>
      <c r="F573" s="297"/>
      <c r="G573" s="297"/>
      <c r="H573" s="297"/>
    </row>
    <row r="574" spans="1:8" s="278" customFormat="1" ht="24.95" customHeight="1" x14ac:dyDescent="0.2">
      <c r="A574" s="293"/>
      <c r="B574" s="259"/>
      <c r="C574" s="259"/>
      <c r="E574" s="296">
        <f t="shared" si="39"/>
        <v>0</v>
      </c>
      <c r="F574" s="297"/>
      <c r="G574" s="297"/>
      <c r="H574" s="297"/>
    </row>
    <row r="575" spans="1:8" s="278" customFormat="1" ht="24.95" customHeight="1" x14ac:dyDescent="0.2">
      <c r="A575" s="293"/>
      <c r="B575" s="259"/>
      <c r="C575" s="259"/>
      <c r="E575" s="296">
        <f t="shared" si="39"/>
        <v>0</v>
      </c>
      <c r="F575" s="297"/>
      <c r="G575" s="297"/>
      <c r="H575" s="297"/>
    </row>
    <row r="576" spans="1:8" s="278" customFormat="1" ht="24.95" customHeight="1" x14ac:dyDescent="0.2">
      <c r="A576" s="293"/>
      <c r="B576" s="259"/>
      <c r="C576" s="259"/>
      <c r="E576" s="296">
        <f t="shared" si="39"/>
        <v>0</v>
      </c>
      <c r="F576" s="297"/>
      <c r="G576" s="297"/>
      <c r="H576" s="297"/>
    </row>
    <row r="577" spans="1:8" s="278" customFormat="1" ht="24.95" customHeight="1" x14ac:dyDescent="0.2">
      <c r="A577" s="293"/>
      <c r="B577" s="259"/>
      <c r="C577" s="259"/>
      <c r="E577" s="296">
        <f t="shared" si="39"/>
        <v>0</v>
      </c>
      <c r="F577" s="297"/>
      <c r="G577" s="297"/>
      <c r="H577" s="297"/>
    </row>
    <row r="578" spans="1:8" s="278" customFormat="1" ht="24.95" customHeight="1" x14ac:dyDescent="0.2">
      <c r="A578" s="293"/>
      <c r="B578" s="259"/>
      <c r="C578" s="259"/>
      <c r="E578" s="296">
        <f t="shared" si="39"/>
        <v>0</v>
      </c>
      <c r="F578" s="297"/>
      <c r="G578" s="297"/>
      <c r="H578" s="297"/>
    </row>
    <row r="579" spans="1:8" s="278" customFormat="1" ht="24.95" customHeight="1" x14ac:dyDescent="0.2">
      <c r="A579" s="293"/>
      <c r="B579" s="259"/>
      <c r="C579" s="259"/>
      <c r="E579" s="296">
        <f t="shared" si="39"/>
        <v>0</v>
      </c>
      <c r="F579" s="297"/>
      <c r="G579" s="297"/>
      <c r="H579" s="297"/>
    </row>
    <row r="580" spans="1:8" s="278" customFormat="1" ht="24.95" customHeight="1" x14ac:dyDescent="0.2">
      <c r="A580" s="293"/>
      <c r="B580" s="259"/>
      <c r="C580" s="259"/>
      <c r="E580" s="296">
        <f t="shared" si="39"/>
        <v>0</v>
      </c>
      <c r="F580" s="297"/>
      <c r="G580" s="297"/>
      <c r="H580" s="297"/>
    </row>
    <row r="581" spans="1:8" s="278" customFormat="1" ht="24.95" customHeight="1" x14ac:dyDescent="0.2">
      <c r="A581" s="293"/>
      <c r="B581" s="259"/>
      <c r="C581" s="259"/>
      <c r="E581" s="296">
        <f t="shared" si="39"/>
        <v>0</v>
      </c>
      <c r="F581" s="297"/>
      <c r="G581" s="297"/>
      <c r="H581" s="297"/>
    </row>
    <row r="582" spans="1:8" s="278" customFormat="1" ht="24.95" customHeight="1" x14ac:dyDescent="0.2">
      <c r="A582" s="293"/>
      <c r="B582" s="259"/>
      <c r="C582" s="259"/>
      <c r="E582" s="296">
        <f t="shared" si="39"/>
        <v>0</v>
      </c>
      <c r="F582" s="297"/>
      <c r="G582" s="297"/>
      <c r="H582" s="297"/>
    </row>
    <row r="583" spans="1:8" s="278" customFormat="1" ht="24.95" customHeight="1" x14ac:dyDescent="0.2">
      <c r="A583" s="293"/>
      <c r="B583" s="259"/>
      <c r="C583" s="259"/>
      <c r="E583" s="296">
        <f t="shared" si="39"/>
        <v>0</v>
      </c>
      <c r="F583" s="297"/>
      <c r="G583" s="297"/>
      <c r="H583" s="297"/>
    </row>
    <row r="584" spans="1:8" s="278" customFormat="1" ht="24.95" customHeight="1" x14ac:dyDescent="0.2">
      <c r="A584" s="293"/>
      <c r="B584" s="259"/>
      <c r="C584" s="259"/>
      <c r="E584" s="296">
        <f t="shared" si="39"/>
        <v>0</v>
      </c>
      <c r="F584" s="297"/>
      <c r="G584" s="297"/>
      <c r="H584" s="297"/>
    </row>
    <row r="585" spans="1:8" s="278" customFormat="1" ht="24.95" customHeight="1" x14ac:dyDescent="0.2">
      <c r="A585" s="293"/>
      <c r="B585" s="259"/>
      <c r="C585" s="259"/>
      <c r="E585" s="296">
        <f t="shared" si="39"/>
        <v>0</v>
      </c>
      <c r="F585" s="297"/>
      <c r="G585" s="297"/>
      <c r="H585" s="297"/>
    </row>
    <row r="586" spans="1:8" s="278" customFormat="1" ht="24.95" customHeight="1" x14ac:dyDescent="0.2">
      <c r="A586" s="293"/>
      <c r="B586" s="259"/>
      <c r="C586" s="259"/>
      <c r="E586" s="296">
        <f t="shared" si="39"/>
        <v>0</v>
      </c>
      <c r="F586" s="297"/>
      <c r="G586" s="297"/>
      <c r="H586" s="297"/>
    </row>
    <row r="587" spans="1:8" s="278" customFormat="1" ht="24.95" customHeight="1" x14ac:dyDescent="0.2">
      <c r="A587" s="293"/>
      <c r="B587" s="259"/>
      <c r="C587" s="259"/>
      <c r="E587" s="296">
        <f t="shared" ref="E587:E650" si="40">A587</f>
        <v>0</v>
      </c>
      <c r="F587" s="297"/>
      <c r="G587" s="297"/>
      <c r="H587" s="297"/>
    </row>
    <row r="588" spans="1:8" s="278" customFormat="1" ht="24.95" customHeight="1" x14ac:dyDescent="0.2">
      <c r="A588" s="293"/>
      <c r="B588" s="259"/>
      <c r="C588" s="259"/>
      <c r="E588" s="296">
        <f t="shared" si="40"/>
        <v>0</v>
      </c>
      <c r="F588" s="297"/>
      <c r="G588" s="297"/>
      <c r="H588" s="297"/>
    </row>
    <row r="589" spans="1:8" s="278" customFormat="1" ht="24.95" customHeight="1" x14ac:dyDescent="0.2">
      <c r="A589" s="293"/>
      <c r="B589" s="259"/>
      <c r="C589" s="259"/>
      <c r="E589" s="296">
        <f t="shared" si="40"/>
        <v>0</v>
      </c>
      <c r="F589" s="297"/>
      <c r="G589" s="297"/>
      <c r="H589" s="297"/>
    </row>
    <row r="590" spans="1:8" s="278" customFormat="1" ht="24.95" customHeight="1" x14ac:dyDescent="0.2">
      <c r="A590" s="293"/>
      <c r="B590" s="259"/>
      <c r="C590" s="259"/>
      <c r="E590" s="296">
        <f t="shared" si="40"/>
        <v>0</v>
      </c>
      <c r="F590" s="297"/>
      <c r="G590" s="297"/>
      <c r="H590" s="297"/>
    </row>
    <row r="591" spans="1:8" s="278" customFormat="1" ht="24.95" customHeight="1" x14ac:dyDescent="0.2">
      <c r="A591" s="293"/>
      <c r="B591" s="259"/>
      <c r="C591" s="259"/>
      <c r="E591" s="296">
        <f t="shared" si="40"/>
        <v>0</v>
      </c>
      <c r="F591" s="297"/>
      <c r="G591" s="297"/>
      <c r="H591" s="297"/>
    </row>
    <row r="592" spans="1:8" s="278" customFormat="1" ht="24.95" customHeight="1" x14ac:dyDescent="0.2">
      <c r="A592" s="293"/>
      <c r="B592" s="259"/>
      <c r="C592" s="259"/>
      <c r="E592" s="296">
        <f t="shared" si="40"/>
        <v>0</v>
      </c>
      <c r="F592" s="297"/>
      <c r="G592" s="297"/>
      <c r="H592" s="297"/>
    </row>
    <row r="593" spans="1:8" s="278" customFormat="1" ht="24.95" customHeight="1" x14ac:dyDescent="0.2">
      <c r="A593" s="293"/>
      <c r="B593" s="259"/>
      <c r="C593" s="259"/>
      <c r="E593" s="296">
        <f t="shared" si="40"/>
        <v>0</v>
      </c>
      <c r="F593" s="297"/>
      <c r="G593" s="297"/>
      <c r="H593" s="297"/>
    </row>
    <row r="594" spans="1:8" s="278" customFormat="1" ht="24.95" customHeight="1" x14ac:dyDescent="0.2">
      <c r="A594" s="293"/>
      <c r="B594" s="259"/>
      <c r="C594" s="259"/>
      <c r="E594" s="296">
        <f t="shared" si="40"/>
        <v>0</v>
      </c>
      <c r="F594" s="297"/>
      <c r="G594" s="297"/>
      <c r="H594" s="297"/>
    </row>
    <row r="595" spans="1:8" s="278" customFormat="1" ht="24.95" customHeight="1" x14ac:dyDescent="0.2">
      <c r="A595" s="293"/>
      <c r="B595" s="259"/>
      <c r="C595" s="259"/>
      <c r="E595" s="296">
        <f t="shared" si="40"/>
        <v>0</v>
      </c>
      <c r="F595" s="297"/>
      <c r="G595" s="297"/>
      <c r="H595" s="297"/>
    </row>
    <row r="596" spans="1:8" s="278" customFormat="1" ht="24.95" customHeight="1" x14ac:dyDescent="0.2">
      <c r="A596" s="293"/>
      <c r="B596" s="259"/>
      <c r="C596" s="259"/>
      <c r="E596" s="296">
        <f t="shared" si="40"/>
        <v>0</v>
      </c>
      <c r="F596" s="297"/>
      <c r="G596" s="297"/>
      <c r="H596" s="297"/>
    </row>
    <row r="597" spans="1:8" s="278" customFormat="1" ht="24.95" customHeight="1" x14ac:dyDescent="0.2">
      <c r="A597" s="293"/>
      <c r="B597" s="259"/>
      <c r="C597" s="259"/>
      <c r="E597" s="296">
        <f t="shared" si="40"/>
        <v>0</v>
      </c>
      <c r="F597" s="297"/>
      <c r="G597" s="297"/>
      <c r="H597" s="297"/>
    </row>
    <row r="598" spans="1:8" s="278" customFormat="1" ht="24.95" customHeight="1" x14ac:dyDescent="0.2">
      <c r="A598" s="293"/>
      <c r="B598" s="259"/>
      <c r="C598" s="259"/>
      <c r="E598" s="296">
        <f t="shared" si="40"/>
        <v>0</v>
      </c>
      <c r="F598" s="297"/>
      <c r="G598" s="297"/>
      <c r="H598" s="297"/>
    </row>
    <row r="599" spans="1:8" s="278" customFormat="1" ht="24.95" customHeight="1" x14ac:dyDescent="0.2">
      <c r="A599" s="293"/>
      <c r="B599" s="259"/>
      <c r="C599" s="259"/>
      <c r="E599" s="296">
        <f t="shared" si="40"/>
        <v>0</v>
      </c>
      <c r="F599" s="297"/>
      <c r="G599" s="297"/>
      <c r="H599" s="297"/>
    </row>
    <row r="600" spans="1:8" s="278" customFormat="1" ht="24.95" customHeight="1" x14ac:dyDescent="0.2">
      <c r="A600" s="293"/>
      <c r="B600" s="259"/>
      <c r="C600" s="259"/>
      <c r="E600" s="296">
        <f t="shared" si="40"/>
        <v>0</v>
      </c>
      <c r="F600" s="297"/>
      <c r="G600" s="297"/>
      <c r="H600" s="297"/>
    </row>
    <row r="601" spans="1:8" s="278" customFormat="1" ht="24.95" customHeight="1" x14ac:dyDescent="0.2">
      <c r="A601" s="293"/>
      <c r="B601" s="259"/>
      <c r="C601" s="259"/>
      <c r="E601" s="296">
        <f t="shared" si="40"/>
        <v>0</v>
      </c>
      <c r="F601" s="297"/>
      <c r="G601" s="297"/>
      <c r="H601" s="297"/>
    </row>
    <row r="602" spans="1:8" s="278" customFormat="1" ht="24.95" customHeight="1" x14ac:dyDescent="0.2">
      <c r="A602" s="293"/>
      <c r="B602" s="259"/>
      <c r="C602" s="259"/>
      <c r="E602" s="296">
        <f t="shared" si="40"/>
        <v>0</v>
      </c>
      <c r="F602" s="297"/>
      <c r="G602" s="297"/>
      <c r="H602" s="297"/>
    </row>
    <row r="603" spans="1:8" s="278" customFormat="1" ht="24.95" customHeight="1" x14ac:dyDescent="0.2">
      <c r="A603" s="293"/>
      <c r="B603" s="259"/>
      <c r="C603" s="259"/>
      <c r="E603" s="296">
        <f t="shared" si="40"/>
        <v>0</v>
      </c>
      <c r="F603" s="297"/>
      <c r="G603" s="297"/>
      <c r="H603" s="297"/>
    </row>
    <row r="604" spans="1:8" s="278" customFormat="1" ht="24.95" customHeight="1" x14ac:dyDescent="0.2">
      <c r="A604" s="293"/>
      <c r="B604" s="259"/>
      <c r="C604" s="259"/>
      <c r="E604" s="296">
        <f t="shared" si="40"/>
        <v>0</v>
      </c>
      <c r="F604" s="297"/>
      <c r="G604" s="297"/>
      <c r="H604" s="297"/>
    </row>
    <row r="605" spans="1:8" s="278" customFormat="1" ht="24.95" customHeight="1" x14ac:dyDescent="0.2">
      <c r="A605" s="293"/>
      <c r="B605" s="259"/>
      <c r="C605" s="259"/>
      <c r="E605" s="296">
        <f t="shared" si="40"/>
        <v>0</v>
      </c>
      <c r="F605" s="297"/>
      <c r="G605" s="297"/>
      <c r="H605" s="297"/>
    </row>
    <row r="606" spans="1:8" s="278" customFormat="1" ht="24.95" customHeight="1" x14ac:dyDescent="0.2">
      <c r="A606" s="293"/>
      <c r="B606" s="259"/>
      <c r="C606" s="259"/>
      <c r="E606" s="296">
        <f t="shared" si="40"/>
        <v>0</v>
      </c>
      <c r="F606" s="297"/>
      <c r="G606" s="297"/>
      <c r="H606" s="297"/>
    </row>
    <row r="607" spans="1:8" s="278" customFormat="1" ht="24.95" customHeight="1" x14ac:dyDescent="0.2">
      <c r="A607" s="293"/>
      <c r="B607" s="259"/>
      <c r="C607" s="259"/>
      <c r="E607" s="296">
        <f t="shared" si="40"/>
        <v>0</v>
      </c>
      <c r="F607" s="297"/>
      <c r="G607" s="297"/>
      <c r="H607" s="297"/>
    </row>
    <row r="608" spans="1:8" s="278" customFormat="1" ht="24.95" customHeight="1" x14ac:dyDescent="0.2">
      <c r="A608" s="293"/>
      <c r="B608" s="259"/>
      <c r="C608" s="259"/>
      <c r="E608" s="296">
        <f t="shared" si="40"/>
        <v>0</v>
      </c>
      <c r="F608" s="297"/>
      <c r="G608" s="297"/>
      <c r="H608" s="297"/>
    </row>
    <row r="609" spans="1:8" s="278" customFormat="1" ht="24.95" customHeight="1" x14ac:dyDescent="0.2">
      <c r="A609" s="293"/>
      <c r="B609" s="259"/>
      <c r="C609" s="259"/>
      <c r="E609" s="296">
        <f t="shared" si="40"/>
        <v>0</v>
      </c>
      <c r="F609" s="297"/>
      <c r="G609" s="297"/>
      <c r="H609" s="297"/>
    </row>
    <row r="610" spans="1:8" s="278" customFormat="1" ht="24.95" customHeight="1" x14ac:dyDescent="0.2">
      <c r="A610" s="293"/>
      <c r="B610" s="259"/>
      <c r="C610" s="259"/>
      <c r="E610" s="296">
        <f t="shared" si="40"/>
        <v>0</v>
      </c>
      <c r="F610" s="297"/>
      <c r="G610" s="297"/>
      <c r="H610" s="297"/>
    </row>
    <row r="611" spans="1:8" s="278" customFormat="1" ht="24.95" customHeight="1" x14ac:dyDescent="0.2">
      <c r="A611" s="293"/>
      <c r="B611" s="259"/>
      <c r="C611" s="259"/>
      <c r="E611" s="296">
        <f t="shared" si="40"/>
        <v>0</v>
      </c>
      <c r="F611" s="297"/>
      <c r="G611" s="297"/>
      <c r="H611" s="297"/>
    </row>
    <row r="612" spans="1:8" s="278" customFormat="1" ht="24.95" customHeight="1" x14ac:dyDescent="0.2">
      <c r="A612" s="293"/>
      <c r="B612" s="259"/>
      <c r="C612" s="259"/>
      <c r="E612" s="296">
        <f t="shared" si="40"/>
        <v>0</v>
      </c>
      <c r="F612" s="297"/>
      <c r="G612" s="297"/>
      <c r="H612" s="297"/>
    </row>
    <row r="613" spans="1:8" s="278" customFormat="1" ht="24.95" customHeight="1" x14ac:dyDescent="0.2">
      <c r="A613" s="293"/>
      <c r="B613" s="259"/>
      <c r="C613" s="259"/>
      <c r="E613" s="296">
        <f t="shared" si="40"/>
        <v>0</v>
      </c>
      <c r="F613" s="297"/>
      <c r="G613" s="297"/>
      <c r="H613" s="297"/>
    </row>
    <row r="614" spans="1:8" s="278" customFormat="1" ht="24.95" customHeight="1" x14ac:dyDescent="0.2">
      <c r="A614" s="293"/>
      <c r="B614" s="259"/>
      <c r="C614" s="259"/>
      <c r="E614" s="296">
        <f t="shared" si="40"/>
        <v>0</v>
      </c>
      <c r="F614" s="297"/>
      <c r="G614" s="297"/>
      <c r="H614" s="297"/>
    </row>
    <row r="615" spans="1:8" s="278" customFormat="1" ht="24.95" customHeight="1" x14ac:dyDescent="0.2">
      <c r="A615" s="293"/>
      <c r="B615" s="259"/>
      <c r="C615" s="259"/>
      <c r="E615" s="296">
        <f t="shared" si="40"/>
        <v>0</v>
      </c>
      <c r="F615" s="297"/>
      <c r="G615" s="297"/>
      <c r="H615" s="297"/>
    </row>
    <row r="616" spans="1:8" s="278" customFormat="1" ht="24.95" customHeight="1" x14ac:dyDescent="0.2">
      <c r="A616" s="293"/>
      <c r="B616" s="259"/>
      <c r="C616" s="259"/>
      <c r="E616" s="296">
        <f t="shared" si="40"/>
        <v>0</v>
      </c>
      <c r="F616" s="297"/>
      <c r="G616" s="297"/>
      <c r="H616" s="297"/>
    </row>
    <row r="617" spans="1:8" s="278" customFormat="1" ht="24.95" customHeight="1" x14ac:dyDescent="0.2">
      <c r="A617" s="293"/>
      <c r="B617" s="259"/>
      <c r="C617" s="259"/>
      <c r="E617" s="296">
        <f t="shared" si="40"/>
        <v>0</v>
      </c>
      <c r="F617" s="297"/>
      <c r="G617" s="297"/>
      <c r="H617" s="297"/>
    </row>
    <row r="618" spans="1:8" s="278" customFormat="1" ht="24.95" customHeight="1" x14ac:dyDescent="0.2">
      <c r="A618" s="293"/>
      <c r="B618" s="259"/>
      <c r="C618" s="259"/>
      <c r="E618" s="296">
        <f t="shared" si="40"/>
        <v>0</v>
      </c>
      <c r="F618" s="297"/>
      <c r="G618" s="297"/>
      <c r="H618" s="297"/>
    </row>
    <row r="619" spans="1:8" s="278" customFormat="1" ht="24.95" customHeight="1" x14ac:dyDescent="0.2">
      <c r="A619" s="293"/>
      <c r="B619" s="259"/>
      <c r="C619" s="259"/>
      <c r="E619" s="296">
        <f t="shared" si="40"/>
        <v>0</v>
      </c>
      <c r="F619" s="297"/>
      <c r="G619" s="297"/>
      <c r="H619" s="297"/>
    </row>
    <row r="620" spans="1:8" s="278" customFormat="1" ht="24.95" customHeight="1" x14ac:dyDescent="0.2">
      <c r="A620" s="293"/>
      <c r="B620" s="259"/>
      <c r="C620" s="259"/>
      <c r="E620" s="296">
        <f t="shared" si="40"/>
        <v>0</v>
      </c>
      <c r="F620" s="297"/>
      <c r="G620" s="297"/>
      <c r="H620" s="297"/>
    </row>
    <row r="621" spans="1:8" s="278" customFormat="1" ht="24.95" customHeight="1" x14ac:dyDescent="0.2">
      <c r="A621" s="293"/>
      <c r="B621" s="259"/>
      <c r="C621" s="259"/>
      <c r="E621" s="296">
        <f t="shared" si="40"/>
        <v>0</v>
      </c>
      <c r="F621" s="297"/>
      <c r="G621" s="297"/>
      <c r="H621" s="297"/>
    </row>
    <row r="622" spans="1:8" s="278" customFormat="1" ht="24.95" customHeight="1" x14ac:dyDescent="0.2">
      <c r="A622" s="293"/>
      <c r="B622" s="259"/>
      <c r="C622" s="259"/>
      <c r="E622" s="296">
        <f t="shared" si="40"/>
        <v>0</v>
      </c>
      <c r="F622" s="297"/>
      <c r="G622" s="297"/>
      <c r="H622" s="297"/>
    </row>
    <row r="623" spans="1:8" s="278" customFormat="1" ht="24.95" customHeight="1" x14ac:dyDescent="0.2">
      <c r="A623" s="293"/>
      <c r="B623" s="259"/>
      <c r="C623" s="259"/>
      <c r="E623" s="296">
        <f t="shared" si="40"/>
        <v>0</v>
      </c>
      <c r="F623" s="297"/>
      <c r="G623" s="297"/>
      <c r="H623" s="297"/>
    </row>
    <row r="624" spans="1:8" s="278" customFormat="1" ht="24.95" customHeight="1" x14ac:dyDescent="0.2">
      <c r="A624" s="293"/>
      <c r="B624" s="259"/>
      <c r="C624" s="259"/>
      <c r="E624" s="296">
        <f t="shared" si="40"/>
        <v>0</v>
      </c>
      <c r="F624" s="297"/>
      <c r="G624" s="297"/>
      <c r="H624" s="297"/>
    </row>
    <row r="625" spans="1:8" s="278" customFormat="1" ht="24.95" customHeight="1" x14ac:dyDescent="0.2">
      <c r="A625" s="293"/>
      <c r="B625" s="259"/>
      <c r="C625" s="259"/>
      <c r="E625" s="296">
        <f t="shared" si="40"/>
        <v>0</v>
      </c>
      <c r="F625" s="297"/>
      <c r="G625" s="297"/>
      <c r="H625" s="297"/>
    </row>
    <row r="626" spans="1:8" s="278" customFormat="1" ht="24.95" customHeight="1" x14ac:dyDescent="0.2">
      <c r="A626" s="293"/>
      <c r="B626" s="259"/>
      <c r="C626" s="259"/>
      <c r="E626" s="296">
        <f t="shared" si="40"/>
        <v>0</v>
      </c>
      <c r="F626" s="297"/>
      <c r="G626" s="297"/>
      <c r="H626" s="297"/>
    </row>
    <row r="627" spans="1:8" s="278" customFormat="1" ht="24.95" customHeight="1" x14ac:dyDescent="0.2">
      <c r="A627" s="293"/>
      <c r="B627" s="259"/>
      <c r="C627" s="259"/>
      <c r="E627" s="296">
        <f t="shared" si="40"/>
        <v>0</v>
      </c>
      <c r="F627" s="297"/>
      <c r="G627" s="297"/>
      <c r="H627" s="297"/>
    </row>
    <row r="628" spans="1:8" s="278" customFormat="1" ht="24.95" customHeight="1" x14ac:dyDescent="0.2">
      <c r="A628" s="293"/>
      <c r="B628" s="259"/>
      <c r="C628" s="259"/>
      <c r="E628" s="296">
        <f t="shared" si="40"/>
        <v>0</v>
      </c>
      <c r="F628" s="297"/>
      <c r="G628" s="297"/>
      <c r="H628" s="297"/>
    </row>
    <row r="629" spans="1:8" s="278" customFormat="1" ht="24.95" customHeight="1" x14ac:dyDescent="0.2">
      <c r="A629" s="293"/>
      <c r="B629" s="259"/>
      <c r="C629" s="259"/>
      <c r="E629" s="296">
        <f t="shared" si="40"/>
        <v>0</v>
      </c>
      <c r="F629" s="297"/>
      <c r="G629" s="297"/>
      <c r="H629" s="297"/>
    </row>
    <row r="630" spans="1:8" s="278" customFormat="1" ht="24.95" customHeight="1" x14ac:dyDescent="0.2">
      <c r="A630" s="293"/>
      <c r="B630" s="259"/>
      <c r="C630" s="259"/>
      <c r="E630" s="296">
        <f t="shared" si="40"/>
        <v>0</v>
      </c>
      <c r="F630" s="297"/>
      <c r="G630" s="297"/>
      <c r="H630" s="297"/>
    </row>
    <row r="631" spans="1:8" s="278" customFormat="1" ht="24.95" customHeight="1" x14ac:dyDescent="0.2">
      <c r="A631" s="293"/>
      <c r="B631" s="259"/>
      <c r="C631" s="259"/>
      <c r="E631" s="296">
        <f t="shared" si="40"/>
        <v>0</v>
      </c>
      <c r="F631" s="297"/>
      <c r="G631" s="297"/>
      <c r="H631" s="297"/>
    </row>
    <row r="632" spans="1:8" s="278" customFormat="1" ht="24.95" customHeight="1" x14ac:dyDescent="0.2">
      <c r="A632" s="293"/>
      <c r="B632" s="259"/>
      <c r="C632" s="259"/>
      <c r="E632" s="296">
        <f t="shared" si="40"/>
        <v>0</v>
      </c>
      <c r="F632" s="297"/>
      <c r="G632" s="297"/>
      <c r="H632" s="297"/>
    </row>
    <row r="633" spans="1:8" s="278" customFormat="1" ht="24.95" customHeight="1" x14ac:dyDescent="0.2">
      <c r="A633" s="293"/>
      <c r="B633" s="259"/>
      <c r="C633" s="259"/>
      <c r="E633" s="296">
        <f t="shared" si="40"/>
        <v>0</v>
      </c>
      <c r="F633" s="297"/>
      <c r="G633" s="297"/>
      <c r="H633" s="297"/>
    </row>
    <row r="634" spans="1:8" s="278" customFormat="1" ht="24.95" customHeight="1" x14ac:dyDescent="0.2">
      <c r="A634" s="293"/>
      <c r="B634" s="259"/>
      <c r="C634" s="259"/>
      <c r="E634" s="296">
        <f t="shared" si="40"/>
        <v>0</v>
      </c>
      <c r="F634" s="297"/>
      <c r="G634" s="297"/>
      <c r="H634" s="297"/>
    </row>
    <row r="635" spans="1:8" s="278" customFormat="1" ht="24.95" customHeight="1" x14ac:dyDescent="0.2">
      <c r="A635" s="293"/>
      <c r="B635" s="259"/>
      <c r="C635" s="259"/>
      <c r="E635" s="296">
        <f t="shared" si="40"/>
        <v>0</v>
      </c>
      <c r="F635" s="297"/>
      <c r="G635" s="297"/>
      <c r="H635" s="297"/>
    </row>
    <row r="636" spans="1:8" s="278" customFormat="1" ht="24.95" customHeight="1" x14ac:dyDescent="0.2">
      <c r="A636" s="293"/>
      <c r="B636" s="259"/>
      <c r="C636" s="259"/>
      <c r="E636" s="296">
        <f t="shared" si="40"/>
        <v>0</v>
      </c>
      <c r="F636" s="297"/>
      <c r="G636" s="297"/>
      <c r="H636" s="297"/>
    </row>
    <row r="637" spans="1:8" s="278" customFormat="1" ht="24.95" customHeight="1" x14ac:dyDescent="0.2">
      <c r="A637" s="293"/>
      <c r="B637" s="259"/>
      <c r="C637" s="259"/>
      <c r="E637" s="296">
        <f t="shared" si="40"/>
        <v>0</v>
      </c>
      <c r="F637" s="297"/>
      <c r="G637" s="297"/>
      <c r="H637" s="297"/>
    </row>
    <row r="638" spans="1:8" s="278" customFormat="1" ht="24.95" customHeight="1" x14ac:dyDescent="0.2">
      <c r="A638" s="293"/>
      <c r="B638" s="259"/>
      <c r="C638" s="259"/>
      <c r="E638" s="296">
        <f t="shared" si="40"/>
        <v>0</v>
      </c>
      <c r="F638" s="297"/>
      <c r="G638" s="297"/>
      <c r="H638" s="297"/>
    </row>
    <row r="639" spans="1:8" s="278" customFormat="1" ht="24.95" customHeight="1" x14ac:dyDescent="0.2">
      <c r="A639" s="293"/>
      <c r="B639" s="259"/>
      <c r="C639" s="259"/>
      <c r="E639" s="296">
        <f t="shared" si="40"/>
        <v>0</v>
      </c>
      <c r="F639" s="297"/>
      <c r="G639" s="297"/>
      <c r="H639" s="297"/>
    </row>
    <row r="640" spans="1:8" s="278" customFormat="1" ht="24.95" customHeight="1" x14ac:dyDescent="0.2">
      <c r="A640" s="293"/>
      <c r="B640" s="259"/>
      <c r="C640" s="259"/>
      <c r="E640" s="296">
        <f t="shared" si="40"/>
        <v>0</v>
      </c>
      <c r="F640" s="297"/>
      <c r="G640" s="297"/>
      <c r="H640" s="297"/>
    </row>
    <row r="641" spans="1:8" s="278" customFormat="1" ht="24.95" customHeight="1" x14ac:dyDescent="0.2">
      <c r="A641" s="293"/>
      <c r="B641" s="259"/>
      <c r="C641" s="259"/>
      <c r="E641" s="296">
        <f t="shared" si="40"/>
        <v>0</v>
      </c>
      <c r="F641" s="297"/>
      <c r="G641" s="297"/>
      <c r="H641" s="297"/>
    </row>
    <row r="642" spans="1:8" s="278" customFormat="1" ht="24.95" customHeight="1" x14ac:dyDescent="0.2">
      <c r="A642" s="293"/>
      <c r="B642" s="259"/>
      <c r="C642" s="259"/>
      <c r="E642" s="296">
        <f t="shared" si="40"/>
        <v>0</v>
      </c>
      <c r="F642" s="297"/>
      <c r="G642" s="297"/>
      <c r="H642" s="297"/>
    </row>
    <row r="643" spans="1:8" s="278" customFormat="1" ht="24.95" customHeight="1" x14ac:dyDescent="0.2">
      <c r="A643" s="293"/>
      <c r="B643" s="259"/>
      <c r="C643" s="259"/>
      <c r="E643" s="296">
        <f t="shared" si="40"/>
        <v>0</v>
      </c>
      <c r="F643" s="297"/>
      <c r="G643" s="297"/>
      <c r="H643" s="297"/>
    </row>
    <row r="644" spans="1:8" s="278" customFormat="1" ht="24.95" customHeight="1" x14ac:dyDescent="0.2">
      <c r="A644" s="293"/>
      <c r="B644" s="259"/>
      <c r="C644" s="259"/>
      <c r="E644" s="296">
        <f t="shared" si="40"/>
        <v>0</v>
      </c>
      <c r="F644" s="297"/>
      <c r="G644" s="297"/>
      <c r="H644" s="297"/>
    </row>
    <row r="645" spans="1:8" s="278" customFormat="1" ht="24.95" customHeight="1" x14ac:dyDescent="0.2">
      <c r="A645" s="293"/>
      <c r="B645" s="259"/>
      <c r="C645" s="259"/>
      <c r="E645" s="296">
        <f t="shared" si="40"/>
        <v>0</v>
      </c>
      <c r="F645" s="297"/>
      <c r="G645" s="297"/>
      <c r="H645" s="297"/>
    </row>
    <row r="646" spans="1:8" s="278" customFormat="1" ht="24.95" customHeight="1" x14ac:dyDescent="0.2">
      <c r="A646" s="293"/>
      <c r="B646" s="259"/>
      <c r="C646" s="259"/>
      <c r="E646" s="296">
        <f t="shared" si="40"/>
        <v>0</v>
      </c>
      <c r="F646" s="297"/>
      <c r="G646" s="297"/>
      <c r="H646" s="297"/>
    </row>
    <row r="647" spans="1:8" s="278" customFormat="1" ht="24.95" customHeight="1" x14ac:dyDescent="0.2">
      <c r="A647" s="293"/>
      <c r="B647" s="259"/>
      <c r="C647" s="259"/>
      <c r="E647" s="296">
        <f t="shared" si="40"/>
        <v>0</v>
      </c>
      <c r="F647" s="297"/>
      <c r="G647" s="297"/>
      <c r="H647" s="297"/>
    </row>
    <row r="648" spans="1:8" s="278" customFormat="1" ht="24.95" customHeight="1" x14ac:dyDescent="0.2">
      <c r="A648" s="293"/>
      <c r="B648" s="259"/>
      <c r="C648" s="259"/>
      <c r="E648" s="296">
        <f t="shared" si="40"/>
        <v>0</v>
      </c>
      <c r="F648" s="297"/>
      <c r="G648" s="297"/>
      <c r="H648" s="297"/>
    </row>
    <row r="649" spans="1:8" s="278" customFormat="1" ht="24.95" customHeight="1" x14ac:dyDescent="0.2">
      <c r="A649" s="293"/>
      <c r="B649" s="259"/>
      <c r="C649" s="259"/>
      <c r="E649" s="296">
        <f t="shared" si="40"/>
        <v>0</v>
      </c>
      <c r="F649" s="297"/>
      <c r="G649" s="297"/>
      <c r="H649" s="297"/>
    </row>
    <row r="650" spans="1:8" s="278" customFormat="1" ht="24.95" customHeight="1" x14ac:dyDescent="0.2">
      <c r="A650" s="293"/>
      <c r="B650" s="259"/>
      <c r="C650" s="259"/>
      <c r="E650" s="296">
        <f t="shared" si="40"/>
        <v>0</v>
      </c>
      <c r="F650" s="297"/>
      <c r="G650" s="297"/>
      <c r="H650" s="297"/>
    </row>
    <row r="651" spans="1:8" s="278" customFormat="1" ht="24.95" customHeight="1" x14ac:dyDescent="0.2">
      <c r="A651" s="293"/>
      <c r="B651" s="259"/>
      <c r="C651" s="259"/>
      <c r="E651" s="296">
        <f t="shared" ref="E651:E714" si="41">A651</f>
        <v>0</v>
      </c>
      <c r="F651" s="297"/>
      <c r="G651" s="297"/>
      <c r="H651" s="297"/>
    </row>
    <row r="652" spans="1:8" s="278" customFormat="1" ht="24.95" customHeight="1" x14ac:dyDescent="0.2">
      <c r="A652" s="293"/>
      <c r="B652" s="259"/>
      <c r="C652" s="259"/>
      <c r="E652" s="296">
        <f t="shared" si="41"/>
        <v>0</v>
      </c>
      <c r="F652" s="297"/>
      <c r="G652" s="297"/>
      <c r="H652" s="297"/>
    </row>
    <row r="653" spans="1:8" s="278" customFormat="1" ht="24.95" customHeight="1" x14ac:dyDescent="0.2">
      <c r="A653" s="293"/>
      <c r="B653" s="259"/>
      <c r="C653" s="259"/>
      <c r="E653" s="296">
        <f t="shared" si="41"/>
        <v>0</v>
      </c>
      <c r="F653" s="297"/>
      <c r="G653" s="297"/>
      <c r="H653" s="297"/>
    </row>
    <row r="654" spans="1:8" s="278" customFormat="1" ht="24.95" customHeight="1" x14ac:dyDescent="0.2">
      <c r="A654" s="293"/>
      <c r="B654" s="259"/>
      <c r="C654" s="259"/>
      <c r="E654" s="296">
        <f t="shared" si="41"/>
        <v>0</v>
      </c>
      <c r="F654" s="297"/>
      <c r="G654" s="297"/>
      <c r="H654" s="297"/>
    </row>
    <row r="655" spans="1:8" s="278" customFormat="1" ht="24.95" customHeight="1" x14ac:dyDescent="0.2">
      <c r="A655" s="293"/>
      <c r="B655" s="259"/>
      <c r="C655" s="259"/>
      <c r="E655" s="296">
        <f t="shared" si="41"/>
        <v>0</v>
      </c>
      <c r="F655" s="297"/>
      <c r="G655" s="297"/>
      <c r="H655" s="297"/>
    </row>
    <row r="656" spans="1:8" s="278" customFormat="1" ht="24.95" customHeight="1" x14ac:dyDescent="0.2">
      <c r="A656" s="293"/>
      <c r="B656" s="259"/>
      <c r="C656" s="259"/>
      <c r="E656" s="296">
        <f t="shared" si="41"/>
        <v>0</v>
      </c>
      <c r="F656" s="297"/>
      <c r="G656" s="297"/>
      <c r="H656" s="297"/>
    </row>
    <row r="657" spans="1:8" s="278" customFormat="1" ht="24.95" customHeight="1" x14ac:dyDescent="0.2">
      <c r="A657" s="293"/>
      <c r="B657" s="259"/>
      <c r="C657" s="259"/>
      <c r="E657" s="296">
        <f t="shared" si="41"/>
        <v>0</v>
      </c>
      <c r="F657" s="297"/>
      <c r="G657" s="297"/>
      <c r="H657" s="297"/>
    </row>
    <row r="658" spans="1:8" s="278" customFormat="1" ht="24.95" customHeight="1" x14ac:dyDescent="0.2">
      <c r="A658" s="293"/>
      <c r="B658" s="259"/>
      <c r="C658" s="259"/>
      <c r="E658" s="296">
        <f t="shared" si="41"/>
        <v>0</v>
      </c>
      <c r="F658" s="297"/>
      <c r="G658" s="297"/>
      <c r="H658" s="297"/>
    </row>
    <row r="659" spans="1:8" s="278" customFormat="1" ht="24.95" customHeight="1" x14ac:dyDescent="0.2">
      <c r="A659" s="293"/>
      <c r="B659" s="259"/>
      <c r="C659" s="259"/>
      <c r="E659" s="296">
        <f t="shared" si="41"/>
        <v>0</v>
      </c>
      <c r="F659" s="297"/>
      <c r="G659" s="297"/>
      <c r="H659" s="297"/>
    </row>
    <row r="660" spans="1:8" s="278" customFormat="1" ht="24.95" customHeight="1" x14ac:dyDescent="0.2">
      <c r="A660" s="293"/>
      <c r="B660" s="259"/>
      <c r="C660" s="259"/>
      <c r="E660" s="296">
        <f t="shared" si="41"/>
        <v>0</v>
      </c>
      <c r="F660" s="297"/>
      <c r="G660" s="297"/>
      <c r="H660" s="297"/>
    </row>
    <row r="661" spans="1:8" s="278" customFormat="1" ht="24.95" customHeight="1" x14ac:dyDescent="0.2">
      <c r="A661" s="293"/>
      <c r="B661" s="259"/>
      <c r="C661" s="259"/>
      <c r="E661" s="296">
        <f t="shared" si="41"/>
        <v>0</v>
      </c>
      <c r="F661" s="297"/>
      <c r="G661" s="297"/>
      <c r="H661" s="297"/>
    </row>
    <row r="662" spans="1:8" s="278" customFormat="1" ht="24.95" customHeight="1" x14ac:dyDescent="0.2">
      <c r="A662" s="293"/>
      <c r="B662" s="259"/>
      <c r="C662" s="259"/>
      <c r="E662" s="296">
        <f t="shared" si="41"/>
        <v>0</v>
      </c>
      <c r="F662" s="297"/>
      <c r="G662" s="297"/>
      <c r="H662" s="297"/>
    </row>
    <row r="663" spans="1:8" s="278" customFormat="1" ht="24.95" customHeight="1" x14ac:dyDescent="0.2">
      <c r="A663" s="293"/>
      <c r="B663" s="259"/>
      <c r="C663" s="259"/>
      <c r="E663" s="296">
        <f t="shared" si="41"/>
        <v>0</v>
      </c>
      <c r="F663" s="297"/>
      <c r="G663" s="297"/>
      <c r="H663" s="297"/>
    </row>
    <row r="664" spans="1:8" s="278" customFormat="1" ht="24.95" customHeight="1" x14ac:dyDescent="0.2">
      <c r="A664" s="293"/>
      <c r="B664" s="259"/>
      <c r="C664" s="259"/>
      <c r="E664" s="296">
        <f t="shared" si="41"/>
        <v>0</v>
      </c>
      <c r="F664" s="297"/>
      <c r="G664" s="297"/>
      <c r="H664" s="297"/>
    </row>
    <row r="665" spans="1:8" s="278" customFormat="1" ht="24.95" customHeight="1" x14ac:dyDescent="0.2">
      <c r="A665" s="293"/>
      <c r="B665" s="259"/>
      <c r="C665" s="259"/>
      <c r="E665" s="296">
        <f t="shared" si="41"/>
        <v>0</v>
      </c>
      <c r="F665" s="297"/>
      <c r="G665" s="297"/>
      <c r="H665" s="297"/>
    </row>
    <row r="666" spans="1:8" s="278" customFormat="1" ht="24.95" customHeight="1" x14ac:dyDescent="0.2">
      <c r="A666" s="293"/>
      <c r="B666" s="259"/>
      <c r="C666" s="259"/>
      <c r="E666" s="296">
        <f t="shared" si="41"/>
        <v>0</v>
      </c>
      <c r="F666" s="297"/>
      <c r="G666" s="297"/>
      <c r="H666" s="297"/>
    </row>
    <row r="667" spans="1:8" s="278" customFormat="1" ht="24.95" customHeight="1" x14ac:dyDescent="0.2">
      <c r="A667" s="293"/>
      <c r="B667" s="259"/>
      <c r="C667" s="259"/>
      <c r="E667" s="296">
        <f t="shared" si="41"/>
        <v>0</v>
      </c>
      <c r="F667" s="297"/>
      <c r="G667" s="297"/>
      <c r="H667" s="297"/>
    </row>
    <row r="668" spans="1:8" s="278" customFormat="1" ht="24.95" customHeight="1" x14ac:dyDescent="0.2">
      <c r="A668" s="293"/>
      <c r="B668" s="259"/>
      <c r="C668" s="259"/>
      <c r="E668" s="296">
        <f t="shared" si="41"/>
        <v>0</v>
      </c>
      <c r="F668" s="297"/>
      <c r="G668" s="297"/>
      <c r="H668" s="297"/>
    </row>
    <row r="669" spans="1:8" s="278" customFormat="1" ht="24.95" customHeight="1" x14ac:dyDescent="0.2">
      <c r="A669" s="293"/>
      <c r="B669" s="259"/>
      <c r="C669" s="259"/>
      <c r="E669" s="296">
        <f t="shared" si="41"/>
        <v>0</v>
      </c>
      <c r="F669" s="297"/>
      <c r="G669" s="297"/>
      <c r="H669" s="297"/>
    </row>
    <row r="670" spans="1:8" s="278" customFormat="1" ht="24.95" customHeight="1" x14ac:dyDescent="0.2">
      <c r="A670" s="293"/>
      <c r="B670" s="259"/>
      <c r="C670" s="259"/>
      <c r="E670" s="296">
        <f t="shared" si="41"/>
        <v>0</v>
      </c>
      <c r="F670" s="297"/>
      <c r="G670" s="297"/>
      <c r="H670" s="297"/>
    </row>
    <row r="671" spans="1:8" s="278" customFormat="1" ht="24.95" customHeight="1" x14ac:dyDescent="0.2">
      <c r="A671" s="293"/>
      <c r="B671" s="259"/>
      <c r="C671" s="259"/>
      <c r="E671" s="296">
        <f t="shared" si="41"/>
        <v>0</v>
      </c>
      <c r="F671" s="297"/>
      <c r="G671" s="297"/>
      <c r="H671" s="297"/>
    </row>
    <row r="672" spans="1:8" s="278" customFormat="1" ht="24.95" customHeight="1" x14ac:dyDescent="0.2">
      <c r="A672" s="293"/>
      <c r="B672" s="259"/>
      <c r="C672" s="259"/>
      <c r="E672" s="296">
        <f t="shared" si="41"/>
        <v>0</v>
      </c>
      <c r="F672" s="297"/>
      <c r="G672" s="297"/>
      <c r="H672" s="297"/>
    </row>
    <row r="673" spans="1:8" s="278" customFormat="1" ht="24.95" customHeight="1" x14ac:dyDescent="0.2">
      <c r="A673" s="293"/>
      <c r="B673" s="259"/>
      <c r="C673" s="259"/>
      <c r="E673" s="296">
        <f t="shared" si="41"/>
        <v>0</v>
      </c>
      <c r="F673" s="297"/>
      <c r="G673" s="297"/>
      <c r="H673" s="297"/>
    </row>
    <row r="674" spans="1:8" s="278" customFormat="1" ht="24.95" customHeight="1" x14ac:dyDescent="0.2">
      <c r="A674" s="293"/>
      <c r="B674" s="259"/>
      <c r="C674" s="259"/>
      <c r="E674" s="296">
        <f t="shared" si="41"/>
        <v>0</v>
      </c>
      <c r="F674" s="297"/>
      <c r="G674" s="297"/>
      <c r="H674" s="297"/>
    </row>
    <row r="675" spans="1:8" s="278" customFormat="1" ht="24.95" customHeight="1" x14ac:dyDescent="0.2">
      <c r="A675" s="293"/>
      <c r="B675" s="259"/>
      <c r="C675" s="259"/>
      <c r="E675" s="296">
        <f t="shared" si="41"/>
        <v>0</v>
      </c>
      <c r="F675" s="297"/>
      <c r="G675" s="297"/>
      <c r="H675" s="297"/>
    </row>
    <row r="676" spans="1:8" s="278" customFormat="1" ht="24.95" customHeight="1" x14ac:dyDescent="0.2">
      <c r="A676" s="293"/>
      <c r="B676" s="259"/>
      <c r="C676" s="259"/>
      <c r="E676" s="296">
        <f t="shared" si="41"/>
        <v>0</v>
      </c>
      <c r="F676" s="297"/>
      <c r="G676" s="297"/>
      <c r="H676" s="297"/>
    </row>
    <row r="677" spans="1:8" s="278" customFormat="1" ht="24.95" customHeight="1" x14ac:dyDescent="0.2">
      <c r="A677" s="293"/>
      <c r="B677" s="259"/>
      <c r="C677" s="259"/>
      <c r="E677" s="296">
        <f t="shared" si="41"/>
        <v>0</v>
      </c>
      <c r="F677" s="297"/>
      <c r="G677" s="297"/>
      <c r="H677" s="297"/>
    </row>
    <row r="678" spans="1:8" s="278" customFormat="1" ht="24.95" customHeight="1" x14ac:dyDescent="0.2">
      <c r="A678" s="293"/>
      <c r="B678" s="259"/>
      <c r="C678" s="259"/>
      <c r="E678" s="296">
        <f t="shared" si="41"/>
        <v>0</v>
      </c>
      <c r="F678" s="297"/>
      <c r="G678" s="297"/>
      <c r="H678" s="297"/>
    </row>
    <row r="679" spans="1:8" s="278" customFormat="1" ht="24.95" customHeight="1" x14ac:dyDescent="0.2">
      <c r="A679" s="293"/>
      <c r="B679" s="259"/>
      <c r="C679" s="259"/>
      <c r="E679" s="296">
        <f t="shared" si="41"/>
        <v>0</v>
      </c>
      <c r="F679" s="297"/>
      <c r="G679" s="297"/>
      <c r="H679" s="297"/>
    </row>
    <row r="680" spans="1:8" s="278" customFormat="1" ht="24.95" customHeight="1" x14ac:dyDescent="0.2">
      <c r="A680" s="293"/>
      <c r="B680" s="259"/>
      <c r="C680" s="259"/>
      <c r="E680" s="296">
        <f t="shared" si="41"/>
        <v>0</v>
      </c>
      <c r="F680" s="297"/>
      <c r="G680" s="297"/>
      <c r="H680" s="297"/>
    </row>
    <row r="681" spans="1:8" s="278" customFormat="1" ht="24.95" customHeight="1" x14ac:dyDescent="0.2">
      <c r="A681" s="293"/>
      <c r="B681" s="259"/>
      <c r="C681" s="259"/>
      <c r="E681" s="296">
        <f t="shared" si="41"/>
        <v>0</v>
      </c>
      <c r="F681" s="297"/>
      <c r="G681" s="297"/>
      <c r="H681" s="297"/>
    </row>
    <row r="682" spans="1:8" s="278" customFormat="1" ht="24.95" customHeight="1" x14ac:dyDescent="0.2">
      <c r="A682" s="293"/>
      <c r="B682" s="259"/>
      <c r="C682" s="259"/>
      <c r="E682" s="296">
        <f t="shared" si="41"/>
        <v>0</v>
      </c>
      <c r="F682" s="297"/>
      <c r="G682" s="297"/>
      <c r="H682" s="297"/>
    </row>
    <row r="683" spans="1:8" s="278" customFormat="1" ht="24.95" customHeight="1" x14ac:dyDescent="0.2">
      <c r="A683" s="293"/>
      <c r="B683" s="259"/>
      <c r="C683" s="259"/>
      <c r="E683" s="296">
        <f t="shared" si="41"/>
        <v>0</v>
      </c>
      <c r="F683" s="297"/>
      <c r="G683" s="297"/>
      <c r="H683" s="297"/>
    </row>
    <row r="684" spans="1:8" s="278" customFormat="1" ht="24.95" customHeight="1" x14ac:dyDescent="0.2">
      <c r="A684" s="293"/>
      <c r="B684" s="259"/>
      <c r="C684" s="259"/>
      <c r="E684" s="296">
        <f t="shared" si="41"/>
        <v>0</v>
      </c>
      <c r="F684" s="297"/>
      <c r="G684" s="297"/>
      <c r="H684" s="297"/>
    </row>
    <row r="685" spans="1:8" s="278" customFormat="1" ht="24.95" customHeight="1" x14ac:dyDescent="0.2">
      <c r="A685" s="293"/>
      <c r="B685" s="259"/>
      <c r="C685" s="259"/>
      <c r="E685" s="296">
        <f t="shared" si="41"/>
        <v>0</v>
      </c>
      <c r="F685" s="297"/>
      <c r="G685" s="297"/>
      <c r="H685" s="297"/>
    </row>
    <row r="686" spans="1:8" s="278" customFormat="1" ht="24.95" customHeight="1" x14ac:dyDescent="0.2">
      <c r="A686" s="293"/>
      <c r="B686" s="259"/>
      <c r="C686" s="259"/>
      <c r="E686" s="296">
        <f t="shared" si="41"/>
        <v>0</v>
      </c>
      <c r="F686" s="297"/>
      <c r="G686" s="297"/>
      <c r="H686" s="297"/>
    </row>
    <row r="687" spans="1:8" s="278" customFormat="1" ht="24.95" customHeight="1" x14ac:dyDescent="0.2">
      <c r="A687" s="293"/>
      <c r="B687" s="259"/>
      <c r="C687" s="259"/>
      <c r="E687" s="296">
        <f t="shared" si="41"/>
        <v>0</v>
      </c>
      <c r="F687" s="297"/>
      <c r="G687" s="297"/>
      <c r="H687" s="297"/>
    </row>
    <row r="688" spans="1:8" s="278" customFormat="1" ht="24.95" customHeight="1" x14ac:dyDescent="0.2">
      <c r="A688" s="293"/>
      <c r="B688" s="259"/>
      <c r="C688" s="259"/>
      <c r="E688" s="296">
        <f t="shared" si="41"/>
        <v>0</v>
      </c>
      <c r="F688" s="297"/>
      <c r="G688" s="297"/>
      <c r="H688" s="297"/>
    </row>
    <row r="689" spans="1:8" s="278" customFormat="1" ht="24.95" customHeight="1" x14ac:dyDescent="0.2">
      <c r="A689" s="293"/>
      <c r="B689" s="259"/>
      <c r="C689" s="259"/>
      <c r="E689" s="296">
        <f t="shared" si="41"/>
        <v>0</v>
      </c>
      <c r="F689" s="297"/>
      <c r="G689" s="297"/>
      <c r="H689" s="297"/>
    </row>
    <row r="690" spans="1:8" s="278" customFormat="1" ht="24.95" customHeight="1" x14ac:dyDescent="0.2">
      <c r="A690" s="293"/>
      <c r="B690" s="259"/>
      <c r="C690" s="259"/>
      <c r="E690" s="296">
        <f t="shared" si="41"/>
        <v>0</v>
      </c>
      <c r="F690" s="297"/>
      <c r="G690" s="297"/>
      <c r="H690" s="297"/>
    </row>
    <row r="691" spans="1:8" s="278" customFormat="1" ht="24.95" customHeight="1" x14ac:dyDescent="0.2">
      <c r="A691" s="293"/>
      <c r="B691" s="259"/>
      <c r="C691" s="259"/>
      <c r="E691" s="296">
        <f t="shared" si="41"/>
        <v>0</v>
      </c>
      <c r="F691" s="297"/>
      <c r="G691" s="297"/>
      <c r="H691" s="297"/>
    </row>
    <row r="692" spans="1:8" s="278" customFormat="1" ht="24.95" customHeight="1" x14ac:dyDescent="0.2">
      <c r="A692" s="293"/>
      <c r="B692" s="259"/>
      <c r="C692" s="259"/>
      <c r="E692" s="296">
        <f t="shared" si="41"/>
        <v>0</v>
      </c>
      <c r="F692" s="297"/>
      <c r="G692" s="297"/>
      <c r="H692" s="297"/>
    </row>
    <row r="693" spans="1:8" s="278" customFormat="1" ht="24.95" customHeight="1" x14ac:dyDescent="0.2">
      <c r="A693" s="293"/>
      <c r="B693" s="259"/>
      <c r="C693" s="259"/>
      <c r="E693" s="296">
        <f t="shared" si="41"/>
        <v>0</v>
      </c>
      <c r="F693" s="297"/>
      <c r="G693" s="297"/>
      <c r="H693" s="297"/>
    </row>
    <row r="694" spans="1:8" s="278" customFormat="1" ht="24.95" customHeight="1" x14ac:dyDescent="0.2">
      <c r="A694" s="293"/>
      <c r="B694" s="259"/>
      <c r="C694" s="259"/>
      <c r="E694" s="296">
        <f t="shared" si="41"/>
        <v>0</v>
      </c>
      <c r="F694" s="297"/>
      <c r="G694" s="297"/>
      <c r="H694" s="297"/>
    </row>
    <row r="695" spans="1:8" s="278" customFormat="1" ht="24.95" customHeight="1" x14ac:dyDescent="0.2">
      <c r="A695" s="293"/>
      <c r="B695" s="259"/>
      <c r="C695" s="259"/>
      <c r="E695" s="296">
        <f t="shared" si="41"/>
        <v>0</v>
      </c>
      <c r="F695" s="297"/>
      <c r="G695" s="297"/>
      <c r="H695" s="297"/>
    </row>
    <row r="696" spans="1:8" s="278" customFormat="1" ht="24.95" customHeight="1" x14ac:dyDescent="0.2">
      <c r="A696" s="293"/>
      <c r="B696" s="259"/>
      <c r="C696" s="259"/>
      <c r="E696" s="296">
        <f t="shared" si="41"/>
        <v>0</v>
      </c>
      <c r="F696" s="297"/>
      <c r="G696" s="297"/>
      <c r="H696" s="297"/>
    </row>
    <row r="697" spans="1:8" s="278" customFormat="1" ht="24.95" customHeight="1" x14ac:dyDescent="0.2">
      <c r="A697" s="293"/>
      <c r="B697" s="259"/>
      <c r="C697" s="259"/>
      <c r="E697" s="296">
        <f t="shared" si="41"/>
        <v>0</v>
      </c>
      <c r="F697" s="297"/>
      <c r="G697" s="297"/>
      <c r="H697" s="297"/>
    </row>
    <row r="698" spans="1:8" s="278" customFormat="1" ht="24.95" customHeight="1" x14ac:dyDescent="0.2">
      <c r="A698" s="293"/>
      <c r="B698" s="259"/>
      <c r="C698" s="259"/>
      <c r="E698" s="296">
        <f t="shared" si="41"/>
        <v>0</v>
      </c>
      <c r="F698" s="297"/>
      <c r="G698" s="297"/>
      <c r="H698" s="297"/>
    </row>
    <row r="699" spans="1:8" s="278" customFormat="1" ht="24.95" customHeight="1" x14ac:dyDescent="0.2">
      <c r="A699" s="293"/>
      <c r="B699" s="259"/>
      <c r="C699" s="259"/>
      <c r="E699" s="296">
        <f t="shared" si="41"/>
        <v>0</v>
      </c>
      <c r="F699" s="297"/>
      <c r="G699" s="297"/>
      <c r="H699" s="297"/>
    </row>
    <row r="700" spans="1:8" s="278" customFormat="1" ht="24.95" customHeight="1" x14ac:dyDescent="0.2">
      <c r="A700" s="293"/>
      <c r="B700" s="259"/>
      <c r="C700" s="259"/>
      <c r="E700" s="296">
        <f t="shared" si="41"/>
        <v>0</v>
      </c>
      <c r="F700" s="297"/>
      <c r="G700" s="297"/>
      <c r="H700" s="297"/>
    </row>
    <row r="701" spans="1:8" s="278" customFormat="1" ht="24.95" customHeight="1" x14ac:dyDescent="0.2">
      <c r="A701" s="293"/>
      <c r="B701" s="259"/>
      <c r="C701" s="259"/>
      <c r="E701" s="296">
        <f t="shared" si="41"/>
        <v>0</v>
      </c>
      <c r="F701" s="297"/>
      <c r="G701" s="297"/>
      <c r="H701" s="297"/>
    </row>
    <row r="702" spans="1:8" s="278" customFormat="1" ht="24.95" customHeight="1" x14ac:dyDescent="0.2">
      <c r="A702" s="293"/>
      <c r="B702" s="259"/>
      <c r="C702" s="259"/>
      <c r="E702" s="296">
        <f t="shared" si="41"/>
        <v>0</v>
      </c>
      <c r="F702" s="297"/>
      <c r="G702" s="297"/>
      <c r="H702" s="297"/>
    </row>
    <row r="703" spans="1:8" s="278" customFormat="1" ht="24.95" customHeight="1" x14ac:dyDescent="0.2">
      <c r="A703" s="293"/>
      <c r="B703" s="259"/>
      <c r="C703" s="259"/>
      <c r="E703" s="296">
        <f t="shared" si="41"/>
        <v>0</v>
      </c>
      <c r="F703" s="297"/>
      <c r="G703" s="297"/>
      <c r="H703" s="297"/>
    </row>
    <row r="704" spans="1:8" s="278" customFormat="1" ht="24.95" customHeight="1" x14ac:dyDescent="0.2">
      <c r="A704" s="293"/>
      <c r="B704" s="259"/>
      <c r="C704" s="259"/>
      <c r="E704" s="296">
        <f t="shared" si="41"/>
        <v>0</v>
      </c>
      <c r="F704" s="297"/>
      <c r="G704" s="297"/>
      <c r="H704" s="297"/>
    </row>
    <row r="705" spans="1:8" s="278" customFormat="1" ht="24.95" customHeight="1" x14ac:dyDescent="0.2">
      <c r="A705" s="293"/>
      <c r="B705" s="259"/>
      <c r="C705" s="259"/>
      <c r="E705" s="296">
        <f t="shared" si="41"/>
        <v>0</v>
      </c>
      <c r="F705" s="297"/>
      <c r="G705" s="297"/>
      <c r="H705" s="297"/>
    </row>
    <row r="706" spans="1:8" s="278" customFormat="1" ht="24.95" customHeight="1" x14ac:dyDescent="0.2">
      <c r="A706" s="293"/>
      <c r="B706" s="259"/>
      <c r="C706" s="259"/>
      <c r="E706" s="296">
        <f t="shared" si="41"/>
        <v>0</v>
      </c>
      <c r="F706" s="297"/>
      <c r="G706" s="297"/>
      <c r="H706" s="297"/>
    </row>
    <row r="707" spans="1:8" s="278" customFormat="1" ht="24.95" customHeight="1" x14ac:dyDescent="0.2">
      <c r="A707" s="293"/>
      <c r="B707" s="259"/>
      <c r="C707" s="259"/>
      <c r="E707" s="296">
        <f t="shared" si="41"/>
        <v>0</v>
      </c>
      <c r="F707" s="297"/>
      <c r="G707" s="297"/>
      <c r="H707" s="297"/>
    </row>
    <row r="708" spans="1:8" s="278" customFormat="1" ht="24.95" customHeight="1" x14ac:dyDescent="0.2">
      <c r="A708" s="293"/>
      <c r="B708" s="259"/>
      <c r="C708" s="259"/>
      <c r="E708" s="296">
        <f t="shared" si="41"/>
        <v>0</v>
      </c>
      <c r="F708" s="297"/>
      <c r="G708" s="297"/>
      <c r="H708" s="297"/>
    </row>
    <row r="709" spans="1:8" s="278" customFormat="1" ht="24.95" customHeight="1" x14ac:dyDescent="0.2">
      <c r="A709" s="293"/>
      <c r="B709" s="259"/>
      <c r="C709" s="259"/>
      <c r="E709" s="296">
        <f t="shared" si="41"/>
        <v>0</v>
      </c>
      <c r="F709" s="297"/>
      <c r="G709" s="297"/>
      <c r="H709" s="297"/>
    </row>
    <row r="710" spans="1:8" s="278" customFormat="1" ht="24.95" customHeight="1" x14ac:dyDescent="0.2">
      <c r="A710" s="293"/>
      <c r="B710" s="259"/>
      <c r="C710" s="259"/>
      <c r="E710" s="296">
        <f t="shared" si="41"/>
        <v>0</v>
      </c>
      <c r="F710" s="297"/>
      <c r="G710" s="297"/>
      <c r="H710" s="297"/>
    </row>
    <row r="711" spans="1:8" s="278" customFormat="1" ht="24.95" customHeight="1" x14ac:dyDescent="0.2">
      <c r="A711" s="293"/>
      <c r="B711" s="259"/>
      <c r="C711" s="259"/>
      <c r="E711" s="296">
        <f t="shared" si="41"/>
        <v>0</v>
      </c>
      <c r="F711" s="297"/>
      <c r="G711" s="297"/>
      <c r="H711" s="297"/>
    </row>
    <row r="712" spans="1:8" s="278" customFormat="1" ht="24.95" customHeight="1" x14ac:dyDescent="0.2">
      <c r="A712" s="293"/>
      <c r="B712" s="259"/>
      <c r="C712" s="259"/>
      <c r="E712" s="296">
        <f t="shared" si="41"/>
        <v>0</v>
      </c>
      <c r="F712" s="297"/>
      <c r="G712" s="297"/>
      <c r="H712" s="297"/>
    </row>
    <row r="713" spans="1:8" s="278" customFormat="1" ht="24.95" customHeight="1" x14ac:dyDescent="0.2">
      <c r="A713" s="293"/>
      <c r="B713" s="259"/>
      <c r="C713" s="259"/>
      <c r="E713" s="296">
        <f t="shared" si="41"/>
        <v>0</v>
      </c>
      <c r="F713" s="297"/>
      <c r="G713" s="297"/>
      <c r="H713" s="297"/>
    </row>
    <row r="714" spans="1:8" s="278" customFormat="1" ht="24.95" customHeight="1" x14ac:dyDescent="0.2">
      <c r="A714" s="293"/>
      <c r="B714" s="259"/>
      <c r="C714" s="259"/>
      <c r="E714" s="296">
        <f t="shared" si="41"/>
        <v>0</v>
      </c>
      <c r="F714" s="297"/>
      <c r="G714" s="297"/>
      <c r="H714" s="297"/>
    </row>
    <row r="715" spans="1:8" s="278" customFormat="1" ht="24.95" customHeight="1" x14ac:dyDescent="0.2">
      <c r="A715" s="293"/>
      <c r="B715" s="259"/>
      <c r="C715" s="259"/>
      <c r="E715" s="296">
        <f t="shared" ref="E715:E778" si="42">A715</f>
        <v>0</v>
      </c>
      <c r="F715" s="297"/>
      <c r="G715" s="297"/>
      <c r="H715" s="297"/>
    </row>
    <row r="716" spans="1:8" s="278" customFormat="1" ht="24.95" customHeight="1" x14ac:dyDescent="0.2">
      <c r="A716" s="293"/>
      <c r="B716" s="259"/>
      <c r="C716" s="259"/>
      <c r="E716" s="296">
        <f t="shared" si="42"/>
        <v>0</v>
      </c>
      <c r="F716" s="297"/>
      <c r="G716" s="297"/>
      <c r="H716" s="297"/>
    </row>
    <row r="717" spans="1:8" s="278" customFormat="1" ht="24.95" customHeight="1" x14ac:dyDescent="0.2">
      <c r="A717" s="293"/>
      <c r="B717" s="259"/>
      <c r="C717" s="259"/>
      <c r="E717" s="296">
        <f t="shared" si="42"/>
        <v>0</v>
      </c>
      <c r="F717" s="297"/>
      <c r="G717" s="297"/>
      <c r="H717" s="297"/>
    </row>
    <row r="718" spans="1:8" s="278" customFormat="1" ht="24.95" customHeight="1" x14ac:dyDescent="0.2">
      <c r="A718" s="293"/>
      <c r="B718" s="259"/>
      <c r="C718" s="259"/>
      <c r="E718" s="296">
        <f t="shared" si="42"/>
        <v>0</v>
      </c>
      <c r="F718" s="297"/>
      <c r="G718" s="297"/>
      <c r="H718" s="297"/>
    </row>
    <row r="719" spans="1:8" s="278" customFormat="1" ht="24.95" customHeight="1" x14ac:dyDescent="0.2">
      <c r="A719" s="293"/>
      <c r="B719" s="259"/>
      <c r="C719" s="259"/>
      <c r="E719" s="296">
        <f t="shared" si="42"/>
        <v>0</v>
      </c>
      <c r="F719" s="297"/>
      <c r="G719" s="297"/>
      <c r="H719" s="297"/>
    </row>
    <row r="720" spans="1:8" s="278" customFormat="1" ht="24.95" customHeight="1" x14ac:dyDescent="0.2">
      <c r="A720" s="293"/>
      <c r="B720" s="259"/>
      <c r="C720" s="259"/>
      <c r="E720" s="296">
        <f t="shared" si="42"/>
        <v>0</v>
      </c>
      <c r="F720" s="297"/>
      <c r="G720" s="297"/>
      <c r="H720" s="297"/>
    </row>
    <row r="721" spans="1:8" s="278" customFormat="1" ht="24.95" customHeight="1" x14ac:dyDescent="0.2">
      <c r="A721" s="293"/>
      <c r="B721" s="259"/>
      <c r="C721" s="259"/>
      <c r="E721" s="296">
        <f t="shared" si="42"/>
        <v>0</v>
      </c>
      <c r="F721" s="297"/>
      <c r="G721" s="297"/>
      <c r="H721" s="297"/>
    </row>
    <row r="722" spans="1:8" s="278" customFormat="1" ht="24.95" customHeight="1" x14ac:dyDescent="0.2">
      <c r="A722" s="293"/>
      <c r="B722" s="259"/>
      <c r="C722" s="259"/>
      <c r="E722" s="296">
        <f t="shared" si="42"/>
        <v>0</v>
      </c>
      <c r="F722" s="297"/>
      <c r="G722" s="297"/>
      <c r="H722" s="297"/>
    </row>
    <row r="723" spans="1:8" s="278" customFormat="1" ht="24.95" customHeight="1" x14ac:dyDescent="0.2">
      <c r="A723" s="293"/>
      <c r="B723" s="259"/>
      <c r="C723" s="259"/>
      <c r="E723" s="296">
        <f t="shared" si="42"/>
        <v>0</v>
      </c>
      <c r="F723" s="297"/>
      <c r="G723" s="297"/>
      <c r="H723" s="297"/>
    </row>
    <row r="724" spans="1:8" s="278" customFormat="1" ht="24.95" customHeight="1" x14ac:dyDescent="0.2">
      <c r="A724" s="293"/>
      <c r="B724" s="259"/>
      <c r="C724" s="259"/>
      <c r="E724" s="296">
        <f t="shared" si="42"/>
        <v>0</v>
      </c>
      <c r="F724" s="297"/>
      <c r="G724" s="297"/>
      <c r="H724" s="297"/>
    </row>
    <row r="725" spans="1:8" s="278" customFormat="1" ht="24.95" customHeight="1" x14ac:dyDescent="0.2">
      <c r="A725" s="293"/>
      <c r="B725" s="259"/>
      <c r="C725" s="259"/>
      <c r="E725" s="296">
        <f t="shared" si="42"/>
        <v>0</v>
      </c>
      <c r="F725" s="297"/>
      <c r="G725" s="297"/>
      <c r="H725" s="297"/>
    </row>
    <row r="726" spans="1:8" s="278" customFormat="1" ht="24.95" customHeight="1" x14ac:dyDescent="0.2">
      <c r="A726" s="293"/>
      <c r="B726" s="259"/>
      <c r="C726" s="259"/>
      <c r="E726" s="296">
        <f t="shared" si="42"/>
        <v>0</v>
      </c>
      <c r="F726" s="297"/>
      <c r="G726" s="297"/>
      <c r="H726" s="297"/>
    </row>
    <row r="727" spans="1:8" s="278" customFormat="1" ht="24.95" customHeight="1" x14ac:dyDescent="0.2">
      <c r="A727" s="293"/>
      <c r="B727" s="259"/>
      <c r="C727" s="259"/>
      <c r="E727" s="296">
        <f t="shared" si="42"/>
        <v>0</v>
      </c>
      <c r="F727" s="297"/>
      <c r="G727" s="297"/>
      <c r="H727" s="297"/>
    </row>
    <row r="728" spans="1:8" s="278" customFormat="1" ht="24.95" customHeight="1" x14ac:dyDescent="0.2">
      <c r="A728" s="293"/>
      <c r="B728" s="259"/>
      <c r="C728" s="259"/>
      <c r="E728" s="296">
        <f t="shared" si="42"/>
        <v>0</v>
      </c>
      <c r="F728" s="297"/>
      <c r="G728" s="297"/>
      <c r="H728" s="297"/>
    </row>
    <row r="729" spans="1:8" s="278" customFormat="1" ht="24.95" customHeight="1" x14ac:dyDescent="0.2">
      <c r="A729" s="293"/>
      <c r="B729" s="259"/>
      <c r="C729" s="259"/>
      <c r="E729" s="296">
        <f t="shared" si="42"/>
        <v>0</v>
      </c>
      <c r="F729" s="297"/>
      <c r="G729" s="297"/>
      <c r="H729" s="297"/>
    </row>
    <row r="730" spans="1:8" s="278" customFormat="1" ht="24.95" customHeight="1" x14ac:dyDescent="0.2">
      <c r="A730" s="293"/>
      <c r="B730" s="259"/>
      <c r="C730" s="259"/>
      <c r="E730" s="296">
        <f t="shared" si="42"/>
        <v>0</v>
      </c>
      <c r="F730" s="297"/>
      <c r="G730" s="297"/>
      <c r="H730" s="297"/>
    </row>
    <row r="731" spans="1:8" s="278" customFormat="1" ht="24.95" customHeight="1" x14ac:dyDescent="0.2">
      <c r="A731" s="293"/>
      <c r="B731" s="259"/>
      <c r="C731" s="259"/>
      <c r="E731" s="296">
        <f t="shared" si="42"/>
        <v>0</v>
      </c>
      <c r="F731" s="297"/>
      <c r="G731" s="297"/>
      <c r="H731" s="297"/>
    </row>
    <row r="732" spans="1:8" s="278" customFormat="1" ht="24.95" customHeight="1" x14ac:dyDescent="0.2">
      <c r="A732" s="293"/>
      <c r="B732" s="259"/>
      <c r="C732" s="259"/>
      <c r="E732" s="296">
        <f t="shared" si="42"/>
        <v>0</v>
      </c>
      <c r="F732" s="297"/>
      <c r="G732" s="297"/>
      <c r="H732" s="297"/>
    </row>
    <row r="733" spans="1:8" s="278" customFormat="1" ht="24.95" customHeight="1" x14ac:dyDescent="0.2">
      <c r="A733" s="293"/>
      <c r="B733" s="259"/>
      <c r="C733" s="259"/>
      <c r="E733" s="296">
        <f t="shared" si="42"/>
        <v>0</v>
      </c>
      <c r="F733" s="297"/>
      <c r="G733" s="297"/>
      <c r="H733" s="297"/>
    </row>
    <row r="734" spans="1:8" s="278" customFormat="1" ht="24.95" customHeight="1" x14ac:dyDescent="0.2">
      <c r="A734" s="293"/>
      <c r="B734" s="259"/>
      <c r="C734" s="259"/>
      <c r="E734" s="296">
        <f t="shared" si="42"/>
        <v>0</v>
      </c>
      <c r="F734" s="297"/>
      <c r="G734" s="297"/>
      <c r="H734" s="297"/>
    </row>
    <row r="735" spans="1:8" s="278" customFormat="1" ht="24.95" customHeight="1" x14ac:dyDescent="0.2">
      <c r="A735" s="293"/>
      <c r="B735" s="259"/>
      <c r="C735" s="259"/>
      <c r="E735" s="296">
        <f t="shared" si="42"/>
        <v>0</v>
      </c>
      <c r="F735" s="297"/>
      <c r="G735" s="297"/>
      <c r="H735" s="297"/>
    </row>
    <row r="736" spans="1:8" s="278" customFormat="1" ht="24.95" customHeight="1" x14ac:dyDescent="0.2">
      <c r="A736" s="293"/>
      <c r="B736" s="259"/>
      <c r="C736" s="259"/>
      <c r="E736" s="296">
        <f t="shared" si="42"/>
        <v>0</v>
      </c>
      <c r="F736" s="297"/>
      <c r="G736" s="297"/>
      <c r="H736" s="297"/>
    </row>
    <row r="737" spans="1:8" s="278" customFormat="1" ht="24.95" customHeight="1" x14ac:dyDescent="0.2">
      <c r="A737" s="293"/>
      <c r="B737" s="259"/>
      <c r="C737" s="259"/>
      <c r="E737" s="296">
        <f t="shared" si="42"/>
        <v>0</v>
      </c>
      <c r="F737" s="297"/>
      <c r="G737" s="297"/>
      <c r="H737" s="297"/>
    </row>
    <row r="738" spans="1:8" s="278" customFormat="1" ht="24.95" customHeight="1" x14ac:dyDescent="0.2">
      <c r="A738" s="293"/>
      <c r="B738" s="259"/>
      <c r="C738" s="259"/>
      <c r="E738" s="296">
        <f t="shared" si="42"/>
        <v>0</v>
      </c>
      <c r="F738" s="297"/>
      <c r="G738" s="297"/>
      <c r="H738" s="297"/>
    </row>
    <row r="739" spans="1:8" s="278" customFormat="1" ht="24.95" customHeight="1" x14ac:dyDescent="0.2">
      <c r="A739" s="293"/>
      <c r="B739" s="259"/>
      <c r="C739" s="259"/>
      <c r="E739" s="296">
        <f t="shared" si="42"/>
        <v>0</v>
      </c>
      <c r="F739" s="297"/>
      <c r="G739" s="297"/>
      <c r="H739" s="297"/>
    </row>
    <row r="740" spans="1:8" s="278" customFormat="1" ht="24.95" customHeight="1" x14ac:dyDescent="0.2">
      <c r="A740" s="293"/>
      <c r="B740" s="259"/>
      <c r="C740" s="259"/>
      <c r="E740" s="296">
        <f t="shared" si="42"/>
        <v>0</v>
      </c>
      <c r="F740" s="297"/>
      <c r="G740" s="297"/>
      <c r="H740" s="297"/>
    </row>
    <row r="741" spans="1:8" s="278" customFormat="1" ht="24.95" customHeight="1" x14ac:dyDescent="0.2">
      <c r="A741" s="293"/>
      <c r="B741" s="259"/>
      <c r="C741" s="259"/>
      <c r="E741" s="296">
        <f t="shared" si="42"/>
        <v>0</v>
      </c>
      <c r="F741" s="297"/>
      <c r="G741" s="297"/>
      <c r="H741" s="297"/>
    </row>
    <row r="742" spans="1:8" s="278" customFormat="1" ht="24.95" customHeight="1" x14ac:dyDescent="0.2">
      <c r="A742" s="293"/>
      <c r="B742" s="259"/>
      <c r="C742" s="259"/>
      <c r="E742" s="296">
        <f t="shared" si="42"/>
        <v>0</v>
      </c>
      <c r="F742" s="297"/>
      <c r="G742" s="297"/>
      <c r="H742" s="297"/>
    </row>
    <row r="743" spans="1:8" s="278" customFormat="1" ht="24.95" customHeight="1" x14ac:dyDescent="0.2">
      <c r="A743" s="293"/>
      <c r="B743" s="259"/>
      <c r="C743" s="259"/>
      <c r="E743" s="296">
        <f t="shared" si="42"/>
        <v>0</v>
      </c>
      <c r="F743" s="297"/>
      <c r="G743" s="297"/>
      <c r="H743" s="297"/>
    </row>
    <row r="744" spans="1:8" s="278" customFormat="1" ht="24.95" customHeight="1" x14ac:dyDescent="0.2">
      <c r="A744" s="293"/>
      <c r="B744" s="259"/>
      <c r="C744" s="259"/>
      <c r="E744" s="296">
        <f t="shared" si="42"/>
        <v>0</v>
      </c>
      <c r="F744" s="297"/>
      <c r="G744" s="297"/>
      <c r="H744" s="297"/>
    </row>
    <row r="745" spans="1:8" s="278" customFormat="1" ht="24.95" customHeight="1" x14ac:dyDescent="0.2">
      <c r="A745" s="293"/>
      <c r="B745" s="259"/>
      <c r="C745" s="259"/>
      <c r="E745" s="296">
        <f t="shared" si="42"/>
        <v>0</v>
      </c>
      <c r="F745" s="297"/>
      <c r="G745" s="297"/>
      <c r="H745" s="297"/>
    </row>
    <row r="746" spans="1:8" s="278" customFormat="1" ht="24.95" customHeight="1" x14ac:dyDescent="0.2">
      <c r="A746" s="293"/>
      <c r="B746" s="259"/>
      <c r="C746" s="259"/>
      <c r="E746" s="296">
        <f t="shared" si="42"/>
        <v>0</v>
      </c>
      <c r="F746" s="297"/>
      <c r="G746" s="297"/>
      <c r="H746" s="297"/>
    </row>
    <row r="747" spans="1:8" s="278" customFormat="1" ht="24.95" customHeight="1" x14ac:dyDescent="0.2">
      <c r="A747" s="293"/>
      <c r="B747" s="259"/>
      <c r="C747" s="259"/>
      <c r="E747" s="296">
        <f t="shared" si="42"/>
        <v>0</v>
      </c>
      <c r="F747" s="297"/>
      <c r="G747" s="297"/>
      <c r="H747" s="297"/>
    </row>
    <row r="748" spans="1:8" s="278" customFormat="1" ht="24.95" customHeight="1" x14ac:dyDescent="0.2">
      <c r="A748" s="293"/>
      <c r="B748" s="259"/>
      <c r="C748" s="259"/>
      <c r="E748" s="296">
        <f t="shared" si="42"/>
        <v>0</v>
      </c>
      <c r="F748" s="297"/>
      <c r="G748" s="297"/>
      <c r="H748" s="297"/>
    </row>
    <row r="749" spans="1:8" s="278" customFormat="1" ht="24.95" customHeight="1" x14ac:dyDescent="0.2">
      <c r="A749" s="293"/>
      <c r="B749" s="259"/>
      <c r="C749" s="259"/>
      <c r="E749" s="296">
        <f t="shared" si="42"/>
        <v>0</v>
      </c>
      <c r="F749" s="297"/>
      <c r="G749" s="297"/>
      <c r="H749" s="297"/>
    </row>
    <row r="750" spans="1:8" s="278" customFormat="1" ht="24.95" customHeight="1" x14ac:dyDescent="0.2">
      <c r="A750" s="293"/>
      <c r="B750" s="259"/>
      <c r="C750" s="259"/>
      <c r="E750" s="296">
        <f t="shared" si="42"/>
        <v>0</v>
      </c>
      <c r="F750" s="297"/>
      <c r="G750" s="297"/>
      <c r="H750" s="297"/>
    </row>
    <row r="751" spans="1:8" s="278" customFormat="1" ht="24.95" customHeight="1" x14ac:dyDescent="0.2">
      <c r="A751" s="293"/>
      <c r="B751" s="259"/>
      <c r="C751" s="259"/>
      <c r="E751" s="296">
        <f t="shared" si="42"/>
        <v>0</v>
      </c>
      <c r="F751" s="297"/>
      <c r="G751" s="297"/>
      <c r="H751" s="297"/>
    </row>
    <row r="752" spans="1:8" s="278" customFormat="1" ht="24.95" customHeight="1" x14ac:dyDescent="0.2">
      <c r="A752" s="293"/>
      <c r="B752" s="259"/>
      <c r="C752" s="259"/>
      <c r="E752" s="296">
        <f t="shared" si="42"/>
        <v>0</v>
      </c>
      <c r="F752" s="297"/>
      <c r="G752" s="297"/>
      <c r="H752" s="297"/>
    </row>
    <row r="753" spans="1:8" s="278" customFormat="1" ht="24.95" customHeight="1" x14ac:dyDescent="0.2">
      <c r="A753" s="293"/>
      <c r="B753" s="259"/>
      <c r="C753" s="259"/>
      <c r="E753" s="296">
        <f t="shared" si="42"/>
        <v>0</v>
      </c>
      <c r="F753" s="297"/>
      <c r="G753" s="297"/>
      <c r="H753" s="297"/>
    </row>
    <row r="754" spans="1:8" s="278" customFormat="1" ht="24.95" customHeight="1" x14ac:dyDescent="0.2">
      <c r="A754" s="293"/>
      <c r="B754" s="259"/>
      <c r="C754" s="259"/>
      <c r="E754" s="296">
        <f t="shared" si="42"/>
        <v>0</v>
      </c>
      <c r="F754" s="297"/>
      <c r="G754" s="297"/>
      <c r="H754" s="297"/>
    </row>
    <row r="755" spans="1:8" s="278" customFormat="1" ht="24.95" customHeight="1" x14ac:dyDescent="0.2">
      <c r="A755" s="293"/>
      <c r="B755" s="259"/>
      <c r="C755" s="259"/>
      <c r="E755" s="296">
        <f t="shared" si="42"/>
        <v>0</v>
      </c>
      <c r="F755" s="297"/>
      <c r="G755" s="297"/>
      <c r="H755" s="297"/>
    </row>
    <row r="756" spans="1:8" s="278" customFormat="1" ht="24.95" customHeight="1" x14ac:dyDescent="0.2">
      <c r="A756" s="293"/>
      <c r="B756" s="259"/>
      <c r="C756" s="259"/>
      <c r="E756" s="296">
        <f t="shared" si="42"/>
        <v>0</v>
      </c>
      <c r="F756" s="297"/>
      <c r="G756" s="297"/>
      <c r="H756" s="297"/>
    </row>
    <row r="757" spans="1:8" s="278" customFormat="1" ht="24.95" customHeight="1" x14ac:dyDescent="0.2">
      <c r="A757" s="293"/>
      <c r="B757" s="259"/>
      <c r="C757" s="259"/>
      <c r="E757" s="296">
        <f t="shared" si="42"/>
        <v>0</v>
      </c>
      <c r="F757" s="297"/>
      <c r="G757" s="297"/>
      <c r="H757" s="297"/>
    </row>
    <row r="758" spans="1:8" s="278" customFormat="1" ht="24.95" customHeight="1" x14ac:dyDescent="0.2">
      <c r="A758" s="293"/>
      <c r="B758" s="259"/>
      <c r="C758" s="259"/>
      <c r="E758" s="296">
        <f t="shared" si="42"/>
        <v>0</v>
      </c>
      <c r="F758" s="297"/>
      <c r="G758" s="297"/>
      <c r="H758" s="297"/>
    </row>
    <row r="759" spans="1:8" s="278" customFormat="1" ht="24.95" customHeight="1" x14ac:dyDescent="0.2">
      <c r="A759" s="293"/>
      <c r="B759" s="259"/>
      <c r="C759" s="259"/>
      <c r="E759" s="296">
        <f t="shared" si="42"/>
        <v>0</v>
      </c>
      <c r="F759" s="297"/>
      <c r="G759" s="297"/>
      <c r="H759" s="297"/>
    </row>
    <row r="760" spans="1:8" s="278" customFormat="1" ht="24.95" customHeight="1" x14ac:dyDescent="0.2">
      <c r="A760" s="293"/>
      <c r="B760" s="259"/>
      <c r="C760" s="259"/>
      <c r="E760" s="296">
        <f t="shared" si="42"/>
        <v>0</v>
      </c>
      <c r="F760" s="297"/>
      <c r="G760" s="297"/>
      <c r="H760" s="297"/>
    </row>
    <row r="761" spans="1:8" s="278" customFormat="1" ht="24.95" customHeight="1" x14ac:dyDescent="0.2">
      <c r="A761" s="293"/>
      <c r="B761" s="259"/>
      <c r="C761" s="259"/>
      <c r="E761" s="296">
        <f t="shared" si="42"/>
        <v>0</v>
      </c>
      <c r="F761" s="297"/>
      <c r="G761" s="297"/>
      <c r="H761" s="297"/>
    </row>
    <row r="762" spans="1:8" s="278" customFormat="1" ht="24.95" customHeight="1" x14ac:dyDescent="0.2">
      <c r="A762" s="293"/>
      <c r="B762" s="259"/>
      <c r="C762" s="259"/>
      <c r="E762" s="296">
        <f t="shared" si="42"/>
        <v>0</v>
      </c>
      <c r="F762" s="297"/>
      <c r="G762" s="297"/>
      <c r="H762" s="297"/>
    </row>
    <row r="763" spans="1:8" s="278" customFormat="1" ht="24.95" customHeight="1" x14ac:dyDescent="0.2">
      <c r="A763" s="293"/>
      <c r="B763" s="259"/>
      <c r="C763" s="259"/>
      <c r="E763" s="296">
        <f t="shared" si="42"/>
        <v>0</v>
      </c>
      <c r="F763" s="297"/>
      <c r="G763" s="297"/>
      <c r="H763" s="297"/>
    </row>
    <row r="764" spans="1:8" s="278" customFormat="1" ht="24.95" customHeight="1" x14ac:dyDescent="0.2">
      <c r="A764" s="293"/>
      <c r="B764" s="259"/>
      <c r="C764" s="259"/>
      <c r="E764" s="296">
        <f t="shared" si="42"/>
        <v>0</v>
      </c>
      <c r="F764" s="297"/>
      <c r="G764" s="297"/>
      <c r="H764" s="297"/>
    </row>
    <row r="765" spans="1:8" s="278" customFormat="1" ht="24.95" customHeight="1" x14ac:dyDescent="0.2">
      <c r="A765" s="293"/>
      <c r="B765" s="259"/>
      <c r="C765" s="259"/>
      <c r="E765" s="296">
        <f t="shared" si="42"/>
        <v>0</v>
      </c>
      <c r="F765" s="297"/>
      <c r="G765" s="297"/>
      <c r="H765" s="297"/>
    </row>
    <row r="766" spans="1:8" s="278" customFormat="1" ht="24.95" customHeight="1" x14ac:dyDescent="0.2">
      <c r="A766" s="293"/>
      <c r="B766" s="259"/>
      <c r="C766" s="259"/>
      <c r="E766" s="296">
        <f t="shared" si="42"/>
        <v>0</v>
      </c>
      <c r="F766" s="297"/>
      <c r="G766" s="297"/>
      <c r="H766" s="297"/>
    </row>
    <row r="767" spans="1:8" s="278" customFormat="1" ht="24.95" customHeight="1" x14ac:dyDescent="0.2">
      <c r="A767" s="293"/>
      <c r="B767" s="259"/>
      <c r="C767" s="259"/>
      <c r="E767" s="296">
        <f t="shared" si="42"/>
        <v>0</v>
      </c>
      <c r="F767" s="297"/>
      <c r="G767" s="297"/>
      <c r="H767" s="297"/>
    </row>
    <row r="768" spans="1:8" s="278" customFormat="1" ht="24.95" customHeight="1" x14ac:dyDescent="0.2">
      <c r="A768" s="293"/>
      <c r="B768" s="259"/>
      <c r="C768" s="259"/>
      <c r="E768" s="296">
        <f t="shared" si="42"/>
        <v>0</v>
      </c>
      <c r="F768" s="297"/>
      <c r="G768" s="297"/>
      <c r="H768" s="297"/>
    </row>
    <row r="769" spans="1:8" s="278" customFormat="1" ht="24.95" customHeight="1" x14ac:dyDescent="0.2">
      <c r="A769" s="293"/>
      <c r="B769" s="259"/>
      <c r="C769" s="259"/>
      <c r="E769" s="296">
        <f t="shared" si="42"/>
        <v>0</v>
      </c>
      <c r="F769" s="297"/>
      <c r="G769" s="297"/>
      <c r="H769" s="297"/>
    </row>
    <row r="770" spans="1:8" s="278" customFormat="1" ht="24.95" customHeight="1" x14ac:dyDescent="0.2">
      <c r="A770" s="293"/>
      <c r="B770" s="259"/>
      <c r="C770" s="259"/>
      <c r="E770" s="296">
        <f t="shared" si="42"/>
        <v>0</v>
      </c>
      <c r="F770" s="297"/>
      <c r="G770" s="297"/>
      <c r="H770" s="297"/>
    </row>
    <row r="771" spans="1:8" s="278" customFormat="1" ht="24.95" customHeight="1" x14ac:dyDescent="0.2">
      <c r="A771" s="293"/>
      <c r="B771" s="259"/>
      <c r="C771" s="259"/>
      <c r="E771" s="296">
        <f t="shared" si="42"/>
        <v>0</v>
      </c>
      <c r="F771" s="297"/>
      <c r="G771" s="297"/>
      <c r="H771" s="297"/>
    </row>
    <row r="772" spans="1:8" s="278" customFormat="1" ht="24.95" customHeight="1" x14ac:dyDescent="0.2">
      <c r="A772" s="293"/>
      <c r="B772" s="259"/>
      <c r="C772" s="259"/>
      <c r="E772" s="296">
        <f t="shared" si="42"/>
        <v>0</v>
      </c>
      <c r="F772" s="297"/>
      <c r="G772" s="297"/>
      <c r="H772" s="297"/>
    </row>
    <row r="773" spans="1:8" s="278" customFormat="1" ht="24.95" customHeight="1" x14ac:dyDescent="0.2">
      <c r="A773" s="293"/>
      <c r="B773" s="259"/>
      <c r="C773" s="259"/>
      <c r="E773" s="296">
        <f t="shared" si="42"/>
        <v>0</v>
      </c>
      <c r="F773" s="297"/>
      <c r="G773" s="297"/>
      <c r="H773" s="297"/>
    </row>
    <row r="774" spans="1:8" s="278" customFormat="1" ht="24.95" customHeight="1" x14ac:dyDescent="0.2">
      <c r="A774" s="293"/>
      <c r="B774" s="259"/>
      <c r="C774" s="259"/>
      <c r="E774" s="296">
        <f t="shared" si="42"/>
        <v>0</v>
      </c>
      <c r="F774" s="297"/>
      <c r="G774" s="297"/>
      <c r="H774" s="297"/>
    </row>
    <row r="775" spans="1:8" s="278" customFormat="1" ht="24.95" customHeight="1" x14ac:dyDescent="0.2">
      <c r="A775" s="293"/>
      <c r="B775" s="259"/>
      <c r="C775" s="259"/>
      <c r="E775" s="296">
        <f t="shared" si="42"/>
        <v>0</v>
      </c>
      <c r="F775" s="297"/>
      <c r="G775" s="297"/>
      <c r="H775" s="297"/>
    </row>
    <row r="776" spans="1:8" s="278" customFormat="1" ht="24.95" customHeight="1" x14ac:dyDescent="0.2">
      <c r="A776" s="293"/>
      <c r="B776" s="259"/>
      <c r="C776" s="259"/>
      <c r="E776" s="296">
        <f t="shared" si="42"/>
        <v>0</v>
      </c>
      <c r="F776" s="297"/>
      <c r="G776" s="297"/>
      <c r="H776" s="297"/>
    </row>
    <row r="777" spans="1:8" s="278" customFormat="1" ht="24.95" customHeight="1" x14ac:dyDescent="0.2">
      <c r="A777" s="293"/>
      <c r="B777" s="259"/>
      <c r="C777" s="259"/>
      <c r="E777" s="296">
        <f t="shared" si="42"/>
        <v>0</v>
      </c>
      <c r="F777" s="297"/>
      <c r="G777" s="297"/>
      <c r="H777" s="297"/>
    </row>
    <row r="778" spans="1:8" s="278" customFormat="1" ht="24.95" customHeight="1" x14ac:dyDescent="0.2">
      <c r="A778" s="293"/>
      <c r="B778" s="259"/>
      <c r="C778" s="259"/>
      <c r="E778" s="296">
        <f t="shared" si="42"/>
        <v>0</v>
      </c>
      <c r="F778" s="297"/>
      <c r="G778" s="297"/>
      <c r="H778" s="297"/>
    </row>
    <row r="779" spans="1:8" s="278" customFormat="1" ht="24.95" customHeight="1" x14ac:dyDescent="0.2">
      <c r="A779" s="293"/>
      <c r="B779" s="259"/>
      <c r="C779" s="259"/>
      <c r="E779" s="296">
        <f t="shared" ref="E779:E842" si="43">A779</f>
        <v>0</v>
      </c>
      <c r="F779" s="297"/>
      <c r="G779" s="297"/>
      <c r="H779" s="297"/>
    </row>
    <row r="780" spans="1:8" s="278" customFormat="1" ht="24.95" customHeight="1" x14ac:dyDescent="0.2">
      <c r="A780" s="293"/>
      <c r="B780" s="259"/>
      <c r="C780" s="259"/>
      <c r="E780" s="296">
        <f t="shared" si="43"/>
        <v>0</v>
      </c>
      <c r="F780" s="297"/>
      <c r="G780" s="297"/>
      <c r="H780" s="297"/>
    </row>
    <row r="781" spans="1:8" s="278" customFormat="1" ht="24.95" customHeight="1" x14ac:dyDescent="0.2">
      <c r="A781" s="293"/>
      <c r="B781" s="259"/>
      <c r="C781" s="259"/>
      <c r="E781" s="296">
        <f t="shared" si="43"/>
        <v>0</v>
      </c>
      <c r="F781" s="297"/>
      <c r="G781" s="297"/>
      <c r="H781" s="297"/>
    </row>
    <row r="782" spans="1:8" s="278" customFormat="1" ht="24.95" customHeight="1" x14ac:dyDescent="0.2">
      <c r="A782" s="293"/>
      <c r="B782" s="259"/>
      <c r="C782" s="259"/>
      <c r="E782" s="296">
        <f t="shared" si="43"/>
        <v>0</v>
      </c>
      <c r="F782" s="297"/>
      <c r="G782" s="297"/>
      <c r="H782" s="297"/>
    </row>
    <row r="783" spans="1:8" s="278" customFormat="1" ht="24.95" customHeight="1" x14ac:dyDescent="0.2">
      <c r="A783" s="293"/>
      <c r="B783" s="259"/>
      <c r="C783" s="259"/>
      <c r="E783" s="296">
        <f t="shared" si="43"/>
        <v>0</v>
      </c>
      <c r="F783" s="297"/>
      <c r="G783" s="297"/>
      <c r="H783" s="297"/>
    </row>
    <row r="784" spans="1:8" s="278" customFormat="1" ht="24.95" customHeight="1" x14ac:dyDescent="0.2">
      <c r="A784" s="293"/>
      <c r="B784" s="259"/>
      <c r="C784" s="259"/>
      <c r="E784" s="296">
        <f t="shared" si="43"/>
        <v>0</v>
      </c>
      <c r="F784" s="297"/>
      <c r="G784" s="297"/>
      <c r="H784" s="297"/>
    </row>
    <row r="785" spans="1:8" s="278" customFormat="1" ht="24.95" customHeight="1" x14ac:dyDescent="0.2">
      <c r="A785" s="293"/>
      <c r="B785" s="259"/>
      <c r="C785" s="259"/>
      <c r="E785" s="296">
        <f t="shared" si="43"/>
        <v>0</v>
      </c>
      <c r="F785" s="297"/>
      <c r="G785" s="297"/>
      <c r="H785" s="297"/>
    </row>
    <row r="786" spans="1:8" s="278" customFormat="1" ht="24.95" customHeight="1" x14ac:dyDescent="0.2">
      <c r="A786" s="293"/>
      <c r="B786" s="259"/>
      <c r="C786" s="259"/>
      <c r="E786" s="296">
        <f t="shared" si="43"/>
        <v>0</v>
      </c>
      <c r="F786" s="297"/>
      <c r="G786" s="297"/>
      <c r="H786" s="297"/>
    </row>
    <row r="787" spans="1:8" s="278" customFormat="1" ht="24.95" customHeight="1" x14ac:dyDescent="0.2">
      <c r="A787" s="293"/>
      <c r="B787" s="259"/>
      <c r="C787" s="259"/>
      <c r="E787" s="296">
        <f t="shared" si="43"/>
        <v>0</v>
      </c>
      <c r="F787" s="297"/>
      <c r="G787" s="297"/>
      <c r="H787" s="297"/>
    </row>
    <row r="788" spans="1:8" s="278" customFormat="1" ht="24.95" customHeight="1" x14ac:dyDescent="0.2">
      <c r="A788" s="293"/>
      <c r="B788" s="259"/>
      <c r="C788" s="259"/>
      <c r="E788" s="296">
        <f t="shared" si="43"/>
        <v>0</v>
      </c>
      <c r="F788" s="297"/>
      <c r="G788" s="297"/>
      <c r="H788" s="297"/>
    </row>
    <row r="789" spans="1:8" s="278" customFormat="1" ht="24.95" customHeight="1" x14ac:dyDescent="0.2">
      <c r="A789" s="293"/>
      <c r="B789" s="259"/>
      <c r="C789" s="259"/>
      <c r="E789" s="296">
        <f t="shared" si="43"/>
        <v>0</v>
      </c>
      <c r="F789" s="297"/>
      <c r="G789" s="297"/>
      <c r="H789" s="297"/>
    </row>
    <row r="790" spans="1:8" s="278" customFormat="1" ht="24.95" customHeight="1" x14ac:dyDescent="0.2">
      <c r="A790" s="293"/>
      <c r="B790" s="259"/>
      <c r="C790" s="259"/>
      <c r="E790" s="296">
        <f t="shared" si="43"/>
        <v>0</v>
      </c>
      <c r="F790" s="297"/>
      <c r="G790" s="297"/>
      <c r="H790" s="297"/>
    </row>
    <row r="791" spans="1:8" s="278" customFormat="1" ht="24.95" customHeight="1" x14ac:dyDescent="0.2">
      <c r="A791" s="293"/>
      <c r="B791" s="259"/>
      <c r="C791" s="259"/>
      <c r="E791" s="296">
        <f t="shared" si="43"/>
        <v>0</v>
      </c>
      <c r="F791" s="297"/>
      <c r="G791" s="297"/>
      <c r="H791" s="297"/>
    </row>
    <row r="792" spans="1:8" s="278" customFormat="1" ht="24.95" customHeight="1" x14ac:dyDescent="0.2">
      <c r="A792" s="293"/>
      <c r="B792" s="259"/>
      <c r="C792" s="259"/>
      <c r="E792" s="296">
        <f t="shared" si="43"/>
        <v>0</v>
      </c>
      <c r="F792" s="297"/>
      <c r="G792" s="297"/>
      <c r="H792" s="297"/>
    </row>
    <row r="793" spans="1:8" s="278" customFormat="1" ht="24.95" customHeight="1" x14ac:dyDescent="0.2">
      <c r="A793" s="293"/>
      <c r="B793" s="259"/>
      <c r="C793" s="259"/>
      <c r="E793" s="296">
        <f t="shared" si="43"/>
        <v>0</v>
      </c>
      <c r="F793" s="297"/>
      <c r="G793" s="297"/>
      <c r="H793" s="297"/>
    </row>
    <row r="794" spans="1:8" s="278" customFormat="1" ht="24.95" customHeight="1" x14ac:dyDescent="0.2">
      <c r="A794" s="293"/>
      <c r="B794" s="259"/>
      <c r="C794" s="259"/>
      <c r="E794" s="296">
        <f t="shared" si="43"/>
        <v>0</v>
      </c>
      <c r="F794" s="297"/>
      <c r="G794" s="297"/>
      <c r="H794" s="297"/>
    </row>
    <row r="795" spans="1:8" s="278" customFormat="1" ht="24.95" customHeight="1" x14ac:dyDescent="0.2">
      <c r="A795" s="293"/>
      <c r="B795" s="259"/>
      <c r="C795" s="259"/>
      <c r="E795" s="296">
        <f t="shared" si="43"/>
        <v>0</v>
      </c>
      <c r="F795" s="297"/>
      <c r="G795" s="297"/>
      <c r="H795" s="297"/>
    </row>
    <row r="796" spans="1:8" s="278" customFormat="1" ht="24.95" customHeight="1" x14ac:dyDescent="0.2">
      <c r="A796" s="293"/>
      <c r="B796" s="259"/>
      <c r="C796" s="259"/>
      <c r="E796" s="296">
        <f t="shared" si="43"/>
        <v>0</v>
      </c>
      <c r="F796" s="297"/>
      <c r="G796" s="297"/>
      <c r="H796" s="297"/>
    </row>
    <row r="797" spans="1:8" s="278" customFormat="1" ht="24.95" customHeight="1" x14ac:dyDescent="0.2">
      <c r="A797" s="293"/>
      <c r="B797" s="259"/>
      <c r="C797" s="259"/>
      <c r="E797" s="296">
        <f t="shared" si="43"/>
        <v>0</v>
      </c>
      <c r="F797" s="297"/>
      <c r="G797" s="297"/>
      <c r="H797" s="297"/>
    </row>
    <row r="798" spans="1:8" s="278" customFormat="1" ht="24.95" customHeight="1" x14ac:dyDescent="0.2">
      <c r="A798" s="293"/>
      <c r="B798" s="259"/>
      <c r="C798" s="259"/>
      <c r="E798" s="296">
        <f t="shared" si="43"/>
        <v>0</v>
      </c>
      <c r="F798" s="297"/>
      <c r="G798" s="297"/>
      <c r="H798" s="297"/>
    </row>
    <row r="799" spans="1:8" s="278" customFormat="1" ht="24.95" customHeight="1" x14ac:dyDescent="0.2">
      <c r="A799" s="293"/>
      <c r="B799" s="259"/>
      <c r="C799" s="259"/>
      <c r="E799" s="296">
        <f t="shared" si="43"/>
        <v>0</v>
      </c>
      <c r="F799" s="297"/>
      <c r="G799" s="297"/>
      <c r="H799" s="297"/>
    </row>
    <row r="800" spans="1:8" s="278" customFormat="1" ht="24.95" customHeight="1" x14ac:dyDescent="0.2">
      <c r="A800" s="293"/>
      <c r="B800" s="259"/>
      <c r="C800" s="259"/>
      <c r="E800" s="296">
        <f t="shared" si="43"/>
        <v>0</v>
      </c>
      <c r="F800" s="297"/>
      <c r="G800" s="297"/>
      <c r="H800" s="297"/>
    </row>
    <row r="801" spans="1:8" s="278" customFormat="1" ht="24.95" customHeight="1" x14ac:dyDescent="0.2">
      <c r="A801" s="293"/>
      <c r="B801" s="259"/>
      <c r="C801" s="259"/>
      <c r="E801" s="296">
        <f t="shared" si="43"/>
        <v>0</v>
      </c>
      <c r="F801" s="297"/>
      <c r="G801" s="297"/>
      <c r="H801" s="297"/>
    </row>
    <row r="802" spans="1:8" s="278" customFormat="1" ht="24.95" customHeight="1" x14ac:dyDescent="0.2">
      <c r="A802" s="293"/>
      <c r="B802" s="259"/>
      <c r="C802" s="259"/>
      <c r="E802" s="296">
        <f t="shared" si="43"/>
        <v>0</v>
      </c>
      <c r="F802" s="297"/>
      <c r="G802" s="297"/>
      <c r="H802" s="297"/>
    </row>
    <row r="803" spans="1:8" s="278" customFormat="1" ht="24.95" customHeight="1" x14ac:dyDescent="0.2">
      <c r="A803" s="293"/>
      <c r="B803" s="259"/>
      <c r="C803" s="259"/>
      <c r="E803" s="296">
        <f t="shared" si="43"/>
        <v>0</v>
      </c>
      <c r="F803" s="297"/>
      <c r="G803" s="297"/>
      <c r="H803" s="297"/>
    </row>
    <row r="804" spans="1:8" s="278" customFormat="1" ht="24.95" customHeight="1" x14ac:dyDescent="0.2">
      <c r="A804" s="293"/>
      <c r="B804" s="259"/>
      <c r="C804" s="259"/>
      <c r="E804" s="296">
        <f t="shared" si="43"/>
        <v>0</v>
      </c>
      <c r="F804" s="297"/>
      <c r="G804" s="297"/>
      <c r="H804" s="297"/>
    </row>
    <row r="805" spans="1:8" s="278" customFormat="1" ht="24.95" customHeight="1" x14ac:dyDescent="0.2">
      <c r="A805" s="293"/>
      <c r="B805" s="259"/>
      <c r="C805" s="259"/>
      <c r="E805" s="296">
        <f t="shared" si="43"/>
        <v>0</v>
      </c>
      <c r="F805" s="297"/>
      <c r="G805" s="297"/>
      <c r="H805" s="297"/>
    </row>
    <row r="806" spans="1:8" s="278" customFormat="1" ht="24.95" customHeight="1" x14ac:dyDescent="0.2">
      <c r="A806" s="293"/>
      <c r="B806" s="259"/>
      <c r="C806" s="259"/>
      <c r="E806" s="296">
        <f t="shared" si="43"/>
        <v>0</v>
      </c>
      <c r="F806" s="297"/>
      <c r="G806" s="297"/>
      <c r="H806" s="297"/>
    </row>
    <row r="807" spans="1:8" s="278" customFormat="1" ht="24.95" customHeight="1" x14ac:dyDescent="0.2">
      <c r="A807" s="293"/>
      <c r="B807" s="259"/>
      <c r="C807" s="259"/>
      <c r="E807" s="296">
        <f t="shared" si="43"/>
        <v>0</v>
      </c>
      <c r="F807" s="297"/>
      <c r="G807" s="297"/>
      <c r="H807" s="297"/>
    </row>
    <row r="808" spans="1:8" s="278" customFormat="1" ht="24.95" customHeight="1" x14ac:dyDescent="0.2">
      <c r="A808" s="293"/>
      <c r="B808" s="259"/>
      <c r="C808" s="259"/>
      <c r="E808" s="296">
        <f t="shared" si="43"/>
        <v>0</v>
      </c>
      <c r="F808" s="297"/>
      <c r="G808" s="297"/>
      <c r="H808" s="297"/>
    </row>
    <row r="809" spans="1:8" s="278" customFormat="1" ht="24.95" customHeight="1" x14ac:dyDescent="0.2">
      <c r="A809" s="293"/>
      <c r="B809" s="259"/>
      <c r="C809" s="259"/>
      <c r="E809" s="296">
        <f t="shared" si="43"/>
        <v>0</v>
      </c>
      <c r="F809" s="297"/>
      <c r="G809" s="297"/>
      <c r="H809" s="297"/>
    </row>
    <row r="810" spans="1:8" s="278" customFormat="1" ht="24.95" customHeight="1" x14ac:dyDescent="0.2">
      <c r="A810" s="293"/>
      <c r="B810" s="259"/>
      <c r="C810" s="259"/>
      <c r="E810" s="296">
        <f t="shared" si="43"/>
        <v>0</v>
      </c>
      <c r="F810" s="297"/>
      <c r="G810" s="297"/>
      <c r="H810" s="297"/>
    </row>
    <row r="811" spans="1:8" s="278" customFormat="1" ht="24.95" customHeight="1" x14ac:dyDescent="0.2">
      <c r="A811" s="293"/>
      <c r="B811" s="259"/>
      <c r="C811" s="259"/>
      <c r="E811" s="296">
        <f t="shared" si="43"/>
        <v>0</v>
      </c>
      <c r="F811" s="297"/>
      <c r="G811" s="297"/>
      <c r="H811" s="297"/>
    </row>
    <row r="812" spans="1:8" s="278" customFormat="1" ht="24.95" customHeight="1" x14ac:dyDescent="0.2">
      <c r="A812" s="293"/>
      <c r="B812" s="259"/>
      <c r="C812" s="259"/>
      <c r="E812" s="296">
        <f t="shared" si="43"/>
        <v>0</v>
      </c>
      <c r="F812" s="297"/>
      <c r="G812" s="297"/>
      <c r="H812" s="297"/>
    </row>
    <row r="813" spans="1:8" s="278" customFormat="1" ht="24.95" customHeight="1" x14ac:dyDescent="0.2">
      <c r="A813" s="293"/>
      <c r="B813" s="259"/>
      <c r="C813" s="259"/>
      <c r="E813" s="296">
        <f t="shared" si="43"/>
        <v>0</v>
      </c>
      <c r="F813" s="297"/>
      <c r="G813" s="297"/>
      <c r="H813" s="297"/>
    </row>
    <row r="814" spans="1:8" s="278" customFormat="1" ht="24.95" customHeight="1" x14ac:dyDescent="0.2">
      <c r="A814" s="293"/>
      <c r="B814" s="259"/>
      <c r="C814" s="259"/>
      <c r="E814" s="296">
        <f t="shared" si="43"/>
        <v>0</v>
      </c>
      <c r="F814" s="297"/>
      <c r="G814" s="297"/>
      <c r="H814" s="297"/>
    </row>
    <row r="815" spans="1:8" s="278" customFormat="1" ht="24.95" customHeight="1" x14ac:dyDescent="0.2">
      <c r="A815" s="293"/>
      <c r="B815" s="259"/>
      <c r="C815" s="259"/>
      <c r="E815" s="296">
        <f t="shared" si="43"/>
        <v>0</v>
      </c>
      <c r="F815" s="297"/>
      <c r="G815" s="297"/>
      <c r="H815" s="297"/>
    </row>
    <row r="816" spans="1:8" s="278" customFormat="1" ht="24.95" customHeight="1" x14ac:dyDescent="0.2">
      <c r="A816" s="293"/>
      <c r="B816" s="259"/>
      <c r="C816" s="259"/>
      <c r="E816" s="296">
        <f t="shared" si="43"/>
        <v>0</v>
      </c>
      <c r="F816" s="297"/>
      <c r="G816" s="297"/>
      <c r="H816" s="297"/>
    </row>
    <row r="817" spans="1:8" s="278" customFormat="1" ht="24.95" customHeight="1" x14ac:dyDescent="0.2">
      <c r="A817" s="293"/>
      <c r="B817" s="259"/>
      <c r="C817" s="259"/>
      <c r="E817" s="296">
        <f t="shared" si="43"/>
        <v>0</v>
      </c>
      <c r="F817" s="297"/>
      <c r="G817" s="297"/>
      <c r="H817" s="297"/>
    </row>
    <row r="818" spans="1:8" s="278" customFormat="1" ht="24.95" customHeight="1" x14ac:dyDescent="0.2">
      <c r="A818" s="293"/>
      <c r="B818" s="259"/>
      <c r="C818" s="259"/>
      <c r="E818" s="296">
        <f t="shared" si="43"/>
        <v>0</v>
      </c>
      <c r="F818" s="297"/>
      <c r="G818" s="297"/>
      <c r="H818" s="297"/>
    </row>
    <row r="819" spans="1:8" s="278" customFormat="1" ht="24.95" customHeight="1" x14ac:dyDescent="0.2">
      <c r="A819" s="293"/>
      <c r="B819" s="259"/>
      <c r="C819" s="259"/>
      <c r="E819" s="296">
        <f t="shared" si="43"/>
        <v>0</v>
      </c>
      <c r="F819" s="297"/>
      <c r="G819" s="297"/>
      <c r="H819" s="297"/>
    </row>
    <row r="820" spans="1:8" s="278" customFormat="1" ht="24.95" customHeight="1" x14ac:dyDescent="0.2">
      <c r="A820" s="293"/>
      <c r="B820" s="259"/>
      <c r="C820" s="259"/>
      <c r="E820" s="296">
        <f t="shared" si="43"/>
        <v>0</v>
      </c>
      <c r="F820" s="297"/>
      <c r="G820" s="297"/>
      <c r="H820" s="297"/>
    </row>
    <row r="821" spans="1:8" s="278" customFormat="1" ht="24.95" customHeight="1" x14ac:dyDescent="0.2">
      <c r="A821" s="293"/>
      <c r="B821" s="259"/>
      <c r="C821" s="259"/>
      <c r="E821" s="296">
        <f t="shared" si="43"/>
        <v>0</v>
      </c>
      <c r="F821" s="297"/>
      <c r="G821" s="297"/>
      <c r="H821" s="297"/>
    </row>
    <row r="822" spans="1:8" s="278" customFormat="1" ht="24.95" customHeight="1" x14ac:dyDescent="0.2">
      <c r="A822" s="293"/>
      <c r="B822" s="259"/>
      <c r="C822" s="259"/>
      <c r="E822" s="296">
        <f t="shared" si="43"/>
        <v>0</v>
      </c>
      <c r="F822" s="297"/>
      <c r="G822" s="297"/>
      <c r="H822" s="297"/>
    </row>
    <row r="823" spans="1:8" s="278" customFormat="1" ht="24.95" customHeight="1" x14ac:dyDescent="0.2">
      <c r="A823" s="293"/>
      <c r="B823" s="259"/>
      <c r="C823" s="259"/>
      <c r="E823" s="296">
        <f t="shared" si="43"/>
        <v>0</v>
      </c>
      <c r="F823" s="297"/>
      <c r="G823" s="297"/>
      <c r="H823" s="297"/>
    </row>
    <row r="824" spans="1:8" s="278" customFormat="1" ht="24.95" customHeight="1" x14ac:dyDescent="0.2">
      <c r="A824" s="293"/>
      <c r="B824" s="259"/>
      <c r="C824" s="259"/>
      <c r="E824" s="296">
        <f t="shared" si="43"/>
        <v>0</v>
      </c>
      <c r="F824" s="297"/>
      <c r="G824" s="297"/>
      <c r="H824" s="297"/>
    </row>
    <row r="825" spans="1:8" s="278" customFormat="1" ht="24.95" customHeight="1" x14ac:dyDescent="0.2">
      <c r="A825" s="293"/>
      <c r="B825" s="259"/>
      <c r="C825" s="259"/>
      <c r="E825" s="296">
        <f t="shared" si="43"/>
        <v>0</v>
      </c>
      <c r="F825" s="297"/>
      <c r="G825" s="297"/>
      <c r="H825" s="297"/>
    </row>
    <row r="826" spans="1:8" s="278" customFormat="1" ht="24.95" customHeight="1" x14ac:dyDescent="0.2">
      <c r="A826" s="293"/>
      <c r="B826" s="259"/>
      <c r="C826" s="259"/>
      <c r="E826" s="296">
        <f t="shared" si="43"/>
        <v>0</v>
      </c>
      <c r="F826" s="297"/>
      <c r="G826" s="297"/>
      <c r="H826" s="297"/>
    </row>
    <row r="827" spans="1:8" s="278" customFormat="1" ht="24.95" customHeight="1" x14ac:dyDescent="0.2">
      <c r="A827" s="293"/>
      <c r="B827" s="259"/>
      <c r="C827" s="259"/>
      <c r="E827" s="296">
        <f t="shared" si="43"/>
        <v>0</v>
      </c>
      <c r="F827" s="297"/>
      <c r="G827" s="297"/>
      <c r="H827" s="297"/>
    </row>
    <row r="828" spans="1:8" s="278" customFormat="1" ht="24.95" customHeight="1" x14ac:dyDescent="0.2">
      <c r="A828" s="293"/>
      <c r="B828" s="259"/>
      <c r="C828" s="259"/>
      <c r="E828" s="296">
        <f t="shared" si="43"/>
        <v>0</v>
      </c>
      <c r="F828" s="297"/>
      <c r="G828" s="297"/>
      <c r="H828" s="297"/>
    </row>
    <row r="829" spans="1:8" s="278" customFormat="1" ht="24.95" customHeight="1" x14ac:dyDescent="0.2">
      <c r="A829" s="293"/>
      <c r="B829" s="259"/>
      <c r="C829" s="259"/>
      <c r="E829" s="296">
        <f t="shared" si="43"/>
        <v>0</v>
      </c>
      <c r="F829" s="297"/>
      <c r="G829" s="297"/>
      <c r="H829" s="297"/>
    </row>
    <row r="830" spans="1:8" s="278" customFormat="1" ht="24.95" customHeight="1" x14ac:dyDescent="0.2">
      <c r="A830" s="293"/>
      <c r="B830" s="259"/>
      <c r="C830" s="259"/>
      <c r="E830" s="296">
        <f t="shared" si="43"/>
        <v>0</v>
      </c>
      <c r="F830" s="297"/>
      <c r="G830" s="297"/>
      <c r="H830" s="297"/>
    </row>
    <row r="831" spans="1:8" s="278" customFormat="1" ht="24.95" customHeight="1" x14ac:dyDescent="0.2">
      <c r="A831" s="293"/>
      <c r="B831" s="259"/>
      <c r="C831" s="259"/>
      <c r="E831" s="296">
        <f t="shared" si="43"/>
        <v>0</v>
      </c>
      <c r="F831" s="297"/>
      <c r="G831" s="297"/>
      <c r="H831" s="297"/>
    </row>
    <row r="832" spans="1:8" s="278" customFormat="1" ht="24.95" customHeight="1" x14ac:dyDescent="0.2">
      <c r="A832" s="293"/>
      <c r="B832" s="259"/>
      <c r="C832" s="259"/>
      <c r="E832" s="296">
        <f t="shared" si="43"/>
        <v>0</v>
      </c>
      <c r="F832" s="297"/>
      <c r="G832" s="297"/>
      <c r="H832" s="297"/>
    </row>
    <row r="833" spans="1:8" s="278" customFormat="1" ht="24.95" customHeight="1" x14ac:dyDescent="0.2">
      <c r="A833" s="293"/>
      <c r="B833" s="259"/>
      <c r="C833" s="259"/>
      <c r="E833" s="296">
        <f t="shared" si="43"/>
        <v>0</v>
      </c>
      <c r="F833" s="297"/>
      <c r="G833" s="297"/>
      <c r="H833" s="297"/>
    </row>
    <row r="834" spans="1:8" s="278" customFormat="1" ht="24.95" customHeight="1" x14ac:dyDescent="0.2">
      <c r="A834" s="293"/>
      <c r="B834" s="259"/>
      <c r="C834" s="259"/>
      <c r="E834" s="296">
        <f t="shared" si="43"/>
        <v>0</v>
      </c>
      <c r="F834" s="297"/>
      <c r="G834" s="297"/>
      <c r="H834" s="297"/>
    </row>
    <row r="835" spans="1:8" s="278" customFormat="1" ht="24.95" customHeight="1" x14ac:dyDescent="0.2">
      <c r="A835" s="293"/>
      <c r="B835" s="259"/>
      <c r="C835" s="259"/>
      <c r="E835" s="296">
        <f t="shared" si="43"/>
        <v>0</v>
      </c>
      <c r="F835" s="297"/>
      <c r="G835" s="297"/>
      <c r="H835" s="297"/>
    </row>
    <row r="836" spans="1:8" s="278" customFormat="1" ht="24.95" customHeight="1" x14ac:dyDescent="0.2">
      <c r="A836" s="293"/>
      <c r="B836" s="259"/>
      <c r="C836" s="259"/>
      <c r="E836" s="296">
        <f t="shared" si="43"/>
        <v>0</v>
      </c>
      <c r="F836" s="297"/>
      <c r="G836" s="297"/>
      <c r="H836" s="297"/>
    </row>
    <row r="837" spans="1:8" s="278" customFormat="1" ht="24.95" customHeight="1" x14ac:dyDescent="0.2">
      <c r="A837" s="293"/>
      <c r="B837" s="259"/>
      <c r="C837" s="259"/>
      <c r="E837" s="296">
        <f t="shared" si="43"/>
        <v>0</v>
      </c>
      <c r="F837" s="297"/>
      <c r="G837" s="297"/>
      <c r="H837" s="297"/>
    </row>
    <row r="838" spans="1:8" s="278" customFormat="1" ht="24.95" customHeight="1" x14ac:dyDescent="0.2">
      <c r="A838" s="293"/>
      <c r="B838" s="259"/>
      <c r="C838" s="259"/>
      <c r="E838" s="296">
        <f t="shared" si="43"/>
        <v>0</v>
      </c>
      <c r="F838" s="297"/>
      <c r="G838" s="297"/>
      <c r="H838" s="297"/>
    </row>
    <row r="839" spans="1:8" s="278" customFormat="1" ht="24.95" customHeight="1" x14ac:dyDescent="0.2">
      <c r="A839" s="293"/>
      <c r="B839" s="259"/>
      <c r="C839" s="259"/>
      <c r="E839" s="296">
        <f t="shared" si="43"/>
        <v>0</v>
      </c>
      <c r="F839" s="297"/>
      <c r="G839" s="297"/>
      <c r="H839" s="297"/>
    </row>
    <row r="840" spans="1:8" s="278" customFormat="1" ht="24.95" customHeight="1" x14ac:dyDescent="0.2">
      <c r="A840" s="293"/>
      <c r="B840" s="259"/>
      <c r="C840" s="259"/>
      <c r="E840" s="296">
        <f t="shared" si="43"/>
        <v>0</v>
      </c>
      <c r="F840" s="297"/>
      <c r="G840" s="297"/>
      <c r="H840" s="297"/>
    </row>
    <row r="841" spans="1:8" s="278" customFormat="1" ht="24.95" customHeight="1" x14ac:dyDescent="0.2">
      <c r="A841" s="293"/>
      <c r="B841" s="259"/>
      <c r="C841" s="259"/>
      <c r="E841" s="296">
        <f t="shared" si="43"/>
        <v>0</v>
      </c>
      <c r="F841" s="297"/>
      <c r="G841" s="297"/>
      <c r="H841" s="297"/>
    </row>
    <row r="842" spans="1:8" s="278" customFormat="1" ht="24.95" customHeight="1" x14ac:dyDescent="0.2">
      <c r="A842" s="293"/>
      <c r="B842" s="259"/>
      <c r="C842" s="259"/>
      <c r="E842" s="296">
        <f t="shared" si="43"/>
        <v>0</v>
      </c>
      <c r="F842" s="297"/>
      <c r="G842" s="297"/>
      <c r="H842" s="297"/>
    </row>
    <row r="843" spans="1:8" s="278" customFormat="1" ht="24.95" customHeight="1" x14ac:dyDescent="0.2">
      <c r="A843" s="293"/>
      <c r="B843" s="259"/>
      <c r="C843" s="259"/>
      <c r="E843" s="296">
        <f t="shared" ref="E843:E906" si="44">A843</f>
        <v>0</v>
      </c>
      <c r="F843" s="297"/>
      <c r="G843" s="297"/>
      <c r="H843" s="297"/>
    </row>
    <row r="844" spans="1:8" s="278" customFormat="1" ht="24.95" customHeight="1" x14ac:dyDescent="0.2">
      <c r="A844" s="293"/>
      <c r="B844" s="259"/>
      <c r="C844" s="259"/>
      <c r="E844" s="296">
        <f t="shared" si="44"/>
        <v>0</v>
      </c>
      <c r="F844" s="297"/>
      <c r="G844" s="297"/>
      <c r="H844" s="297"/>
    </row>
    <row r="845" spans="1:8" s="278" customFormat="1" ht="24.95" customHeight="1" x14ac:dyDescent="0.2">
      <c r="A845" s="293"/>
      <c r="B845" s="259"/>
      <c r="C845" s="259"/>
      <c r="E845" s="296">
        <f t="shared" si="44"/>
        <v>0</v>
      </c>
      <c r="F845" s="297"/>
      <c r="G845" s="297"/>
      <c r="H845" s="297"/>
    </row>
    <row r="846" spans="1:8" s="278" customFormat="1" ht="24.95" customHeight="1" x14ac:dyDescent="0.2">
      <c r="A846" s="293"/>
      <c r="B846" s="259"/>
      <c r="C846" s="259"/>
      <c r="E846" s="296">
        <f t="shared" si="44"/>
        <v>0</v>
      </c>
      <c r="F846" s="297"/>
      <c r="G846" s="297"/>
      <c r="H846" s="297"/>
    </row>
    <row r="847" spans="1:8" s="278" customFormat="1" ht="24.95" customHeight="1" x14ac:dyDescent="0.2">
      <c r="A847" s="293"/>
      <c r="B847" s="259"/>
      <c r="C847" s="259"/>
      <c r="E847" s="296">
        <f t="shared" si="44"/>
        <v>0</v>
      </c>
      <c r="F847" s="297"/>
      <c r="G847" s="297"/>
      <c r="H847" s="297"/>
    </row>
    <row r="848" spans="1:8" s="278" customFormat="1" ht="24.95" customHeight="1" x14ac:dyDescent="0.2">
      <c r="A848" s="293"/>
      <c r="B848" s="259"/>
      <c r="C848" s="259"/>
      <c r="E848" s="296">
        <f t="shared" si="44"/>
        <v>0</v>
      </c>
      <c r="F848" s="297"/>
      <c r="G848" s="297"/>
      <c r="H848" s="297"/>
    </row>
    <row r="849" spans="1:8" s="278" customFormat="1" ht="24.95" customHeight="1" x14ac:dyDescent="0.2">
      <c r="A849" s="293"/>
      <c r="B849" s="259"/>
      <c r="C849" s="259"/>
      <c r="E849" s="296">
        <f t="shared" si="44"/>
        <v>0</v>
      </c>
      <c r="F849" s="297"/>
      <c r="G849" s="297"/>
      <c r="H849" s="297"/>
    </row>
    <row r="850" spans="1:8" s="278" customFormat="1" ht="24.95" customHeight="1" x14ac:dyDescent="0.2">
      <c r="A850" s="293"/>
      <c r="B850" s="259"/>
      <c r="C850" s="259"/>
      <c r="E850" s="296">
        <f t="shared" si="44"/>
        <v>0</v>
      </c>
      <c r="F850" s="297"/>
      <c r="G850" s="297"/>
      <c r="H850" s="297"/>
    </row>
    <row r="851" spans="1:8" s="278" customFormat="1" ht="24.95" customHeight="1" x14ac:dyDescent="0.2">
      <c r="A851" s="293"/>
      <c r="B851" s="259"/>
      <c r="C851" s="259"/>
      <c r="E851" s="296">
        <f t="shared" si="44"/>
        <v>0</v>
      </c>
      <c r="F851" s="297"/>
      <c r="G851" s="297"/>
      <c r="H851" s="297"/>
    </row>
    <row r="852" spans="1:8" s="278" customFormat="1" ht="24.95" customHeight="1" x14ac:dyDescent="0.2">
      <c r="A852" s="293"/>
      <c r="B852" s="259"/>
      <c r="C852" s="259"/>
      <c r="E852" s="296">
        <f t="shared" si="44"/>
        <v>0</v>
      </c>
      <c r="F852" s="297"/>
      <c r="G852" s="297"/>
      <c r="H852" s="297"/>
    </row>
    <row r="853" spans="1:8" s="278" customFormat="1" ht="24.95" customHeight="1" x14ac:dyDescent="0.2">
      <c r="A853" s="293"/>
      <c r="B853" s="259"/>
      <c r="C853" s="259"/>
      <c r="E853" s="296">
        <f t="shared" si="44"/>
        <v>0</v>
      </c>
      <c r="F853" s="297"/>
      <c r="G853" s="297"/>
      <c r="H853" s="297"/>
    </row>
    <row r="854" spans="1:8" s="278" customFormat="1" ht="24.95" customHeight="1" x14ac:dyDescent="0.2">
      <c r="A854" s="293"/>
      <c r="B854" s="259"/>
      <c r="C854" s="259"/>
      <c r="E854" s="296">
        <f t="shared" si="44"/>
        <v>0</v>
      </c>
      <c r="F854" s="297"/>
      <c r="G854" s="297"/>
      <c r="H854" s="297"/>
    </row>
    <row r="855" spans="1:8" s="278" customFormat="1" ht="24.95" customHeight="1" x14ac:dyDescent="0.2">
      <c r="A855" s="293"/>
      <c r="B855" s="259"/>
      <c r="C855" s="259"/>
      <c r="E855" s="296">
        <f t="shared" si="44"/>
        <v>0</v>
      </c>
      <c r="F855" s="297"/>
      <c r="G855" s="297"/>
      <c r="H855" s="297"/>
    </row>
    <row r="856" spans="1:8" s="278" customFormat="1" ht="24.95" customHeight="1" x14ac:dyDescent="0.2">
      <c r="A856" s="293"/>
      <c r="B856" s="259"/>
      <c r="C856" s="259"/>
      <c r="E856" s="296">
        <f t="shared" si="44"/>
        <v>0</v>
      </c>
      <c r="F856" s="297"/>
      <c r="G856" s="297"/>
      <c r="H856" s="297"/>
    </row>
    <row r="857" spans="1:8" s="278" customFormat="1" ht="24.95" customHeight="1" x14ac:dyDescent="0.2">
      <c r="A857" s="293"/>
      <c r="B857" s="259"/>
      <c r="C857" s="259"/>
      <c r="E857" s="296">
        <f t="shared" si="44"/>
        <v>0</v>
      </c>
      <c r="F857" s="297"/>
      <c r="G857" s="297"/>
      <c r="H857" s="297"/>
    </row>
    <row r="858" spans="1:8" s="278" customFormat="1" ht="24.95" customHeight="1" x14ac:dyDescent="0.2">
      <c r="A858" s="293"/>
      <c r="B858" s="259"/>
      <c r="C858" s="259"/>
      <c r="E858" s="296">
        <f t="shared" si="44"/>
        <v>0</v>
      </c>
      <c r="F858" s="297"/>
      <c r="G858" s="297"/>
      <c r="H858" s="297"/>
    </row>
    <row r="859" spans="1:8" s="278" customFormat="1" ht="24.95" customHeight="1" x14ac:dyDescent="0.2">
      <c r="A859" s="293"/>
      <c r="B859" s="259"/>
      <c r="C859" s="259"/>
      <c r="E859" s="296">
        <f t="shared" si="44"/>
        <v>0</v>
      </c>
      <c r="F859" s="297"/>
      <c r="G859" s="297"/>
      <c r="H859" s="297"/>
    </row>
    <row r="860" spans="1:8" s="278" customFormat="1" ht="24.95" customHeight="1" x14ac:dyDescent="0.2">
      <c r="A860" s="293"/>
      <c r="B860" s="259"/>
      <c r="C860" s="259"/>
      <c r="E860" s="296">
        <f t="shared" si="44"/>
        <v>0</v>
      </c>
      <c r="F860" s="297"/>
      <c r="G860" s="297"/>
      <c r="H860" s="297"/>
    </row>
    <row r="861" spans="1:8" s="278" customFormat="1" ht="24.95" customHeight="1" x14ac:dyDescent="0.2">
      <c r="A861" s="293"/>
      <c r="B861" s="259"/>
      <c r="C861" s="259"/>
      <c r="E861" s="296">
        <f t="shared" si="44"/>
        <v>0</v>
      </c>
      <c r="F861" s="297"/>
      <c r="G861" s="297"/>
      <c r="H861" s="297"/>
    </row>
    <row r="862" spans="1:8" s="278" customFormat="1" ht="24.95" customHeight="1" x14ac:dyDescent="0.2">
      <c r="A862" s="293"/>
      <c r="B862" s="259"/>
      <c r="C862" s="259"/>
      <c r="E862" s="296">
        <f t="shared" si="44"/>
        <v>0</v>
      </c>
      <c r="F862" s="297"/>
      <c r="G862" s="297"/>
      <c r="H862" s="297"/>
    </row>
    <row r="863" spans="1:8" s="278" customFormat="1" ht="24.95" customHeight="1" x14ac:dyDescent="0.2">
      <c r="A863" s="293"/>
      <c r="B863" s="259"/>
      <c r="C863" s="259"/>
      <c r="E863" s="296">
        <f t="shared" si="44"/>
        <v>0</v>
      </c>
      <c r="F863" s="297"/>
      <c r="G863" s="297"/>
      <c r="H863" s="297"/>
    </row>
    <row r="864" spans="1:8" s="278" customFormat="1" ht="24.95" customHeight="1" x14ac:dyDescent="0.2">
      <c r="A864" s="293"/>
      <c r="B864" s="259"/>
      <c r="C864" s="259"/>
      <c r="E864" s="296">
        <f t="shared" si="44"/>
        <v>0</v>
      </c>
      <c r="F864" s="297"/>
      <c r="G864" s="297"/>
      <c r="H864" s="297"/>
    </row>
    <row r="865" spans="1:8" s="278" customFormat="1" ht="24.95" customHeight="1" x14ac:dyDescent="0.2">
      <c r="A865" s="293"/>
      <c r="B865" s="259"/>
      <c r="C865" s="259"/>
      <c r="E865" s="296">
        <f t="shared" si="44"/>
        <v>0</v>
      </c>
      <c r="F865" s="297"/>
      <c r="G865" s="297"/>
      <c r="H865" s="297"/>
    </row>
    <row r="866" spans="1:8" s="278" customFormat="1" ht="24.95" customHeight="1" x14ac:dyDescent="0.2">
      <c r="A866" s="293"/>
      <c r="B866" s="259"/>
      <c r="C866" s="259"/>
      <c r="E866" s="296">
        <f t="shared" si="44"/>
        <v>0</v>
      </c>
      <c r="F866" s="297"/>
      <c r="G866" s="297"/>
      <c r="H866" s="297"/>
    </row>
    <row r="867" spans="1:8" s="278" customFormat="1" ht="24.95" customHeight="1" x14ac:dyDescent="0.2">
      <c r="A867" s="293"/>
      <c r="B867" s="259"/>
      <c r="C867" s="259"/>
      <c r="E867" s="296">
        <f t="shared" si="44"/>
        <v>0</v>
      </c>
      <c r="F867" s="297"/>
      <c r="G867" s="297"/>
      <c r="H867" s="297"/>
    </row>
    <row r="868" spans="1:8" s="278" customFormat="1" ht="24.95" customHeight="1" x14ac:dyDescent="0.2">
      <c r="A868" s="293"/>
      <c r="B868" s="259"/>
      <c r="C868" s="259"/>
      <c r="E868" s="296">
        <f t="shared" si="44"/>
        <v>0</v>
      </c>
      <c r="F868" s="297"/>
      <c r="G868" s="297"/>
      <c r="H868" s="297"/>
    </row>
    <row r="869" spans="1:8" s="278" customFormat="1" ht="24.95" customHeight="1" x14ac:dyDescent="0.2">
      <c r="A869" s="293"/>
      <c r="B869" s="259"/>
      <c r="C869" s="259"/>
      <c r="E869" s="296">
        <f t="shared" si="44"/>
        <v>0</v>
      </c>
      <c r="F869" s="297"/>
      <c r="G869" s="297"/>
      <c r="H869" s="297"/>
    </row>
    <row r="870" spans="1:8" s="278" customFormat="1" ht="24.95" customHeight="1" x14ac:dyDescent="0.2">
      <c r="A870" s="293"/>
      <c r="B870" s="259"/>
      <c r="C870" s="259"/>
      <c r="E870" s="296">
        <f t="shared" si="44"/>
        <v>0</v>
      </c>
      <c r="F870" s="297"/>
      <c r="G870" s="297"/>
      <c r="H870" s="297"/>
    </row>
    <row r="871" spans="1:8" s="278" customFormat="1" ht="24.95" customHeight="1" x14ac:dyDescent="0.2">
      <c r="A871" s="293"/>
      <c r="B871" s="259"/>
      <c r="C871" s="259"/>
      <c r="E871" s="296">
        <f t="shared" si="44"/>
        <v>0</v>
      </c>
      <c r="F871" s="297"/>
      <c r="G871" s="297"/>
      <c r="H871" s="297"/>
    </row>
    <row r="872" spans="1:8" s="278" customFormat="1" ht="24.95" customHeight="1" x14ac:dyDescent="0.2">
      <c r="A872" s="293"/>
      <c r="B872" s="259"/>
      <c r="C872" s="259"/>
      <c r="E872" s="296">
        <f t="shared" si="44"/>
        <v>0</v>
      </c>
      <c r="F872" s="297"/>
      <c r="G872" s="297"/>
      <c r="H872" s="297"/>
    </row>
    <row r="873" spans="1:8" s="278" customFormat="1" ht="24.95" customHeight="1" x14ac:dyDescent="0.2">
      <c r="A873" s="293"/>
      <c r="B873" s="259"/>
      <c r="C873" s="259"/>
      <c r="E873" s="296">
        <f t="shared" si="44"/>
        <v>0</v>
      </c>
      <c r="F873" s="297"/>
      <c r="G873" s="297"/>
      <c r="H873" s="297"/>
    </row>
    <row r="874" spans="1:8" s="278" customFormat="1" ht="24.95" customHeight="1" x14ac:dyDescent="0.2">
      <c r="A874" s="293"/>
      <c r="B874" s="259"/>
      <c r="C874" s="259"/>
      <c r="E874" s="296">
        <f t="shared" si="44"/>
        <v>0</v>
      </c>
      <c r="F874" s="297"/>
      <c r="G874" s="297"/>
      <c r="H874" s="297"/>
    </row>
    <row r="875" spans="1:8" s="278" customFormat="1" ht="24.95" customHeight="1" x14ac:dyDescent="0.2">
      <c r="A875" s="293"/>
      <c r="B875" s="259"/>
      <c r="C875" s="259"/>
      <c r="E875" s="296">
        <f t="shared" si="44"/>
        <v>0</v>
      </c>
      <c r="F875" s="297"/>
      <c r="G875" s="297"/>
      <c r="H875" s="297"/>
    </row>
    <row r="876" spans="1:8" s="278" customFormat="1" ht="24.95" customHeight="1" x14ac:dyDescent="0.2">
      <c r="A876" s="293"/>
      <c r="B876" s="259"/>
      <c r="C876" s="259"/>
      <c r="E876" s="296">
        <f t="shared" si="44"/>
        <v>0</v>
      </c>
      <c r="F876" s="297"/>
      <c r="G876" s="297"/>
      <c r="H876" s="297"/>
    </row>
    <row r="877" spans="1:8" s="278" customFormat="1" ht="24.95" customHeight="1" x14ac:dyDescent="0.2">
      <c r="A877" s="293"/>
      <c r="B877" s="259"/>
      <c r="C877" s="259"/>
      <c r="E877" s="296">
        <f t="shared" si="44"/>
        <v>0</v>
      </c>
      <c r="F877" s="297"/>
      <c r="G877" s="297"/>
      <c r="H877" s="297"/>
    </row>
    <row r="878" spans="1:8" s="278" customFormat="1" ht="24.95" customHeight="1" x14ac:dyDescent="0.2">
      <c r="A878" s="293"/>
      <c r="B878" s="259"/>
      <c r="C878" s="259"/>
      <c r="E878" s="296">
        <f t="shared" si="44"/>
        <v>0</v>
      </c>
      <c r="F878" s="297"/>
      <c r="G878" s="297"/>
      <c r="H878" s="297"/>
    </row>
    <row r="879" spans="1:8" s="278" customFormat="1" ht="24.95" customHeight="1" x14ac:dyDescent="0.2">
      <c r="A879" s="293"/>
      <c r="B879" s="259"/>
      <c r="C879" s="259"/>
      <c r="E879" s="296">
        <f t="shared" si="44"/>
        <v>0</v>
      </c>
      <c r="F879" s="297"/>
      <c r="G879" s="297"/>
      <c r="H879" s="297"/>
    </row>
    <row r="880" spans="1:8" s="278" customFormat="1" ht="24.95" customHeight="1" x14ac:dyDescent="0.2">
      <c r="A880" s="293"/>
      <c r="B880" s="259"/>
      <c r="C880" s="259"/>
      <c r="E880" s="296">
        <f t="shared" si="44"/>
        <v>0</v>
      </c>
      <c r="F880" s="297"/>
      <c r="G880" s="297"/>
      <c r="H880" s="297"/>
    </row>
    <row r="881" spans="1:8" s="278" customFormat="1" ht="24.95" customHeight="1" x14ac:dyDescent="0.2">
      <c r="A881" s="293"/>
      <c r="B881" s="259"/>
      <c r="C881" s="259"/>
      <c r="E881" s="296">
        <f t="shared" si="44"/>
        <v>0</v>
      </c>
      <c r="F881" s="297"/>
      <c r="G881" s="297"/>
      <c r="H881" s="297"/>
    </row>
    <row r="882" spans="1:8" s="278" customFormat="1" ht="24.95" customHeight="1" x14ac:dyDescent="0.2">
      <c r="A882" s="293"/>
      <c r="B882" s="259"/>
      <c r="C882" s="259"/>
      <c r="E882" s="296">
        <f t="shared" si="44"/>
        <v>0</v>
      </c>
      <c r="F882" s="297"/>
      <c r="G882" s="297"/>
      <c r="H882" s="297"/>
    </row>
    <row r="883" spans="1:8" s="278" customFormat="1" ht="24.95" customHeight="1" x14ac:dyDescent="0.2">
      <c r="A883" s="293"/>
      <c r="B883" s="259"/>
      <c r="C883" s="259"/>
      <c r="E883" s="296">
        <f t="shared" si="44"/>
        <v>0</v>
      </c>
      <c r="F883" s="297"/>
      <c r="G883" s="297"/>
      <c r="H883" s="297"/>
    </row>
    <row r="884" spans="1:8" s="278" customFormat="1" ht="24.95" customHeight="1" x14ac:dyDescent="0.2">
      <c r="A884" s="293"/>
      <c r="B884" s="259"/>
      <c r="C884" s="259"/>
      <c r="E884" s="296">
        <f t="shared" si="44"/>
        <v>0</v>
      </c>
      <c r="F884" s="297"/>
      <c r="G884" s="297"/>
      <c r="H884" s="297"/>
    </row>
    <row r="885" spans="1:8" s="278" customFormat="1" ht="24.95" customHeight="1" x14ac:dyDescent="0.2">
      <c r="A885" s="293"/>
      <c r="B885" s="259"/>
      <c r="C885" s="259"/>
      <c r="E885" s="296">
        <f t="shared" si="44"/>
        <v>0</v>
      </c>
      <c r="F885" s="297"/>
      <c r="G885" s="297"/>
      <c r="H885" s="297"/>
    </row>
    <row r="886" spans="1:8" s="278" customFormat="1" ht="24.95" customHeight="1" x14ac:dyDescent="0.2">
      <c r="A886" s="293"/>
      <c r="B886" s="259"/>
      <c r="C886" s="259"/>
      <c r="E886" s="296">
        <f t="shared" si="44"/>
        <v>0</v>
      </c>
      <c r="F886" s="297"/>
      <c r="G886" s="297"/>
      <c r="H886" s="297"/>
    </row>
    <row r="887" spans="1:8" s="278" customFormat="1" ht="24.95" customHeight="1" x14ac:dyDescent="0.2">
      <c r="A887" s="293"/>
      <c r="B887" s="259"/>
      <c r="C887" s="259"/>
      <c r="E887" s="296">
        <f t="shared" si="44"/>
        <v>0</v>
      </c>
      <c r="F887" s="297"/>
      <c r="G887" s="297"/>
      <c r="H887" s="297"/>
    </row>
    <row r="888" spans="1:8" s="278" customFormat="1" ht="24.95" customHeight="1" x14ac:dyDescent="0.2">
      <c r="A888" s="293"/>
      <c r="B888" s="259"/>
      <c r="C888" s="259"/>
      <c r="E888" s="296">
        <f t="shared" si="44"/>
        <v>0</v>
      </c>
      <c r="F888" s="297"/>
      <c r="G888" s="297"/>
      <c r="H888" s="297"/>
    </row>
    <row r="889" spans="1:8" s="278" customFormat="1" ht="24.95" customHeight="1" x14ac:dyDescent="0.2">
      <c r="A889" s="293"/>
      <c r="B889" s="259"/>
      <c r="C889" s="259"/>
      <c r="E889" s="296">
        <f t="shared" si="44"/>
        <v>0</v>
      </c>
      <c r="F889" s="297"/>
      <c r="G889" s="297"/>
      <c r="H889" s="297"/>
    </row>
    <row r="890" spans="1:8" s="278" customFormat="1" ht="24.95" customHeight="1" x14ac:dyDescent="0.2">
      <c r="A890" s="293"/>
      <c r="B890" s="259"/>
      <c r="C890" s="259"/>
      <c r="E890" s="296">
        <f t="shared" si="44"/>
        <v>0</v>
      </c>
      <c r="F890" s="297"/>
      <c r="G890" s="297"/>
      <c r="H890" s="297"/>
    </row>
    <row r="891" spans="1:8" s="278" customFormat="1" ht="24.95" customHeight="1" x14ac:dyDescent="0.2">
      <c r="A891" s="293"/>
      <c r="B891" s="259"/>
      <c r="C891" s="259"/>
      <c r="E891" s="296">
        <f t="shared" si="44"/>
        <v>0</v>
      </c>
      <c r="F891" s="297"/>
      <c r="G891" s="297"/>
      <c r="H891" s="297"/>
    </row>
    <row r="892" spans="1:8" s="278" customFormat="1" ht="24.95" customHeight="1" x14ac:dyDescent="0.2">
      <c r="A892" s="293"/>
      <c r="B892" s="259"/>
      <c r="C892" s="259"/>
      <c r="E892" s="296">
        <f t="shared" si="44"/>
        <v>0</v>
      </c>
      <c r="F892" s="297"/>
      <c r="G892" s="297"/>
      <c r="H892" s="297"/>
    </row>
    <row r="893" spans="1:8" s="278" customFormat="1" ht="24.95" customHeight="1" x14ac:dyDescent="0.2">
      <c r="A893" s="293"/>
      <c r="B893" s="259"/>
      <c r="C893" s="259"/>
      <c r="E893" s="296">
        <f t="shared" si="44"/>
        <v>0</v>
      </c>
      <c r="F893" s="297"/>
      <c r="G893" s="297"/>
      <c r="H893" s="297"/>
    </row>
    <row r="894" spans="1:8" s="278" customFormat="1" ht="24.95" customHeight="1" x14ac:dyDescent="0.2">
      <c r="A894" s="293"/>
      <c r="B894" s="259"/>
      <c r="C894" s="259"/>
      <c r="E894" s="296">
        <f t="shared" si="44"/>
        <v>0</v>
      </c>
      <c r="F894" s="297"/>
      <c r="G894" s="297"/>
      <c r="H894" s="297"/>
    </row>
    <row r="895" spans="1:8" s="278" customFormat="1" ht="24.95" customHeight="1" x14ac:dyDescent="0.2">
      <c r="A895" s="293"/>
      <c r="B895" s="259"/>
      <c r="C895" s="259"/>
      <c r="E895" s="296">
        <f t="shared" si="44"/>
        <v>0</v>
      </c>
      <c r="F895" s="297"/>
      <c r="G895" s="297"/>
      <c r="H895" s="297"/>
    </row>
    <row r="896" spans="1:8" s="278" customFormat="1" ht="24.95" customHeight="1" x14ac:dyDescent="0.2">
      <c r="A896" s="293"/>
      <c r="B896" s="259"/>
      <c r="C896" s="259"/>
      <c r="E896" s="296">
        <f t="shared" si="44"/>
        <v>0</v>
      </c>
      <c r="F896" s="297"/>
      <c r="G896" s="297"/>
      <c r="H896" s="297"/>
    </row>
    <row r="897" spans="1:8" s="278" customFormat="1" ht="24.95" customHeight="1" x14ac:dyDescent="0.2">
      <c r="A897" s="293"/>
      <c r="B897" s="259"/>
      <c r="C897" s="259"/>
      <c r="E897" s="296">
        <f t="shared" si="44"/>
        <v>0</v>
      </c>
      <c r="F897" s="297"/>
      <c r="G897" s="297"/>
      <c r="H897" s="297"/>
    </row>
    <row r="898" spans="1:8" s="278" customFormat="1" ht="24.95" customHeight="1" x14ac:dyDescent="0.2">
      <c r="A898" s="293"/>
      <c r="B898" s="259"/>
      <c r="C898" s="259"/>
      <c r="E898" s="296">
        <f t="shared" si="44"/>
        <v>0</v>
      </c>
      <c r="F898" s="297"/>
      <c r="G898" s="297"/>
      <c r="H898" s="297"/>
    </row>
    <row r="899" spans="1:8" s="278" customFormat="1" ht="24.95" customHeight="1" x14ac:dyDescent="0.2">
      <c r="A899" s="293"/>
      <c r="B899" s="259"/>
      <c r="C899" s="259"/>
      <c r="E899" s="296">
        <f t="shared" si="44"/>
        <v>0</v>
      </c>
      <c r="F899" s="297"/>
      <c r="G899" s="297"/>
      <c r="H899" s="297"/>
    </row>
    <row r="900" spans="1:8" s="278" customFormat="1" ht="24.95" customHeight="1" x14ac:dyDescent="0.2">
      <c r="A900" s="293"/>
      <c r="B900" s="259"/>
      <c r="C900" s="259"/>
      <c r="E900" s="296">
        <f t="shared" si="44"/>
        <v>0</v>
      </c>
      <c r="F900" s="297"/>
      <c r="G900" s="297"/>
      <c r="H900" s="297"/>
    </row>
    <row r="901" spans="1:8" s="278" customFormat="1" ht="24.95" customHeight="1" x14ac:dyDescent="0.2">
      <c r="A901" s="293"/>
      <c r="B901" s="259"/>
      <c r="C901" s="259"/>
      <c r="E901" s="296">
        <f t="shared" si="44"/>
        <v>0</v>
      </c>
      <c r="F901" s="297"/>
      <c r="G901" s="297"/>
      <c r="H901" s="297"/>
    </row>
    <row r="902" spans="1:8" s="278" customFormat="1" ht="24.95" customHeight="1" x14ac:dyDescent="0.2">
      <c r="A902" s="293"/>
      <c r="B902" s="259"/>
      <c r="C902" s="259"/>
      <c r="E902" s="296">
        <f t="shared" si="44"/>
        <v>0</v>
      </c>
      <c r="F902" s="297"/>
      <c r="G902" s="297"/>
      <c r="H902" s="297"/>
    </row>
    <row r="903" spans="1:8" s="278" customFormat="1" ht="24.95" customHeight="1" x14ac:dyDescent="0.2">
      <c r="A903" s="293"/>
      <c r="B903" s="259"/>
      <c r="C903" s="259"/>
      <c r="E903" s="296">
        <f t="shared" si="44"/>
        <v>0</v>
      </c>
      <c r="F903" s="297"/>
      <c r="G903" s="297"/>
      <c r="H903" s="297"/>
    </row>
    <row r="904" spans="1:8" s="278" customFormat="1" ht="24.95" customHeight="1" x14ac:dyDescent="0.2">
      <c r="A904" s="293"/>
      <c r="B904" s="259"/>
      <c r="C904" s="259"/>
      <c r="E904" s="296">
        <f t="shared" si="44"/>
        <v>0</v>
      </c>
      <c r="F904" s="297"/>
      <c r="G904" s="297"/>
      <c r="H904" s="297"/>
    </row>
    <row r="905" spans="1:8" s="278" customFormat="1" ht="24.95" customHeight="1" x14ac:dyDescent="0.2">
      <c r="A905" s="293"/>
      <c r="B905" s="259"/>
      <c r="C905" s="259"/>
      <c r="E905" s="296">
        <f t="shared" si="44"/>
        <v>0</v>
      </c>
      <c r="F905" s="297"/>
      <c r="G905" s="297"/>
      <c r="H905" s="297"/>
    </row>
    <row r="906" spans="1:8" s="278" customFormat="1" ht="24.95" customHeight="1" x14ac:dyDescent="0.2">
      <c r="A906" s="293"/>
      <c r="B906" s="259"/>
      <c r="C906" s="259"/>
      <c r="E906" s="296">
        <f t="shared" si="44"/>
        <v>0</v>
      </c>
      <c r="F906" s="297"/>
      <c r="G906" s="297"/>
      <c r="H906" s="297"/>
    </row>
    <row r="907" spans="1:8" s="278" customFormat="1" ht="24.95" customHeight="1" x14ac:dyDescent="0.2">
      <c r="A907" s="293"/>
      <c r="B907" s="259"/>
      <c r="C907" s="259"/>
      <c r="E907" s="296">
        <f t="shared" ref="E907:E970" si="45">A907</f>
        <v>0</v>
      </c>
      <c r="F907" s="297"/>
      <c r="G907" s="297"/>
      <c r="H907" s="297"/>
    </row>
    <row r="908" spans="1:8" s="278" customFormat="1" ht="24.95" customHeight="1" x14ac:dyDescent="0.2">
      <c r="A908" s="293"/>
      <c r="B908" s="259"/>
      <c r="C908" s="259"/>
      <c r="E908" s="296">
        <f t="shared" si="45"/>
        <v>0</v>
      </c>
      <c r="F908" s="297"/>
      <c r="G908" s="297"/>
      <c r="H908" s="297"/>
    </row>
    <row r="909" spans="1:8" s="278" customFormat="1" ht="24.95" customHeight="1" x14ac:dyDescent="0.2">
      <c r="A909" s="293"/>
      <c r="B909" s="259"/>
      <c r="C909" s="259"/>
      <c r="E909" s="296">
        <f t="shared" si="45"/>
        <v>0</v>
      </c>
      <c r="F909" s="297"/>
      <c r="G909" s="297"/>
      <c r="H909" s="297"/>
    </row>
    <row r="910" spans="1:8" s="278" customFormat="1" ht="24.95" customHeight="1" x14ac:dyDescent="0.2">
      <c r="A910" s="293"/>
      <c r="B910" s="259"/>
      <c r="C910" s="259"/>
      <c r="E910" s="296">
        <f t="shared" si="45"/>
        <v>0</v>
      </c>
      <c r="F910" s="297"/>
      <c r="G910" s="297"/>
      <c r="H910" s="297"/>
    </row>
    <row r="911" spans="1:8" s="278" customFormat="1" ht="24.95" customHeight="1" x14ac:dyDescent="0.2">
      <c r="A911" s="293"/>
      <c r="B911" s="259"/>
      <c r="C911" s="259"/>
      <c r="E911" s="296">
        <f t="shared" si="45"/>
        <v>0</v>
      </c>
      <c r="F911" s="297"/>
      <c r="G911" s="297"/>
      <c r="H911" s="297"/>
    </row>
    <row r="912" spans="1:8" s="278" customFormat="1" ht="24.95" customHeight="1" x14ac:dyDescent="0.2">
      <c r="A912" s="293"/>
      <c r="B912" s="259"/>
      <c r="C912" s="259"/>
      <c r="E912" s="296">
        <f t="shared" si="45"/>
        <v>0</v>
      </c>
      <c r="F912" s="297"/>
      <c r="G912" s="297"/>
      <c r="H912" s="297"/>
    </row>
    <row r="913" spans="1:8" s="278" customFormat="1" ht="24.95" customHeight="1" x14ac:dyDescent="0.2">
      <c r="A913" s="293"/>
      <c r="B913" s="259"/>
      <c r="C913" s="259"/>
      <c r="E913" s="296">
        <f t="shared" si="45"/>
        <v>0</v>
      </c>
      <c r="F913" s="297"/>
      <c r="G913" s="297"/>
      <c r="H913" s="297"/>
    </row>
    <row r="914" spans="1:8" s="278" customFormat="1" ht="24.95" customHeight="1" x14ac:dyDescent="0.2">
      <c r="A914" s="293"/>
      <c r="B914" s="259"/>
      <c r="C914" s="259"/>
      <c r="E914" s="296">
        <f t="shared" si="45"/>
        <v>0</v>
      </c>
      <c r="F914" s="297"/>
      <c r="G914" s="297"/>
      <c r="H914" s="297"/>
    </row>
    <row r="915" spans="1:8" s="278" customFormat="1" ht="24.95" customHeight="1" x14ac:dyDescent="0.2">
      <c r="A915" s="293"/>
      <c r="B915" s="259"/>
      <c r="C915" s="259"/>
      <c r="E915" s="296">
        <f t="shared" si="45"/>
        <v>0</v>
      </c>
      <c r="F915" s="297"/>
      <c r="G915" s="297"/>
      <c r="H915" s="297"/>
    </row>
    <row r="916" spans="1:8" s="278" customFormat="1" ht="24.95" customHeight="1" x14ac:dyDescent="0.2">
      <c r="A916" s="293"/>
      <c r="B916" s="259"/>
      <c r="C916" s="259"/>
      <c r="E916" s="296">
        <f t="shared" si="45"/>
        <v>0</v>
      </c>
      <c r="F916" s="297"/>
      <c r="G916" s="297"/>
      <c r="H916" s="297"/>
    </row>
    <row r="917" spans="1:8" s="278" customFormat="1" ht="24.95" customHeight="1" x14ac:dyDescent="0.2">
      <c r="A917" s="293"/>
      <c r="B917" s="259"/>
      <c r="C917" s="259"/>
      <c r="E917" s="296">
        <f t="shared" si="45"/>
        <v>0</v>
      </c>
      <c r="F917" s="297"/>
      <c r="G917" s="297"/>
      <c r="H917" s="297"/>
    </row>
    <row r="918" spans="1:8" s="278" customFormat="1" ht="24.95" customHeight="1" x14ac:dyDescent="0.2">
      <c r="A918" s="293"/>
      <c r="B918" s="259"/>
      <c r="C918" s="259"/>
      <c r="E918" s="296">
        <f t="shared" si="45"/>
        <v>0</v>
      </c>
      <c r="F918" s="297"/>
      <c r="G918" s="297"/>
      <c r="H918" s="297"/>
    </row>
    <row r="919" spans="1:8" s="278" customFormat="1" ht="24.95" customHeight="1" x14ac:dyDescent="0.2">
      <c r="A919" s="293"/>
      <c r="B919" s="259"/>
      <c r="C919" s="259"/>
      <c r="E919" s="296">
        <f t="shared" si="45"/>
        <v>0</v>
      </c>
      <c r="F919" s="297"/>
      <c r="G919" s="297"/>
      <c r="H919" s="297"/>
    </row>
    <row r="920" spans="1:8" s="278" customFormat="1" ht="24.95" customHeight="1" x14ac:dyDescent="0.2">
      <c r="A920" s="293"/>
      <c r="B920" s="259"/>
      <c r="C920" s="259"/>
      <c r="E920" s="296">
        <f t="shared" si="45"/>
        <v>0</v>
      </c>
      <c r="F920" s="297"/>
      <c r="G920" s="297"/>
      <c r="H920" s="297"/>
    </row>
    <row r="921" spans="1:8" s="278" customFormat="1" ht="24.95" customHeight="1" x14ac:dyDescent="0.2">
      <c r="A921" s="293"/>
      <c r="B921" s="259"/>
      <c r="C921" s="259"/>
      <c r="E921" s="296">
        <f t="shared" si="45"/>
        <v>0</v>
      </c>
      <c r="F921" s="297"/>
      <c r="G921" s="297"/>
      <c r="H921" s="297"/>
    </row>
    <row r="922" spans="1:8" s="278" customFormat="1" ht="24.95" customHeight="1" x14ac:dyDescent="0.2">
      <c r="A922" s="293"/>
      <c r="B922" s="259"/>
      <c r="C922" s="259"/>
      <c r="E922" s="296">
        <f t="shared" si="45"/>
        <v>0</v>
      </c>
      <c r="F922" s="297"/>
      <c r="G922" s="297"/>
      <c r="H922" s="297"/>
    </row>
    <row r="923" spans="1:8" s="278" customFormat="1" ht="24.95" customHeight="1" x14ac:dyDescent="0.2">
      <c r="A923" s="293"/>
      <c r="B923" s="259"/>
      <c r="C923" s="259"/>
      <c r="E923" s="296">
        <f t="shared" si="45"/>
        <v>0</v>
      </c>
      <c r="F923" s="297"/>
      <c r="G923" s="297"/>
      <c r="H923" s="297"/>
    </row>
    <row r="924" spans="1:8" s="278" customFormat="1" ht="24.95" customHeight="1" x14ac:dyDescent="0.2">
      <c r="A924" s="293"/>
      <c r="B924" s="259"/>
      <c r="C924" s="259"/>
      <c r="E924" s="296">
        <f t="shared" si="45"/>
        <v>0</v>
      </c>
      <c r="F924" s="297"/>
      <c r="G924" s="297"/>
      <c r="H924" s="297"/>
    </row>
    <row r="925" spans="1:8" s="278" customFormat="1" ht="24.95" customHeight="1" x14ac:dyDescent="0.2">
      <c r="A925" s="293"/>
      <c r="B925" s="259"/>
      <c r="C925" s="259"/>
      <c r="E925" s="296">
        <f t="shared" si="45"/>
        <v>0</v>
      </c>
      <c r="F925" s="297"/>
      <c r="G925" s="297"/>
      <c r="H925" s="297"/>
    </row>
    <row r="926" spans="1:8" s="278" customFormat="1" ht="24.95" customHeight="1" x14ac:dyDescent="0.2">
      <c r="A926" s="293"/>
      <c r="B926" s="259"/>
      <c r="C926" s="259"/>
      <c r="E926" s="296">
        <f t="shared" si="45"/>
        <v>0</v>
      </c>
      <c r="F926" s="297"/>
      <c r="G926" s="297"/>
      <c r="H926" s="297"/>
    </row>
    <row r="927" spans="1:8" s="278" customFormat="1" ht="24.95" customHeight="1" x14ac:dyDescent="0.2">
      <c r="A927" s="293"/>
      <c r="B927" s="259"/>
      <c r="C927" s="259"/>
      <c r="E927" s="296">
        <f t="shared" si="45"/>
        <v>0</v>
      </c>
      <c r="F927" s="297"/>
      <c r="G927" s="297"/>
      <c r="H927" s="297"/>
    </row>
    <row r="928" spans="1:8" s="278" customFormat="1" ht="24.95" customHeight="1" x14ac:dyDescent="0.2">
      <c r="A928" s="293"/>
      <c r="B928" s="259"/>
      <c r="C928" s="259"/>
      <c r="E928" s="296">
        <f t="shared" si="45"/>
        <v>0</v>
      </c>
      <c r="F928" s="297"/>
      <c r="G928" s="297"/>
      <c r="H928" s="297"/>
    </row>
    <row r="929" spans="1:8" s="278" customFormat="1" ht="24.95" customHeight="1" x14ac:dyDescent="0.2">
      <c r="A929" s="293"/>
      <c r="B929" s="259"/>
      <c r="C929" s="259"/>
      <c r="E929" s="296">
        <f t="shared" si="45"/>
        <v>0</v>
      </c>
      <c r="F929" s="297"/>
      <c r="G929" s="297"/>
      <c r="H929" s="297"/>
    </row>
    <row r="930" spans="1:8" s="278" customFormat="1" ht="24.95" customHeight="1" x14ac:dyDescent="0.2">
      <c r="A930" s="293"/>
      <c r="B930" s="259"/>
      <c r="C930" s="259"/>
      <c r="E930" s="296">
        <f t="shared" si="45"/>
        <v>0</v>
      </c>
      <c r="F930" s="297"/>
      <c r="G930" s="297"/>
      <c r="H930" s="297"/>
    </row>
    <row r="931" spans="1:8" s="278" customFormat="1" ht="24.95" customHeight="1" x14ac:dyDescent="0.2">
      <c r="A931" s="293"/>
      <c r="B931" s="259"/>
      <c r="C931" s="259"/>
      <c r="E931" s="296">
        <f t="shared" si="45"/>
        <v>0</v>
      </c>
      <c r="F931" s="297"/>
      <c r="G931" s="297"/>
      <c r="H931" s="297"/>
    </row>
    <row r="932" spans="1:8" s="278" customFormat="1" ht="24.95" customHeight="1" x14ac:dyDescent="0.2">
      <c r="A932" s="293"/>
      <c r="B932" s="259"/>
      <c r="C932" s="259"/>
      <c r="E932" s="296">
        <f t="shared" si="45"/>
        <v>0</v>
      </c>
      <c r="F932" s="297"/>
      <c r="G932" s="297"/>
      <c r="H932" s="297"/>
    </row>
    <row r="933" spans="1:8" s="278" customFormat="1" ht="24.95" customHeight="1" x14ac:dyDescent="0.2">
      <c r="A933" s="293"/>
      <c r="B933" s="259"/>
      <c r="C933" s="259"/>
      <c r="E933" s="296">
        <f t="shared" si="45"/>
        <v>0</v>
      </c>
      <c r="F933" s="297"/>
      <c r="G933" s="297"/>
      <c r="H933" s="297"/>
    </row>
    <row r="934" spans="1:8" s="278" customFormat="1" ht="24.95" customHeight="1" x14ac:dyDescent="0.2">
      <c r="A934" s="293"/>
      <c r="B934" s="259"/>
      <c r="C934" s="259"/>
      <c r="E934" s="296">
        <f t="shared" si="45"/>
        <v>0</v>
      </c>
      <c r="F934" s="297"/>
      <c r="G934" s="297"/>
      <c r="H934" s="297"/>
    </row>
    <row r="935" spans="1:8" s="278" customFormat="1" ht="24.95" customHeight="1" x14ac:dyDescent="0.2">
      <c r="A935" s="293"/>
      <c r="B935" s="259"/>
      <c r="C935" s="259"/>
      <c r="E935" s="296">
        <f t="shared" si="45"/>
        <v>0</v>
      </c>
      <c r="F935" s="297"/>
      <c r="G935" s="297"/>
      <c r="H935" s="297"/>
    </row>
    <row r="936" spans="1:8" s="278" customFormat="1" ht="24.95" customHeight="1" x14ac:dyDescent="0.2">
      <c r="A936" s="293"/>
      <c r="B936" s="259"/>
      <c r="C936" s="259"/>
      <c r="E936" s="296">
        <f t="shared" si="45"/>
        <v>0</v>
      </c>
      <c r="F936" s="297"/>
      <c r="G936" s="297"/>
      <c r="H936" s="297"/>
    </row>
    <row r="937" spans="1:8" s="278" customFormat="1" ht="24.95" customHeight="1" x14ac:dyDescent="0.2">
      <c r="A937" s="293"/>
      <c r="B937" s="259"/>
      <c r="C937" s="259"/>
      <c r="E937" s="296">
        <f t="shared" si="45"/>
        <v>0</v>
      </c>
      <c r="F937" s="297"/>
      <c r="G937" s="297"/>
      <c r="H937" s="297"/>
    </row>
    <row r="938" spans="1:8" s="278" customFormat="1" ht="24.95" customHeight="1" x14ac:dyDescent="0.2">
      <c r="A938" s="293"/>
      <c r="B938" s="259"/>
      <c r="C938" s="259"/>
      <c r="E938" s="296">
        <f t="shared" si="45"/>
        <v>0</v>
      </c>
      <c r="F938" s="297"/>
      <c r="G938" s="297"/>
      <c r="H938" s="297"/>
    </row>
    <row r="939" spans="1:8" s="278" customFormat="1" ht="24.95" customHeight="1" x14ac:dyDescent="0.2">
      <c r="A939" s="293"/>
      <c r="B939" s="259"/>
      <c r="C939" s="259"/>
      <c r="E939" s="296">
        <f t="shared" si="45"/>
        <v>0</v>
      </c>
      <c r="F939" s="297"/>
      <c r="G939" s="297"/>
      <c r="H939" s="297"/>
    </row>
    <row r="940" spans="1:8" s="278" customFormat="1" ht="24.95" customHeight="1" x14ac:dyDescent="0.2">
      <c r="A940" s="293"/>
      <c r="B940" s="259"/>
      <c r="C940" s="259"/>
      <c r="E940" s="296">
        <f t="shared" si="45"/>
        <v>0</v>
      </c>
      <c r="F940" s="297"/>
      <c r="G940" s="297"/>
      <c r="H940" s="297"/>
    </row>
    <row r="941" spans="1:8" s="278" customFormat="1" ht="24.95" customHeight="1" x14ac:dyDescent="0.2">
      <c r="A941" s="293"/>
      <c r="B941" s="259"/>
      <c r="C941" s="259"/>
      <c r="E941" s="296">
        <f t="shared" si="45"/>
        <v>0</v>
      </c>
      <c r="F941" s="297"/>
      <c r="G941" s="297"/>
      <c r="H941" s="297"/>
    </row>
    <row r="942" spans="1:8" s="278" customFormat="1" ht="24.95" customHeight="1" x14ac:dyDescent="0.2">
      <c r="A942" s="293"/>
      <c r="B942" s="259"/>
      <c r="C942" s="259"/>
      <c r="E942" s="296">
        <f t="shared" si="45"/>
        <v>0</v>
      </c>
      <c r="F942" s="297"/>
      <c r="G942" s="297"/>
      <c r="H942" s="297"/>
    </row>
    <row r="943" spans="1:8" s="278" customFormat="1" ht="24.95" customHeight="1" x14ac:dyDescent="0.2">
      <c r="A943" s="293"/>
      <c r="B943" s="259"/>
      <c r="C943" s="259"/>
      <c r="E943" s="296">
        <f t="shared" si="45"/>
        <v>0</v>
      </c>
      <c r="F943" s="297"/>
      <c r="G943" s="297"/>
      <c r="H943" s="297"/>
    </row>
    <row r="944" spans="1:8" s="278" customFormat="1" ht="24.95" customHeight="1" x14ac:dyDescent="0.2">
      <c r="A944" s="293"/>
      <c r="B944" s="259"/>
      <c r="C944" s="259"/>
      <c r="E944" s="296">
        <f t="shared" si="45"/>
        <v>0</v>
      </c>
      <c r="F944" s="297"/>
      <c r="G944" s="297"/>
      <c r="H944" s="297"/>
    </row>
    <row r="945" spans="1:8" s="278" customFormat="1" ht="24.95" customHeight="1" x14ac:dyDescent="0.2">
      <c r="A945" s="293"/>
      <c r="B945" s="259"/>
      <c r="C945" s="259"/>
      <c r="E945" s="296">
        <f t="shared" si="45"/>
        <v>0</v>
      </c>
      <c r="F945" s="297"/>
      <c r="G945" s="297"/>
      <c r="H945" s="297"/>
    </row>
    <row r="946" spans="1:8" s="278" customFormat="1" ht="24.95" customHeight="1" x14ac:dyDescent="0.2">
      <c r="A946" s="293"/>
      <c r="B946" s="259"/>
      <c r="C946" s="259"/>
      <c r="E946" s="296">
        <f t="shared" si="45"/>
        <v>0</v>
      </c>
      <c r="F946" s="297"/>
      <c r="G946" s="297"/>
      <c r="H946" s="297"/>
    </row>
    <row r="947" spans="1:8" s="278" customFormat="1" ht="24.95" customHeight="1" x14ac:dyDescent="0.2">
      <c r="A947" s="293"/>
      <c r="B947" s="259"/>
      <c r="C947" s="259"/>
      <c r="E947" s="296">
        <f t="shared" si="45"/>
        <v>0</v>
      </c>
      <c r="F947" s="297"/>
      <c r="G947" s="297"/>
      <c r="H947" s="297"/>
    </row>
    <row r="948" spans="1:8" s="278" customFormat="1" ht="24.95" customHeight="1" x14ac:dyDescent="0.2">
      <c r="A948" s="293"/>
      <c r="B948" s="259"/>
      <c r="C948" s="259"/>
      <c r="E948" s="296">
        <f t="shared" si="45"/>
        <v>0</v>
      </c>
      <c r="F948" s="297"/>
      <c r="G948" s="297"/>
      <c r="H948" s="297"/>
    </row>
    <row r="949" spans="1:8" s="278" customFormat="1" ht="24.95" customHeight="1" x14ac:dyDescent="0.2">
      <c r="A949" s="293"/>
      <c r="B949" s="259"/>
      <c r="C949" s="259"/>
      <c r="E949" s="296">
        <f t="shared" si="45"/>
        <v>0</v>
      </c>
      <c r="F949" s="297"/>
      <c r="G949" s="297"/>
      <c r="H949" s="297"/>
    </row>
    <row r="950" spans="1:8" s="278" customFormat="1" ht="24.95" customHeight="1" x14ac:dyDescent="0.2">
      <c r="A950" s="293"/>
      <c r="B950" s="259"/>
      <c r="C950" s="259"/>
      <c r="E950" s="296">
        <f t="shared" si="45"/>
        <v>0</v>
      </c>
      <c r="F950" s="297"/>
      <c r="G950" s="297"/>
      <c r="H950" s="297"/>
    </row>
    <row r="951" spans="1:8" s="278" customFormat="1" ht="24.95" customHeight="1" x14ac:dyDescent="0.2">
      <c r="A951" s="293"/>
      <c r="B951" s="259"/>
      <c r="C951" s="259"/>
      <c r="E951" s="296">
        <f t="shared" si="45"/>
        <v>0</v>
      </c>
      <c r="F951" s="297"/>
      <c r="G951" s="297"/>
      <c r="H951" s="297"/>
    </row>
    <row r="952" spans="1:8" s="278" customFormat="1" ht="24.95" customHeight="1" x14ac:dyDescent="0.2">
      <c r="A952" s="293"/>
      <c r="B952" s="259"/>
      <c r="C952" s="259"/>
      <c r="E952" s="296">
        <f t="shared" si="45"/>
        <v>0</v>
      </c>
      <c r="F952" s="297"/>
      <c r="G952" s="297"/>
      <c r="H952" s="297"/>
    </row>
    <row r="953" spans="1:8" s="278" customFormat="1" ht="24.95" customHeight="1" x14ac:dyDescent="0.2">
      <c r="A953" s="293"/>
      <c r="B953" s="259"/>
      <c r="C953" s="259"/>
      <c r="E953" s="296">
        <f t="shared" si="45"/>
        <v>0</v>
      </c>
      <c r="F953" s="297"/>
      <c r="G953" s="297"/>
      <c r="H953" s="297"/>
    </row>
    <row r="954" spans="1:8" s="278" customFormat="1" ht="24.95" customHeight="1" x14ac:dyDescent="0.2">
      <c r="A954" s="293"/>
      <c r="B954" s="259"/>
      <c r="C954" s="259"/>
      <c r="E954" s="296">
        <f t="shared" si="45"/>
        <v>0</v>
      </c>
      <c r="F954" s="297"/>
      <c r="G954" s="297"/>
      <c r="H954" s="297"/>
    </row>
    <row r="955" spans="1:8" s="278" customFormat="1" ht="24.95" customHeight="1" x14ac:dyDescent="0.2">
      <c r="A955" s="293"/>
      <c r="B955" s="259"/>
      <c r="C955" s="259"/>
      <c r="E955" s="296">
        <f t="shared" si="45"/>
        <v>0</v>
      </c>
      <c r="F955" s="297"/>
      <c r="G955" s="297"/>
      <c r="H955" s="297"/>
    </row>
    <row r="956" spans="1:8" s="278" customFormat="1" ht="24.95" customHeight="1" x14ac:dyDescent="0.2">
      <c r="A956" s="293"/>
      <c r="B956" s="259"/>
      <c r="C956" s="259"/>
      <c r="E956" s="296">
        <f t="shared" si="45"/>
        <v>0</v>
      </c>
      <c r="F956" s="297"/>
      <c r="G956" s="297"/>
      <c r="H956" s="297"/>
    </row>
    <row r="957" spans="1:8" s="278" customFormat="1" ht="24.95" customHeight="1" x14ac:dyDescent="0.2">
      <c r="A957" s="293"/>
      <c r="B957" s="259"/>
      <c r="C957" s="259"/>
      <c r="E957" s="296">
        <f t="shared" si="45"/>
        <v>0</v>
      </c>
      <c r="F957" s="297"/>
      <c r="G957" s="297"/>
      <c r="H957" s="297"/>
    </row>
    <row r="958" spans="1:8" s="278" customFormat="1" ht="24.95" customHeight="1" x14ac:dyDescent="0.2">
      <c r="A958" s="293"/>
      <c r="B958" s="259"/>
      <c r="C958" s="259"/>
      <c r="E958" s="296">
        <f t="shared" si="45"/>
        <v>0</v>
      </c>
      <c r="F958" s="297"/>
      <c r="G958" s="297"/>
      <c r="H958" s="297"/>
    </row>
    <row r="959" spans="1:8" s="278" customFormat="1" ht="24.95" customHeight="1" x14ac:dyDescent="0.2">
      <c r="A959" s="293"/>
      <c r="B959" s="259"/>
      <c r="C959" s="259"/>
      <c r="E959" s="296">
        <f t="shared" si="45"/>
        <v>0</v>
      </c>
      <c r="F959" s="297"/>
      <c r="G959" s="297"/>
      <c r="H959" s="297"/>
    </row>
    <row r="960" spans="1:8" s="278" customFormat="1" ht="24.95" customHeight="1" x14ac:dyDescent="0.2">
      <c r="A960" s="293"/>
      <c r="B960" s="259"/>
      <c r="C960" s="259"/>
      <c r="E960" s="296">
        <f t="shared" si="45"/>
        <v>0</v>
      </c>
      <c r="F960" s="297"/>
      <c r="G960" s="297"/>
      <c r="H960" s="297"/>
    </row>
    <row r="961" spans="1:8" s="278" customFormat="1" ht="24.95" customHeight="1" x14ac:dyDescent="0.2">
      <c r="A961" s="293"/>
      <c r="B961" s="259"/>
      <c r="C961" s="259"/>
      <c r="E961" s="296">
        <f t="shared" si="45"/>
        <v>0</v>
      </c>
      <c r="F961" s="297"/>
      <c r="G961" s="297"/>
      <c r="H961" s="297"/>
    </row>
    <row r="962" spans="1:8" s="278" customFormat="1" ht="24.95" customHeight="1" x14ac:dyDescent="0.2">
      <c r="A962" s="293"/>
      <c r="B962" s="259"/>
      <c r="C962" s="259"/>
      <c r="E962" s="296">
        <f t="shared" si="45"/>
        <v>0</v>
      </c>
      <c r="F962" s="297"/>
      <c r="G962" s="297"/>
      <c r="H962" s="297"/>
    </row>
    <row r="963" spans="1:8" s="278" customFormat="1" ht="24.95" customHeight="1" x14ac:dyDescent="0.2">
      <c r="A963" s="293"/>
      <c r="B963" s="259"/>
      <c r="C963" s="259"/>
      <c r="E963" s="296">
        <f t="shared" si="45"/>
        <v>0</v>
      </c>
      <c r="F963" s="297"/>
      <c r="G963" s="297"/>
      <c r="H963" s="297"/>
    </row>
    <row r="964" spans="1:8" s="278" customFormat="1" ht="24.95" customHeight="1" x14ac:dyDescent="0.2">
      <c r="A964" s="293"/>
      <c r="B964" s="259"/>
      <c r="C964" s="259"/>
      <c r="E964" s="296">
        <f t="shared" si="45"/>
        <v>0</v>
      </c>
      <c r="F964" s="297"/>
      <c r="G964" s="297"/>
      <c r="H964" s="297"/>
    </row>
    <row r="965" spans="1:8" s="278" customFormat="1" ht="24.95" customHeight="1" x14ac:dyDescent="0.2">
      <c r="A965" s="293"/>
      <c r="B965" s="259"/>
      <c r="C965" s="259"/>
      <c r="E965" s="296">
        <f t="shared" si="45"/>
        <v>0</v>
      </c>
      <c r="F965" s="297"/>
      <c r="G965" s="297"/>
      <c r="H965" s="297"/>
    </row>
    <row r="966" spans="1:8" s="278" customFormat="1" ht="24.95" customHeight="1" x14ac:dyDescent="0.2">
      <c r="A966" s="293"/>
      <c r="B966" s="259"/>
      <c r="C966" s="259"/>
      <c r="E966" s="296">
        <f t="shared" si="45"/>
        <v>0</v>
      </c>
      <c r="F966" s="297"/>
      <c r="G966" s="297"/>
      <c r="H966" s="297"/>
    </row>
    <row r="967" spans="1:8" s="278" customFormat="1" ht="24.95" customHeight="1" x14ac:dyDescent="0.2">
      <c r="A967" s="293"/>
      <c r="B967" s="259"/>
      <c r="C967" s="259"/>
      <c r="E967" s="296">
        <f t="shared" si="45"/>
        <v>0</v>
      </c>
      <c r="F967" s="297"/>
      <c r="G967" s="297"/>
      <c r="H967" s="297"/>
    </row>
    <row r="968" spans="1:8" s="278" customFormat="1" ht="24.95" customHeight="1" x14ac:dyDescent="0.2">
      <c r="A968" s="293"/>
      <c r="B968" s="259"/>
      <c r="C968" s="259"/>
      <c r="E968" s="296">
        <f t="shared" si="45"/>
        <v>0</v>
      </c>
      <c r="F968" s="297"/>
      <c r="G968" s="297"/>
      <c r="H968" s="297"/>
    </row>
    <row r="969" spans="1:8" s="278" customFormat="1" ht="24.95" customHeight="1" x14ac:dyDescent="0.2">
      <c r="A969" s="293"/>
      <c r="B969" s="259"/>
      <c r="C969" s="259"/>
      <c r="E969" s="296">
        <f t="shared" si="45"/>
        <v>0</v>
      </c>
      <c r="F969" s="297"/>
      <c r="G969" s="297"/>
      <c r="H969" s="297"/>
    </row>
    <row r="970" spans="1:8" s="278" customFormat="1" ht="24.95" customHeight="1" x14ac:dyDescent="0.2">
      <c r="A970" s="293"/>
      <c r="B970" s="259"/>
      <c r="C970" s="259"/>
      <c r="E970" s="296">
        <f t="shared" si="45"/>
        <v>0</v>
      </c>
      <c r="F970" s="297"/>
      <c r="G970" s="297"/>
      <c r="H970" s="297"/>
    </row>
    <row r="971" spans="1:8" s="278" customFormat="1" ht="24.95" customHeight="1" x14ac:dyDescent="0.2">
      <c r="A971" s="293"/>
      <c r="B971" s="259"/>
      <c r="C971" s="259"/>
      <c r="E971" s="296">
        <f t="shared" ref="E971:E997" si="46">A971</f>
        <v>0</v>
      </c>
      <c r="F971" s="297"/>
      <c r="G971" s="297"/>
      <c r="H971" s="297"/>
    </row>
    <row r="972" spans="1:8" s="278" customFormat="1" ht="24.95" customHeight="1" x14ac:dyDescent="0.2">
      <c r="A972" s="293"/>
      <c r="B972" s="259"/>
      <c r="C972" s="259"/>
      <c r="E972" s="296">
        <f t="shared" si="46"/>
        <v>0</v>
      </c>
      <c r="F972" s="297"/>
      <c r="G972" s="297"/>
      <c r="H972" s="297"/>
    </row>
    <row r="973" spans="1:8" s="278" customFormat="1" ht="24.95" customHeight="1" x14ac:dyDescent="0.2">
      <c r="A973" s="293"/>
      <c r="B973" s="259"/>
      <c r="C973" s="259"/>
      <c r="E973" s="296">
        <f t="shared" si="46"/>
        <v>0</v>
      </c>
      <c r="F973" s="297"/>
      <c r="G973" s="297"/>
      <c r="H973" s="297"/>
    </row>
    <row r="974" spans="1:8" s="278" customFormat="1" ht="24.95" customHeight="1" x14ac:dyDescent="0.2">
      <c r="A974" s="293"/>
      <c r="B974" s="259"/>
      <c r="C974" s="259"/>
      <c r="E974" s="296">
        <f t="shared" si="46"/>
        <v>0</v>
      </c>
      <c r="F974" s="297"/>
      <c r="G974" s="297"/>
      <c r="H974" s="297"/>
    </row>
    <row r="975" spans="1:8" s="278" customFormat="1" ht="24.95" customHeight="1" x14ac:dyDescent="0.2">
      <c r="A975" s="293"/>
      <c r="B975" s="259"/>
      <c r="C975" s="259"/>
      <c r="E975" s="296">
        <f t="shared" si="46"/>
        <v>0</v>
      </c>
      <c r="F975" s="297"/>
      <c r="G975" s="297"/>
      <c r="H975" s="297"/>
    </row>
    <row r="976" spans="1:8" s="278" customFormat="1" ht="24.95" customHeight="1" x14ac:dyDescent="0.2">
      <c r="A976" s="293"/>
      <c r="B976" s="259"/>
      <c r="C976" s="259"/>
      <c r="E976" s="296">
        <f t="shared" si="46"/>
        <v>0</v>
      </c>
      <c r="F976" s="297"/>
      <c r="G976" s="297"/>
      <c r="H976" s="297"/>
    </row>
    <row r="977" spans="1:8" s="278" customFormat="1" ht="24.95" customHeight="1" x14ac:dyDescent="0.2">
      <c r="A977" s="293"/>
      <c r="B977" s="259"/>
      <c r="C977" s="259"/>
      <c r="E977" s="296">
        <f t="shared" si="46"/>
        <v>0</v>
      </c>
      <c r="F977" s="297"/>
      <c r="G977" s="297"/>
      <c r="H977" s="297"/>
    </row>
    <row r="978" spans="1:8" s="278" customFormat="1" ht="24.95" customHeight="1" x14ac:dyDescent="0.2">
      <c r="A978" s="293"/>
      <c r="B978" s="259"/>
      <c r="C978" s="259"/>
      <c r="E978" s="296">
        <f t="shared" si="46"/>
        <v>0</v>
      </c>
      <c r="F978" s="297"/>
      <c r="G978" s="297"/>
      <c r="H978" s="297"/>
    </row>
    <row r="979" spans="1:8" s="278" customFormat="1" ht="24.95" customHeight="1" x14ac:dyDescent="0.2">
      <c r="A979" s="293"/>
      <c r="B979" s="259"/>
      <c r="C979" s="259"/>
      <c r="E979" s="296">
        <f t="shared" si="46"/>
        <v>0</v>
      </c>
      <c r="F979" s="297"/>
      <c r="G979" s="297"/>
      <c r="H979" s="297"/>
    </row>
    <row r="980" spans="1:8" s="278" customFormat="1" ht="24.95" customHeight="1" x14ac:dyDescent="0.2">
      <c r="A980" s="293"/>
      <c r="B980" s="259"/>
      <c r="C980" s="259"/>
      <c r="E980" s="296">
        <f t="shared" si="46"/>
        <v>0</v>
      </c>
      <c r="F980" s="297"/>
      <c r="G980" s="297"/>
      <c r="H980" s="297"/>
    </row>
    <row r="981" spans="1:8" s="278" customFormat="1" ht="24.95" customHeight="1" x14ac:dyDescent="0.2">
      <c r="A981" s="293"/>
      <c r="B981" s="259"/>
      <c r="C981" s="259"/>
      <c r="E981" s="296">
        <f t="shared" si="46"/>
        <v>0</v>
      </c>
      <c r="F981" s="297"/>
      <c r="G981" s="297"/>
      <c r="H981" s="297"/>
    </row>
    <row r="982" spans="1:8" s="278" customFormat="1" ht="24.95" customHeight="1" x14ac:dyDescent="0.2">
      <c r="A982" s="293"/>
      <c r="B982" s="259"/>
      <c r="C982" s="259"/>
      <c r="E982" s="296">
        <f t="shared" si="46"/>
        <v>0</v>
      </c>
      <c r="F982" s="297"/>
      <c r="G982" s="297"/>
      <c r="H982" s="297"/>
    </row>
    <row r="983" spans="1:8" s="278" customFormat="1" ht="24.95" customHeight="1" x14ac:dyDescent="0.2">
      <c r="A983" s="293"/>
      <c r="B983" s="259"/>
      <c r="C983" s="259"/>
      <c r="E983" s="296">
        <f t="shared" si="46"/>
        <v>0</v>
      </c>
      <c r="F983" s="297"/>
      <c r="G983" s="297"/>
      <c r="H983" s="297"/>
    </row>
    <row r="984" spans="1:8" s="278" customFormat="1" ht="24.95" customHeight="1" x14ac:dyDescent="0.2">
      <c r="A984" s="293"/>
      <c r="B984" s="259"/>
      <c r="C984" s="259"/>
      <c r="E984" s="296">
        <f t="shared" si="46"/>
        <v>0</v>
      </c>
      <c r="F984" s="297"/>
      <c r="G984" s="297"/>
      <c r="H984" s="297"/>
    </row>
    <row r="985" spans="1:8" s="278" customFormat="1" ht="24.95" customHeight="1" x14ac:dyDescent="0.2">
      <c r="A985" s="293"/>
      <c r="B985" s="259"/>
      <c r="C985" s="259"/>
      <c r="E985" s="296">
        <f t="shared" si="46"/>
        <v>0</v>
      </c>
      <c r="F985" s="297"/>
      <c r="G985" s="297"/>
      <c r="H985" s="297"/>
    </row>
    <row r="986" spans="1:8" s="278" customFormat="1" ht="24.95" customHeight="1" x14ac:dyDescent="0.2">
      <c r="A986" s="293"/>
      <c r="B986" s="259"/>
      <c r="C986" s="259"/>
      <c r="E986" s="296">
        <f t="shared" si="46"/>
        <v>0</v>
      </c>
      <c r="F986" s="297"/>
      <c r="G986" s="297"/>
      <c r="H986" s="297"/>
    </row>
    <row r="987" spans="1:8" s="278" customFormat="1" ht="24.95" customHeight="1" x14ac:dyDescent="0.2">
      <c r="A987" s="293"/>
      <c r="B987" s="259"/>
      <c r="C987" s="259"/>
      <c r="E987" s="296">
        <f t="shared" si="46"/>
        <v>0</v>
      </c>
      <c r="F987" s="297"/>
      <c r="G987" s="297"/>
      <c r="H987" s="297"/>
    </row>
    <row r="988" spans="1:8" s="278" customFormat="1" ht="24.95" customHeight="1" x14ac:dyDescent="0.2">
      <c r="A988" s="293"/>
      <c r="B988" s="259"/>
      <c r="C988" s="259"/>
      <c r="E988" s="296">
        <f t="shared" si="46"/>
        <v>0</v>
      </c>
      <c r="F988" s="297"/>
      <c r="G988" s="297"/>
      <c r="H988" s="297"/>
    </row>
    <row r="989" spans="1:8" s="278" customFormat="1" ht="24.95" customHeight="1" x14ac:dyDescent="0.2">
      <c r="A989" s="293"/>
      <c r="B989" s="259"/>
      <c r="C989" s="259"/>
      <c r="E989" s="296">
        <f t="shared" si="46"/>
        <v>0</v>
      </c>
      <c r="F989" s="297"/>
      <c r="G989" s="297"/>
      <c r="H989" s="297"/>
    </row>
    <row r="990" spans="1:8" s="278" customFormat="1" ht="24.95" customHeight="1" x14ac:dyDescent="0.2">
      <c r="A990" s="293"/>
      <c r="B990" s="259"/>
      <c r="C990" s="259"/>
      <c r="E990" s="296">
        <f t="shared" si="46"/>
        <v>0</v>
      </c>
      <c r="F990" s="297"/>
      <c r="G990" s="297"/>
      <c r="H990" s="297"/>
    </row>
    <row r="991" spans="1:8" s="278" customFormat="1" ht="24.95" customHeight="1" x14ac:dyDescent="0.2">
      <c r="A991" s="293"/>
      <c r="B991" s="259"/>
      <c r="C991" s="259"/>
      <c r="E991" s="296">
        <f t="shared" si="46"/>
        <v>0</v>
      </c>
      <c r="F991" s="297"/>
      <c r="G991" s="297"/>
      <c r="H991" s="297"/>
    </row>
    <row r="992" spans="1:8" s="278" customFormat="1" ht="24.95" customHeight="1" x14ac:dyDescent="0.2">
      <c r="A992" s="293"/>
      <c r="B992" s="259"/>
      <c r="C992" s="259"/>
      <c r="E992" s="296">
        <f t="shared" si="46"/>
        <v>0</v>
      </c>
      <c r="F992" s="297"/>
      <c r="G992" s="297"/>
      <c r="H992" s="297"/>
    </row>
    <row r="993" spans="1:8" s="278" customFormat="1" ht="24.95" customHeight="1" x14ac:dyDescent="0.2">
      <c r="A993" s="293"/>
      <c r="B993" s="259"/>
      <c r="C993" s="259"/>
      <c r="E993" s="296">
        <f t="shared" si="46"/>
        <v>0</v>
      </c>
      <c r="F993" s="297"/>
      <c r="G993" s="297"/>
      <c r="H993" s="297"/>
    </row>
    <row r="994" spans="1:8" s="278" customFormat="1" ht="24.95" customHeight="1" x14ac:dyDescent="0.2">
      <c r="A994" s="293"/>
      <c r="B994" s="259"/>
      <c r="C994" s="259"/>
      <c r="E994" s="296">
        <f t="shared" si="46"/>
        <v>0</v>
      </c>
      <c r="F994" s="297"/>
      <c r="G994" s="297"/>
      <c r="H994" s="297"/>
    </row>
    <row r="995" spans="1:8" s="278" customFormat="1" ht="24.95" customHeight="1" x14ac:dyDescent="0.2">
      <c r="A995" s="293"/>
      <c r="B995" s="259"/>
      <c r="C995" s="259"/>
      <c r="E995" s="296">
        <f t="shared" si="46"/>
        <v>0</v>
      </c>
      <c r="F995" s="297"/>
      <c r="G995" s="297"/>
      <c r="H995" s="297"/>
    </row>
    <row r="996" spans="1:8" s="278" customFormat="1" ht="24.95" customHeight="1" x14ac:dyDescent="0.2">
      <c r="A996" s="293"/>
      <c r="B996" s="259"/>
      <c r="C996" s="259"/>
      <c r="E996" s="296">
        <f t="shared" si="46"/>
        <v>0</v>
      </c>
      <c r="F996" s="297"/>
      <c r="G996" s="297"/>
      <c r="H996" s="297"/>
    </row>
    <row r="997" spans="1:8" s="278" customFormat="1" ht="24.95" customHeight="1" x14ac:dyDescent="0.2">
      <c r="A997" s="293"/>
      <c r="B997" s="259"/>
      <c r="C997" s="259"/>
      <c r="E997" s="296">
        <f t="shared" si="46"/>
        <v>0</v>
      </c>
      <c r="F997" s="297"/>
      <c r="G997" s="297"/>
      <c r="H997" s="297"/>
    </row>
    <row r="998" spans="1:8" s="278" customFormat="1" ht="24.95" customHeight="1" x14ac:dyDescent="0.2">
      <c r="A998" s="293"/>
      <c r="B998" s="259"/>
      <c r="C998" s="259"/>
      <c r="E998" s="298"/>
      <c r="F998" s="297"/>
      <c r="G998" s="297"/>
      <c r="H998" s="297"/>
    </row>
    <row r="999" spans="1:8" s="278" customFormat="1" ht="24.95" customHeight="1" x14ac:dyDescent="0.2">
      <c r="A999" s="292"/>
      <c r="E999" s="242"/>
      <c r="F999" s="243"/>
      <c r="G999" s="243"/>
      <c r="H999" s="243"/>
    </row>
    <row r="1000" spans="1:8" s="278" customFormat="1" ht="24.95" customHeight="1" x14ac:dyDescent="0.2">
      <c r="A1000" s="292"/>
      <c r="E1000" s="242"/>
      <c r="F1000" s="243"/>
      <c r="G1000" s="243"/>
      <c r="H1000" s="243"/>
    </row>
    <row r="1001" spans="1:8" s="278" customFormat="1" ht="24.95" customHeight="1" x14ac:dyDescent="0.2">
      <c r="A1001" s="292"/>
      <c r="E1001" s="242"/>
      <c r="F1001" s="243"/>
      <c r="G1001" s="243"/>
      <c r="H1001" s="243"/>
    </row>
    <row r="1002" spans="1:8" s="278" customFormat="1" ht="24.95" customHeight="1" x14ac:dyDescent="0.2">
      <c r="A1002" s="292"/>
      <c r="E1002" s="242"/>
      <c r="F1002" s="243"/>
      <c r="G1002" s="243"/>
      <c r="H1002" s="243"/>
    </row>
    <row r="1003" spans="1:8" s="278" customFormat="1" ht="24.95" customHeight="1" x14ac:dyDescent="0.2">
      <c r="A1003" s="292"/>
      <c r="E1003" s="242"/>
      <c r="F1003" s="243"/>
      <c r="G1003" s="243"/>
      <c r="H1003" s="243"/>
    </row>
    <row r="1004" spans="1:8" s="278" customFormat="1" ht="24.95" customHeight="1" x14ac:dyDescent="0.2">
      <c r="A1004" s="292"/>
      <c r="E1004" s="242"/>
      <c r="F1004" s="243"/>
      <c r="G1004" s="243"/>
      <c r="H1004" s="243"/>
    </row>
    <row r="1005" spans="1:8" s="278" customFormat="1" ht="24.95" customHeight="1" x14ac:dyDescent="0.2">
      <c r="A1005" s="292"/>
      <c r="E1005" s="242"/>
      <c r="F1005" s="243"/>
      <c r="G1005" s="243"/>
      <c r="H1005" s="243"/>
    </row>
    <row r="1006" spans="1:8" s="278" customFormat="1" ht="24.95" customHeight="1" x14ac:dyDescent="0.2">
      <c r="A1006" s="292"/>
      <c r="E1006" s="242"/>
      <c r="F1006" s="243"/>
      <c r="G1006" s="243"/>
      <c r="H1006" s="243"/>
    </row>
    <row r="1007" spans="1:8" s="278" customFormat="1" ht="24.95" customHeight="1" x14ac:dyDescent="0.2">
      <c r="A1007" s="292"/>
      <c r="E1007" s="242"/>
      <c r="F1007" s="243"/>
      <c r="G1007" s="243"/>
      <c r="H1007" s="243"/>
    </row>
    <row r="1008" spans="1:8" s="278" customFormat="1" ht="24.95" customHeight="1" x14ac:dyDescent="0.2">
      <c r="A1008" s="292"/>
      <c r="E1008" s="242"/>
      <c r="F1008" s="243"/>
      <c r="G1008" s="243"/>
      <c r="H1008" s="243"/>
    </row>
    <row r="1009" spans="1:8" s="278" customFormat="1" ht="24.95" customHeight="1" x14ac:dyDescent="0.2">
      <c r="A1009" s="292"/>
      <c r="E1009" s="242"/>
      <c r="F1009" s="243"/>
      <c r="G1009" s="243"/>
      <c r="H1009" s="243"/>
    </row>
    <row r="1010" spans="1:8" s="278" customFormat="1" ht="24.95" customHeight="1" x14ac:dyDescent="0.2">
      <c r="A1010" s="292"/>
      <c r="E1010" s="242"/>
      <c r="F1010" s="243"/>
      <c r="G1010" s="243"/>
      <c r="H1010" s="243"/>
    </row>
    <row r="1011" spans="1:8" s="278" customFormat="1" ht="24.95" customHeight="1" x14ac:dyDescent="0.2">
      <c r="A1011" s="292"/>
      <c r="E1011" s="242"/>
      <c r="F1011" s="243"/>
      <c r="G1011" s="243"/>
      <c r="H1011" s="243"/>
    </row>
    <row r="1012" spans="1:8" s="278" customFormat="1" ht="24.95" customHeight="1" x14ac:dyDescent="0.2">
      <c r="A1012" s="292"/>
      <c r="E1012" s="242"/>
      <c r="F1012" s="243"/>
      <c r="G1012" s="243"/>
      <c r="H1012" s="243"/>
    </row>
    <row r="1013" spans="1:8" s="278" customFormat="1" ht="24.95" customHeight="1" x14ac:dyDescent="0.2">
      <c r="A1013" s="292"/>
      <c r="E1013" s="242"/>
      <c r="F1013" s="243"/>
      <c r="G1013" s="243"/>
      <c r="H1013" s="243"/>
    </row>
    <row r="1014" spans="1:8" s="278" customFormat="1" ht="24.95" customHeight="1" x14ac:dyDescent="0.2">
      <c r="A1014" s="292"/>
      <c r="E1014" s="242"/>
      <c r="F1014" s="243"/>
      <c r="G1014" s="243"/>
      <c r="H1014" s="243"/>
    </row>
    <row r="1015" spans="1:8" s="278" customFormat="1" ht="24.95" customHeight="1" x14ac:dyDescent="0.2">
      <c r="A1015" s="292"/>
      <c r="E1015" s="242"/>
      <c r="F1015" s="243"/>
      <c r="G1015" s="243"/>
      <c r="H1015" s="243"/>
    </row>
    <row r="1016" spans="1:8" s="278" customFormat="1" ht="24.95" customHeight="1" x14ac:dyDescent="0.2">
      <c r="A1016" s="292"/>
      <c r="E1016" s="242"/>
      <c r="F1016" s="243"/>
      <c r="G1016" s="243"/>
      <c r="H1016" s="243"/>
    </row>
    <row r="1017" spans="1:8" ht="14.1" customHeight="1" x14ac:dyDescent="0.2">
      <c r="A1017" s="189"/>
    </row>
    <row r="1018" spans="1:8" ht="14.1" customHeight="1" x14ac:dyDescent="0.2">
      <c r="A1018" s="189"/>
    </row>
    <row r="1019" spans="1:8" ht="14.1" customHeight="1" x14ac:dyDescent="0.2">
      <c r="A1019" s="189"/>
    </row>
    <row r="1020" spans="1:8" ht="14.1" customHeight="1" x14ac:dyDescent="0.2">
      <c r="A1020" s="189"/>
    </row>
    <row r="1021" spans="1:8" ht="14.1" customHeight="1" x14ac:dyDescent="0.2">
      <c r="A1021" s="189"/>
    </row>
    <row r="1022" spans="1:8" ht="14.1" customHeight="1" x14ac:dyDescent="0.2">
      <c r="A1022" s="189"/>
    </row>
    <row r="1023" spans="1:8" ht="14.1" customHeight="1" x14ac:dyDescent="0.2">
      <c r="A1023" s="189"/>
    </row>
    <row r="1024" spans="1:8" ht="14.1" customHeight="1" x14ac:dyDescent="0.2">
      <c r="A1024" s="189"/>
    </row>
    <row r="1025" spans="1:1" ht="14.1" customHeight="1" x14ac:dyDescent="0.2">
      <c r="A1025" s="189"/>
    </row>
    <row r="1026" spans="1:1" ht="14.1" customHeight="1" x14ac:dyDescent="0.2">
      <c r="A1026" s="189"/>
    </row>
    <row r="1027" spans="1:1" ht="14.1" customHeight="1" x14ac:dyDescent="0.2">
      <c r="A1027" s="189"/>
    </row>
    <row r="1028" spans="1:1" ht="14.1" customHeight="1" x14ac:dyDescent="0.2">
      <c r="A1028" s="189"/>
    </row>
    <row r="1029" spans="1:1" ht="14.1" customHeight="1" x14ac:dyDescent="0.2">
      <c r="A1029" s="189"/>
    </row>
    <row r="1030" spans="1:1" ht="14.1" customHeight="1" x14ac:dyDescent="0.2">
      <c r="A1030" s="189"/>
    </row>
    <row r="1031" spans="1:1" ht="14.1" customHeight="1" x14ac:dyDescent="0.2">
      <c r="A1031" s="189"/>
    </row>
    <row r="1032" spans="1:1" ht="14.1" customHeight="1" x14ac:dyDescent="0.2">
      <c r="A1032" s="189"/>
    </row>
    <row r="1033" spans="1:1" ht="14.1" customHeight="1" x14ac:dyDescent="0.2">
      <c r="A1033" s="189"/>
    </row>
    <row r="1034" spans="1:1" ht="14.1" customHeight="1" x14ac:dyDescent="0.2">
      <c r="A1034" s="189"/>
    </row>
    <row r="1035" spans="1:1" ht="14.1" customHeight="1" x14ac:dyDescent="0.2">
      <c r="A1035" s="189"/>
    </row>
    <row r="1036" spans="1:1" ht="14.1" customHeight="1" x14ac:dyDescent="0.2">
      <c r="A1036" s="189"/>
    </row>
    <row r="1037" spans="1:1" ht="14.1" customHeight="1" x14ac:dyDescent="0.2">
      <c r="A1037" s="189"/>
    </row>
    <row r="1038" spans="1:1" ht="14.1" customHeight="1" x14ac:dyDescent="0.2">
      <c r="A1038" s="189"/>
    </row>
    <row r="1039" spans="1:1" ht="14.1" customHeight="1" x14ac:dyDescent="0.2">
      <c r="A1039" s="189"/>
    </row>
    <row r="1040" spans="1:1" ht="14.1" customHeight="1" x14ac:dyDescent="0.2">
      <c r="A1040" s="189"/>
    </row>
    <row r="1041" spans="1:1" ht="14.1" customHeight="1" x14ac:dyDescent="0.2">
      <c r="A1041" s="189"/>
    </row>
    <row r="1042" spans="1:1" ht="14.1" customHeight="1" x14ac:dyDescent="0.2">
      <c r="A1042" s="189"/>
    </row>
    <row r="1043" spans="1:1" ht="14.1" customHeight="1" x14ac:dyDescent="0.2">
      <c r="A1043" s="189"/>
    </row>
    <row r="1044" spans="1:1" ht="14.1" customHeight="1" x14ac:dyDescent="0.2">
      <c r="A1044" s="189"/>
    </row>
    <row r="1045" spans="1:1" ht="14.1" customHeight="1" x14ac:dyDescent="0.2">
      <c r="A1045" s="189"/>
    </row>
    <row r="1046" spans="1:1" ht="14.1" customHeight="1" x14ac:dyDescent="0.2">
      <c r="A1046" s="189"/>
    </row>
    <row r="1047" spans="1:1" ht="14.1" customHeight="1" x14ac:dyDescent="0.2">
      <c r="A1047" s="189"/>
    </row>
    <row r="1048" spans="1:1" ht="14.1" customHeight="1" x14ac:dyDescent="0.2">
      <c r="A1048" s="189"/>
    </row>
    <row r="1049" spans="1:1" ht="14.1" customHeight="1" x14ac:dyDescent="0.2">
      <c r="A1049" s="189"/>
    </row>
    <row r="1050" spans="1:1" ht="14.1" customHeight="1" x14ac:dyDescent="0.2">
      <c r="A1050" s="189"/>
    </row>
    <row r="1051" spans="1:1" ht="14.1" customHeight="1" x14ac:dyDescent="0.2">
      <c r="A1051" s="189"/>
    </row>
    <row r="1052" spans="1:1" ht="14.1" customHeight="1" x14ac:dyDescent="0.2">
      <c r="A1052" s="189"/>
    </row>
    <row r="1053" spans="1:1" ht="14.1" customHeight="1" x14ac:dyDescent="0.2">
      <c r="A1053" s="189"/>
    </row>
    <row r="1054" spans="1:1" ht="14.1" customHeight="1" x14ac:dyDescent="0.2">
      <c r="A1054" s="189"/>
    </row>
    <row r="1055" spans="1:1" ht="14.1" customHeight="1" x14ac:dyDescent="0.2">
      <c r="A1055" s="189"/>
    </row>
    <row r="1056" spans="1:1" ht="14.1" customHeight="1" x14ac:dyDescent="0.2">
      <c r="A1056" s="189"/>
    </row>
    <row r="1057" spans="1:1" ht="14.1" customHeight="1" x14ac:dyDescent="0.2">
      <c r="A1057" s="189"/>
    </row>
    <row r="1058" spans="1:1" ht="14.1" customHeight="1" x14ac:dyDescent="0.2">
      <c r="A1058" s="189"/>
    </row>
    <row r="1059" spans="1:1" ht="14.1" customHeight="1" x14ac:dyDescent="0.2">
      <c r="A1059" s="189"/>
    </row>
    <row r="1060" spans="1:1" ht="14.1" customHeight="1" x14ac:dyDescent="0.2">
      <c r="A1060" s="189"/>
    </row>
    <row r="1061" spans="1:1" ht="14.1" customHeight="1" x14ac:dyDescent="0.2">
      <c r="A1061" s="189"/>
    </row>
    <row r="1062" spans="1:1" ht="14.1" customHeight="1" x14ac:dyDescent="0.2">
      <c r="A1062" s="189"/>
    </row>
    <row r="1063" spans="1:1" ht="14.1" customHeight="1" x14ac:dyDescent="0.2">
      <c r="A1063" s="189"/>
    </row>
    <row r="1064" spans="1:1" ht="14.1" customHeight="1" x14ac:dyDescent="0.2">
      <c r="A1064" s="189"/>
    </row>
    <row r="1065" spans="1:1" ht="14.1" customHeight="1" x14ac:dyDescent="0.2">
      <c r="A1065" s="189"/>
    </row>
    <row r="1066" spans="1:1" ht="14.1" customHeight="1" x14ac:dyDescent="0.2">
      <c r="A1066" s="189"/>
    </row>
    <row r="1067" spans="1:1" ht="14.1" customHeight="1" x14ac:dyDescent="0.2">
      <c r="A1067" s="189"/>
    </row>
    <row r="1068" spans="1:1" ht="14.1" customHeight="1" x14ac:dyDescent="0.2">
      <c r="A1068" s="189"/>
    </row>
    <row r="1069" spans="1:1" ht="14.1" customHeight="1" x14ac:dyDescent="0.2">
      <c r="A1069" s="189"/>
    </row>
    <row r="1070" spans="1:1" ht="14.1" customHeight="1" x14ac:dyDescent="0.2">
      <c r="A1070" s="189"/>
    </row>
    <row r="1071" spans="1:1" ht="14.1" customHeight="1" x14ac:dyDescent="0.2">
      <c r="A1071" s="189"/>
    </row>
    <row r="1072" spans="1:1" ht="14.1" customHeight="1" x14ac:dyDescent="0.2">
      <c r="A1072" s="189"/>
    </row>
    <row r="1073" spans="1:1" ht="14.1" customHeight="1" x14ac:dyDescent="0.2">
      <c r="A1073" s="189"/>
    </row>
    <row r="1074" spans="1:1" ht="14.1" customHeight="1" x14ac:dyDescent="0.2">
      <c r="A1074" s="189"/>
    </row>
    <row r="1075" spans="1:1" ht="14.1" customHeight="1" x14ac:dyDescent="0.2">
      <c r="A1075" s="189"/>
    </row>
    <row r="1076" spans="1:1" ht="14.1" customHeight="1" x14ac:dyDescent="0.2">
      <c r="A1076" s="189"/>
    </row>
    <row r="1077" spans="1:1" ht="14.1" customHeight="1" x14ac:dyDescent="0.2">
      <c r="A1077" s="189"/>
    </row>
    <row r="1078" spans="1:1" ht="14.1" customHeight="1" x14ac:dyDescent="0.2">
      <c r="A1078" s="189"/>
    </row>
    <row r="1079" spans="1:1" ht="14.1" customHeight="1" x14ac:dyDescent="0.2">
      <c r="A1079" s="189"/>
    </row>
    <row r="1080" spans="1:1" ht="14.1" customHeight="1" x14ac:dyDescent="0.2">
      <c r="A1080" s="189"/>
    </row>
    <row r="1081" spans="1:1" ht="14.1" customHeight="1" x14ac:dyDescent="0.2">
      <c r="A1081" s="189"/>
    </row>
    <row r="1082" spans="1:1" ht="14.1" customHeight="1" x14ac:dyDescent="0.2">
      <c r="A1082" s="189"/>
    </row>
    <row r="1083" spans="1:1" ht="14.1" customHeight="1" x14ac:dyDescent="0.2">
      <c r="A1083" s="189"/>
    </row>
    <row r="1084" spans="1:1" ht="14.1" customHeight="1" x14ac:dyDescent="0.2">
      <c r="A1084" s="189"/>
    </row>
    <row r="1085" spans="1:1" ht="14.1" customHeight="1" x14ac:dyDescent="0.2">
      <c r="A1085" s="189"/>
    </row>
    <row r="1086" spans="1:1" ht="14.1" customHeight="1" x14ac:dyDescent="0.2">
      <c r="A1086" s="189"/>
    </row>
    <row r="1087" spans="1:1" ht="14.1" customHeight="1" x14ac:dyDescent="0.2">
      <c r="A1087" s="189"/>
    </row>
    <row r="1088" spans="1:1" ht="14.1" customHeight="1" x14ac:dyDescent="0.2">
      <c r="A1088" s="189"/>
    </row>
    <row r="1089" spans="1:1" ht="14.1" customHeight="1" x14ac:dyDescent="0.2">
      <c r="A1089" s="189"/>
    </row>
    <row r="1090" spans="1:1" ht="14.1" customHeight="1" x14ac:dyDescent="0.2">
      <c r="A1090" s="189"/>
    </row>
    <row r="1091" spans="1:1" ht="14.1" customHeight="1" x14ac:dyDescent="0.2">
      <c r="A1091" s="189"/>
    </row>
    <row r="1092" spans="1:1" ht="14.1" customHeight="1" x14ac:dyDescent="0.2">
      <c r="A1092" s="189"/>
    </row>
    <row r="1093" spans="1:1" ht="14.1" customHeight="1" x14ac:dyDescent="0.2">
      <c r="A1093" s="189"/>
    </row>
    <row r="1094" spans="1:1" ht="14.1" customHeight="1" x14ac:dyDescent="0.2">
      <c r="A1094" s="189"/>
    </row>
    <row r="1095" spans="1:1" ht="14.1" customHeight="1" x14ac:dyDescent="0.2">
      <c r="A1095" s="189"/>
    </row>
    <row r="1096" spans="1:1" ht="14.1" customHeight="1" x14ac:dyDescent="0.2">
      <c r="A1096" s="189"/>
    </row>
    <row r="1097" spans="1:1" ht="14.1" customHeight="1" x14ac:dyDescent="0.2">
      <c r="A1097" s="189"/>
    </row>
    <row r="1098" spans="1:1" ht="14.1" customHeight="1" x14ac:dyDescent="0.2">
      <c r="A1098" s="189"/>
    </row>
    <row r="1099" spans="1:1" ht="14.1" customHeight="1" x14ac:dyDescent="0.2">
      <c r="A1099" s="189"/>
    </row>
    <row r="1100" spans="1:1" ht="14.1" customHeight="1" x14ac:dyDescent="0.2">
      <c r="A1100" s="189"/>
    </row>
    <row r="1101" spans="1:1" ht="14.1" customHeight="1" x14ac:dyDescent="0.2">
      <c r="A1101" s="189"/>
    </row>
    <row r="1102" spans="1:1" ht="14.1" customHeight="1" x14ac:dyDescent="0.2">
      <c r="A1102" s="189"/>
    </row>
    <row r="1103" spans="1:1" ht="14.1" customHeight="1" x14ac:dyDescent="0.2">
      <c r="A1103" s="189"/>
    </row>
    <row r="1104" spans="1:1" ht="14.1" customHeight="1" x14ac:dyDescent="0.2">
      <c r="A1104" s="189"/>
    </row>
    <row r="1105" spans="1:1" ht="14.1" customHeight="1" x14ac:dyDescent="0.2">
      <c r="A1105" s="189"/>
    </row>
    <row r="1106" spans="1:1" ht="14.1" customHeight="1" x14ac:dyDescent="0.2">
      <c r="A1106" s="189"/>
    </row>
    <row r="1107" spans="1:1" ht="14.1" customHeight="1" x14ac:dyDescent="0.2">
      <c r="A1107" s="189"/>
    </row>
    <row r="1108" spans="1:1" ht="14.1" customHeight="1" x14ac:dyDescent="0.2">
      <c r="A1108" s="189"/>
    </row>
    <row r="1109" spans="1:1" ht="14.1" customHeight="1" x14ac:dyDescent="0.2">
      <c r="A1109" s="189"/>
    </row>
    <row r="1110" spans="1:1" ht="14.1" customHeight="1" x14ac:dyDescent="0.2">
      <c r="A1110" s="189"/>
    </row>
    <row r="1111" spans="1:1" ht="14.1" customHeight="1" x14ac:dyDescent="0.2">
      <c r="A1111" s="189"/>
    </row>
    <row r="1112" spans="1:1" ht="14.1" customHeight="1" x14ac:dyDescent="0.2">
      <c r="A1112" s="189"/>
    </row>
    <row r="1113" spans="1:1" ht="14.1" customHeight="1" x14ac:dyDescent="0.2">
      <c r="A1113" s="189"/>
    </row>
    <row r="1114" spans="1:1" ht="14.1" customHeight="1" x14ac:dyDescent="0.2">
      <c r="A1114" s="189"/>
    </row>
    <row r="1115" spans="1:1" ht="14.1" customHeight="1" x14ac:dyDescent="0.2">
      <c r="A1115" s="189"/>
    </row>
    <row r="1116" spans="1:1" ht="14.1" customHeight="1" x14ac:dyDescent="0.2">
      <c r="A1116" s="189"/>
    </row>
    <row r="1117" spans="1:1" ht="14.1" customHeight="1" x14ac:dyDescent="0.2">
      <c r="A1117" s="189"/>
    </row>
    <row r="1118" spans="1:1" ht="14.1" customHeight="1" x14ac:dyDescent="0.2">
      <c r="A1118" s="189"/>
    </row>
    <row r="1119" spans="1:1" ht="14.1" customHeight="1" x14ac:dyDescent="0.2">
      <c r="A1119" s="189"/>
    </row>
    <row r="1120" spans="1:1" ht="14.1" customHeight="1" x14ac:dyDescent="0.2">
      <c r="A1120" s="189"/>
    </row>
    <row r="1121" spans="1:1" ht="14.1" customHeight="1" x14ac:dyDescent="0.2">
      <c r="A1121" s="189"/>
    </row>
    <row r="1122" spans="1:1" ht="14.1" customHeight="1" x14ac:dyDescent="0.2">
      <c r="A1122" s="189"/>
    </row>
    <row r="1123" spans="1:1" ht="14.1" customHeight="1" x14ac:dyDescent="0.2">
      <c r="A1123" s="189"/>
    </row>
    <row r="1124" spans="1:1" ht="14.1" customHeight="1" x14ac:dyDescent="0.2">
      <c r="A1124" s="189"/>
    </row>
    <row r="1125" spans="1:1" ht="14.1" customHeight="1" x14ac:dyDescent="0.2">
      <c r="A1125" s="189"/>
    </row>
    <row r="1126" spans="1:1" ht="14.1" customHeight="1" x14ac:dyDescent="0.2">
      <c r="A1126" s="189"/>
    </row>
    <row r="1127" spans="1:1" ht="14.1" customHeight="1" x14ac:dyDescent="0.2">
      <c r="A1127" s="189"/>
    </row>
    <row r="1128" spans="1:1" ht="14.1" customHeight="1" x14ac:dyDescent="0.2">
      <c r="A1128" s="189"/>
    </row>
    <row r="1129" spans="1:1" ht="14.1" customHeight="1" x14ac:dyDescent="0.2">
      <c r="A1129" s="189"/>
    </row>
    <row r="1130" spans="1:1" ht="14.1" customHeight="1" x14ac:dyDescent="0.2">
      <c r="A1130" s="189"/>
    </row>
    <row r="1131" spans="1:1" ht="14.1" customHeight="1" x14ac:dyDescent="0.2">
      <c r="A1131" s="189"/>
    </row>
    <row r="1132" spans="1:1" ht="14.1" customHeight="1" x14ac:dyDescent="0.2">
      <c r="A1132" s="189"/>
    </row>
    <row r="1133" spans="1:1" ht="14.1" customHeight="1" x14ac:dyDescent="0.2">
      <c r="A1133" s="189"/>
    </row>
    <row r="1134" spans="1:1" ht="14.1" customHeight="1" x14ac:dyDescent="0.2">
      <c r="A1134" s="189"/>
    </row>
    <row r="1135" spans="1:1" ht="14.1" customHeight="1" x14ac:dyDescent="0.2">
      <c r="A1135" s="189"/>
    </row>
    <row r="1136" spans="1:1" ht="14.1" customHeight="1" x14ac:dyDescent="0.2">
      <c r="A1136" s="189"/>
    </row>
    <row r="1137" spans="1:1" ht="14.1" customHeight="1" x14ac:dyDescent="0.2">
      <c r="A1137" s="189"/>
    </row>
    <row r="1138" spans="1:1" ht="14.1" customHeight="1" x14ac:dyDescent="0.2">
      <c r="A1138" s="189"/>
    </row>
    <row r="1139" spans="1:1" ht="14.1" customHeight="1" x14ac:dyDescent="0.2">
      <c r="A1139" s="189"/>
    </row>
    <row r="1140" spans="1:1" ht="14.1" customHeight="1" x14ac:dyDescent="0.2">
      <c r="A1140" s="189"/>
    </row>
    <row r="1141" spans="1:1" ht="14.1" customHeight="1" x14ac:dyDescent="0.2">
      <c r="A1141" s="189"/>
    </row>
    <row r="1142" spans="1:1" ht="14.1" customHeight="1" x14ac:dyDescent="0.2">
      <c r="A1142" s="189"/>
    </row>
    <row r="1143" spans="1:1" ht="14.1" customHeight="1" x14ac:dyDescent="0.2">
      <c r="A1143" s="189"/>
    </row>
    <row r="1144" spans="1:1" ht="14.1" customHeight="1" x14ac:dyDescent="0.2">
      <c r="A1144" s="189"/>
    </row>
    <row r="1145" spans="1:1" ht="14.1" customHeight="1" x14ac:dyDescent="0.2">
      <c r="A1145" s="189"/>
    </row>
    <row r="1146" spans="1:1" ht="14.1" customHeight="1" x14ac:dyDescent="0.2">
      <c r="A1146" s="189"/>
    </row>
    <row r="1147" spans="1:1" ht="14.1" customHeight="1" x14ac:dyDescent="0.2">
      <c r="A1147" s="189"/>
    </row>
    <row r="1148" spans="1:1" ht="14.1" customHeight="1" x14ac:dyDescent="0.2">
      <c r="A1148" s="189"/>
    </row>
    <row r="1149" spans="1:1" ht="14.1" customHeight="1" x14ac:dyDescent="0.2">
      <c r="A1149" s="189"/>
    </row>
    <row r="1150" spans="1:1" ht="14.1" customHeight="1" x14ac:dyDescent="0.2">
      <c r="A1150" s="189"/>
    </row>
    <row r="1151" spans="1:1" ht="14.1" customHeight="1" x14ac:dyDescent="0.2">
      <c r="A1151" s="189"/>
    </row>
    <row r="1152" spans="1:1" ht="14.1" customHeight="1" x14ac:dyDescent="0.2">
      <c r="A1152" s="189"/>
    </row>
    <row r="1153" spans="1:1" ht="14.1" customHeight="1" x14ac:dyDescent="0.2">
      <c r="A1153" s="189"/>
    </row>
    <row r="1154" spans="1:1" ht="14.1" customHeight="1" x14ac:dyDescent="0.2">
      <c r="A1154" s="189"/>
    </row>
    <row r="1155" spans="1:1" ht="14.1" customHeight="1" x14ac:dyDescent="0.2">
      <c r="A1155" s="189"/>
    </row>
    <row r="1156" spans="1:1" ht="14.1" customHeight="1" x14ac:dyDescent="0.2">
      <c r="A1156" s="189"/>
    </row>
    <row r="1157" spans="1:1" ht="14.1" customHeight="1" x14ac:dyDescent="0.2">
      <c r="A1157" s="189"/>
    </row>
    <row r="1158" spans="1:1" ht="14.1" customHeight="1" x14ac:dyDescent="0.2">
      <c r="A1158" s="189"/>
    </row>
    <row r="1159" spans="1:1" ht="14.1" customHeight="1" x14ac:dyDescent="0.2">
      <c r="A1159" s="189"/>
    </row>
    <row r="1160" spans="1:1" ht="14.1" customHeight="1" x14ac:dyDescent="0.2">
      <c r="A1160" s="189"/>
    </row>
    <row r="1161" spans="1:1" ht="14.1" customHeight="1" x14ac:dyDescent="0.2">
      <c r="A1161" s="189"/>
    </row>
    <row r="1162" spans="1:1" ht="14.1" customHeight="1" x14ac:dyDescent="0.2">
      <c r="A1162" s="189"/>
    </row>
    <row r="1163" spans="1:1" ht="14.1" customHeight="1" x14ac:dyDescent="0.2">
      <c r="A1163" s="189"/>
    </row>
    <row r="1164" spans="1:1" ht="14.1" customHeight="1" x14ac:dyDescent="0.2">
      <c r="A1164" s="189"/>
    </row>
    <row r="1165" spans="1:1" ht="14.1" customHeight="1" x14ac:dyDescent="0.2">
      <c r="A1165" s="189"/>
    </row>
    <row r="1166" spans="1:1" ht="14.1" customHeight="1" x14ac:dyDescent="0.2">
      <c r="A1166" s="189"/>
    </row>
    <row r="1167" spans="1:1" ht="14.1" customHeight="1" x14ac:dyDescent="0.2">
      <c r="A1167" s="189"/>
    </row>
    <row r="1168" spans="1:1" ht="14.1" customHeight="1" x14ac:dyDescent="0.2">
      <c r="A1168" s="189"/>
    </row>
    <row r="1169" spans="1:1" ht="14.1" customHeight="1" x14ac:dyDescent="0.2">
      <c r="A1169" s="189"/>
    </row>
    <row r="1170" spans="1:1" ht="14.1" customHeight="1" x14ac:dyDescent="0.2">
      <c r="A1170" s="189"/>
    </row>
    <row r="1171" spans="1:1" ht="14.1" customHeight="1" x14ac:dyDescent="0.2">
      <c r="A1171" s="189"/>
    </row>
    <row r="1172" spans="1:1" ht="14.1" customHeight="1" x14ac:dyDescent="0.2">
      <c r="A1172" s="189"/>
    </row>
    <row r="1173" spans="1:1" ht="14.1" customHeight="1" x14ac:dyDescent="0.2">
      <c r="A1173" s="189"/>
    </row>
    <row r="1174" spans="1:1" ht="14.1" customHeight="1" x14ac:dyDescent="0.2">
      <c r="A1174" s="189"/>
    </row>
    <row r="1175" spans="1:1" ht="14.1" customHeight="1" x14ac:dyDescent="0.2">
      <c r="A1175" s="189"/>
    </row>
    <row r="1176" spans="1:1" ht="14.1" customHeight="1" x14ac:dyDescent="0.2">
      <c r="A1176" s="189"/>
    </row>
    <row r="1177" spans="1:1" ht="14.1" customHeight="1" x14ac:dyDescent="0.2">
      <c r="A1177" s="189"/>
    </row>
    <row r="1178" spans="1:1" ht="14.1" customHeight="1" x14ac:dyDescent="0.2">
      <c r="A1178" s="189"/>
    </row>
    <row r="1179" spans="1:1" ht="14.1" customHeight="1" x14ac:dyDescent="0.2">
      <c r="A1179" s="189"/>
    </row>
    <row r="1180" spans="1:1" ht="14.1" customHeight="1" x14ac:dyDescent="0.2">
      <c r="A1180" s="189"/>
    </row>
    <row r="1181" spans="1:1" ht="14.1" customHeight="1" x14ac:dyDescent="0.2">
      <c r="A1181" s="189"/>
    </row>
    <row r="1182" spans="1:1" ht="14.1" customHeight="1" x14ac:dyDescent="0.2">
      <c r="A1182" s="189"/>
    </row>
    <row r="1183" spans="1:1" ht="14.1" customHeight="1" x14ac:dyDescent="0.2">
      <c r="A1183" s="189"/>
    </row>
    <row r="1184" spans="1:1" ht="14.1" customHeight="1" x14ac:dyDescent="0.2">
      <c r="A1184" s="189"/>
    </row>
    <row r="1185" spans="1:1" ht="14.1" customHeight="1" x14ac:dyDescent="0.2">
      <c r="A1185" s="189"/>
    </row>
    <row r="1186" spans="1:1" ht="14.1" customHeight="1" x14ac:dyDescent="0.2">
      <c r="A1186" s="189"/>
    </row>
    <row r="1187" spans="1:1" ht="14.1" customHeight="1" x14ac:dyDescent="0.2">
      <c r="A1187" s="189"/>
    </row>
    <row r="1188" spans="1:1" ht="14.1" customHeight="1" x14ac:dyDescent="0.2">
      <c r="A1188" s="189"/>
    </row>
    <row r="1189" spans="1:1" ht="14.1" customHeight="1" x14ac:dyDescent="0.2">
      <c r="A1189" s="189"/>
    </row>
    <row r="1190" spans="1:1" ht="14.1" customHeight="1" x14ac:dyDescent="0.2">
      <c r="A1190" s="189"/>
    </row>
    <row r="1191" spans="1:1" ht="14.1" customHeight="1" x14ac:dyDescent="0.2">
      <c r="A1191" s="189"/>
    </row>
    <row r="1192" spans="1:1" ht="14.1" customHeight="1" x14ac:dyDescent="0.2">
      <c r="A1192" s="189"/>
    </row>
    <row r="1193" spans="1:1" ht="14.1" customHeight="1" x14ac:dyDescent="0.2">
      <c r="A1193" s="189"/>
    </row>
    <row r="1194" spans="1:1" ht="14.1" customHeight="1" x14ac:dyDescent="0.2">
      <c r="A1194" s="189"/>
    </row>
    <row r="1195" spans="1:1" ht="14.1" customHeight="1" x14ac:dyDescent="0.2">
      <c r="A1195" s="189"/>
    </row>
    <row r="1196" spans="1:1" ht="14.1" customHeight="1" x14ac:dyDescent="0.2">
      <c r="A1196" s="189"/>
    </row>
    <row r="1197" spans="1:1" ht="14.1" customHeight="1" x14ac:dyDescent="0.2">
      <c r="A1197" s="189"/>
    </row>
    <row r="1198" spans="1:1" ht="14.1" customHeight="1" x14ac:dyDescent="0.2">
      <c r="A1198" s="189"/>
    </row>
    <row r="1199" spans="1:1" ht="14.1" customHeight="1" x14ac:dyDescent="0.2">
      <c r="A1199" s="189"/>
    </row>
    <row r="1200" spans="1:1" ht="14.1" customHeight="1" x14ac:dyDescent="0.2">
      <c r="A1200" s="189"/>
    </row>
    <row r="1201" spans="1:1" ht="14.1" customHeight="1" x14ac:dyDescent="0.2">
      <c r="A1201" s="189"/>
    </row>
    <row r="1202" spans="1:1" ht="14.1" customHeight="1" x14ac:dyDescent="0.2">
      <c r="A1202" s="189"/>
    </row>
    <row r="1203" spans="1:1" ht="14.1" customHeight="1" x14ac:dyDescent="0.2">
      <c r="A1203" s="189"/>
    </row>
    <row r="1204" spans="1:1" ht="14.1" customHeight="1" x14ac:dyDescent="0.2">
      <c r="A1204" s="189"/>
    </row>
    <row r="1205" spans="1:1" ht="14.1" customHeight="1" x14ac:dyDescent="0.2">
      <c r="A1205" s="189"/>
    </row>
    <row r="1206" spans="1:1" ht="14.1" customHeight="1" x14ac:dyDescent="0.2">
      <c r="A1206" s="189"/>
    </row>
    <row r="1207" spans="1:1" ht="14.1" customHeight="1" x14ac:dyDescent="0.2">
      <c r="A1207" s="189"/>
    </row>
    <row r="1208" spans="1:1" ht="14.1" customHeight="1" x14ac:dyDescent="0.2">
      <c r="A1208" s="189"/>
    </row>
    <row r="1209" spans="1:1" ht="14.1" customHeight="1" x14ac:dyDescent="0.2">
      <c r="A1209" s="189"/>
    </row>
    <row r="1210" spans="1:1" ht="14.1" customHeight="1" x14ac:dyDescent="0.2">
      <c r="A1210" s="189"/>
    </row>
    <row r="1211" spans="1:1" ht="14.1" customHeight="1" x14ac:dyDescent="0.2">
      <c r="A1211" s="189"/>
    </row>
    <row r="1212" spans="1:1" ht="14.1" customHeight="1" x14ac:dyDescent="0.2">
      <c r="A1212" s="189"/>
    </row>
    <row r="1213" spans="1:1" ht="14.1" customHeight="1" x14ac:dyDescent="0.2">
      <c r="A1213" s="189"/>
    </row>
    <row r="1214" spans="1:1" ht="14.1" customHeight="1" x14ac:dyDescent="0.2">
      <c r="A1214" s="189"/>
    </row>
    <row r="1215" spans="1:1" ht="14.1" customHeight="1" x14ac:dyDescent="0.2">
      <c r="A1215" s="189"/>
    </row>
    <row r="1216" spans="1:1" ht="14.1" customHeight="1" x14ac:dyDescent="0.2">
      <c r="A1216" s="189"/>
    </row>
    <row r="1217" spans="1:1" ht="14.1" customHeight="1" x14ac:dyDescent="0.2">
      <c r="A1217" s="189"/>
    </row>
    <row r="1218" spans="1:1" ht="14.1" customHeight="1" x14ac:dyDescent="0.2">
      <c r="A1218" s="189"/>
    </row>
    <row r="1219" spans="1:1" ht="14.1" customHeight="1" x14ac:dyDescent="0.2">
      <c r="A1219" s="189"/>
    </row>
    <row r="1220" spans="1:1" ht="14.1" customHeight="1" x14ac:dyDescent="0.2">
      <c r="A1220" s="189"/>
    </row>
    <row r="1221" spans="1:1" ht="14.1" customHeight="1" x14ac:dyDescent="0.2">
      <c r="A1221" s="189"/>
    </row>
    <row r="1222" spans="1:1" ht="14.1" customHeight="1" x14ac:dyDescent="0.2">
      <c r="A1222" s="189"/>
    </row>
    <row r="1223" spans="1:1" ht="14.1" customHeight="1" x14ac:dyDescent="0.2">
      <c r="A1223" s="189"/>
    </row>
    <row r="1224" spans="1:1" ht="14.1" customHeight="1" x14ac:dyDescent="0.2">
      <c r="A1224" s="189"/>
    </row>
    <row r="1225" spans="1:1" ht="14.1" customHeight="1" x14ac:dyDescent="0.2">
      <c r="A1225" s="189"/>
    </row>
    <row r="1226" spans="1:1" ht="14.1" customHeight="1" x14ac:dyDescent="0.2">
      <c r="A1226" s="189"/>
    </row>
    <row r="1227" spans="1:1" ht="14.1" customHeight="1" x14ac:dyDescent="0.2">
      <c r="A1227" s="189"/>
    </row>
    <row r="1228" spans="1:1" ht="14.1" customHeight="1" x14ac:dyDescent="0.2">
      <c r="A1228" s="189"/>
    </row>
    <row r="1229" spans="1:1" ht="14.1" customHeight="1" x14ac:dyDescent="0.2">
      <c r="A1229" s="189"/>
    </row>
    <row r="1230" spans="1:1" ht="14.1" customHeight="1" x14ac:dyDescent="0.2">
      <c r="A1230" s="189"/>
    </row>
  </sheetData>
  <mergeCells count="4">
    <mergeCell ref="E7:H7"/>
    <mergeCell ref="E8:H8"/>
    <mergeCell ref="J1:O1"/>
    <mergeCell ref="A1:H1"/>
  </mergeCells>
  <phoneticPr fontId="0" type="noConversion"/>
  <printOptions horizontalCentered="1"/>
  <pageMargins left="0" right="0" top="0.51181102362204722" bottom="0.35433070866141736" header="0.19685039370078741" footer="0.15748031496062992"/>
  <pageSetup paperSize="9" orientation="landscape" horizontalDpi="4294967292" r:id="rId1"/>
  <headerFooter alignWithMargins="0">
    <oddHeader xml:space="preserve">&amp;C&amp;"Times New Roman,Normal"TABULATION AXE TUNNEL </oddHeader>
    <oddFooter>&amp;L&amp;D&amp;R&amp;P/&amp;N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listing">
                <anchor moveWithCells="1" sizeWithCells="1">
                  <from>
                    <xdr:col>5</xdr:col>
                    <xdr:colOff>219075</xdr:colOff>
                    <xdr:row>1</xdr:row>
                    <xdr:rowOff>19050</xdr:rowOff>
                  </from>
                  <to>
                    <xdr:col>6</xdr:col>
                    <xdr:colOff>800100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effacefeuil11">
                <anchor moveWithCells="1">
                  <from>
                    <xdr:col>9</xdr:col>
                    <xdr:colOff>447675</xdr:colOff>
                    <xdr:row>2</xdr:row>
                    <xdr:rowOff>161925</xdr:rowOff>
                  </from>
                  <to>
                    <xdr:col>11</xdr:col>
                    <xdr:colOff>171450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Reset_PVA">
                <anchor moveWithCells="1" sizeWithCells="1">
                  <from>
                    <xdr:col>7</xdr:col>
                    <xdr:colOff>228600</xdr:colOff>
                    <xdr:row>1</xdr:row>
                    <xdr:rowOff>152400</xdr:rowOff>
                  </from>
                  <to>
                    <xdr:col>8</xdr:col>
                    <xdr:colOff>390525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2855-499E-4629-BD6D-76096CDC5F87}">
  <sheetPr codeName="Feuil10">
    <pageSetUpPr fitToPage="1"/>
  </sheetPr>
  <dimension ref="A1:U1210"/>
  <sheetViews>
    <sheetView topLeftCell="A47" zoomScale="85" zoomScaleNormal="85" zoomScaleSheetLayoutView="100" workbookViewId="0">
      <selection activeCell="O62" sqref="O62"/>
    </sheetView>
  </sheetViews>
  <sheetFormatPr baseColWidth="10" defaultRowHeight="14.1" customHeight="1" x14ac:dyDescent="0.2"/>
  <cols>
    <col min="1" max="1" width="15.85546875" customWidth="1"/>
    <col min="2" max="2" width="15.5703125" customWidth="1"/>
    <col min="3" max="3" width="14.7109375" customWidth="1"/>
    <col min="5" max="5" width="13.28515625" style="263" customWidth="1"/>
    <col min="6" max="8" width="16.5703125" style="186" bestFit="1" customWidth="1"/>
    <col min="11" max="11" width="13.85546875" bestFit="1" customWidth="1"/>
    <col min="12" max="12" width="15.28515625" bestFit="1" customWidth="1"/>
    <col min="13" max="13" width="15.85546875" customWidth="1"/>
  </cols>
  <sheetData>
    <row r="1" spans="1:21" ht="35.25" customHeight="1" thickBot="1" x14ac:dyDescent="0.25">
      <c r="A1" s="316" t="s">
        <v>148</v>
      </c>
      <c r="B1" s="317"/>
      <c r="C1" s="317"/>
      <c r="D1" s="317"/>
      <c r="E1" s="317"/>
      <c r="F1" s="317"/>
      <c r="G1" s="317"/>
      <c r="H1" s="318"/>
      <c r="K1" s="311" t="str">
        <f>'INFOS-PARAM'!B3&amp;"-"&amp;'INFOS-PARAM'!B5</f>
        <v>GGS-EXE</v>
      </c>
      <c r="L1" s="312"/>
      <c r="M1" s="312"/>
      <c r="N1" s="312"/>
      <c r="O1" s="312"/>
      <c r="P1" s="313"/>
      <c r="S1">
        <v>0</v>
      </c>
      <c r="T1" s="272" t="s">
        <v>203</v>
      </c>
    </row>
    <row r="3" spans="1:21" ht="14.1" customHeight="1" x14ac:dyDescent="0.2">
      <c r="B3" s="187" t="s">
        <v>149</v>
      </c>
    </row>
    <row r="5" spans="1:21" ht="14.1" customHeight="1" x14ac:dyDescent="0.2">
      <c r="A5" s="188" t="s">
        <v>150</v>
      </c>
      <c r="B5" s="188" t="s">
        <v>151</v>
      </c>
      <c r="C5" s="188" t="s">
        <v>152</v>
      </c>
    </row>
    <row r="6" spans="1:21" ht="14.1" customHeight="1" x14ac:dyDescent="0.2">
      <c r="A6" s="189">
        <v>0</v>
      </c>
      <c r="B6" s="189">
        <v>0</v>
      </c>
      <c r="C6" s="189">
        <v>0</v>
      </c>
    </row>
    <row r="7" spans="1:21" ht="23.25" customHeight="1" x14ac:dyDescent="0.35">
      <c r="E7" s="319"/>
      <c r="F7" s="320"/>
      <c r="G7" s="320"/>
      <c r="H7" s="320"/>
      <c r="K7" s="272" t="s">
        <v>201</v>
      </c>
      <c r="O7" s="272"/>
      <c r="P7" s="272" t="s">
        <v>202</v>
      </c>
    </row>
    <row r="8" spans="1:21" ht="18.75" customHeight="1" x14ac:dyDescent="0.2">
      <c r="E8" s="264"/>
      <c r="F8" s="190"/>
      <c r="G8" s="190"/>
      <c r="H8" s="190"/>
    </row>
    <row r="9" spans="1:21" ht="14.1" customHeight="1" thickBot="1" x14ac:dyDescent="0.25">
      <c r="E9" s="264" t="s">
        <v>200</v>
      </c>
      <c r="F9" s="190" t="s">
        <v>98</v>
      </c>
      <c r="G9" s="190" t="s">
        <v>99</v>
      </c>
      <c r="H9" s="190" t="s">
        <v>100</v>
      </c>
      <c r="L9" s="207"/>
      <c r="M9" s="207"/>
      <c r="N9" s="207"/>
      <c r="Q9" s="273"/>
      <c r="R9" s="207"/>
    </row>
    <row r="10" spans="1:21" ht="14.1" customHeight="1" thickBot="1" x14ac:dyDescent="0.25">
      <c r="B10" s="191" t="s">
        <v>153</v>
      </c>
      <c r="C10" s="192">
        <v>1</v>
      </c>
      <c r="E10" s="303">
        <v>0</v>
      </c>
      <c r="F10" s="186">
        <v>823062.45209999999</v>
      </c>
      <c r="G10" s="186">
        <v>1091431.1746</v>
      </c>
      <c r="H10" s="186">
        <v>-122.32697696997</v>
      </c>
      <c r="I10" t="str">
        <f>"point "&amp;F10&amp;","&amp;G10</f>
        <v>point 823062.4521,1091431.1746</v>
      </c>
      <c r="J10" s="193"/>
      <c r="K10" s="186" t="str">
        <f>"PM_"&amp;ROUND(E10,2)</f>
        <v>PM_0</v>
      </c>
      <c r="L10" s="186">
        <f>F10</f>
        <v>823062.45209999999</v>
      </c>
      <c r="M10" s="186">
        <f>G10</f>
        <v>1091431.1746</v>
      </c>
      <c r="N10" s="186">
        <f>H10</f>
        <v>-122.32697696997</v>
      </c>
      <c r="P10" s="207" t="str">
        <f>K10</f>
        <v>PM_0</v>
      </c>
      <c r="Q10" s="273">
        <f>$S$1+E10</f>
        <v>0</v>
      </c>
      <c r="R10" s="207">
        <f>H10</f>
        <v>-122.32697696997</v>
      </c>
      <c r="S10" s="207">
        <f>$B$6</f>
        <v>0</v>
      </c>
      <c r="U10" t="str">
        <f>"point "&amp;Q10&amp;","&amp;R10</f>
        <v>point 0,-122.32697696997</v>
      </c>
    </row>
    <row r="11" spans="1:21" ht="14.1" customHeight="1" thickBot="1" x14ac:dyDescent="0.25">
      <c r="E11" s="303">
        <v>1</v>
      </c>
      <c r="F11" s="186">
        <v>823061.54579</v>
      </c>
      <c r="G11" s="186">
        <v>1091430.7519799999</v>
      </c>
      <c r="H11" s="186">
        <v>-122.31697803656604</v>
      </c>
      <c r="I11" t="str">
        <f t="shared" ref="I11:I74" si="0">"point "&amp;F11&amp;","&amp;G11</f>
        <v>point 823061.54579,1091430.75198</v>
      </c>
      <c r="J11" s="193"/>
      <c r="K11" s="186" t="str">
        <f t="shared" ref="K11:K74" si="1">"PM_"&amp;ROUND(E11,2)</f>
        <v>PM_1</v>
      </c>
      <c r="L11" s="186">
        <f t="shared" ref="L11:L74" si="2">F11</f>
        <v>823061.54579</v>
      </c>
      <c r="M11" s="186">
        <f t="shared" ref="M11:M74" si="3">G11</f>
        <v>1091430.7519799999</v>
      </c>
      <c r="N11" s="186">
        <f t="shared" ref="N11:N74" si="4">H11</f>
        <v>-122.31697803656604</v>
      </c>
      <c r="P11" s="207" t="str">
        <f t="shared" ref="P11:P74" si="5">K11</f>
        <v>PM_1</v>
      </c>
      <c r="Q11" s="273">
        <f t="shared" ref="Q11:Q74" si="6">$S$1+E11</f>
        <v>1</v>
      </c>
      <c r="R11" s="207">
        <f t="shared" ref="R11:R74" si="7">H11</f>
        <v>-122.31697803656604</v>
      </c>
      <c r="S11" s="207">
        <f t="shared" ref="S11:S74" si="8">$B$6</f>
        <v>0</v>
      </c>
      <c r="U11" t="str">
        <f t="shared" ref="U11:U74" si="9">"point "&amp;Q11&amp;","&amp;R11</f>
        <v>point 1,-122.316978036566</v>
      </c>
    </row>
    <row r="12" spans="1:21" ht="14.1" customHeight="1" thickBot="1" x14ac:dyDescent="0.25">
      <c r="B12" s="191" t="s">
        <v>154</v>
      </c>
      <c r="C12" s="192">
        <v>100</v>
      </c>
      <c r="E12" s="303">
        <v>2</v>
      </c>
      <c r="F12" s="186">
        <v>823060.63948000001</v>
      </c>
      <c r="G12" s="186">
        <v>1091430.3293600001</v>
      </c>
      <c r="H12" s="186">
        <v>-122.30697910316208</v>
      </c>
      <c r="I12" t="str">
        <f t="shared" si="0"/>
        <v>point 823060.63948,1091430.32936</v>
      </c>
      <c r="J12" s="193"/>
      <c r="K12" s="186" t="str">
        <f t="shared" si="1"/>
        <v>PM_2</v>
      </c>
      <c r="L12" s="186">
        <f t="shared" si="2"/>
        <v>823060.63948000001</v>
      </c>
      <c r="M12" s="186">
        <f t="shared" si="3"/>
        <v>1091430.3293600001</v>
      </c>
      <c r="N12" s="186">
        <f t="shared" si="4"/>
        <v>-122.30697910316208</v>
      </c>
      <c r="P12" s="207" t="str">
        <f t="shared" si="5"/>
        <v>PM_2</v>
      </c>
      <c r="Q12" s="273">
        <f t="shared" si="6"/>
        <v>2</v>
      </c>
      <c r="R12" s="207">
        <f t="shared" si="7"/>
        <v>-122.30697910316208</v>
      </c>
      <c r="S12" s="207">
        <f t="shared" si="8"/>
        <v>0</v>
      </c>
      <c r="U12" t="str">
        <f t="shared" si="9"/>
        <v>point 2,-122.306979103162</v>
      </c>
    </row>
    <row r="13" spans="1:21" ht="14.1" customHeight="1" x14ac:dyDescent="0.2">
      <c r="E13" s="303">
        <v>3</v>
      </c>
      <c r="F13" s="186">
        <v>823059.73317999998</v>
      </c>
      <c r="G13" s="186">
        <v>1091429.90674</v>
      </c>
      <c r="H13" s="186">
        <v>-122.2969801697581</v>
      </c>
      <c r="I13" t="str">
        <f t="shared" si="0"/>
        <v>point 823059.73318,1091429.90674</v>
      </c>
      <c r="J13" s="193"/>
      <c r="K13" s="186" t="str">
        <f t="shared" si="1"/>
        <v>PM_3</v>
      </c>
      <c r="L13" s="186">
        <f t="shared" si="2"/>
        <v>823059.73317999998</v>
      </c>
      <c r="M13" s="186">
        <f t="shared" si="3"/>
        <v>1091429.90674</v>
      </c>
      <c r="N13" s="186">
        <f t="shared" si="4"/>
        <v>-122.2969801697581</v>
      </c>
      <c r="P13" s="207" t="str">
        <f t="shared" si="5"/>
        <v>PM_3</v>
      </c>
      <c r="Q13" s="273">
        <f t="shared" si="6"/>
        <v>3</v>
      </c>
      <c r="R13" s="207">
        <f t="shared" si="7"/>
        <v>-122.2969801697581</v>
      </c>
      <c r="S13" s="207">
        <f t="shared" si="8"/>
        <v>0</v>
      </c>
      <c r="U13" t="str">
        <f t="shared" si="9"/>
        <v>point 3,-122.296980169758</v>
      </c>
    </row>
    <row r="14" spans="1:21" ht="14.1" customHeight="1" x14ac:dyDescent="0.2">
      <c r="E14" s="303">
        <v>4</v>
      </c>
      <c r="F14" s="186">
        <v>823058.82686999999</v>
      </c>
      <c r="G14" s="186">
        <v>1091429.48413</v>
      </c>
      <c r="H14" s="186">
        <v>-122.28698123635414</v>
      </c>
      <c r="I14" t="str">
        <f t="shared" si="0"/>
        <v>point 823058.82687,1091429.48413</v>
      </c>
      <c r="J14" s="193"/>
      <c r="K14" s="186" t="str">
        <f t="shared" si="1"/>
        <v>PM_4</v>
      </c>
      <c r="L14" s="186">
        <f t="shared" si="2"/>
        <v>823058.82686999999</v>
      </c>
      <c r="M14" s="186">
        <f t="shared" si="3"/>
        <v>1091429.48413</v>
      </c>
      <c r="N14" s="186">
        <f t="shared" si="4"/>
        <v>-122.28698123635414</v>
      </c>
      <c r="P14" s="207" t="str">
        <f t="shared" si="5"/>
        <v>PM_4</v>
      </c>
      <c r="Q14" s="273">
        <f t="shared" si="6"/>
        <v>4</v>
      </c>
      <c r="R14" s="207">
        <f t="shared" si="7"/>
        <v>-122.28698123635414</v>
      </c>
      <c r="S14" s="207">
        <f t="shared" si="8"/>
        <v>0</v>
      </c>
      <c r="U14" t="str">
        <f t="shared" si="9"/>
        <v>point 4,-122.286981236354</v>
      </c>
    </row>
    <row r="15" spans="1:21" ht="14.1" customHeight="1" x14ac:dyDescent="0.2">
      <c r="E15" s="303">
        <v>5</v>
      </c>
      <c r="F15" s="186">
        <v>823057.92056</v>
      </c>
      <c r="G15" s="186">
        <v>1091429.0615099999</v>
      </c>
      <c r="H15" s="186">
        <v>-122.27698230295017</v>
      </c>
      <c r="I15" t="str">
        <f t="shared" si="0"/>
        <v>point 823057.92056,1091429.06151</v>
      </c>
      <c r="J15" s="193"/>
      <c r="K15" s="186" t="str">
        <f t="shared" si="1"/>
        <v>PM_5</v>
      </c>
      <c r="L15" s="186">
        <f t="shared" si="2"/>
        <v>823057.92056</v>
      </c>
      <c r="M15" s="186">
        <f t="shared" si="3"/>
        <v>1091429.0615099999</v>
      </c>
      <c r="N15" s="186">
        <f t="shared" si="4"/>
        <v>-122.27698230295017</v>
      </c>
      <c r="P15" s="207" t="str">
        <f t="shared" si="5"/>
        <v>PM_5</v>
      </c>
      <c r="Q15" s="273">
        <f t="shared" si="6"/>
        <v>5</v>
      </c>
      <c r="R15" s="207">
        <f t="shared" si="7"/>
        <v>-122.27698230295017</v>
      </c>
      <c r="S15" s="207">
        <f t="shared" si="8"/>
        <v>0</v>
      </c>
      <c r="U15" t="str">
        <f t="shared" si="9"/>
        <v>point 5,-122.27698230295</v>
      </c>
    </row>
    <row r="16" spans="1:21" ht="14.1" customHeight="1" x14ac:dyDescent="0.2">
      <c r="E16" s="303">
        <v>6</v>
      </c>
      <c r="F16" s="186">
        <v>823057.01425000001</v>
      </c>
      <c r="G16" s="186">
        <v>1091428.6388900001</v>
      </c>
      <c r="H16" s="186">
        <v>-122.26698336954621</v>
      </c>
      <c r="I16" t="str">
        <f t="shared" si="0"/>
        <v>point 823057.01425,1091428.63889</v>
      </c>
      <c r="J16" s="193"/>
      <c r="K16" s="186" t="str">
        <f t="shared" si="1"/>
        <v>PM_6</v>
      </c>
      <c r="L16" s="186">
        <f t="shared" si="2"/>
        <v>823057.01425000001</v>
      </c>
      <c r="M16" s="186">
        <f t="shared" si="3"/>
        <v>1091428.6388900001</v>
      </c>
      <c r="N16" s="186">
        <f t="shared" si="4"/>
        <v>-122.26698336954621</v>
      </c>
      <c r="P16" s="207" t="str">
        <f t="shared" si="5"/>
        <v>PM_6</v>
      </c>
      <c r="Q16" s="273">
        <f t="shared" si="6"/>
        <v>6</v>
      </c>
      <c r="R16" s="207">
        <f t="shared" si="7"/>
        <v>-122.26698336954621</v>
      </c>
      <c r="S16" s="207">
        <f t="shared" si="8"/>
        <v>0</v>
      </c>
      <c r="U16" t="str">
        <f t="shared" si="9"/>
        <v>point 6,-122.266983369546</v>
      </c>
    </row>
    <row r="17" spans="5:21" ht="14.1" customHeight="1" x14ac:dyDescent="0.2">
      <c r="E17" s="303">
        <v>7</v>
      </c>
      <c r="F17" s="186">
        <v>823056.10794999998</v>
      </c>
      <c r="G17" s="186">
        <v>1091428.21627</v>
      </c>
      <c r="H17" s="186">
        <v>-122.25698443614223</v>
      </c>
      <c r="I17" t="str">
        <f t="shared" si="0"/>
        <v>point 823056.10795,1091428.21627</v>
      </c>
      <c r="J17" s="193"/>
      <c r="K17" s="186" t="str">
        <f t="shared" si="1"/>
        <v>PM_7</v>
      </c>
      <c r="L17" s="186">
        <f t="shared" si="2"/>
        <v>823056.10794999998</v>
      </c>
      <c r="M17" s="186">
        <f t="shared" si="3"/>
        <v>1091428.21627</v>
      </c>
      <c r="N17" s="186">
        <f t="shared" si="4"/>
        <v>-122.25698443614223</v>
      </c>
      <c r="P17" s="207" t="str">
        <f t="shared" si="5"/>
        <v>PM_7</v>
      </c>
      <c r="Q17" s="273">
        <f t="shared" si="6"/>
        <v>7</v>
      </c>
      <c r="R17" s="207">
        <f t="shared" si="7"/>
        <v>-122.25698443614223</v>
      </c>
      <c r="S17" s="207">
        <f t="shared" si="8"/>
        <v>0</v>
      </c>
      <c r="U17" t="str">
        <f t="shared" si="9"/>
        <v>point 7,-122.256984436142</v>
      </c>
    </row>
    <row r="18" spans="5:21" ht="14.1" customHeight="1" x14ac:dyDescent="0.2">
      <c r="E18" s="303">
        <v>8</v>
      </c>
      <c r="F18" s="186">
        <v>823055.20163999998</v>
      </c>
      <c r="G18" s="186">
        <v>1091427.7936499999</v>
      </c>
      <c r="H18" s="186">
        <v>-122.24698550273827</v>
      </c>
      <c r="I18" t="str">
        <f t="shared" si="0"/>
        <v>point 823055.20164,1091427.79365</v>
      </c>
      <c r="J18" s="193"/>
      <c r="K18" s="186" t="str">
        <f t="shared" si="1"/>
        <v>PM_8</v>
      </c>
      <c r="L18" s="186">
        <f t="shared" si="2"/>
        <v>823055.20163999998</v>
      </c>
      <c r="M18" s="186">
        <f t="shared" si="3"/>
        <v>1091427.7936499999</v>
      </c>
      <c r="N18" s="186">
        <f t="shared" si="4"/>
        <v>-122.24698550273827</v>
      </c>
      <c r="P18" s="207" t="str">
        <f t="shared" si="5"/>
        <v>PM_8</v>
      </c>
      <c r="Q18" s="273">
        <f t="shared" si="6"/>
        <v>8</v>
      </c>
      <c r="R18" s="207">
        <f t="shared" si="7"/>
        <v>-122.24698550273827</v>
      </c>
      <c r="S18" s="207">
        <f t="shared" si="8"/>
        <v>0</v>
      </c>
      <c r="U18" t="str">
        <f t="shared" si="9"/>
        <v>point 8,-122.246985502738</v>
      </c>
    </row>
    <row r="19" spans="5:21" ht="14.1" customHeight="1" x14ac:dyDescent="0.2">
      <c r="E19" s="303">
        <v>9</v>
      </c>
      <c r="F19" s="186">
        <v>823054.29532999999</v>
      </c>
      <c r="G19" s="186">
        <v>1091427.37103</v>
      </c>
      <c r="H19" s="186">
        <v>-122.23698656933431</v>
      </c>
      <c r="I19" t="str">
        <f t="shared" si="0"/>
        <v>point 823054.29533,1091427.37103</v>
      </c>
      <c r="J19" s="193"/>
      <c r="K19" s="186" t="str">
        <f t="shared" si="1"/>
        <v>PM_9</v>
      </c>
      <c r="L19" s="186">
        <f t="shared" si="2"/>
        <v>823054.29532999999</v>
      </c>
      <c r="M19" s="186">
        <f t="shared" si="3"/>
        <v>1091427.37103</v>
      </c>
      <c r="N19" s="186">
        <f t="shared" si="4"/>
        <v>-122.23698656933431</v>
      </c>
      <c r="P19" s="207" t="str">
        <f t="shared" si="5"/>
        <v>PM_9</v>
      </c>
      <c r="Q19" s="273">
        <f t="shared" si="6"/>
        <v>9</v>
      </c>
      <c r="R19" s="207">
        <f t="shared" si="7"/>
        <v>-122.23698656933431</v>
      </c>
      <c r="S19" s="207">
        <f t="shared" si="8"/>
        <v>0</v>
      </c>
      <c r="U19" t="str">
        <f t="shared" si="9"/>
        <v>point 9,-122.236986569334</v>
      </c>
    </row>
    <row r="20" spans="5:21" ht="14.1" customHeight="1" x14ac:dyDescent="0.2">
      <c r="E20" s="303">
        <v>10</v>
      </c>
      <c r="F20" s="186">
        <v>823053.38902</v>
      </c>
      <c r="G20" s="186">
        <v>1091426.94841</v>
      </c>
      <c r="H20" s="186">
        <v>-122.22698763593034</v>
      </c>
      <c r="I20" t="str">
        <f t="shared" si="0"/>
        <v>point 823053.38902,1091426.94841</v>
      </c>
      <c r="J20" s="193"/>
      <c r="K20" s="186" t="str">
        <f t="shared" si="1"/>
        <v>PM_10</v>
      </c>
      <c r="L20" s="186">
        <f t="shared" si="2"/>
        <v>823053.38902</v>
      </c>
      <c r="M20" s="186">
        <f t="shared" si="3"/>
        <v>1091426.94841</v>
      </c>
      <c r="N20" s="186">
        <f t="shared" si="4"/>
        <v>-122.22698763593034</v>
      </c>
      <c r="P20" s="207" t="str">
        <f t="shared" si="5"/>
        <v>PM_10</v>
      </c>
      <c r="Q20" s="273">
        <f t="shared" si="6"/>
        <v>10</v>
      </c>
      <c r="R20" s="207">
        <f t="shared" si="7"/>
        <v>-122.22698763593034</v>
      </c>
      <c r="S20" s="207">
        <f t="shared" si="8"/>
        <v>0</v>
      </c>
      <c r="U20" t="str">
        <f t="shared" si="9"/>
        <v>point 10,-122.22698763593</v>
      </c>
    </row>
    <row r="21" spans="5:21" ht="14.1" customHeight="1" x14ac:dyDescent="0.2">
      <c r="E21" s="303">
        <v>11</v>
      </c>
      <c r="F21" s="186">
        <v>823052.48271999997</v>
      </c>
      <c r="G21" s="186">
        <v>1091426.5257999999</v>
      </c>
      <c r="H21" s="186">
        <v>-122.21698870252636</v>
      </c>
      <c r="I21" t="str">
        <f t="shared" si="0"/>
        <v>point 823052.48272,1091426.5258</v>
      </c>
      <c r="J21" s="193"/>
      <c r="K21" s="186" t="str">
        <f t="shared" si="1"/>
        <v>PM_11</v>
      </c>
      <c r="L21" s="186">
        <f t="shared" si="2"/>
        <v>823052.48271999997</v>
      </c>
      <c r="M21" s="186">
        <f t="shared" si="3"/>
        <v>1091426.5257999999</v>
      </c>
      <c r="N21" s="186">
        <f t="shared" si="4"/>
        <v>-122.21698870252636</v>
      </c>
      <c r="P21" s="207" t="str">
        <f t="shared" si="5"/>
        <v>PM_11</v>
      </c>
      <c r="Q21" s="273">
        <f t="shared" si="6"/>
        <v>11</v>
      </c>
      <c r="R21" s="207">
        <f t="shared" si="7"/>
        <v>-122.21698870252636</v>
      </c>
      <c r="S21" s="207">
        <f t="shared" si="8"/>
        <v>0</v>
      </c>
      <c r="U21" t="str">
        <f t="shared" si="9"/>
        <v>point 11,-122.216988702526</v>
      </c>
    </row>
    <row r="22" spans="5:21" ht="14.1" customHeight="1" x14ac:dyDescent="0.2">
      <c r="E22" s="303">
        <v>12</v>
      </c>
      <c r="F22" s="186">
        <v>823051.57640999998</v>
      </c>
      <c r="G22" s="186">
        <v>1091426.1031800001</v>
      </c>
      <c r="H22" s="186">
        <v>-122.1134699475538</v>
      </c>
      <c r="I22" t="str">
        <f t="shared" si="0"/>
        <v>point 823051.57641,1091426.10318</v>
      </c>
      <c r="J22" s="193"/>
      <c r="K22" s="186" t="str">
        <f t="shared" si="1"/>
        <v>PM_12</v>
      </c>
      <c r="L22" s="186">
        <f t="shared" si="2"/>
        <v>823051.57640999998</v>
      </c>
      <c r="M22" s="186">
        <f t="shared" si="3"/>
        <v>1091426.1031800001</v>
      </c>
      <c r="N22" s="186">
        <f t="shared" si="4"/>
        <v>-122.1134699475538</v>
      </c>
      <c r="P22" s="207" t="str">
        <f t="shared" si="5"/>
        <v>PM_12</v>
      </c>
      <c r="Q22" s="273">
        <f t="shared" si="6"/>
        <v>12</v>
      </c>
      <c r="R22" s="207">
        <f t="shared" si="7"/>
        <v>-122.1134699475538</v>
      </c>
      <c r="S22" s="207">
        <f t="shared" si="8"/>
        <v>0</v>
      </c>
      <c r="U22" t="str">
        <f t="shared" si="9"/>
        <v>point 12,-122.113469947554</v>
      </c>
    </row>
    <row r="23" spans="5:21" ht="14.1" customHeight="1" x14ac:dyDescent="0.2">
      <c r="E23" s="303">
        <v>13</v>
      </c>
      <c r="F23" s="186">
        <v>823050.67009999999</v>
      </c>
      <c r="G23" s="186">
        <v>1091425.68056</v>
      </c>
      <c r="H23" s="186">
        <v>-121.9737805113505</v>
      </c>
      <c r="I23" t="str">
        <f t="shared" si="0"/>
        <v>point 823050.6701,1091425.68056</v>
      </c>
      <c r="J23" s="193"/>
      <c r="K23" s="186" t="str">
        <f t="shared" si="1"/>
        <v>PM_13</v>
      </c>
      <c r="L23" s="186">
        <f t="shared" si="2"/>
        <v>823050.67009999999</v>
      </c>
      <c r="M23" s="186">
        <f t="shared" si="3"/>
        <v>1091425.68056</v>
      </c>
      <c r="N23" s="186">
        <f t="shared" si="4"/>
        <v>-121.9737805113505</v>
      </c>
      <c r="P23" s="207" t="str">
        <f t="shared" si="5"/>
        <v>PM_13</v>
      </c>
      <c r="Q23" s="273">
        <f t="shared" si="6"/>
        <v>13</v>
      </c>
      <c r="R23" s="207">
        <f t="shared" si="7"/>
        <v>-121.9737805113505</v>
      </c>
      <c r="S23" s="207">
        <f t="shared" si="8"/>
        <v>0</v>
      </c>
      <c r="U23" t="str">
        <f t="shared" si="9"/>
        <v>point 13,-121.97378051135</v>
      </c>
    </row>
    <row r="24" spans="5:21" ht="14.1" customHeight="1" x14ac:dyDescent="0.2">
      <c r="E24" s="303">
        <v>14</v>
      </c>
      <c r="F24" s="186">
        <v>823049.76379</v>
      </c>
      <c r="G24" s="186">
        <v>1091425.2579399999</v>
      </c>
      <c r="H24" s="186">
        <v>-121.83409107514719</v>
      </c>
      <c r="I24" t="str">
        <f t="shared" si="0"/>
        <v>point 823049.76379,1091425.25794</v>
      </c>
      <c r="J24" s="193"/>
      <c r="K24" s="186" t="str">
        <f t="shared" si="1"/>
        <v>PM_14</v>
      </c>
      <c r="L24" s="186">
        <f t="shared" si="2"/>
        <v>823049.76379</v>
      </c>
      <c r="M24" s="186">
        <f t="shared" si="3"/>
        <v>1091425.2579399999</v>
      </c>
      <c r="N24" s="186">
        <f t="shared" si="4"/>
        <v>-121.83409107514719</v>
      </c>
      <c r="P24" s="207" t="str">
        <f t="shared" si="5"/>
        <v>PM_14</v>
      </c>
      <c r="Q24" s="273">
        <f t="shared" si="6"/>
        <v>14</v>
      </c>
      <c r="R24" s="207">
        <f t="shared" si="7"/>
        <v>-121.83409107514719</v>
      </c>
      <c r="S24" s="207">
        <f t="shared" si="8"/>
        <v>0</v>
      </c>
      <c r="U24" t="str">
        <f t="shared" si="9"/>
        <v>point 14,-121.834091075147</v>
      </c>
    </row>
    <row r="25" spans="5:21" ht="14.1" customHeight="1" x14ac:dyDescent="0.2">
      <c r="E25" s="303">
        <v>15</v>
      </c>
      <c r="F25" s="186">
        <v>823048.85748999997</v>
      </c>
      <c r="G25" s="186">
        <v>1091424.8353200001</v>
      </c>
      <c r="H25" s="186">
        <v>-121.69440163894387</v>
      </c>
      <c r="I25" t="str">
        <f t="shared" si="0"/>
        <v>point 823048.85749,1091424.83532</v>
      </c>
      <c r="J25" s="193"/>
      <c r="K25" s="186" t="str">
        <f t="shared" si="1"/>
        <v>PM_15</v>
      </c>
      <c r="L25" s="186">
        <f t="shared" si="2"/>
        <v>823048.85748999997</v>
      </c>
      <c r="M25" s="186">
        <f t="shared" si="3"/>
        <v>1091424.8353200001</v>
      </c>
      <c r="N25" s="186">
        <f t="shared" si="4"/>
        <v>-121.69440163894387</v>
      </c>
      <c r="P25" s="207" t="str">
        <f t="shared" si="5"/>
        <v>PM_15</v>
      </c>
      <c r="Q25" s="273">
        <f t="shared" si="6"/>
        <v>15</v>
      </c>
      <c r="R25" s="207">
        <f t="shared" si="7"/>
        <v>-121.69440163894387</v>
      </c>
      <c r="S25" s="207">
        <f t="shared" si="8"/>
        <v>0</v>
      </c>
      <c r="U25" t="str">
        <f t="shared" si="9"/>
        <v>point 15,-121.694401638944</v>
      </c>
    </row>
    <row r="26" spans="5:21" ht="14.1" customHeight="1" x14ac:dyDescent="0.2">
      <c r="E26" s="303">
        <v>16</v>
      </c>
      <c r="F26" s="186">
        <v>823047.95117999997</v>
      </c>
      <c r="G26" s="186">
        <v>1091424.4127</v>
      </c>
      <c r="H26" s="186">
        <v>-121.55471220274057</v>
      </c>
      <c r="I26" t="str">
        <f t="shared" si="0"/>
        <v>point 823047.95118,1091424.4127</v>
      </c>
      <c r="J26" s="193"/>
      <c r="K26" s="186" t="str">
        <f t="shared" si="1"/>
        <v>PM_16</v>
      </c>
      <c r="L26" s="186">
        <f t="shared" si="2"/>
        <v>823047.95117999997</v>
      </c>
      <c r="M26" s="186">
        <f t="shared" si="3"/>
        <v>1091424.4127</v>
      </c>
      <c r="N26" s="186">
        <f t="shared" si="4"/>
        <v>-121.55471220274057</v>
      </c>
      <c r="P26" s="207" t="str">
        <f t="shared" si="5"/>
        <v>PM_16</v>
      </c>
      <c r="Q26" s="273">
        <f t="shared" si="6"/>
        <v>16</v>
      </c>
      <c r="R26" s="207">
        <f t="shared" si="7"/>
        <v>-121.55471220274057</v>
      </c>
      <c r="S26" s="207">
        <f t="shared" si="8"/>
        <v>0</v>
      </c>
      <c r="U26" t="str">
        <f t="shared" si="9"/>
        <v>point 16,-121.554712202741</v>
      </c>
    </row>
    <row r="27" spans="5:21" ht="14.1" customHeight="1" x14ac:dyDescent="0.2">
      <c r="E27" s="303">
        <v>17</v>
      </c>
      <c r="F27" s="186">
        <v>823047.04486999998</v>
      </c>
      <c r="G27" s="186">
        <v>1091423.9900799999</v>
      </c>
      <c r="H27" s="186">
        <v>-121.41502276653726</v>
      </c>
      <c r="I27" t="str">
        <f t="shared" si="0"/>
        <v>point 823047.04487,1091423.99008</v>
      </c>
      <c r="J27" s="193"/>
      <c r="K27" s="186" t="str">
        <f t="shared" si="1"/>
        <v>PM_17</v>
      </c>
      <c r="L27" s="186">
        <f t="shared" si="2"/>
        <v>823047.04486999998</v>
      </c>
      <c r="M27" s="186">
        <f t="shared" si="3"/>
        <v>1091423.9900799999</v>
      </c>
      <c r="N27" s="186">
        <f t="shared" si="4"/>
        <v>-121.41502276653726</v>
      </c>
      <c r="P27" s="207" t="str">
        <f t="shared" si="5"/>
        <v>PM_17</v>
      </c>
      <c r="Q27" s="273">
        <f t="shared" si="6"/>
        <v>17</v>
      </c>
      <c r="R27" s="207">
        <f t="shared" si="7"/>
        <v>-121.41502276653726</v>
      </c>
      <c r="S27" s="207">
        <f t="shared" si="8"/>
        <v>0</v>
      </c>
      <c r="U27" t="str">
        <f t="shared" si="9"/>
        <v>point 17,-121.415022766537</v>
      </c>
    </row>
    <row r="28" spans="5:21" ht="14.1" customHeight="1" x14ac:dyDescent="0.2">
      <c r="E28" s="303">
        <v>18</v>
      </c>
      <c r="F28" s="186">
        <v>823046.13855999999</v>
      </c>
      <c r="G28" s="186">
        <v>1091423.5674699999</v>
      </c>
      <c r="H28" s="186">
        <v>-121.27533333033396</v>
      </c>
      <c r="I28" t="str">
        <f t="shared" si="0"/>
        <v>point 823046.13856,1091423.56747</v>
      </c>
      <c r="J28" s="193"/>
      <c r="K28" s="186" t="str">
        <f t="shared" si="1"/>
        <v>PM_18</v>
      </c>
      <c r="L28" s="186">
        <f t="shared" si="2"/>
        <v>823046.13855999999</v>
      </c>
      <c r="M28" s="186">
        <f t="shared" si="3"/>
        <v>1091423.5674699999</v>
      </c>
      <c r="N28" s="186">
        <f t="shared" si="4"/>
        <v>-121.27533333033396</v>
      </c>
      <c r="P28" s="207" t="str">
        <f t="shared" si="5"/>
        <v>PM_18</v>
      </c>
      <c r="Q28" s="273">
        <f t="shared" si="6"/>
        <v>18</v>
      </c>
      <c r="R28" s="207">
        <f t="shared" si="7"/>
        <v>-121.27533333033396</v>
      </c>
      <c r="S28" s="207">
        <f t="shared" si="8"/>
        <v>0</v>
      </c>
      <c r="U28" t="str">
        <f t="shared" si="9"/>
        <v>point 18,-121.275333330334</v>
      </c>
    </row>
    <row r="29" spans="5:21" ht="14.1" customHeight="1" x14ac:dyDescent="0.2">
      <c r="E29" s="303">
        <v>19</v>
      </c>
      <c r="F29" s="186">
        <v>823045.23225</v>
      </c>
      <c r="G29" s="186">
        <v>1091423.14485</v>
      </c>
      <c r="H29" s="186">
        <v>-121.13564389413065</v>
      </c>
      <c r="I29" t="str">
        <f t="shared" si="0"/>
        <v>point 823045.23225,1091423.14485</v>
      </c>
      <c r="J29" s="193"/>
      <c r="K29" s="186" t="str">
        <f t="shared" si="1"/>
        <v>PM_19</v>
      </c>
      <c r="L29" s="186">
        <f t="shared" si="2"/>
        <v>823045.23225</v>
      </c>
      <c r="M29" s="186">
        <f t="shared" si="3"/>
        <v>1091423.14485</v>
      </c>
      <c r="N29" s="186">
        <f t="shared" si="4"/>
        <v>-121.13564389413065</v>
      </c>
      <c r="P29" s="207" t="str">
        <f t="shared" si="5"/>
        <v>PM_19</v>
      </c>
      <c r="Q29" s="273">
        <f t="shared" si="6"/>
        <v>19</v>
      </c>
      <c r="R29" s="207">
        <f t="shared" si="7"/>
        <v>-121.13564389413065</v>
      </c>
      <c r="S29" s="207">
        <f t="shared" si="8"/>
        <v>0</v>
      </c>
      <c r="U29" t="str">
        <f t="shared" si="9"/>
        <v>point 19,-121.135643894131</v>
      </c>
    </row>
    <row r="30" spans="5:21" ht="14.1" customHeight="1" x14ac:dyDescent="0.2">
      <c r="E30" s="303">
        <v>20</v>
      </c>
      <c r="F30" s="186">
        <v>823044.32594999997</v>
      </c>
      <c r="G30" s="186">
        <v>1091422.72223</v>
      </c>
      <c r="H30" s="186">
        <v>-121.11808055038034</v>
      </c>
      <c r="I30" t="str">
        <f t="shared" si="0"/>
        <v>point 823044.32595,1091422.72223</v>
      </c>
      <c r="J30" s="193"/>
      <c r="K30" s="186" t="str">
        <f t="shared" si="1"/>
        <v>PM_20</v>
      </c>
      <c r="L30" s="186">
        <f t="shared" si="2"/>
        <v>823044.32594999997</v>
      </c>
      <c r="M30" s="186">
        <f t="shared" si="3"/>
        <v>1091422.72223</v>
      </c>
      <c r="N30" s="186">
        <f t="shared" si="4"/>
        <v>-121.11808055038034</v>
      </c>
      <c r="P30" s="207" t="str">
        <f t="shared" si="5"/>
        <v>PM_20</v>
      </c>
      <c r="Q30" s="273">
        <f t="shared" si="6"/>
        <v>20</v>
      </c>
      <c r="R30" s="207">
        <f t="shared" si="7"/>
        <v>-121.11808055038034</v>
      </c>
      <c r="S30" s="207">
        <f t="shared" si="8"/>
        <v>0</v>
      </c>
      <c r="U30" t="str">
        <f t="shared" si="9"/>
        <v>point 20,-121.11808055038</v>
      </c>
    </row>
    <row r="31" spans="5:21" ht="14.1" customHeight="1" x14ac:dyDescent="0.2">
      <c r="E31" s="303">
        <v>21</v>
      </c>
      <c r="F31" s="186">
        <v>823043.41963999998</v>
      </c>
      <c r="G31" s="186">
        <v>1091422.2996100001</v>
      </c>
      <c r="H31" s="186">
        <v>-121.10807794910643</v>
      </c>
      <c r="I31" t="str">
        <f t="shared" si="0"/>
        <v>point 823043.41964,1091422.29961</v>
      </c>
      <c r="J31" s="193"/>
      <c r="K31" s="186" t="str">
        <f t="shared" si="1"/>
        <v>PM_21</v>
      </c>
      <c r="L31" s="186">
        <f t="shared" si="2"/>
        <v>823043.41963999998</v>
      </c>
      <c r="M31" s="186">
        <f t="shared" si="3"/>
        <v>1091422.2996100001</v>
      </c>
      <c r="N31" s="186">
        <f t="shared" si="4"/>
        <v>-121.10807794910643</v>
      </c>
      <c r="P31" s="207" t="str">
        <f t="shared" si="5"/>
        <v>PM_21</v>
      </c>
      <c r="Q31" s="273">
        <f t="shared" si="6"/>
        <v>21</v>
      </c>
      <c r="R31" s="207">
        <f t="shared" si="7"/>
        <v>-121.10807794910643</v>
      </c>
      <c r="S31" s="207">
        <f t="shared" si="8"/>
        <v>0</v>
      </c>
      <c r="U31" t="str">
        <f t="shared" si="9"/>
        <v>point 21,-121.108077949106</v>
      </c>
    </row>
    <row r="32" spans="5:21" ht="14.1" customHeight="1" x14ac:dyDescent="0.2">
      <c r="E32" s="303">
        <v>22</v>
      </c>
      <c r="F32" s="186">
        <v>823042.51332999999</v>
      </c>
      <c r="G32" s="186">
        <v>1091421.87699</v>
      </c>
      <c r="H32" s="186">
        <v>-121.09807534783251</v>
      </c>
      <c r="I32" t="str">
        <f t="shared" si="0"/>
        <v>point 823042.51333,1091421.87699</v>
      </c>
      <c r="J32" s="193"/>
      <c r="K32" s="186" t="str">
        <f t="shared" si="1"/>
        <v>PM_22</v>
      </c>
      <c r="L32" s="186">
        <f t="shared" si="2"/>
        <v>823042.51332999999</v>
      </c>
      <c r="M32" s="186">
        <f t="shared" si="3"/>
        <v>1091421.87699</v>
      </c>
      <c r="N32" s="186">
        <f t="shared" si="4"/>
        <v>-121.09807534783251</v>
      </c>
      <c r="P32" s="207" t="str">
        <f t="shared" si="5"/>
        <v>PM_22</v>
      </c>
      <c r="Q32" s="273">
        <f t="shared" si="6"/>
        <v>22</v>
      </c>
      <c r="R32" s="207">
        <f t="shared" si="7"/>
        <v>-121.09807534783251</v>
      </c>
      <c r="S32" s="207">
        <f t="shared" si="8"/>
        <v>0</v>
      </c>
      <c r="U32" t="str">
        <f t="shared" si="9"/>
        <v>point 22,-121.098075347833</v>
      </c>
    </row>
    <row r="33" spans="5:21" ht="14.1" customHeight="1" x14ac:dyDescent="0.2">
      <c r="E33" s="303">
        <v>23</v>
      </c>
      <c r="F33" s="186">
        <v>823041.60702</v>
      </c>
      <c r="G33" s="186">
        <v>1091421.4543699999</v>
      </c>
      <c r="H33" s="186">
        <v>-121.08807274655858</v>
      </c>
      <c r="I33" t="str">
        <f t="shared" si="0"/>
        <v>point 823041.60702,1091421.45437</v>
      </c>
      <c r="J33" s="193"/>
      <c r="K33" s="186" t="str">
        <f t="shared" si="1"/>
        <v>PM_23</v>
      </c>
      <c r="L33" s="186">
        <f t="shared" si="2"/>
        <v>823041.60702</v>
      </c>
      <c r="M33" s="186">
        <f t="shared" si="3"/>
        <v>1091421.4543699999</v>
      </c>
      <c r="N33" s="186">
        <f t="shared" si="4"/>
        <v>-121.08807274655858</v>
      </c>
      <c r="P33" s="207" t="str">
        <f t="shared" si="5"/>
        <v>PM_23</v>
      </c>
      <c r="Q33" s="273">
        <f t="shared" si="6"/>
        <v>23</v>
      </c>
      <c r="R33" s="207">
        <f t="shared" si="7"/>
        <v>-121.08807274655858</v>
      </c>
      <c r="S33" s="207">
        <f t="shared" si="8"/>
        <v>0</v>
      </c>
      <c r="U33" t="str">
        <f t="shared" si="9"/>
        <v>point 23,-121.088072746559</v>
      </c>
    </row>
    <row r="34" spans="5:21" ht="14.1" customHeight="1" x14ac:dyDescent="0.2">
      <c r="E34" s="303">
        <v>24</v>
      </c>
      <c r="F34" s="186">
        <v>823040.70071999996</v>
      </c>
      <c r="G34" s="186">
        <v>1091421.0317500001</v>
      </c>
      <c r="H34" s="186">
        <v>-121.07807014528466</v>
      </c>
      <c r="I34" t="str">
        <f t="shared" si="0"/>
        <v>point 823040.70072,1091421.03175</v>
      </c>
      <c r="J34" s="193"/>
      <c r="K34" s="186" t="str">
        <f t="shared" si="1"/>
        <v>PM_24</v>
      </c>
      <c r="L34" s="186">
        <f t="shared" si="2"/>
        <v>823040.70071999996</v>
      </c>
      <c r="M34" s="186">
        <f t="shared" si="3"/>
        <v>1091421.0317500001</v>
      </c>
      <c r="N34" s="186">
        <f t="shared" si="4"/>
        <v>-121.07807014528466</v>
      </c>
      <c r="P34" s="207" t="str">
        <f t="shared" si="5"/>
        <v>PM_24</v>
      </c>
      <c r="Q34" s="273">
        <f t="shared" si="6"/>
        <v>24</v>
      </c>
      <c r="R34" s="207">
        <f t="shared" si="7"/>
        <v>-121.07807014528466</v>
      </c>
      <c r="S34" s="207">
        <f t="shared" si="8"/>
        <v>0</v>
      </c>
      <c r="U34" t="str">
        <f t="shared" si="9"/>
        <v>point 24,-121.078070145285</v>
      </c>
    </row>
    <row r="35" spans="5:21" ht="14.1" customHeight="1" x14ac:dyDescent="0.2">
      <c r="E35" s="303">
        <v>25</v>
      </c>
      <c r="F35" s="186">
        <v>823039.79440999997</v>
      </c>
      <c r="G35" s="186">
        <v>1091420.6091400001</v>
      </c>
      <c r="H35" s="186">
        <v>-121.06806754401074</v>
      </c>
      <c r="I35" t="str">
        <f t="shared" si="0"/>
        <v>point 823039.79441,1091420.60914</v>
      </c>
      <c r="J35" s="193"/>
      <c r="K35" s="186" t="str">
        <f t="shared" si="1"/>
        <v>PM_25</v>
      </c>
      <c r="L35" s="186">
        <f t="shared" si="2"/>
        <v>823039.79440999997</v>
      </c>
      <c r="M35" s="186">
        <f t="shared" si="3"/>
        <v>1091420.6091400001</v>
      </c>
      <c r="N35" s="186">
        <f t="shared" si="4"/>
        <v>-121.06806754401074</v>
      </c>
      <c r="P35" s="207" t="str">
        <f t="shared" si="5"/>
        <v>PM_25</v>
      </c>
      <c r="Q35" s="273">
        <f t="shared" si="6"/>
        <v>25</v>
      </c>
      <c r="R35" s="207">
        <f t="shared" si="7"/>
        <v>-121.06806754401074</v>
      </c>
      <c r="S35" s="207">
        <f t="shared" si="8"/>
        <v>0</v>
      </c>
      <c r="U35" t="str">
        <f t="shared" si="9"/>
        <v>point 25,-121.068067544011</v>
      </c>
    </row>
    <row r="36" spans="5:21" ht="14.1" customHeight="1" x14ac:dyDescent="0.2">
      <c r="E36" s="303">
        <v>26</v>
      </c>
      <c r="F36" s="186">
        <v>823038.88809999998</v>
      </c>
      <c r="G36" s="186">
        <v>1091420.18652</v>
      </c>
      <c r="H36" s="186">
        <v>-121.05806494273682</v>
      </c>
      <c r="I36" t="str">
        <f t="shared" si="0"/>
        <v>point 823038.8881,1091420.18652</v>
      </c>
      <c r="J36" s="193"/>
      <c r="K36" s="186" t="str">
        <f t="shared" si="1"/>
        <v>PM_26</v>
      </c>
      <c r="L36" s="186">
        <f t="shared" si="2"/>
        <v>823038.88809999998</v>
      </c>
      <c r="M36" s="186">
        <f t="shared" si="3"/>
        <v>1091420.18652</v>
      </c>
      <c r="N36" s="186">
        <f t="shared" si="4"/>
        <v>-121.05806494273682</v>
      </c>
      <c r="P36" s="207" t="str">
        <f t="shared" si="5"/>
        <v>PM_26</v>
      </c>
      <c r="Q36" s="273">
        <f t="shared" si="6"/>
        <v>26</v>
      </c>
      <c r="R36" s="207">
        <f t="shared" si="7"/>
        <v>-121.05806494273682</v>
      </c>
      <c r="S36" s="207">
        <f t="shared" si="8"/>
        <v>0</v>
      </c>
      <c r="U36" t="str">
        <f t="shared" si="9"/>
        <v>point 26,-121.058064942737</v>
      </c>
    </row>
    <row r="37" spans="5:21" ht="14.1" customHeight="1" x14ac:dyDescent="0.2">
      <c r="E37" s="303">
        <v>27</v>
      </c>
      <c r="F37" s="186">
        <v>823037.98178999999</v>
      </c>
      <c r="G37" s="186">
        <v>1091419.7638999999</v>
      </c>
      <c r="H37" s="186">
        <v>-121.0480623414629</v>
      </c>
      <c r="I37" t="str">
        <f t="shared" si="0"/>
        <v>point 823037.98179,1091419.7639</v>
      </c>
      <c r="J37" s="193"/>
      <c r="K37" s="186" t="str">
        <f t="shared" si="1"/>
        <v>PM_27</v>
      </c>
      <c r="L37" s="186">
        <f t="shared" si="2"/>
        <v>823037.98178999999</v>
      </c>
      <c r="M37" s="186">
        <f t="shared" si="3"/>
        <v>1091419.7638999999</v>
      </c>
      <c r="N37" s="186">
        <f t="shared" si="4"/>
        <v>-121.0480623414629</v>
      </c>
      <c r="P37" s="207" t="str">
        <f t="shared" si="5"/>
        <v>PM_27</v>
      </c>
      <c r="Q37" s="273">
        <f t="shared" si="6"/>
        <v>27</v>
      </c>
      <c r="R37" s="207">
        <f t="shared" si="7"/>
        <v>-121.0480623414629</v>
      </c>
      <c r="S37" s="207">
        <f t="shared" si="8"/>
        <v>0</v>
      </c>
      <c r="U37" t="str">
        <f t="shared" si="9"/>
        <v>point 27,-121.048062341463</v>
      </c>
    </row>
    <row r="38" spans="5:21" ht="14.1" customHeight="1" x14ac:dyDescent="0.2">
      <c r="E38" s="303">
        <v>28</v>
      </c>
      <c r="F38" s="186">
        <v>823037.07548999996</v>
      </c>
      <c r="G38" s="186">
        <v>1091419.3412800001</v>
      </c>
      <c r="H38" s="186">
        <v>-121.03805974018898</v>
      </c>
      <c r="I38" t="str">
        <f t="shared" si="0"/>
        <v>point 823037.07549,1091419.34128</v>
      </c>
      <c r="J38" s="193"/>
      <c r="K38" s="186" t="str">
        <f t="shared" si="1"/>
        <v>PM_28</v>
      </c>
      <c r="L38" s="186">
        <f t="shared" si="2"/>
        <v>823037.07548999996</v>
      </c>
      <c r="M38" s="186">
        <f t="shared" si="3"/>
        <v>1091419.3412800001</v>
      </c>
      <c r="N38" s="186">
        <f t="shared" si="4"/>
        <v>-121.03805974018898</v>
      </c>
      <c r="P38" s="207" t="str">
        <f t="shared" si="5"/>
        <v>PM_28</v>
      </c>
      <c r="Q38" s="273">
        <f t="shared" si="6"/>
        <v>28</v>
      </c>
      <c r="R38" s="207">
        <f t="shared" si="7"/>
        <v>-121.03805974018898</v>
      </c>
      <c r="S38" s="207">
        <f t="shared" si="8"/>
        <v>0</v>
      </c>
      <c r="U38" t="str">
        <f t="shared" si="9"/>
        <v>point 28,-121.038059740189</v>
      </c>
    </row>
    <row r="39" spans="5:21" ht="14.1" customHeight="1" x14ac:dyDescent="0.2">
      <c r="E39" s="303">
        <v>29</v>
      </c>
      <c r="F39" s="186">
        <v>823036.16917999997</v>
      </c>
      <c r="G39" s="186">
        <v>1091418.91866</v>
      </c>
      <c r="H39" s="186">
        <v>-121.02805713891506</v>
      </c>
      <c r="I39" t="str">
        <f t="shared" si="0"/>
        <v>point 823036.16918,1091418.91866</v>
      </c>
      <c r="J39" s="193"/>
      <c r="K39" s="186" t="str">
        <f t="shared" si="1"/>
        <v>PM_29</v>
      </c>
      <c r="L39" s="186">
        <f t="shared" si="2"/>
        <v>823036.16917999997</v>
      </c>
      <c r="M39" s="186">
        <f t="shared" si="3"/>
        <v>1091418.91866</v>
      </c>
      <c r="N39" s="186">
        <f t="shared" si="4"/>
        <v>-121.02805713891506</v>
      </c>
      <c r="P39" s="207" t="str">
        <f t="shared" si="5"/>
        <v>PM_29</v>
      </c>
      <c r="Q39" s="273">
        <f t="shared" si="6"/>
        <v>29</v>
      </c>
      <c r="R39" s="207">
        <f t="shared" si="7"/>
        <v>-121.02805713891506</v>
      </c>
      <c r="S39" s="207">
        <f t="shared" si="8"/>
        <v>0</v>
      </c>
      <c r="U39" t="str">
        <f t="shared" si="9"/>
        <v>point 29,-121.028057138915</v>
      </c>
    </row>
    <row r="40" spans="5:21" ht="14.1" customHeight="1" x14ac:dyDescent="0.2">
      <c r="E40" s="303">
        <v>30</v>
      </c>
      <c r="F40" s="186">
        <v>823035.26286999998</v>
      </c>
      <c r="G40" s="186">
        <v>1091418.4960400001</v>
      </c>
      <c r="H40" s="186">
        <v>-121.01805453764113</v>
      </c>
      <c r="I40" t="str">
        <f t="shared" si="0"/>
        <v>point 823035.26287,1091418.49604</v>
      </c>
      <c r="J40" s="193"/>
      <c r="K40" s="186" t="str">
        <f t="shared" si="1"/>
        <v>PM_30</v>
      </c>
      <c r="L40" s="186">
        <f t="shared" si="2"/>
        <v>823035.26286999998</v>
      </c>
      <c r="M40" s="186">
        <f t="shared" si="3"/>
        <v>1091418.4960400001</v>
      </c>
      <c r="N40" s="186">
        <f t="shared" si="4"/>
        <v>-121.01805453764113</v>
      </c>
      <c r="P40" s="207" t="str">
        <f t="shared" si="5"/>
        <v>PM_30</v>
      </c>
      <c r="Q40" s="273">
        <f t="shared" si="6"/>
        <v>30</v>
      </c>
      <c r="R40" s="207">
        <f t="shared" si="7"/>
        <v>-121.01805453764113</v>
      </c>
      <c r="S40" s="207">
        <f t="shared" si="8"/>
        <v>0</v>
      </c>
      <c r="U40" t="str">
        <f t="shared" si="9"/>
        <v>point 30,-121.018054537641</v>
      </c>
    </row>
    <row r="41" spans="5:21" ht="14.1" customHeight="1" x14ac:dyDescent="0.2">
      <c r="E41" s="303">
        <v>31</v>
      </c>
      <c r="F41" s="186">
        <v>823034.35655999999</v>
      </c>
      <c r="G41" s="186">
        <v>1091418.07342</v>
      </c>
      <c r="H41" s="186">
        <v>-121.00805193636721</v>
      </c>
      <c r="I41" t="str">
        <f t="shared" si="0"/>
        <v>point 823034.35656,1091418.07342</v>
      </c>
      <c r="J41" s="193"/>
      <c r="K41" s="186" t="str">
        <f t="shared" si="1"/>
        <v>PM_31</v>
      </c>
      <c r="L41" s="186">
        <f t="shared" si="2"/>
        <v>823034.35655999999</v>
      </c>
      <c r="M41" s="186">
        <f t="shared" si="3"/>
        <v>1091418.07342</v>
      </c>
      <c r="N41" s="186">
        <f t="shared" si="4"/>
        <v>-121.00805193636721</v>
      </c>
      <c r="P41" s="207" t="str">
        <f t="shared" si="5"/>
        <v>PM_31</v>
      </c>
      <c r="Q41" s="273">
        <f t="shared" si="6"/>
        <v>31</v>
      </c>
      <c r="R41" s="207">
        <f t="shared" si="7"/>
        <v>-121.00805193636721</v>
      </c>
      <c r="S41" s="207">
        <f t="shared" si="8"/>
        <v>0</v>
      </c>
      <c r="U41" t="str">
        <f t="shared" si="9"/>
        <v>point 31,-121.008051936367</v>
      </c>
    </row>
    <row r="42" spans="5:21" ht="14.1" customHeight="1" x14ac:dyDescent="0.2">
      <c r="E42" s="303">
        <v>32</v>
      </c>
      <c r="F42" s="186">
        <v>823033.45025999995</v>
      </c>
      <c r="G42" s="186">
        <v>1091417.65081</v>
      </c>
      <c r="H42" s="186">
        <v>-120.9980493350933</v>
      </c>
      <c r="I42" t="str">
        <f t="shared" si="0"/>
        <v>point 823033.45026,1091417.65081</v>
      </c>
      <c r="J42" s="193"/>
      <c r="K42" s="186" t="str">
        <f t="shared" si="1"/>
        <v>PM_32</v>
      </c>
      <c r="L42" s="186">
        <f t="shared" si="2"/>
        <v>823033.45025999995</v>
      </c>
      <c r="M42" s="186">
        <f t="shared" si="3"/>
        <v>1091417.65081</v>
      </c>
      <c r="N42" s="186">
        <f t="shared" si="4"/>
        <v>-120.9980493350933</v>
      </c>
      <c r="P42" s="207" t="str">
        <f t="shared" si="5"/>
        <v>PM_32</v>
      </c>
      <c r="Q42" s="273">
        <f t="shared" si="6"/>
        <v>32</v>
      </c>
      <c r="R42" s="207">
        <f t="shared" si="7"/>
        <v>-120.9980493350933</v>
      </c>
      <c r="S42" s="207">
        <f t="shared" si="8"/>
        <v>0</v>
      </c>
      <c r="U42" t="str">
        <f t="shared" si="9"/>
        <v>point 32,-120.998049335093</v>
      </c>
    </row>
    <row r="43" spans="5:21" ht="14.1" customHeight="1" x14ac:dyDescent="0.2">
      <c r="E43" s="303">
        <v>33</v>
      </c>
      <c r="F43" s="186">
        <v>823032.54394999996</v>
      </c>
      <c r="G43" s="186">
        <v>1091417.2281899999</v>
      </c>
      <c r="H43" s="186">
        <v>-120.98804673381937</v>
      </c>
      <c r="I43" t="str">
        <f t="shared" si="0"/>
        <v>point 823032.54395,1091417.22819</v>
      </c>
      <c r="J43" s="193"/>
      <c r="K43" s="186" t="str">
        <f t="shared" si="1"/>
        <v>PM_33</v>
      </c>
      <c r="L43" s="186">
        <f t="shared" si="2"/>
        <v>823032.54394999996</v>
      </c>
      <c r="M43" s="186">
        <f t="shared" si="3"/>
        <v>1091417.2281899999</v>
      </c>
      <c r="N43" s="186">
        <f t="shared" si="4"/>
        <v>-120.98804673381937</v>
      </c>
      <c r="P43" s="207" t="str">
        <f t="shared" si="5"/>
        <v>PM_33</v>
      </c>
      <c r="Q43" s="273">
        <f t="shared" si="6"/>
        <v>33</v>
      </c>
      <c r="R43" s="207">
        <f t="shared" si="7"/>
        <v>-120.98804673381937</v>
      </c>
      <c r="S43" s="207">
        <f t="shared" si="8"/>
        <v>0</v>
      </c>
      <c r="U43" t="str">
        <f t="shared" si="9"/>
        <v>point 33,-120.988046733819</v>
      </c>
    </row>
    <row r="44" spans="5:21" ht="14.1" customHeight="1" x14ac:dyDescent="0.2">
      <c r="E44" s="303">
        <v>34</v>
      </c>
      <c r="F44" s="186">
        <v>823031.63763999997</v>
      </c>
      <c r="G44" s="186">
        <v>1091416.8055700001</v>
      </c>
      <c r="H44" s="186">
        <v>-120.97804413254545</v>
      </c>
      <c r="I44" t="str">
        <f t="shared" si="0"/>
        <v>point 823031.63764,1091416.80557</v>
      </c>
      <c r="J44" s="193"/>
      <c r="K44" s="186" t="str">
        <f t="shared" si="1"/>
        <v>PM_34</v>
      </c>
      <c r="L44" s="186">
        <f t="shared" si="2"/>
        <v>823031.63763999997</v>
      </c>
      <c r="M44" s="186">
        <f t="shared" si="3"/>
        <v>1091416.8055700001</v>
      </c>
      <c r="N44" s="186">
        <f t="shared" si="4"/>
        <v>-120.97804413254545</v>
      </c>
      <c r="P44" s="207" t="str">
        <f t="shared" si="5"/>
        <v>PM_34</v>
      </c>
      <c r="Q44" s="273">
        <f t="shared" si="6"/>
        <v>34</v>
      </c>
      <c r="R44" s="207">
        <f t="shared" si="7"/>
        <v>-120.97804413254545</v>
      </c>
      <c r="S44" s="207">
        <f t="shared" si="8"/>
        <v>0</v>
      </c>
      <c r="U44" t="str">
        <f t="shared" si="9"/>
        <v>point 34,-120.978044132545</v>
      </c>
    </row>
    <row r="45" spans="5:21" ht="14.1" customHeight="1" x14ac:dyDescent="0.2">
      <c r="E45" s="303">
        <v>35</v>
      </c>
      <c r="F45" s="186">
        <v>823030.73132999998</v>
      </c>
      <c r="G45" s="186">
        <v>1091416.38295</v>
      </c>
      <c r="H45" s="186">
        <v>-120.96804153127152</v>
      </c>
      <c r="I45" t="str">
        <f t="shared" si="0"/>
        <v>point 823030.73133,1091416.38295</v>
      </c>
      <c r="J45" s="193"/>
      <c r="K45" s="186" t="str">
        <f t="shared" si="1"/>
        <v>PM_35</v>
      </c>
      <c r="L45" s="186">
        <f t="shared" si="2"/>
        <v>823030.73132999998</v>
      </c>
      <c r="M45" s="186">
        <f t="shared" si="3"/>
        <v>1091416.38295</v>
      </c>
      <c r="N45" s="186">
        <f t="shared" si="4"/>
        <v>-120.96804153127152</v>
      </c>
      <c r="P45" s="207" t="str">
        <f t="shared" si="5"/>
        <v>PM_35</v>
      </c>
      <c r="Q45" s="273">
        <f t="shared" si="6"/>
        <v>35</v>
      </c>
      <c r="R45" s="207">
        <f t="shared" si="7"/>
        <v>-120.96804153127152</v>
      </c>
      <c r="S45" s="207">
        <f t="shared" si="8"/>
        <v>0</v>
      </c>
      <c r="U45" t="str">
        <f t="shared" si="9"/>
        <v>point 35,-120.968041531272</v>
      </c>
    </row>
    <row r="46" spans="5:21" ht="14.1" customHeight="1" x14ac:dyDescent="0.2">
      <c r="E46" s="303">
        <v>36</v>
      </c>
      <c r="F46" s="186">
        <v>823029.82501999999</v>
      </c>
      <c r="G46" s="186">
        <v>1091415.9603299999</v>
      </c>
      <c r="H46" s="186">
        <v>-120.95803892999761</v>
      </c>
      <c r="I46" t="str">
        <f t="shared" si="0"/>
        <v>point 823029.82502,1091415.96033</v>
      </c>
      <c r="J46" s="193"/>
      <c r="K46" s="186" t="str">
        <f t="shared" si="1"/>
        <v>PM_36</v>
      </c>
      <c r="L46" s="186">
        <f t="shared" si="2"/>
        <v>823029.82501999999</v>
      </c>
      <c r="M46" s="186">
        <f t="shared" si="3"/>
        <v>1091415.9603299999</v>
      </c>
      <c r="N46" s="186">
        <f t="shared" si="4"/>
        <v>-120.95803892999761</v>
      </c>
      <c r="P46" s="207" t="str">
        <f t="shared" si="5"/>
        <v>PM_36</v>
      </c>
      <c r="Q46" s="273">
        <f t="shared" si="6"/>
        <v>36</v>
      </c>
      <c r="R46" s="207">
        <f t="shared" si="7"/>
        <v>-120.95803892999761</v>
      </c>
      <c r="S46" s="207">
        <f t="shared" si="8"/>
        <v>0</v>
      </c>
      <c r="U46" t="str">
        <f t="shared" si="9"/>
        <v>point 36,-120.958038929998</v>
      </c>
    </row>
    <row r="47" spans="5:21" ht="14.1" customHeight="1" x14ac:dyDescent="0.2">
      <c r="E47" s="303">
        <v>37</v>
      </c>
      <c r="F47" s="186">
        <v>823028.91871999996</v>
      </c>
      <c r="G47" s="186">
        <v>1091415.5377100001</v>
      </c>
      <c r="H47" s="186">
        <v>-120.94803632872369</v>
      </c>
      <c r="I47" t="str">
        <f t="shared" si="0"/>
        <v>point 823028.91872,1091415.53771</v>
      </c>
      <c r="J47" s="193"/>
      <c r="K47" s="186" t="str">
        <f t="shared" si="1"/>
        <v>PM_37</v>
      </c>
      <c r="L47" s="186">
        <f t="shared" si="2"/>
        <v>823028.91871999996</v>
      </c>
      <c r="M47" s="186">
        <f t="shared" si="3"/>
        <v>1091415.5377100001</v>
      </c>
      <c r="N47" s="186">
        <f t="shared" si="4"/>
        <v>-120.94803632872369</v>
      </c>
      <c r="P47" s="207" t="str">
        <f t="shared" si="5"/>
        <v>PM_37</v>
      </c>
      <c r="Q47" s="273">
        <f t="shared" si="6"/>
        <v>37</v>
      </c>
      <c r="R47" s="207">
        <f t="shared" si="7"/>
        <v>-120.94803632872369</v>
      </c>
      <c r="S47" s="207">
        <f t="shared" si="8"/>
        <v>0</v>
      </c>
      <c r="U47" t="str">
        <f t="shared" si="9"/>
        <v>point 37,-120.948036328724</v>
      </c>
    </row>
    <row r="48" spans="5:21" ht="14.1" customHeight="1" x14ac:dyDescent="0.2">
      <c r="E48" s="303">
        <v>38</v>
      </c>
      <c r="F48" s="186">
        <v>823028.01240999997</v>
      </c>
      <c r="G48" s="186">
        <v>1091415.11509</v>
      </c>
      <c r="H48" s="186">
        <v>-120.93803372744976</v>
      </c>
      <c r="I48" t="str">
        <f t="shared" si="0"/>
        <v>point 823028.01241,1091415.11509</v>
      </c>
      <c r="J48" s="193"/>
      <c r="K48" s="186" t="str">
        <f t="shared" si="1"/>
        <v>PM_38</v>
      </c>
      <c r="L48" s="186">
        <f t="shared" si="2"/>
        <v>823028.01240999997</v>
      </c>
      <c r="M48" s="186">
        <f t="shared" si="3"/>
        <v>1091415.11509</v>
      </c>
      <c r="N48" s="186">
        <f t="shared" si="4"/>
        <v>-120.93803372744976</v>
      </c>
      <c r="P48" s="207" t="str">
        <f t="shared" si="5"/>
        <v>PM_38</v>
      </c>
      <c r="Q48" s="273">
        <f t="shared" si="6"/>
        <v>38</v>
      </c>
      <c r="R48" s="207">
        <f t="shared" si="7"/>
        <v>-120.93803372744976</v>
      </c>
      <c r="S48" s="207">
        <f t="shared" si="8"/>
        <v>0</v>
      </c>
      <c r="U48" t="str">
        <f t="shared" si="9"/>
        <v>point 38,-120.93803372745</v>
      </c>
    </row>
    <row r="49" spans="5:21" ht="14.1" customHeight="1" x14ac:dyDescent="0.2">
      <c r="E49" s="303">
        <v>39</v>
      </c>
      <c r="F49" s="186">
        <v>823027.10609999998</v>
      </c>
      <c r="G49" s="186">
        <v>1091414.69248</v>
      </c>
      <c r="H49" s="186">
        <v>-120.92803112617585</v>
      </c>
      <c r="I49" t="str">
        <f t="shared" si="0"/>
        <v>point 823027.1061,1091414.69248</v>
      </c>
      <c r="J49" s="193"/>
      <c r="K49" s="186" t="str">
        <f t="shared" si="1"/>
        <v>PM_39</v>
      </c>
      <c r="L49" s="186">
        <f t="shared" si="2"/>
        <v>823027.10609999998</v>
      </c>
      <c r="M49" s="186">
        <f t="shared" si="3"/>
        <v>1091414.69248</v>
      </c>
      <c r="N49" s="186">
        <f t="shared" si="4"/>
        <v>-120.92803112617585</v>
      </c>
      <c r="P49" s="207" t="str">
        <f t="shared" si="5"/>
        <v>PM_39</v>
      </c>
      <c r="Q49" s="273">
        <f t="shared" si="6"/>
        <v>39</v>
      </c>
      <c r="R49" s="207">
        <f t="shared" si="7"/>
        <v>-120.92803112617585</v>
      </c>
      <c r="S49" s="207">
        <f t="shared" si="8"/>
        <v>0</v>
      </c>
      <c r="U49" t="str">
        <f t="shared" si="9"/>
        <v>point 39,-120.928031126176</v>
      </c>
    </row>
    <row r="50" spans="5:21" ht="14.1" customHeight="1" x14ac:dyDescent="0.2">
      <c r="E50" s="303">
        <v>40</v>
      </c>
      <c r="F50" s="186">
        <v>823026.19978999998</v>
      </c>
      <c r="G50" s="186">
        <v>1091414.2698599999</v>
      </c>
      <c r="H50" s="186">
        <v>-120.91802852490193</v>
      </c>
      <c r="I50" t="str">
        <f t="shared" si="0"/>
        <v>point 823026.19979,1091414.26986</v>
      </c>
      <c r="J50" s="193"/>
      <c r="K50" s="186" t="str">
        <f t="shared" si="1"/>
        <v>PM_40</v>
      </c>
      <c r="L50" s="186">
        <f t="shared" si="2"/>
        <v>823026.19978999998</v>
      </c>
      <c r="M50" s="186">
        <f t="shared" si="3"/>
        <v>1091414.2698599999</v>
      </c>
      <c r="N50" s="186">
        <f t="shared" si="4"/>
        <v>-120.91802852490193</v>
      </c>
      <c r="P50" s="207" t="str">
        <f t="shared" si="5"/>
        <v>PM_40</v>
      </c>
      <c r="Q50" s="273">
        <f t="shared" si="6"/>
        <v>40</v>
      </c>
      <c r="R50" s="207">
        <f t="shared" si="7"/>
        <v>-120.91802852490193</v>
      </c>
      <c r="S50" s="207">
        <f t="shared" si="8"/>
        <v>0</v>
      </c>
      <c r="U50" t="str">
        <f t="shared" si="9"/>
        <v>point 40,-120.918028524902</v>
      </c>
    </row>
    <row r="51" spans="5:21" ht="14.1" customHeight="1" x14ac:dyDescent="0.2">
      <c r="E51" s="303">
        <v>41</v>
      </c>
      <c r="F51" s="186">
        <v>823025.29348999995</v>
      </c>
      <c r="G51" s="186">
        <v>1091413.84724</v>
      </c>
      <c r="H51" s="186">
        <v>-120.908025923628</v>
      </c>
      <c r="I51" t="str">
        <f t="shared" si="0"/>
        <v>point 823025.29349,1091413.84724</v>
      </c>
      <c r="J51" s="193"/>
      <c r="K51" s="186" t="str">
        <f t="shared" si="1"/>
        <v>PM_41</v>
      </c>
      <c r="L51" s="186">
        <f t="shared" si="2"/>
        <v>823025.29348999995</v>
      </c>
      <c r="M51" s="186">
        <f t="shared" si="3"/>
        <v>1091413.84724</v>
      </c>
      <c r="N51" s="186">
        <f t="shared" si="4"/>
        <v>-120.908025923628</v>
      </c>
      <c r="P51" s="207" t="str">
        <f t="shared" si="5"/>
        <v>PM_41</v>
      </c>
      <c r="Q51" s="273">
        <f t="shared" si="6"/>
        <v>41</v>
      </c>
      <c r="R51" s="207">
        <f t="shared" si="7"/>
        <v>-120.908025923628</v>
      </c>
      <c r="S51" s="207">
        <f t="shared" si="8"/>
        <v>0</v>
      </c>
      <c r="U51" t="str">
        <f t="shared" si="9"/>
        <v>point 41,-120.908025923628</v>
      </c>
    </row>
    <row r="52" spans="5:21" ht="14.1" customHeight="1" x14ac:dyDescent="0.2">
      <c r="E52" s="303">
        <v>42</v>
      </c>
      <c r="F52" s="186">
        <v>823024.38717999996</v>
      </c>
      <c r="G52" s="186">
        <v>1091413.4246199999</v>
      </c>
      <c r="H52" s="186">
        <v>-120.89802332235408</v>
      </c>
      <c r="I52" t="str">
        <f t="shared" si="0"/>
        <v>point 823024.38718,1091413.42462</v>
      </c>
      <c r="J52" s="193"/>
      <c r="K52" s="186" t="str">
        <f t="shared" si="1"/>
        <v>PM_42</v>
      </c>
      <c r="L52" s="186">
        <f t="shared" si="2"/>
        <v>823024.38717999996</v>
      </c>
      <c r="M52" s="186">
        <f t="shared" si="3"/>
        <v>1091413.4246199999</v>
      </c>
      <c r="N52" s="186">
        <f t="shared" si="4"/>
        <v>-120.89802332235408</v>
      </c>
      <c r="P52" s="207" t="str">
        <f t="shared" si="5"/>
        <v>PM_42</v>
      </c>
      <c r="Q52" s="273">
        <f t="shared" si="6"/>
        <v>42</v>
      </c>
      <c r="R52" s="207">
        <f t="shared" si="7"/>
        <v>-120.89802332235408</v>
      </c>
      <c r="S52" s="207">
        <f t="shared" si="8"/>
        <v>0</v>
      </c>
      <c r="U52" t="str">
        <f t="shared" si="9"/>
        <v>point 42,-120.898023322354</v>
      </c>
    </row>
    <row r="53" spans="5:21" ht="14.1" customHeight="1" x14ac:dyDescent="0.2">
      <c r="E53" s="303">
        <v>43</v>
      </c>
      <c r="F53" s="186">
        <v>823023.48086999997</v>
      </c>
      <c r="G53" s="186">
        <v>1091413.0020000001</v>
      </c>
      <c r="H53" s="186">
        <v>-120.88802072108017</v>
      </c>
      <c r="I53" t="str">
        <f t="shared" si="0"/>
        <v>point 823023.48087,1091413.002</v>
      </c>
      <c r="J53" s="193"/>
      <c r="K53" s="186" t="str">
        <f t="shared" si="1"/>
        <v>PM_43</v>
      </c>
      <c r="L53" s="186">
        <f t="shared" si="2"/>
        <v>823023.48086999997</v>
      </c>
      <c r="M53" s="186">
        <f t="shared" si="3"/>
        <v>1091413.0020000001</v>
      </c>
      <c r="N53" s="186">
        <f t="shared" si="4"/>
        <v>-120.88802072108017</v>
      </c>
      <c r="P53" s="207" t="str">
        <f t="shared" si="5"/>
        <v>PM_43</v>
      </c>
      <c r="Q53" s="273">
        <f t="shared" si="6"/>
        <v>43</v>
      </c>
      <c r="R53" s="207">
        <f t="shared" si="7"/>
        <v>-120.88802072108017</v>
      </c>
      <c r="S53" s="207">
        <f t="shared" si="8"/>
        <v>0</v>
      </c>
      <c r="U53" t="str">
        <f t="shared" si="9"/>
        <v>point 43,-120.88802072108</v>
      </c>
    </row>
    <row r="54" spans="5:21" ht="14.1" customHeight="1" x14ac:dyDescent="0.2">
      <c r="E54" s="303">
        <v>44</v>
      </c>
      <c r="F54" s="186">
        <v>823022.57455999998</v>
      </c>
      <c r="G54" s="186">
        <v>1091412.57938</v>
      </c>
      <c r="H54" s="186">
        <v>-120.87801811980624</v>
      </c>
      <c r="I54" t="str">
        <f t="shared" si="0"/>
        <v>point 823022.57456,1091412.57938</v>
      </c>
      <c r="J54" s="193"/>
      <c r="K54" s="186" t="str">
        <f t="shared" si="1"/>
        <v>PM_44</v>
      </c>
      <c r="L54" s="186">
        <f t="shared" si="2"/>
        <v>823022.57455999998</v>
      </c>
      <c r="M54" s="186">
        <f t="shared" si="3"/>
        <v>1091412.57938</v>
      </c>
      <c r="N54" s="186">
        <f t="shared" si="4"/>
        <v>-120.87801811980624</v>
      </c>
      <c r="P54" s="207" t="str">
        <f t="shared" si="5"/>
        <v>PM_44</v>
      </c>
      <c r="Q54" s="273">
        <f t="shared" si="6"/>
        <v>44</v>
      </c>
      <c r="R54" s="207">
        <f t="shared" si="7"/>
        <v>-120.87801811980624</v>
      </c>
      <c r="S54" s="207">
        <f t="shared" si="8"/>
        <v>0</v>
      </c>
      <c r="U54" t="str">
        <f t="shared" si="9"/>
        <v>point 44,-120.878018119806</v>
      </c>
    </row>
    <row r="55" spans="5:21" ht="14.1" customHeight="1" x14ac:dyDescent="0.2">
      <c r="E55" s="303">
        <v>45</v>
      </c>
      <c r="F55" s="186">
        <v>823021.66825999995</v>
      </c>
      <c r="G55" s="186">
        <v>1091412.1567599999</v>
      </c>
      <c r="H55" s="186">
        <v>-120.86801551853232</v>
      </c>
      <c r="I55" t="str">
        <f t="shared" si="0"/>
        <v>point 823021.66826,1091412.15676</v>
      </c>
      <c r="J55" s="193"/>
      <c r="K55" s="186" t="str">
        <f t="shared" si="1"/>
        <v>PM_45</v>
      </c>
      <c r="L55" s="186">
        <f t="shared" si="2"/>
        <v>823021.66825999995</v>
      </c>
      <c r="M55" s="186">
        <f t="shared" si="3"/>
        <v>1091412.1567599999</v>
      </c>
      <c r="N55" s="186">
        <f t="shared" si="4"/>
        <v>-120.86801551853232</v>
      </c>
      <c r="P55" s="207" t="str">
        <f t="shared" si="5"/>
        <v>PM_45</v>
      </c>
      <c r="Q55" s="273">
        <f t="shared" si="6"/>
        <v>45</v>
      </c>
      <c r="R55" s="207">
        <f t="shared" si="7"/>
        <v>-120.86801551853232</v>
      </c>
      <c r="S55" s="207">
        <f t="shared" si="8"/>
        <v>0</v>
      </c>
      <c r="U55" t="str">
        <f t="shared" si="9"/>
        <v>point 45,-120.868015518532</v>
      </c>
    </row>
    <row r="56" spans="5:21" ht="14.1" customHeight="1" x14ac:dyDescent="0.2">
      <c r="E56" s="303">
        <v>46</v>
      </c>
      <c r="F56" s="186">
        <v>823020.76194999996</v>
      </c>
      <c r="G56" s="186">
        <v>1091411.7341499999</v>
      </c>
      <c r="H56" s="186">
        <v>-120.85801291725841</v>
      </c>
      <c r="I56" t="str">
        <f t="shared" si="0"/>
        <v>point 823020.76195,1091411.73415</v>
      </c>
      <c r="J56" s="193"/>
      <c r="K56" s="186" t="str">
        <f t="shared" si="1"/>
        <v>PM_46</v>
      </c>
      <c r="L56" s="186">
        <f t="shared" si="2"/>
        <v>823020.76194999996</v>
      </c>
      <c r="M56" s="186">
        <f t="shared" si="3"/>
        <v>1091411.7341499999</v>
      </c>
      <c r="N56" s="186">
        <f t="shared" si="4"/>
        <v>-120.85801291725841</v>
      </c>
      <c r="P56" s="207" t="str">
        <f t="shared" si="5"/>
        <v>PM_46</v>
      </c>
      <c r="Q56" s="273">
        <f t="shared" si="6"/>
        <v>46</v>
      </c>
      <c r="R56" s="207">
        <f t="shared" si="7"/>
        <v>-120.85801291725841</v>
      </c>
      <c r="S56" s="207">
        <f t="shared" si="8"/>
        <v>0</v>
      </c>
      <c r="U56" t="str">
        <f t="shared" si="9"/>
        <v>point 46,-120.858012917258</v>
      </c>
    </row>
    <row r="57" spans="5:21" ht="14.1" customHeight="1" x14ac:dyDescent="0.2">
      <c r="E57" s="303">
        <v>47</v>
      </c>
      <c r="F57" s="186">
        <v>823019.85563999997</v>
      </c>
      <c r="G57" s="186">
        <v>1091411.3115300001</v>
      </c>
      <c r="H57" s="186">
        <v>-120.84801031598448</v>
      </c>
      <c r="I57" t="str">
        <f t="shared" si="0"/>
        <v>point 823019.85564,1091411.31153</v>
      </c>
      <c r="J57" s="193"/>
      <c r="K57" s="186" t="str">
        <f t="shared" si="1"/>
        <v>PM_47</v>
      </c>
      <c r="L57" s="186">
        <f t="shared" si="2"/>
        <v>823019.85563999997</v>
      </c>
      <c r="M57" s="186">
        <f t="shared" si="3"/>
        <v>1091411.3115300001</v>
      </c>
      <c r="N57" s="186">
        <f t="shared" si="4"/>
        <v>-120.84801031598448</v>
      </c>
      <c r="P57" s="207" t="str">
        <f t="shared" si="5"/>
        <v>PM_47</v>
      </c>
      <c r="Q57" s="273">
        <f t="shared" si="6"/>
        <v>47</v>
      </c>
      <c r="R57" s="207">
        <f t="shared" si="7"/>
        <v>-120.84801031598448</v>
      </c>
      <c r="S57" s="207">
        <f t="shared" si="8"/>
        <v>0</v>
      </c>
      <c r="U57" t="str">
        <f t="shared" si="9"/>
        <v>point 47,-120.848010315984</v>
      </c>
    </row>
    <row r="58" spans="5:21" ht="14.1" customHeight="1" x14ac:dyDescent="0.2">
      <c r="E58" s="303">
        <v>48</v>
      </c>
      <c r="F58" s="186">
        <v>823018.94932999997</v>
      </c>
      <c r="G58" s="186">
        <v>1091410.88891</v>
      </c>
      <c r="H58" s="186">
        <v>-120.83800771471056</v>
      </c>
      <c r="I58" t="str">
        <f t="shared" si="0"/>
        <v>point 823018.94933,1091410.88891</v>
      </c>
      <c r="J58" s="193"/>
      <c r="K58" s="186" t="str">
        <f t="shared" si="1"/>
        <v>PM_48</v>
      </c>
      <c r="L58" s="186">
        <f t="shared" si="2"/>
        <v>823018.94932999997</v>
      </c>
      <c r="M58" s="186">
        <f t="shared" si="3"/>
        <v>1091410.88891</v>
      </c>
      <c r="N58" s="186">
        <f t="shared" si="4"/>
        <v>-120.83800771471056</v>
      </c>
      <c r="P58" s="207" t="str">
        <f t="shared" si="5"/>
        <v>PM_48</v>
      </c>
      <c r="Q58" s="273">
        <f t="shared" si="6"/>
        <v>48</v>
      </c>
      <c r="R58" s="207">
        <f t="shared" si="7"/>
        <v>-120.83800771471056</v>
      </c>
      <c r="S58" s="207">
        <f t="shared" si="8"/>
        <v>0</v>
      </c>
      <c r="U58" t="str">
        <f t="shared" si="9"/>
        <v>point 48,-120.838007714711</v>
      </c>
    </row>
    <row r="59" spans="5:21" ht="14.1" customHeight="1" x14ac:dyDescent="0.2">
      <c r="E59" s="303">
        <v>49</v>
      </c>
      <c r="F59" s="186">
        <v>823018.04302999994</v>
      </c>
      <c r="G59" s="186">
        <v>1091410.4662899999</v>
      </c>
      <c r="H59" s="186">
        <v>-120.82800511343663</v>
      </c>
      <c r="I59" t="str">
        <f t="shared" si="0"/>
        <v>point 823018.04303,1091410.46629</v>
      </c>
      <c r="J59" s="193"/>
      <c r="K59" s="186" t="str">
        <f t="shared" si="1"/>
        <v>PM_49</v>
      </c>
      <c r="L59" s="186">
        <f t="shared" si="2"/>
        <v>823018.04302999994</v>
      </c>
      <c r="M59" s="186">
        <f t="shared" si="3"/>
        <v>1091410.4662899999</v>
      </c>
      <c r="N59" s="186">
        <f t="shared" si="4"/>
        <v>-120.82800511343663</v>
      </c>
      <c r="P59" s="207" t="str">
        <f t="shared" si="5"/>
        <v>PM_49</v>
      </c>
      <c r="Q59" s="273">
        <f t="shared" si="6"/>
        <v>49</v>
      </c>
      <c r="R59" s="207">
        <f t="shared" si="7"/>
        <v>-120.82800511343663</v>
      </c>
      <c r="S59" s="207">
        <f t="shared" si="8"/>
        <v>0</v>
      </c>
      <c r="U59" t="str">
        <f t="shared" si="9"/>
        <v>point 49,-120.828005113437</v>
      </c>
    </row>
    <row r="60" spans="5:21" ht="14.1" customHeight="1" x14ac:dyDescent="0.2">
      <c r="E60" s="303">
        <v>50</v>
      </c>
      <c r="F60" s="186">
        <v>823017.13671999995</v>
      </c>
      <c r="G60" s="186">
        <v>1091410.04367</v>
      </c>
      <c r="H60" s="186">
        <v>-120.81800251216272</v>
      </c>
      <c r="I60" t="str">
        <f t="shared" si="0"/>
        <v>point 823017.13672,1091410.04367</v>
      </c>
      <c r="J60" s="193"/>
      <c r="K60" s="186" t="str">
        <f t="shared" si="1"/>
        <v>PM_50</v>
      </c>
      <c r="L60" s="186">
        <f t="shared" si="2"/>
        <v>823017.13671999995</v>
      </c>
      <c r="M60" s="186">
        <f t="shared" si="3"/>
        <v>1091410.04367</v>
      </c>
      <c r="N60" s="186">
        <f t="shared" si="4"/>
        <v>-120.81800251216272</v>
      </c>
      <c r="P60" s="207" t="str">
        <f t="shared" si="5"/>
        <v>PM_50</v>
      </c>
      <c r="Q60" s="273">
        <f t="shared" si="6"/>
        <v>50</v>
      </c>
      <c r="R60" s="207">
        <f t="shared" si="7"/>
        <v>-120.81800251216272</v>
      </c>
      <c r="S60" s="207">
        <f t="shared" si="8"/>
        <v>0</v>
      </c>
      <c r="U60" t="str">
        <f t="shared" si="9"/>
        <v>point 50,-120.818002512163</v>
      </c>
    </row>
    <row r="61" spans="5:21" ht="14.1" customHeight="1" x14ac:dyDescent="0.2">
      <c r="E61" s="303">
        <v>51</v>
      </c>
      <c r="F61" s="186">
        <v>823016.23040999996</v>
      </c>
      <c r="G61" s="186">
        <v>1091409.62105</v>
      </c>
      <c r="H61" s="186">
        <v>-120.8079999108888</v>
      </c>
      <c r="I61" t="str">
        <f t="shared" si="0"/>
        <v>point 823016.23041,1091409.62105</v>
      </c>
      <c r="J61" s="193"/>
      <c r="K61" s="186" t="str">
        <f t="shared" si="1"/>
        <v>PM_51</v>
      </c>
      <c r="L61" s="186">
        <f t="shared" si="2"/>
        <v>823016.23040999996</v>
      </c>
      <c r="M61" s="186">
        <f t="shared" si="3"/>
        <v>1091409.62105</v>
      </c>
      <c r="N61" s="186">
        <f t="shared" si="4"/>
        <v>-120.8079999108888</v>
      </c>
      <c r="P61" s="207" t="str">
        <f t="shared" si="5"/>
        <v>PM_51</v>
      </c>
      <c r="Q61" s="273">
        <f t="shared" si="6"/>
        <v>51</v>
      </c>
      <c r="R61" s="207">
        <f t="shared" si="7"/>
        <v>-120.8079999108888</v>
      </c>
      <c r="S61" s="207">
        <f t="shared" si="8"/>
        <v>0</v>
      </c>
      <c r="U61" t="str">
        <f t="shared" si="9"/>
        <v>point 51,-120.807999910889</v>
      </c>
    </row>
    <row r="62" spans="5:21" ht="14.1" customHeight="1" x14ac:dyDescent="0.2">
      <c r="E62" s="303">
        <v>52</v>
      </c>
      <c r="F62" s="186">
        <v>823015.32409999997</v>
      </c>
      <c r="G62" s="186">
        <v>1091409.1984300001</v>
      </c>
      <c r="H62" s="186">
        <v>-120.79799730961487</v>
      </c>
      <c r="I62" t="str">
        <f t="shared" si="0"/>
        <v>point 823015.3241,1091409.19843</v>
      </c>
      <c r="J62" s="193"/>
      <c r="K62" s="186" t="str">
        <f t="shared" si="1"/>
        <v>PM_52</v>
      </c>
      <c r="L62" s="186">
        <f t="shared" si="2"/>
        <v>823015.32409999997</v>
      </c>
      <c r="M62" s="186">
        <f t="shared" si="3"/>
        <v>1091409.1984300001</v>
      </c>
      <c r="N62" s="186">
        <f t="shared" si="4"/>
        <v>-120.79799730961487</v>
      </c>
      <c r="P62" s="207" t="str">
        <f t="shared" si="5"/>
        <v>PM_52</v>
      </c>
      <c r="Q62" s="273">
        <f t="shared" si="6"/>
        <v>52</v>
      </c>
      <c r="R62" s="207">
        <f t="shared" si="7"/>
        <v>-120.79799730961487</v>
      </c>
      <c r="S62" s="207">
        <f t="shared" si="8"/>
        <v>0</v>
      </c>
      <c r="U62" t="str">
        <f t="shared" si="9"/>
        <v>point 52,-120.797997309615</v>
      </c>
    </row>
    <row r="63" spans="5:21" ht="14.1" customHeight="1" x14ac:dyDescent="0.2">
      <c r="E63" s="303">
        <v>53</v>
      </c>
      <c r="F63" s="186">
        <v>823014.41780000005</v>
      </c>
      <c r="G63" s="186">
        <v>1091408.7758200001</v>
      </c>
      <c r="H63" s="186">
        <v>-120.78799470834095</v>
      </c>
      <c r="I63" t="str">
        <f t="shared" si="0"/>
        <v>point 823014.4178,1091408.77582</v>
      </c>
      <c r="J63" s="193"/>
      <c r="K63" s="186" t="str">
        <f t="shared" si="1"/>
        <v>PM_53</v>
      </c>
      <c r="L63" s="186">
        <f t="shared" si="2"/>
        <v>823014.41780000005</v>
      </c>
      <c r="M63" s="186">
        <f t="shared" si="3"/>
        <v>1091408.7758200001</v>
      </c>
      <c r="N63" s="186">
        <f t="shared" si="4"/>
        <v>-120.78799470834095</v>
      </c>
      <c r="P63" s="207" t="str">
        <f t="shared" si="5"/>
        <v>PM_53</v>
      </c>
      <c r="Q63" s="273">
        <f t="shared" si="6"/>
        <v>53</v>
      </c>
      <c r="R63" s="207">
        <f t="shared" si="7"/>
        <v>-120.78799470834095</v>
      </c>
      <c r="S63" s="207">
        <f t="shared" si="8"/>
        <v>0</v>
      </c>
      <c r="U63" t="str">
        <f t="shared" si="9"/>
        <v>point 53,-120.787994708341</v>
      </c>
    </row>
    <row r="64" spans="5:21" ht="14.1" customHeight="1" x14ac:dyDescent="0.2">
      <c r="E64" s="303">
        <v>54</v>
      </c>
      <c r="F64" s="186">
        <v>823013.51148999995</v>
      </c>
      <c r="G64" s="186">
        <v>1091408.3532</v>
      </c>
      <c r="H64" s="186">
        <v>-120.77799210706704</v>
      </c>
      <c r="I64" t="str">
        <f t="shared" si="0"/>
        <v>point 823013.51149,1091408.3532</v>
      </c>
      <c r="J64" s="193"/>
      <c r="K64" s="186" t="str">
        <f t="shared" si="1"/>
        <v>PM_54</v>
      </c>
      <c r="L64" s="186">
        <f t="shared" si="2"/>
        <v>823013.51148999995</v>
      </c>
      <c r="M64" s="186">
        <f t="shared" si="3"/>
        <v>1091408.3532</v>
      </c>
      <c r="N64" s="186">
        <f t="shared" si="4"/>
        <v>-120.77799210706704</v>
      </c>
      <c r="P64" s="207" t="str">
        <f t="shared" si="5"/>
        <v>PM_54</v>
      </c>
      <c r="Q64" s="273">
        <f t="shared" si="6"/>
        <v>54</v>
      </c>
      <c r="R64" s="207">
        <f t="shared" si="7"/>
        <v>-120.77799210706704</v>
      </c>
      <c r="S64" s="207">
        <f t="shared" si="8"/>
        <v>0</v>
      </c>
      <c r="U64" t="str">
        <f t="shared" si="9"/>
        <v>point 54,-120.777992107067</v>
      </c>
    </row>
    <row r="65" spans="5:21" ht="14.1" customHeight="1" x14ac:dyDescent="0.2">
      <c r="E65" s="303">
        <v>55</v>
      </c>
      <c r="F65" s="186">
        <v>823012.60517999995</v>
      </c>
      <c r="G65" s="186">
        <v>1091407.9305799999</v>
      </c>
      <c r="H65" s="186">
        <v>-120.76798950579311</v>
      </c>
      <c r="I65" t="str">
        <f t="shared" si="0"/>
        <v>point 823012.60518,1091407.93058</v>
      </c>
      <c r="J65" s="193"/>
      <c r="K65" s="186" t="str">
        <f t="shared" si="1"/>
        <v>PM_55</v>
      </c>
      <c r="L65" s="186">
        <f t="shared" si="2"/>
        <v>823012.60517999995</v>
      </c>
      <c r="M65" s="186">
        <f t="shared" si="3"/>
        <v>1091407.9305799999</v>
      </c>
      <c r="N65" s="186">
        <f t="shared" si="4"/>
        <v>-120.76798950579311</v>
      </c>
      <c r="P65" s="207" t="str">
        <f t="shared" si="5"/>
        <v>PM_55</v>
      </c>
      <c r="Q65" s="273">
        <f t="shared" si="6"/>
        <v>55</v>
      </c>
      <c r="R65" s="207">
        <f t="shared" si="7"/>
        <v>-120.76798950579311</v>
      </c>
      <c r="S65" s="207">
        <f t="shared" si="8"/>
        <v>0</v>
      </c>
      <c r="U65" t="str">
        <f t="shared" si="9"/>
        <v>point 55,-120.767989505793</v>
      </c>
    </row>
    <row r="66" spans="5:21" ht="14.1" customHeight="1" x14ac:dyDescent="0.2">
      <c r="E66" s="303">
        <v>56</v>
      </c>
      <c r="F66" s="186">
        <v>823011.69886999996</v>
      </c>
      <c r="G66" s="186">
        <v>1091407.5079600001</v>
      </c>
      <c r="H66" s="186">
        <v>-120.75798690451919</v>
      </c>
      <c r="I66" t="str">
        <f t="shared" si="0"/>
        <v>point 823011.69887,1091407.50796</v>
      </c>
      <c r="J66" s="193"/>
      <c r="K66" s="186" t="str">
        <f t="shared" si="1"/>
        <v>PM_56</v>
      </c>
      <c r="L66" s="186">
        <f t="shared" si="2"/>
        <v>823011.69886999996</v>
      </c>
      <c r="M66" s="186">
        <f t="shared" si="3"/>
        <v>1091407.5079600001</v>
      </c>
      <c r="N66" s="186">
        <f t="shared" si="4"/>
        <v>-120.75798690451919</v>
      </c>
      <c r="P66" s="207" t="str">
        <f t="shared" si="5"/>
        <v>PM_56</v>
      </c>
      <c r="Q66" s="273">
        <f t="shared" si="6"/>
        <v>56</v>
      </c>
      <c r="R66" s="207">
        <f t="shared" si="7"/>
        <v>-120.75798690451919</v>
      </c>
      <c r="S66" s="207">
        <f t="shared" si="8"/>
        <v>0</v>
      </c>
      <c r="U66" t="str">
        <f t="shared" si="9"/>
        <v>point 56,-120.757986904519</v>
      </c>
    </row>
    <row r="67" spans="5:21" ht="14.1" customHeight="1" x14ac:dyDescent="0.2">
      <c r="E67" s="303">
        <v>57</v>
      </c>
      <c r="F67" s="186">
        <v>823010.79255999997</v>
      </c>
      <c r="G67" s="186">
        <v>1091407.08534</v>
      </c>
      <c r="H67" s="186">
        <v>-120.74798430324527</v>
      </c>
      <c r="I67" t="str">
        <f t="shared" si="0"/>
        <v>point 823010.79256,1091407.08534</v>
      </c>
      <c r="J67" s="193"/>
      <c r="K67" s="186" t="str">
        <f t="shared" si="1"/>
        <v>PM_57</v>
      </c>
      <c r="L67" s="186">
        <f t="shared" si="2"/>
        <v>823010.79255999997</v>
      </c>
      <c r="M67" s="186">
        <f t="shared" si="3"/>
        <v>1091407.08534</v>
      </c>
      <c r="N67" s="186">
        <f t="shared" si="4"/>
        <v>-120.74798430324527</v>
      </c>
      <c r="P67" s="207" t="str">
        <f t="shared" si="5"/>
        <v>PM_57</v>
      </c>
      <c r="Q67" s="273">
        <f t="shared" si="6"/>
        <v>57</v>
      </c>
      <c r="R67" s="207">
        <f t="shared" si="7"/>
        <v>-120.74798430324527</v>
      </c>
      <c r="S67" s="207">
        <f t="shared" si="8"/>
        <v>0</v>
      </c>
      <c r="U67" t="str">
        <f t="shared" si="9"/>
        <v>point 57,-120.747984303245</v>
      </c>
    </row>
    <row r="68" spans="5:21" ht="14.1" customHeight="1" x14ac:dyDescent="0.2">
      <c r="E68" s="303">
        <v>58</v>
      </c>
      <c r="F68" s="186">
        <v>823009.88626000006</v>
      </c>
      <c r="G68" s="186">
        <v>1091406.6627199999</v>
      </c>
      <c r="H68" s="186">
        <v>-120.73798170197135</v>
      </c>
      <c r="I68" t="str">
        <f t="shared" si="0"/>
        <v>point 823009.88626,1091406.66272</v>
      </c>
      <c r="J68" s="193"/>
      <c r="K68" s="186" t="str">
        <f t="shared" si="1"/>
        <v>PM_58</v>
      </c>
      <c r="L68" s="186">
        <f t="shared" si="2"/>
        <v>823009.88626000006</v>
      </c>
      <c r="M68" s="186">
        <f t="shared" si="3"/>
        <v>1091406.6627199999</v>
      </c>
      <c r="N68" s="186">
        <f t="shared" si="4"/>
        <v>-120.73798170197135</v>
      </c>
      <c r="P68" s="207" t="str">
        <f t="shared" si="5"/>
        <v>PM_58</v>
      </c>
      <c r="Q68" s="273">
        <f t="shared" si="6"/>
        <v>58</v>
      </c>
      <c r="R68" s="207">
        <f t="shared" si="7"/>
        <v>-120.73798170197135</v>
      </c>
      <c r="S68" s="207">
        <f t="shared" si="8"/>
        <v>0</v>
      </c>
      <c r="U68" t="str">
        <f t="shared" si="9"/>
        <v>point 58,-120.737981701971</v>
      </c>
    </row>
    <row r="69" spans="5:21" ht="14.1" customHeight="1" x14ac:dyDescent="0.2">
      <c r="E69" s="303">
        <v>59</v>
      </c>
      <c r="F69" s="186">
        <v>823008.97994999995</v>
      </c>
      <c r="G69" s="186">
        <v>1091406.2401000001</v>
      </c>
      <c r="H69" s="186">
        <v>-120.72797910069742</v>
      </c>
      <c r="I69" t="str">
        <f t="shared" si="0"/>
        <v>point 823008.97995,1091406.2401</v>
      </c>
      <c r="J69" s="193"/>
      <c r="K69" s="186" t="str">
        <f t="shared" si="1"/>
        <v>PM_59</v>
      </c>
      <c r="L69" s="186">
        <f t="shared" si="2"/>
        <v>823008.97994999995</v>
      </c>
      <c r="M69" s="186">
        <f t="shared" si="3"/>
        <v>1091406.2401000001</v>
      </c>
      <c r="N69" s="186">
        <f t="shared" si="4"/>
        <v>-120.72797910069742</v>
      </c>
      <c r="P69" s="207" t="str">
        <f t="shared" si="5"/>
        <v>PM_59</v>
      </c>
      <c r="Q69" s="273">
        <f t="shared" si="6"/>
        <v>59</v>
      </c>
      <c r="R69" s="207">
        <f t="shared" si="7"/>
        <v>-120.72797910069742</v>
      </c>
      <c r="S69" s="207">
        <f t="shared" si="8"/>
        <v>0</v>
      </c>
      <c r="U69" t="str">
        <f t="shared" si="9"/>
        <v>point 59,-120.727979100697</v>
      </c>
    </row>
    <row r="70" spans="5:21" ht="14.1" customHeight="1" x14ac:dyDescent="0.2">
      <c r="E70" s="303">
        <v>60</v>
      </c>
      <c r="F70" s="186">
        <v>823008.07363999996</v>
      </c>
      <c r="G70" s="186">
        <v>1091405.81749</v>
      </c>
      <c r="H70" s="186">
        <v>-120.7179764994235</v>
      </c>
      <c r="I70" t="str">
        <f t="shared" si="0"/>
        <v>point 823008.07364,1091405.81749</v>
      </c>
      <c r="J70" s="193"/>
      <c r="K70" s="186" t="str">
        <f t="shared" si="1"/>
        <v>PM_60</v>
      </c>
      <c r="L70" s="186">
        <f t="shared" si="2"/>
        <v>823008.07363999996</v>
      </c>
      <c r="M70" s="186">
        <f t="shared" si="3"/>
        <v>1091405.81749</v>
      </c>
      <c r="N70" s="186">
        <f t="shared" si="4"/>
        <v>-120.7179764994235</v>
      </c>
      <c r="P70" s="207" t="str">
        <f t="shared" si="5"/>
        <v>PM_60</v>
      </c>
      <c r="Q70" s="273">
        <f t="shared" si="6"/>
        <v>60</v>
      </c>
      <c r="R70" s="207">
        <f t="shared" si="7"/>
        <v>-120.7179764994235</v>
      </c>
      <c r="S70" s="207">
        <f t="shared" si="8"/>
        <v>0</v>
      </c>
      <c r="U70" t="str">
        <f t="shared" si="9"/>
        <v>point 60,-120.717976499424</v>
      </c>
    </row>
    <row r="71" spans="5:21" ht="14.1" customHeight="1" x14ac:dyDescent="0.2">
      <c r="E71" s="303">
        <v>61</v>
      </c>
      <c r="F71" s="186">
        <v>823007.16732999997</v>
      </c>
      <c r="G71" s="186">
        <v>1091405.39487</v>
      </c>
      <c r="H71" s="186">
        <v>-120.70797389814959</v>
      </c>
      <c r="I71" t="str">
        <f t="shared" si="0"/>
        <v>point 823007.16733,1091405.39487</v>
      </c>
      <c r="J71" s="193"/>
      <c r="K71" s="186" t="str">
        <f t="shared" si="1"/>
        <v>PM_61</v>
      </c>
      <c r="L71" s="186">
        <f t="shared" si="2"/>
        <v>823007.16732999997</v>
      </c>
      <c r="M71" s="186">
        <f t="shared" si="3"/>
        <v>1091405.39487</v>
      </c>
      <c r="N71" s="186">
        <f t="shared" si="4"/>
        <v>-120.70797389814959</v>
      </c>
      <c r="P71" s="207" t="str">
        <f t="shared" si="5"/>
        <v>PM_61</v>
      </c>
      <c r="Q71" s="273">
        <f t="shared" si="6"/>
        <v>61</v>
      </c>
      <c r="R71" s="207">
        <f t="shared" si="7"/>
        <v>-120.70797389814959</v>
      </c>
      <c r="S71" s="207">
        <f t="shared" si="8"/>
        <v>0</v>
      </c>
      <c r="U71" t="str">
        <f t="shared" si="9"/>
        <v>point 61,-120.70797389815</v>
      </c>
    </row>
    <row r="72" spans="5:21" ht="14.1" customHeight="1" x14ac:dyDescent="0.2">
      <c r="E72" s="303">
        <v>62</v>
      </c>
      <c r="F72" s="186">
        <v>823006.26103000005</v>
      </c>
      <c r="G72" s="186">
        <v>1091404.9722500001</v>
      </c>
      <c r="H72" s="186">
        <v>-120.69797129687566</v>
      </c>
      <c r="I72" t="str">
        <f t="shared" si="0"/>
        <v>point 823006.26103,1091404.97225</v>
      </c>
      <c r="J72" s="193"/>
      <c r="K72" s="186" t="str">
        <f t="shared" si="1"/>
        <v>PM_62</v>
      </c>
      <c r="L72" s="186">
        <f t="shared" si="2"/>
        <v>823006.26103000005</v>
      </c>
      <c r="M72" s="186">
        <f t="shared" si="3"/>
        <v>1091404.9722500001</v>
      </c>
      <c r="N72" s="186">
        <f t="shared" si="4"/>
        <v>-120.69797129687566</v>
      </c>
      <c r="P72" s="207" t="str">
        <f t="shared" si="5"/>
        <v>PM_62</v>
      </c>
      <c r="Q72" s="273">
        <f t="shared" si="6"/>
        <v>62</v>
      </c>
      <c r="R72" s="207">
        <f t="shared" si="7"/>
        <v>-120.69797129687566</v>
      </c>
      <c r="S72" s="207">
        <f t="shared" si="8"/>
        <v>0</v>
      </c>
      <c r="U72" t="str">
        <f t="shared" si="9"/>
        <v>point 62,-120.697971296876</v>
      </c>
    </row>
    <row r="73" spans="5:21" ht="14.1" customHeight="1" x14ac:dyDescent="0.2">
      <c r="E73" s="303">
        <v>63</v>
      </c>
      <c r="F73" s="186">
        <v>823005.35471999994</v>
      </c>
      <c r="G73" s="186">
        <v>1091404.54963</v>
      </c>
      <c r="H73" s="186">
        <v>-120.68796869560174</v>
      </c>
      <c r="I73" t="str">
        <f t="shared" si="0"/>
        <v>point 823005.35472,1091404.54963</v>
      </c>
      <c r="J73" s="193"/>
      <c r="K73" s="186" t="str">
        <f t="shared" si="1"/>
        <v>PM_63</v>
      </c>
      <c r="L73" s="186">
        <f t="shared" si="2"/>
        <v>823005.35471999994</v>
      </c>
      <c r="M73" s="186">
        <f t="shared" si="3"/>
        <v>1091404.54963</v>
      </c>
      <c r="N73" s="186">
        <f t="shared" si="4"/>
        <v>-120.68796869560174</v>
      </c>
      <c r="P73" s="207" t="str">
        <f t="shared" si="5"/>
        <v>PM_63</v>
      </c>
      <c r="Q73" s="273">
        <f t="shared" si="6"/>
        <v>63</v>
      </c>
      <c r="R73" s="207">
        <f t="shared" si="7"/>
        <v>-120.68796869560174</v>
      </c>
      <c r="S73" s="207">
        <f t="shared" si="8"/>
        <v>0</v>
      </c>
      <c r="U73" t="str">
        <f t="shared" si="9"/>
        <v>point 63,-120.687968695602</v>
      </c>
    </row>
    <row r="74" spans="5:21" ht="14.1" customHeight="1" x14ac:dyDescent="0.2">
      <c r="E74" s="303">
        <v>64</v>
      </c>
      <c r="F74" s="186">
        <v>823004.44840999995</v>
      </c>
      <c r="G74" s="186">
        <v>1091404.1270099999</v>
      </c>
      <c r="H74" s="186">
        <v>-120.67796609432781</v>
      </c>
      <c r="I74" t="str">
        <f t="shared" si="0"/>
        <v>point 823004.44841,1091404.12701</v>
      </c>
      <c r="J74" s="193"/>
      <c r="K74" s="186" t="str">
        <f t="shared" si="1"/>
        <v>PM_64</v>
      </c>
      <c r="L74" s="186">
        <f t="shared" si="2"/>
        <v>823004.44840999995</v>
      </c>
      <c r="M74" s="186">
        <f t="shared" si="3"/>
        <v>1091404.1270099999</v>
      </c>
      <c r="N74" s="186">
        <f t="shared" si="4"/>
        <v>-120.67796609432781</v>
      </c>
      <c r="P74" s="207" t="str">
        <f t="shared" si="5"/>
        <v>PM_64</v>
      </c>
      <c r="Q74" s="273">
        <f t="shared" si="6"/>
        <v>64</v>
      </c>
      <c r="R74" s="207">
        <f t="shared" si="7"/>
        <v>-120.67796609432781</v>
      </c>
      <c r="S74" s="207">
        <f t="shared" si="8"/>
        <v>0</v>
      </c>
      <c r="U74" t="str">
        <f t="shared" si="9"/>
        <v>point 64,-120.677966094328</v>
      </c>
    </row>
    <row r="75" spans="5:21" ht="14.1" customHeight="1" x14ac:dyDescent="0.2">
      <c r="E75" s="303">
        <v>65</v>
      </c>
      <c r="F75" s="186">
        <v>823003.54209999996</v>
      </c>
      <c r="G75" s="186">
        <v>1091403.7043900001</v>
      </c>
      <c r="H75" s="186">
        <v>-120.6679634930539</v>
      </c>
      <c r="I75" t="str">
        <f t="shared" ref="I75:I95" si="10">"point "&amp;F75&amp;","&amp;G75</f>
        <v>point 823003.5421,1091403.70439</v>
      </c>
      <c r="J75" s="193"/>
      <c r="K75" s="186" t="str">
        <f t="shared" ref="K75:K138" si="11">"PM_"&amp;ROUND(E75,2)</f>
        <v>PM_65</v>
      </c>
      <c r="L75" s="186">
        <f t="shared" ref="L75:L138" si="12">F75</f>
        <v>823003.54209999996</v>
      </c>
      <c r="M75" s="186">
        <f t="shared" ref="M75:M138" si="13">G75</f>
        <v>1091403.7043900001</v>
      </c>
      <c r="N75" s="186">
        <f t="shared" ref="N75:N138" si="14">H75</f>
        <v>-120.6679634930539</v>
      </c>
      <c r="P75" s="207" t="str">
        <f t="shared" ref="P75:P138" si="15">K75</f>
        <v>PM_65</v>
      </c>
      <c r="Q75" s="273">
        <f t="shared" ref="Q75:Q138" si="16">$S$1+E75</f>
        <v>65</v>
      </c>
      <c r="R75" s="207">
        <f t="shared" ref="R75:R138" si="17">H75</f>
        <v>-120.6679634930539</v>
      </c>
      <c r="S75" s="207">
        <f t="shared" ref="S75:S138" si="18">$B$6</f>
        <v>0</v>
      </c>
      <c r="U75" t="str">
        <f t="shared" ref="U75:U110" si="19">"point "&amp;Q75&amp;","&amp;R75</f>
        <v>point 65,-120.667963493054</v>
      </c>
    </row>
    <row r="76" spans="5:21" ht="14.1" customHeight="1" x14ac:dyDescent="0.2">
      <c r="E76" s="303">
        <v>66</v>
      </c>
      <c r="F76" s="186">
        <v>823002.63580000005</v>
      </c>
      <c r="G76" s="186">
        <v>1091403.28177</v>
      </c>
      <c r="H76" s="186">
        <v>-120.65796089177998</v>
      </c>
      <c r="I76" t="str">
        <f t="shared" si="10"/>
        <v>point 823002.6358,1091403.28177</v>
      </c>
      <c r="J76" s="193"/>
      <c r="K76" s="186" t="str">
        <f t="shared" si="11"/>
        <v>PM_66</v>
      </c>
      <c r="L76" s="186">
        <f t="shared" si="12"/>
        <v>823002.63580000005</v>
      </c>
      <c r="M76" s="186">
        <f t="shared" si="13"/>
        <v>1091403.28177</v>
      </c>
      <c r="N76" s="186">
        <f t="shared" si="14"/>
        <v>-120.65796089177998</v>
      </c>
      <c r="P76" s="207" t="str">
        <f t="shared" si="15"/>
        <v>PM_66</v>
      </c>
      <c r="Q76" s="273">
        <f t="shared" si="16"/>
        <v>66</v>
      </c>
      <c r="R76" s="207">
        <f t="shared" si="17"/>
        <v>-120.65796089177998</v>
      </c>
      <c r="S76" s="207">
        <f t="shared" si="18"/>
        <v>0</v>
      </c>
      <c r="U76" t="str">
        <f t="shared" si="19"/>
        <v>point 66,-120.65796089178</v>
      </c>
    </row>
    <row r="77" spans="5:21" ht="14.1" customHeight="1" x14ac:dyDescent="0.2">
      <c r="E77" s="303">
        <v>67</v>
      </c>
      <c r="F77" s="186">
        <v>823001.72949000006</v>
      </c>
      <c r="G77" s="186">
        <v>1091402.85916</v>
      </c>
      <c r="H77" s="186">
        <v>-120.64795829050605</v>
      </c>
      <c r="I77" t="str">
        <f t="shared" si="10"/>
        <v>point 823001.72949,1091402.85916</v>
      </c>
      <c r="J77" s="193"/>
      <c r="K77" s="186" t="str">
        <f t="shared" si="11"/>
        <v>PM_67</v>
      </c>
      <c r="L77" s="186">
        <f t="shared" si="12"/>
        <v>823001.72949000006</v>
      </c>
      <c r="M77" s="186">
        <f t="shared" si="13"/>
        <v>1091402.85916</v>
      </c>
      <c r="N77" s="186">
        <f t="shared" si="14"/>
        <v>-120.64795829050605</v>
      </c>
      <c r="P77" s="207" t="str">
        <f t="shared" si="15"/>
        <v>PM_67</v>
      </c>
      <c r="Q77" s="273">
        <f t="shared" si="16"/>
        <v>67</v>
      </c>
      <c r="R77" s="207">
        <f t="shared" si="17"/>
        <v>-120.64795829050605</v>
      </c>
      <c r="S77" s="207">
        <f t="shared" si="18"/>
        <v>0</v>
      </c>
      <c r="U77" t="str">
        <f t="shared" si="19"/>
        <v>point 67,-120.647958290506</v>
      </c>
    </row>
    <row r="78" spans="5:21" ht="14.1" customHeight="1" x14ac:dyDescent="0.2">
      <c r="E78" s="303">
        <v>68</v>
      </c>
      <c r="F78" s="186">
        <v>823000.82317999995</v>
      </c>
      <c r="G78" s="186">
        <v>1091402.4365399999</v>
      </c>
      <c r="H78" s="186">
        <v>-120.63795568923214</v>
      </c>
      <c r="I78" t="str">
        <f t="shared" si="10"/>
        <v>point 823000.82318,1091402.43654</v>
      </c>
      <c r="J78" s="193"/>
      <c r="K78" s="186" t="str">
        <f t="shared" si="11"/>
        <v>PM_68</v>
      </c>
      <c r="L78" s="186">
        <f t="shared" si="12"/>
        <v>823000.82317999995</v>
      </c>
      <c r="M78" s="186">
        <f t="shared" si="13"/>
        <v>1091402.4365399999</v>
      </c>
      <c r="N78" s="186">
        <f t="shared" si="14"/>
        <v>-120.63795568923214</v>
      </c>
      <c r="P78" s="207" t="str">
        <f t="shared" si="15"/>
        <v>PM_68</v>
      </c>
      <c r="Q78" s="273">
        <f t="shared" si="16"/>
        <v>68</v>
      </c>
      <c r="R78" s="207">
        <f t="shared" si="17"/>
        <v>-120.63795568923214</v>
      </c>
      <c r="S78" s="207">
        <f t="shared" si="18"/>
        <v>0</v>
      </c>
      <c r="U78" t="str">
        <f t="shared" si="19"/>
        <v>point 68,-120.637955689232</v>
      </c>
    </row>
    <row r="79" spans="5:21" ht="14.1" customHeight="1" x14ac:dyDescent="0.2">
      <c r="E79" s="303">
        <v>69</v>
      </c>
      <c r="F79" s="186">
        <v>822999.91686999996</v>
      </c>
      <c r="G79" s="186">
        <v>1091402.0139200001</v>
      </c>
      <c r="H79" s="186">
        <v>-120.62795308795822</v>
      </c>
      <c r="I79" t="str">
        <f t="shared" si="10"/>
        <v>point 822999.91687,1091402.01392</v>
      </c>
      <c r="J79" s="193"/>
      <c r="K79" s="186" t="str">
        <f t="shared" si="11"/>
        <v>PM_69</v>
      </c>
      <c r="L79" s="186">
        <f t="shared" si="12"/>
        <v>822999.91686999996</v>
      </c>
      <c r="M79" s="186">
        <f t="shared" si="13"/>
        <v>1091402.0139200001</v>
      </c>
      <c r="N79" s="186">
        <f t="shared" si="14"/>
        <v>-120.62795308795822</v>
      </c>
      <c r="P79" s="207" t="str">
        <f t="shared" si="15"/>
        <v>PM_69</v>
      </c>
      <c r="Q79" s="273">
        <f t="shared" si="16"/>
        <v>69</v>
      </c>
      <c r="R79" s="207">
        <f t="shared" si="17"/>
        <v>-120.62795308795822</v>
      </c>
      <c r="S79" s="207">
        <f t="shared" si="18"/>
        <v>0</v>
      </c>
      <c r="U79" t="str">
        <f t="shared" si="19"/>
        <v>point 69,-120.627953087958</v>
      </c>
    </row>
    <row r="80" spans="5:21" ht="14.1" customHeight="1" x14ac:dyDescent="0.2">
      <c r="E80" s="303">
        <v>70</v>
      </c>
      <c r="F80" s="186">
        <v>822999.01057000004</v>
      </c>
      <c r="G80" s="186">
        <v>1091401.5913</v>
      </c>
      <c r="H80" s="186">
        <v>-120.61795048668429</v>
      </c>
      <c r="I80" t="str">
        <f t="shared" si="10"/>
        <v>point 822999.01057,1091401.5913</v>
      </c>
      <c r="J80" s="193"/>
      <c r="K80" s="186" t="str">
        <f t="shared" si="11"/>
        <v>PM_70</v>
      </c>
      <c r="L80" s="186">
        <f t="shared" si="12"/>
        <v>822999.01057000004</v>
      </c>
      <c r="M80" s="186">
        <f t="shared" si="13"/>
        <v>1091401.5913</v>
      </c>
      <c r="N80" s="186">
        <f t="shared" si="14"/>
        <v>-120.61795048668429</v>
      </c>
      <c r="P80" s="207" t="str">
        <f t="shared" si="15"/>
        <v>PM_70</v>
      </c>
      <c r="Q80" s="273">
        <f t="shared" si="16"/>
        <v>70</v>
      </c>
      <c r="R80" s="207">
        <f t="shared" si="17"/>
        <v>-120.61795048668429</v>
      </c>
      <c r="S80" s="207">
        <f t="shared" si="18"/>
        <v>0</v>
      </c>
      <c r="U80" t="str">
        <f t="shared" si="19"/>
        <v>point 70,-120.617950486684</v>
      </c>
    </row>
    <row r="81" spans="5:21" ht="14.1" customHeight="1" x14ac:dyDescent="0.2">
      <c r="E81" s="303">
        <v>71</v>
      </c>
      <c r="F81" s="186">
        <v>822998.10426000005</v>
      </c>
      <c r="G81" s="186">
        <v>1091401.1686799999</v>
      </c>
      <c r="H81" s="186">
        <v>-120.60794788541037</v>
      </c>
      <c r="I81" t="str">
        <f t="shared" si="10"/>
        <v>point 822998.10426,1091401.16868</v>
      </c>
      <c r="J81" s="193"/>
      <c r="K81" s="186" t="str">
        <f t="shared" si="11"/>
        <v>PM_71</v>
      </c>
      <c r="L81" s="186">
        <f t="shared" si="12"/>
        <v>822998.10426000005</v>
      </c>
      <c r="M81" s="186">
        <f t="shared" si="13"/>
        <v>1091401.1686799999</v>
      </c>
      <c r="N81" s="186">
        <f t="shared" si="14"/>
        <v>-120.60794788541037</v>
      </c>
      <c r="P81" s="207" t="str">
        <f t="shared" si="15"/>
        <v>PM_71</v>
      </c>
      <c r="Q81" s="273">
        <f t="shared" si="16"/>
        <v>71</v>
      </c>
      <c r="R81" s="207">
        <f t="shared" si="17"/>
        <v>-120.60794788541037</v>
      </c>
      <c r="S81" s="207">
        <f t="shared" si="18"/>
        <v>0</v>
      </c>
      <c r="U81" t="str">
        <f t="shared" si="19"/>
        <v>point 71,-120.60794788541</v>
      </c>
    </row>
    <row r="82" spans="5:21" ht="14.1" customHeight="1" x14ac:dyDescent="0.2">
      <c r="E82" s="303">
        <v>72</v>
      </c>
      <c r="F82" s="186">
        <v>822997.19794999994</v>
      </c>
      <c r="G82" s="186">
        <v>1091400.74606</v>
      </c>
      <c r="H82" s="186">
        <v>-120.59794528413646</v>
      </c>
      <c r="I82" t="str">
        <f t="shared" si="10"/>
        <v>point 822997.19795,1091400.74606</v>
      </c>
      <c r="J82" s="193"/>
      <c r="K82" s="186" t="str">
        <f t="shared" si="11"/>
        <v>PM_72</v>
      </c>
      <c r="L82" s="186">
        <f t="shared" si="12"/>
        <v>822997.19794999994</v>
      </c>
      <c r="M82" s="186">
        <f t="shared" si="13"/>
        <v>1091400.74606</v>
      </c>
      <c r="N82" s="186">
        <f t="shared" si="14"/>
        <v>-120.59794528413646</v>
      </c>
      <c r="P82" s="207" t="str">
        <f t="shared" si="15"/>
        <v>PM_72</v>
      </c>
      <c r="Q82" s="273">
        <f t="shared" si="16"/>
        <v>72</v>
      </c>
      <c r="R82" s="207">
        <f t="shared" si="17"/>
        <v>-120.59794528413646</v>
      </c>
      <c r="S82" s="207">
        <f t="shared" si="18"/>
        <v>0</v>
      </c>
      <c r="U82" t="str">
        <f t="shared" si="19"/>
        <v>point 72,-120.597945284136</v>
      </c>
    </row>
    <row r="83" spans="5:21" ht="14.1" customHeight="1" x14ac:dyDescent="0.2">
      <c r="E83" s="303">
        <v>73</v>
      </c>
      <c r="F83" s="186">
        <v>822996.29163999995</v>
      </c>
      <c r="G83" s="186">
        <v>1091400.3234399999</v>
      </c>
      <c r="H83" s="186">
        <v>-120.58794268286253</v>
      </c>
      <c r="I83" t="str">
        <f t="shared" si="10"/>
        <v>point 822996.29164,1091400.32344</v>
      </c>
      <c r="J83" s="193"/>
      <c r="K83" s="186" t="str">
        <f t="shared" si="11"/>
        <v>PM_73</v>
      </c>
      <c r="L83" s="186">
        <f t="shared" si="12"/>
        <v>822996.29163999995</v>
      </c>
      <c r="M83" s="186">
        <f t="shared" si="13"/>
        <v>1091400.3234399999</v>
      </c>
      <c r="N83" s="186">
        <f t="shared" si="14"/>
        <v>-120.58794268286253</v>
      </c>
      <c r="P83" s="207" t="str">
        <f t="shared" si="15"/>
        <v>PM_73</v>
      </c>
      <c r="Q83" s="273">
        <f t="shared" si="16"/>
        <v>73</v>
      </c>
      <c r="R83" s="207">
        <f t="shared" si="17"/>
        <v>-120.58794268286253</v>
      </c>
      <c r="S83" s="207">
        <f t="shared" si="18"/>
        <v>0</v>
      </c>
      <c r="U83" t="str">
        <f t="shared" si="19"/>
        <v>point 73,-120.587942682863</v>
      </c>
    </row>
    <row r="84" spans="5:21" ht="14.1" customHeight="1" x14ac:dyDescent="0.2">
      <c r="E84" s="303">
        <v>74</v>
      </c>
      <c r="F84" s="186">
        <v>822995.38532999996</v>
      </c>
      <c r="G84" s="186">
        <v>1091399.9008299999</v>
      </c>
      <c r="H84" s="186">
        <v>-120.57794008158861</v>
      </c>
      <c r="I84" t="str">
        <f t="shared" si="10"/>
        <v>point 822995.38533,1091399.90083</v>
      </c>
      <c r="J84" s="193"/>
      <c r="K84" s="186" t="str">
        <f t="shared" si="11"/>
        <v>PM_74</v>
      </c>
      <c r="L84" s="186">
        <f t="shared" si="12"/>
        <v>822995.38532999996</v>
      </c>
      <c r="M84" s="186">
        <f t="shared" si="13"/>
        <v>1091399.9008299999</v>
      </c>
      <c r="N84" s="186">
        <f t="shared" si="14"/>
        <v>-120.57794008158861</v>
      </c>
      <c r="P84" s="207" t="str">
        <f t="shared" si="15"/>
        <v>PM_74</v>
      </c>
      <c r="Q84" s="273">
        <f t="shared" si="16"/>
        <v>74</v>
      </c>
      <c r="R84" s="207">
        <f t="shared" si="17"/>
        <v>-120.57794008158861</v>
      </c>
      <c r="S84" s="207">
        <f t="shared" si="18"/>
        <v>0</v>
      </c>
      <c r="U84" t="str">
        <f t="shared" si="19"/>
        <v>point 74,-120.577940081589</v>
      </c>
    </row>
    <row r="85" spans="5:21" ht="14.1" customHeight="1" x14ac:dyDescent="0.2">
      <c r="E85" s="303">
        <v>75</v>
      </c>
      <c r="F85" s="186">
        <v>822994.47903000005</v>
      </c>
      <c r="G85" s="186">
        <v>1091399.4782100001</v>
      </c>
      <c r="H85" s="186">
        <v>-120.56793748031468</v>
      </c>
      <c r="I85" t="str">
        <f t="shared" si="10"/>
        <v>point 822994.47903,1091399.47821</v>
      </c>
      <c r="J85" s="193"/>
      <c r="K85" s="186" t="str">
        <f t="shared" si="11"/>
        <v>PM_75</v>
      </c>
      <c r="L85" s="186">
        <f t="shared" si="12"/>
        <v>822994.47903000005</v>
      </c>
      <c r="M85" s="186">
        <f t="shared" si="13"/>
        <v>1091399.4782100001</v>
      </c>
      <c r="N85" s="186">
        <f t="shared" si="14"/>
        <v>-120.56793748031468</v>
      </c>
      <c r="P85" s="207" t="str">
        <f t="shared" si="15"/>
        <v>PM_75</v>
      </c>
      <c r="Q85" s="273">
        <f t="shared" si="16"/>
        <v>75</v>
      </c>
      <c r="R85" s="207">
        <f t="shared" si="17"/>
        <v>-120.56793748031468</v>
      </c>
      <c r="S85" s="207">
        <f t="shared" si="18"/>
        <v>0</v>
      </c>
      <c r="U85" t="str">
        <f t="shared" si="19"/>
        <v>point 75,-120.567937480315</v>
      </c>
    </row>
    <row r="86" spans="5:21" ht="14.1" customHeight="1" x14ac:dyDescent="0.2">
      <c r="E86" s="303">
        <v>76</v>
      </c>
      <c r="F86" s="186">
        <v>822993.57272000005</v>
      </c>
      <c r="G86" s="186">
        <v>1091399.05559</v>
      </c>
      <c r="H86" s="186">
        <v>-120.55793497674884</v>
      </c>
      <c r="I86" t="str">
        <f t="shared" si="10"/>
        <v>point 822993.57272,1091399.05559</v>
      </c>
      <c r="J86" s="193"/>
      <c r="K86" s="186" t="str">
        <f t="shared" si="11"/>
        <v>PM_76</v>
      </c>
      <c r="L86" s="186">
        <f t="shared" si="12"/>
        <v>822993.57272000005</v>
      </c>
      <c r="M86" s="186">
        <f t="shared" si="13"/>
        <v>1091399.05559</v>
      </c>
      <c r="N86" s="186">
        <f t="shared" si="14"/>
        <v>-120.55793497674884</v>
      </c>
      <c r="P86" s="207" t="str">
        <f t="shared" si="15"/>
        <v>PM_76</v>
      </c>
      <c r="Q86" s="273">
        <f t="shared" si="16"/>
        <v>76</v>
      </c>
      <c r="R86" s="207">
        <f t="shared" si="17"/>
        <v>-120.55793497674884</v>
      </c>
      <c r="S86" s="207">
        <f t="shared" si="18"/>
        <v>0</v>
      </c>
      <c r="U86" t="str">
        <f t="shared" si="19"/>
        <v>point 76,-120.557934976749</v>
      </c>
    </row>
    <row r="87" spans="5:21" ht="14.1" customHeight="1" x14ac:dyDescent="0.2">
      <c r="E87" s="303">
        <v>77</v>
      </c>
      <c r="F87" s="186">
        <v>822992.66640999995</v>
      </c>
      <c r="G87" s="186">
        <v>1091398.6329699999</v>
      </c>
      <c r="H87" s="186">
        <v>-120.54793447672384</v>
      </c>
      <c r="I87" t="str">
        <f t="shared" si="10"/>
        <v>point 822992.66641,1091398.63297</v>
      </c>
      <c r="J87" s="193"/>
      <c r="K87" s="186" t="str">
        <f t="shared" si="11"/>
        <v>PM_77</v>
      </c>
      <c r="L87" s="186">
        <f t="shared" si="12"/>
        <v>822992.66640999995</v>
      </c>
      <c r="M87" s="186">
        <f t="shared" si="13"/>
        <v>1091398.6329699999</v>
      </c>
      <c r="N87" s="186">
        <f t="shared" si="14"/>
        <v>-120.54793447672384</v>
      </c>
      <c r="P87" s="207" t="str">
        <f t="shared" si="15"/>
        <v>PM_77</v>
      </c>
      <c r="Q87" s="273">
        <f t="shared" si="16"/>
        <v>77</v>
      </c>
      <c r="R87" s="207">
        <f t="shared" si="17"/>
        <v>-120.54793447672384</v>
      </c>
      <c r="S87" s="207">
        <f t="shared" si="18"/>
        <v>0</v>
      </c>
      <c r="U87" t="str">
        <f t="shared" si="19"/>
        <v>point 77,-120.547934476724</v>
      </c>
    </row>
    <row r="88" spans="5:21" ht="14.1" customHeight="1" x14ac:dyDescent="0.2">
      <c r="E88" s="303">
        <v>78</v>
      </c>
      <c r="F88" s="186">
        <v>822991.76009999996</v>
      </c>
      <c r="G88" s="186">
        <v>1091398.2103500001</v>
      </c>
      <c r="H88" s="186">
        <v>-120.53793397669884</v>
      </c>
      <c r="I88" t="str">
        <f t="shared" si="10"/>
        <v>point 822991.7601,1091398.21035</v>
      </c>
      <c r="J88" s="193"/>
      <c r="K88" s="186" t="str">
        <f t="shared" si="11"/>
        <v>PM_78</v>
      </c>
      <c r="L88" s="186">
        <f t="shared" si="12"/>
        <v>822991.76009999996</v>
      </c>
      <c r="M88" s="186">
        <f t="shared" si="13"/>
        <v>1091398.2103500001</v>
      </c>
      <c r="N88" s="186">
        <f t="shared" si="14"/>
        <v>-120.53793397669884</v>
      </c>
      <c r="P88" s="207" t="str">
        <f t="shared" si="15"/>
        <v>PM_78</v>
      </c>
      <c r="Q88" s="273">
        <f t="shared" si="16"/>
        <v>78</v>
      </c>
      <c r="R88" s="207">
        <f t="shared" si="17"/>
        <v>-120.53793397669884</v>
      </c>
      <c r="S88" s="207">
        <f t="shared" si="18"/>
        <v>0</v>
      </c>
      <c r="U88" t="str">
        <f t="shared" si="19"/>
        <v>point 78,-120.537933976699</v>
      </c>
    </row>
    <row r="89" spans="5:21" ht="14.1" customHeight="1" x14ac:dyDescent="0.2">
      <c r="E89" s="303">
        <v>79</v>
      </c>
      <c r="F89" s="186">
        <v>822990.85380000004</v>
      </c>
      <c r="G89" s="186">
        <v>1091397.78773</v>
      </c>
      <c r="H89" s="186">
        <v>-120.52793347667384</v>
      </c>
      <c r="I89" t="str">
        <f t="shared" si="10"/>
        <v>point 822990.8538,1091397.78773</v>
      </c>
      <c r="J89" s="193"/>
      <c r="K89" s="186" t="str">
        <f t="shared" si="11"/>
        <v>PM_79</v>
      </c>
      <c r="L89" s="186">
        <f t="shared" si="12"/>
        <v>822990.85380000004</v>
      </c>
      <c r="M89" s="186">
        <f t="shared" si="13"/>
        <v>1091397.78773</v>
      </c>
      <c r="N89" s="186">
        <f t="shared" si="14"/>
        <v>-120.52793347667384</v>
      </c>
      <c r="P89" s="207" t="str">
        <f t="shared" si="15"/>
        <v>PM_79</v>
      </c>
      <c r="Q89" s="273">
        <f t="shared" si="16"/>
        <v>79</v>
      </c>
      <c r="R89" s="207">
        <f t="shared" si="17"/>
        <v>-120.52793347667384</v>
      </c>
      <c r="S89" s="207">
        <f t="shared" si="18"/>
        <v>0</v>
      </c>
      <c r="U89" t="str">
        <f t="shared" si="19"/>
        <v>point 79,-120.527933476674</v>
      </c>
    </row>
    <row r="90" spans="5:21" ht="14.1" customHeight="1" x14ac:dyDescent="0.2">
      <c r="E90" s="303">
        <v>80</v>
      </c>
      <c r="F90" s="186">
        <v>822989.94749000005</v>
      </c>
      <c r="G90" s="186">
        <v>1091397.3651099999</v>
      </c>
      <c r="H90" s="186">
        <v>-120.51793297664884</v>
      </c>
      <c r="I90" t="str">
        <f t="shared" si="10"/>
        <v>point 822989.94749,1091397.36511</v>
      </c>
      <c r="J90" s="186"/>
      <c r="K90" s="186" t="str">
        <f t="shared" si="11"/>
        <v>PM_80</v>
      </c>
      <c r="L90" s="186">
        <f t="shared" si="12"/>
        <v>822989.94749000005</v>
      </c>
      <c r="M90" s="186">
        <f t="shared" si="13"/>
        <v>1091397.3651099999</v>
      </c>
      <c r="N90" s="186">
        <f t="shared" si="14"/>
        <v>-120.51793297664884</v>
      </c>
      <c r="P90" s="207" t="str">
        <f t="shared" si="15"/>
        <v>PM_80</v>
      </c>
      <c r="Q90" s="273">
        <f t="shared" si="16"/>
        <v>80</v>
      </c>
      <c r="R90" s="207">
        <f t="shared" si="17"/>
        <v>-120.51793297664884</v>
      </c>
      <c r="S90" s="207">
        <f t="shared" si="18"/>
        <v>0</v>
      </c>
      <c r="U90" t="str">
        <f t="shared" si="19"/>
        <v>point 80,-120.517932976649</v>
      </c>
    </row>
    <row r="91" spans="5:21" ht="14.1" customHeight="1" x14ac:dyDescent="0.2">
      <c r="E91" s="303">
        <v>81</v>
      </c>
      <c r="F91" s="186">
        <v>822989.04117999994</v>
      </c>
      <c r="G91" s="186">
        <v>1091396.9424999999</v>
      </c>
      <c r="H91" s="186">
        <v>-120.50793247662384</v>
      </c>
      <c r="I91" t="str">
        <f t="shared" si="10"/>
        <v>point 822989.04118,1091396.9425</v>
      </c>
      <c r="K91" s="186" t="str">
        <f t="shared" si="11"/>
        <v>PM_81</v>
      </c>
      <c r="L91" s="186">
        <f t="shared" si="12"/>
        <v>822989.04117999994</v>
      </c>
      <c r="M91" s="186">
        <f t="shared" si="13"/>
        <v>1091396.9424999999</v>
      </c>
      <c r="N91" s="186">
        <f t="shared" si="14"/>
        <v>-120.50793247662384</v>
      </c>
      <c r="P91" s="207" t="str">
        <f t="shared" si="15"/>
        <v>PM_81</v>
      </c>
      <c r="Q91" s="273">
        <f t="shared" si="16"/>
        <v>81</v>
      </c>
      <c r="R91" s="207">
        <f t="shared" si="17"/>
        <v>-120.50793247662384</v>
      </c>
      <c r="S91" s="207">
        <f t="shared" si="18"/>
        <v>0</v>
      </c>
      <c r="U91" t="str">
        <f t="shared" si="19"/>
        <v>point 81,-120.507932476624</v>
      </c>
    </row>
    <row r="92" spans="5:21" ht="14.1" customHeight="1" x14ac:dyDescent="0.2">
      <c r="E92" s="303">
        <v>82</v>
      </c>
      <c r="F92" s="186">
        <v>822988.13486999995</v>
      </c>
      <c r="G92" s="186">
        <v>1091396.51988</v>
      </c>
      <c r="H92" s="186">
        <v>-120.49793197659884</v>
      </c>
      <c r="I92" t="str">
        <f t="shared" si="10"/>
        <v>point 822988.13487,1091396.51988</v>
      </c>
      <c r="K92" s="186" t="str">
        <f t="shared" si="11"/>
        <v>PM_82</v>
      </c>
      <c r="L92" s="186">
        <f t="shared" si="12"/>
        <v>822988.13486999995</v>
      </c>
      <c r="M92" s="186">
        <f t="shared" si="13"/>
        <v>1091396.51988</v>
      </c>
      <c r="N92" s="186">
        <f t="shared" si="14"/>
        <v>-120.49793197659884</v>
      </c>
      <c r="P92" s="207" t="str">
        <f t="shared" si="15"/>
        <v>PM_82</v>
      </c>
      <c r="Q92" s="273">
        <f t="shared" si="16"/>
        <v>82</v>
      </c>
      <c r="R92" s="207">
        <f t="shared" si="17"/>
        <v>-120.49793197659884</v>
      </c>
      <c r="S92" s="207">
        <f t="shared" si="18"/>
        <v>0</v>
      </c>
      <c r="U92" t="str">
        <f t="shared" si="19"/>
        <v>point 82,-120.497931976599</v>
      </c>
    </row>
    <row r="93" spans="5:21" ht="14.1" customHeight="1" x14ac:dyDescent="0.2">
      <c r="E93" s="303">
        <v>83</v>
      </c>
      <c r="F93" s="186">
        <v>822987.22857000004</v>
      </c>
      <c r="G93" s="186">
        <v>1091396.09726</v>
      </c>
      <c r="H93" s="186">
        <v>-120.48793147657383</v>
      </c>
      <c r="I93" t="str">
        <f t="shared" si="10"/>
        <v>point 822987.22857,1091396.09726</v>
      </c>
      <c r="K93" s="186" t="str">
        <f t="shared" si="11"/>
        <v>PM_83</v>
      </c>
      <c r="L93" s="186">
        <f t="shared" si="12"/>
        <v>822987.22857000004</v>
      </c>
      <c r="M93" s="186">
        <f t="shared" si="13"/>
        <v>1091396.09726</v>
      </c>
      <c r="N93" s="186">
        <f t="shared" si="14"/>
        <v>-120.48793147657383</v>
      </c>
      <c r="P93" s="207" t="str">
        <f t="shared" si="15"/>
        <v>PM_83</v>
      </c>
      <c r="Q93" s="273">
        <f t="shared" si="16"/>
        <v>83</v>
      </c>
      <c r="R93" s="207">
        <f t="shared" si="17"/>
        <v>-120.48793147657383</v>
      </c>
      <c r="S93" s="207">
        <f t="shared" si="18"/>
        <v>0</v>
      </c>
      <c r="U93" t="str">
        <f t="shared" si="19"/>
        <v>point 83,-120.487931476574</v>
      </c>
    </row>
    <row r="94" spans="5:21" ht="14.1" customHeight="1" x14ac:dyDescent="0.2">
      <c r="E94" s="303">
        <v>84</v>
      </c>
      <c r="F94" s="186">
        <v>822986.32226000004</v>
      </c>
      <c r="G94" s="186">
        <v>1091395.6746400001</v>
      </c>
      <c r="H94" s="186">
        <v>-120.47793097654883</v>
      </c>
      <c r="I94" t="str">
        <f t="shared" si="10"/>
        <v>point 822986.32226,1091395.67464</v>
      </c>
      <c r="K94" s="186" t="str">
        <f t="shared" si="11"/>
        <v>PM_84</v>
      </c>
      <c r="L94" s="186">
        <f t="shared" si="12"/>
        <v>822986.32226000004</v>
      </c>
      <c r="M94" s="186">
        <f t="shared" si="13"/>
        <v>1091395.6746400001</v>
      </c>
      <c r="N94" s="186">
        <f t="shared" si="14"/>
        <v>-120.47793097654883</v>
      </c>
      <c r="P94" s="207" t="str">
        <f t="shared" si="15"/>
        <v>PM_84</v>
      </c>
      <c r="Q94" s="273">
        <f t="shared" si="16"/>
        <v>84</v>
      </c>
      <c r="R94" s="207">
        <f t="shared" si="17"/>
        <v>-120.47793097654883</v>
      </c>
      <c r="S94" s="207">
        <f t="shared" si="18"/>
        <v>0</v>
      </c>
      <c r="U94" t="str">
        <f t="shared" si="19"/>
        <v>point 84,-120.477930976549</v>
      </c>
    </row>
    <row r="95" spans="5:21" ht="14.1" customHeight="1" x14ac:dyDescent="0.2">
      <c r="E95" s="303">
        <v>85</v>
      </c>
      <c r="F95" s="186">
        <v>822985.41595000005</v>
      </c>
      <c r="G95" s="186">
        <v>1091395.25202</v>
      </c>
      <c r="H95" s="186">
        <v>-120.46793047652382</v>
      </c>
      <c r="I95" t="str">
        <f t="shared" si="10"/>
        <v>point 822985.41595,1091395.25202</v>
      </c>
      <c r="K95" s="186" t="str">
        <f t="shared" si="11"/>
        <v>PM_85</v>
      </c>
      <c r="L95" s="186">
        <f t="shared" si="12"/>
        <v>822985.41595000005</v>
      </c>
      <c r="M95" s="186">
        <f t="shared" si="13"/>
        <v>1091395.25202</v>
      </c>
      <c r="N95" s="186">
        <f t="shared" si="14"/>
        <v>-120.46793047652382</v>
      </c>
      <c r="P95" s="207" t="str">
        <f t="shared" si="15"/>
        <v>PM_85</v>
      </c>
      <c r="Q95" s="273">
        <f t="shared" si="16"/>
        <v>85</v>
      </c>
      <c r="R95" s="207">
        <f t="shared" si="17"/>
        <v>-120.46793047652382</v>
      </c>
      <c r="S95" s="207">
        <f t="shared" si="18"/>
        <v>0</v>
      </c>
      <c r="U95" t="str">
        <f t="shared" si="19"/>
        <v>point 85,-120.467930476524</v>
      </c>
    </row>
    <row r="96" spans="5:21" ht="14.1" customHeight="1" x14ac:dyDescent="0.2">
      <c r="K96" s="186" t="str">
        <f t="shared" si="11"/>
        <v>PM_0</v>
      </c>
      <c r="L96" s="186">
        <f t="shared" si="12"/>
        <v>0</v>
      </c>
      <c r="M96" s="186">
        <f t="shared" si="13"/>
        <v>0</v>
      </c>
      <c r="N96" s="186">
        <f t="shared" si="14"/>
        <v>0</v>
      </c>
      <c r="P96" s="207" t="str">
        <f t="shared" si="15"/>
        <v>PM_0</v>
      </c>
      <c r="Q96" s="273">
        <f t="shared" si="16"/>
        <v>0</v>
      </c>
      <c r="R96" s="207">
        <f t="shared" si="17"/>
        <v>0</v>
      </c>
      <c r="S96" s="207">
        <f t="shared" si="18"/>
        <v>0</v>
      </c>
      <c r="U96" t="str">
        <f t="shared" si="19"/>
        <v>point 0,0</v>
      </c>
    </row>
    <row r="97" spans="4:21" ht="14.1" customHeight="1" x14ac:dyDescent="0.2">
      <c r="K97" s="186" t="str">
        <f t="shared" si="11"/>
        <v>PM_0</v>
      </c>
      <c r="L97" s="186">
        <f t="shared" si="12"/>
        <v>0</v>
      </c>
      <c r="M97" s="186">
        <f t="shared" si="13"/>
        <v>0</v>
      </c>
      <c r="N97" s="186">
        <f t="shared" si="14"/>
        <v>0</v>
      </c>
      <c r="P97" s="207" t="str">
        <f t="shared" si="15"/>
        <v>PM_0</v>
      </c>
      <c r="Q97" s="273">
        <f t="shared" si="16"/>
        <v>0</v>
      </c>
      <c r="R97" s="207">
        <f t="shared" si="17"/>
        <v>0</v>
      </c>
      <c r="S97" s="207">
        <f t="shared" si="18"/>
        <v>0</v>
      </c>
      <c r="U97" t="str">
        <f t="shared" si="19"/>
        <v>point 0,0</v>
      </c>
    </row>
    <row r="98" spans="4:21" ht="14.1" customHeight="1" x14ac:dyDescent="0.2">
      <c r="K98" s="186" t="str">
        <f t="shared" si="11"/>
        <v>PM_0</v>
      </c>
      <c r="L98" s="186">
        <f t="shared" si="12"/>
        <v>0</v>
      </c>
      <c r="M98" s="186">
        <f t="shared" si="13"/>
        <v>0</v>
      </c>
      <c r="N98" s="186">
        <f t="shared" si="14"/>
        <v>0</v>
      </c>
      <c r="P98" s="207" t="str">
        <f t="shared" si="15"/>
        <v>PM_0</v>
      </c>
      <c r="Q98" s="273">
        <f t="shared" si="16"/>
        <v>0</v>
      </c>
      <c r="R98" s="207">
        <f t="shared" si="17"/>
        <v>0</v>
      </c>
      <c r="S98" s="207">
        <f t="shared" si="18"/>
        <v>0</v>
      </c>
      <c r="U98" t="str">
        <f t="shared" si="19"/>
        <v>point 0,0</v>
      </c>
    </row>
    <row r="99" spans="4:21" ht="14.1" customHeight="1" x14ac:dyDescent="0.2">
      <c r="K99" s="186" t="str">
        <f t="shared" si="11"/>
        <v>PM_0</v>
      </c>
      <c r="L99" s="186">
        <f t="shared" si="12"/>
        <v>0</v>
      </c>
      <c r="M99" s="186">
        <f t="shared" si="13"/>
        <v>0</v>
      </c>
      <c r="N99" s="186">
        <f t="shared" si="14"/>
        <v>0</v>
      </c>
      <c r="P99" s="207" t="str">
        <f t="shared" si="15"/>
        <v>PM_0</v>
      </c>
      <c r="Q99" s="273">
        <f t="shared" si="16"/>
        <v>0</v>
      </c>
      <c r="R99" s="207">
        <f t="shared" si="17"/>
        <v>0</v>
      </c>
      <c r="S99" s="207">
        <f t="shared" si="18"/>
        <v>0</v>
      </c>
      <c r="U99" t="str">
        <f t="shared" si="19"/>
        <v>point 0,0</v>
      </c>
    </row>
    <row r="100" spans="4:21" ht="14.1" customHeight="1" x14ac:dyDescent="0.2">
      <c r="K100" s="186" t="str">
        <f t="shared" si="11"/>
        <v>PM_0</v>
      </c>
      <c r="L100" s="186">
        <f t="shared" si="12"/>
        <v>0</v>
      </c>
      <c r="M100" s="186">
        <f t="shared" si="13"/>
        <v>0</v>
      </c>
      <c r="N100" s="186">
        <f t="shared" si="14"/>
        <v>0</v>
      </c>
      <c r="P100" s="207" t="str">
        <f t="shared" si="15"/>
        <v>PM_0</v>
      </c>
      <c r="Q100" s="273">
        <f t="shared" si="16"/>
        <v>0</v>
      </c>
      <c r="R100" s="207">
        <f t="shared" si="17"/>
        <v>0</v>
      </c>
      <c r="S100" s="207">
        <f t="shared" si="18"/>
        <v>0</v>
      </c>
      <c r="U100" t="str">
        <f t="shared" si="19"/>
        <v>point 0,0</v>
      </c>
    </row>
    <row r="101" spans="4:21" ht="14.1" customHeight="1" x14ac:dyDescent="0.2">
      <c r="K101" s="186" t="str">
        <f t="shared" si="11"/>
        <v>PM_0</v>
      </c>
      <c r="L101" s="186">
        <f t="shared" si="12"/>
        <v>0</v>
      </c>
      <c r="M101" s="186">
        <f t="shared" si="13"/>
        <v>0</v>
      </c>
      <c r="N101" s="186">
        <f t="shared" si="14"/>
        <v>0</v>
      </c>
      <c r="P101" s="207" t="str">
        <f t="shared" si="15"/>
        <v>PM_0</v>
      </c>
      <c r="Q101" s="273">
        <f t="shared" si="16"/>
        <v>0</v>
      </c>
      <c r="R101" s="207">
        <f t="shared" si="17"/>
        <v>0</v>
      </c>
      <c r="S101" s="207">
        <f t="shared" si="18"/>
        <v>0</v>
      </c>
      <c r="U101" t="str">
        <f t="shared" si="19"/>
        <v>point 0,0</v>
      </c>
    </row>
    <row r="102" spans="4:21" ht="14.1" customHeight="1" x14ac:dyDescent="0.2">
      <c r="K102" s="186" t="str">
        <f t="shared" si="11"/>
        <v>PM_0</v>
      </c>
      <c r="L102" s="186">
        <f t="shared" si="12"/>
        <v>0</v>
      </c>
      <c r="M102" s="186">
        <f t="shared" si="13"/>
        <v>0</v>
      </c>
      <c r="N102" s="186">
        <f t="shared" si="14"/>
        <v>0</v>
      </c>
      <c r="P102" s="207" t="str">
        <f t="shared" si="15"/>
        <v>PM_0</v>
      </c>
      <c r="Q102" s="273">
        <f t="shared" si="16"/>
        <v>0</v>
      </c>
      <c r="R102" s="207">
        <f t="shared" si="17"/>
        <v>0</v>
      </c>
      <c r="S102" s="207">
        <f t="shared" si="18"/>
        <v>0</v>
      </c>
      <c r="U102" t="str">
        <f t="shared" si="19"/>
        <v>point 0,0</v>
      </c>
    </row>
    <row r="103" spans="4:21" ht="14.1" customHeight="1" x14ac:dyDescent="0.2">
      <c r="K103" s="186" t="str">
        <f t="shared" si="11"/>
        <v>PM_0</v>
      </c>
      <c r="L103" s="186">
        <f t="shared" si="12"/>
        <v>0</v>
      </c>
      <c r="M103" s="186">
        <f t="shared" si="13"/>
        <v>0</v>
      </c>
      <c r="N103" s="186">
        <f t="shared" si="14"/>
        <v>0</v>
      </c>
      <c r="P103" s="207" t="str">
        <f t="shared" si="15"/>
        <v>PM_0</v>
      </c>
      <c r="Q103" s="273">
        <f t="shared" si="16"/>
        <v>0</v>
      </c>
      <c r="R103" s="207">
        <f t="shared" si="17"/>
        <v>0</v>
      </c>
      <c r="S103" s="207">
        <f t="shared" si="18"/>
        <v>0</v>
      </c>
      <c r="U103" t="str">
        <f t="shared" si="19"/>
        <v>point 0,0</v>
      </c>
    </row>
    <row r="104" spans="4:21" ht="14.1" customHeight="1" x14ac:dyDescent="0.2">
      <c r="K104" s="186" t="str">
        <f t="shared" si="11"/>
        <v>PM_0</v>
      </c>
      <c r="L104" s="186">
        <f t="shared" si="12"/>
        <v>0</v>
      </c>
      <c r="M104" s="186">
        <f t="shared" si="13"/>
        <v>0</v>
      </c>
      <c r="N104" s="186">
        <f t="shared" si="14"/>
        <v>0</v>
      </c>
      <c r="P104" s="207" t="str">
        <f t="shared" si="15"/>
        <v>PM_0</v>
      </c>
      <c r="Q104" s="273">
        <f t="shared" si="16"/>
        <v>0</v>
      </c>
      <c r="R104" s="207">
        <f t="shared" si="17"/>
        <v>0</v>
      </c>
      <c r="S104" s="207">
        <f t="shared" si="18"/>
        <v>0</v>
      </c>
      <c r="U104" t="str">
        <f t="shared" si="19"/>
        <v>point 0,0</v>
      </c>
    </row>
    <row r="105" spans="4:21" ht="14.1" customHeight="1" x14ac:dyDescent="0.2">
      <c r="K105" s="186" t="str">
        <f t="shared" si="11"/>
        <v>PM_0</v>
      </c>
      <c r="L105" s="186">
        <f t="shared" si="12"/>
        <v>0</v>
      </c>
      <c r="M105" s="186">
        <f t="shared" si="13"/>
        <v>0</v>
      </c>
      <c r="N105" s="186">
        <f t="shared" si="14"/>
        <v>0</v>
      </c>
      <c r="P105" s="207" t="str">
        <f t="shared" si="15"/>
        <v>PM_0</v>
      </c>
      <c r="Q105" s="273">
        <f t="shared" si="16"/>
        <v>0</v>
      </c>
      <c r="R105" s="207">
        <f t="shared" si="17"/>
        <v>0</v>
      </c>
      <c r="S105" s="207">
        <f t="shared" si="18"/>
        <v>0</v>
      </c>
      <c r="U105" t="str">
        <f t="shared" si="19"/>
        <v>point 0,0</v>
      </c>
    </row>
    <row r="106" spans="4:21" ht="14.1" customHeight="1" x14ac:dyDescent="0.2">
      <c r="D106" s="207"/>
      <c r="K106" s="186" t="str">
        <f t="shared" si="11"/>
        <v>PM_0</v>
      </c>
      <c r="L106" s="186">
        <f t="shared" si="12"/>
        <v>0</v>
      </c>
      <c r="M106" s="186">
        <f t="shared" si="13"/>
        <v>0</v>
      </c>
      <c r="N106" s="186">
        <f t="shared" si="14"/>
        <v>0</v>
      </c>
      <c r="P106" s="207" t="str">
        <f t="shared" si="15"/>
        <v>PM_0</v>
      </c>
      <c r="Q106" s="273">
        <f t="shared" si="16"/>
        <v>0</v>
      </c>
      <c r="R106" s="207">
        <f t="shared" si="17"/>
        <v>0</v>
      </c>
      <c r="S106" s="207">
        <f t="shared" si="18"/>
        <v>0</v>
      </c>
      <c r="U106" t="str">
        <f t="shared" si="19"/>
        <v>point 0,0</v>
      </c>
    </row>
    <row r="107" spans="4:21" ht="14.1" customHeight="1" x14ac:dyDescent="0.2">
      <c r="D107" s="207"/>
      <c r="K107" s="186" t="str">
        <f t="shared" si="11"/>
        <v>PM_0</v>
      </c>
      <c r="L107" s="186">
        <f t="shared" si="12"/>
        <v>0</v>
      </c>
      <c r="M107" s="186">
        <f t="shared" si="13"/>
        <v>0</v>
      </c>
      <c r="N107" s="186">
        <f t="shared" si="14"/>
        <v>0</v>
      </c>
      <c r="P107" s="207" t="str">
        <f t="shared" si="15"/>
        <v>PM_0</v>
      </c>
      <c r="Q107" s="273">
        <f t="shared" si="16"/>
        <v>0</v>
      </c>
      <c r="R107" s="207">
        <f t="shared" si="17"/>
        <v>0</v>
      </c>
      <c r="S107" s="207">
        <f t="shared" si="18"/>
        <v>0</v>
      </c>
      <c r="U107" t="str">
        <f t="shared" si="19"/>
        <v>point 0,0</v>
      </c>
    </row>
    <row r="108" spans="4:21" ht="14.1" customHeight="1" x14ac:dyDescent="0.2">
      <c r="D108" s="207"/>
      <c r="K108" s="186" t="str">
        <f t="shared" si="11"/>
        <v>PM_0</v>
      </c>
      <c r="L108" s="186">
        <f t="shared" si="12"/>
        <v>0</v>
      </c>
      <c r="M108" s="186">
        <f t="shared" si="13"/>
        <v>0</v>
      </c>
      <c r="N108" s="186">
        <f t="shared" si="14"/>
        <v>0</v>
      </c>
      <c r="P108" s="207" t="str">
        <f t="shared" si="15"/>
        <v>PM_0</v>
      </c>
      <c r="Q108" s="273">
        <f t="shared" si="16"/>
        <v>0</v>
      </c>
      <c r="R108" s="207">
        <f t="shared" si="17"/>
        <v>0</v>
      </c>
      <c r="S108" s="207">
        <f t="shared" si="18"/>
        <v>0</v>
      </c>
      <c r="U108" t="str">
        <f t="shared" si="19"/>
        <v>point 0,0</v>
      </c>
    </row>
    <row r="109" spans="4:21" ht="14.1" customHeight="1" x14ac:dyDescent="0.2">
      <c r="D109" s="207"/>
      <c r="K109" s="186" t="str">
        <f t="shared" si="11"/>
        <v>PM_0</v>
      </c>
      <c r="L109" s="186">
        <f t="shared" si="12"/>
        <v>0</v>
      </c>
      <c r="M109" s="186">
        <f t="shared" si="13"/>
        <v>0</v>
      </c>
      <c r="N109" s="186">
        <f t="shared" si="14"/>
        <v>0</v>
      </c>
      <c r="P109" s="207" t="str">
        <f t="shared" si="15"/>
        <v>PM_0</v>
      </c>
      <c r="Q109" s="273">
        <f t="shared" si="16"/>
        <v>0</v>
      </c>
      <c r="R109" s="207">
        <f t="shared" si="17"/>
        <v>0</v>
      </c>
      <c r="S109" s="207">
        <f t="shared" si="18"/>
        <v>0</v>
      </c>
      <c r="U109" t="str">
        <f t="shared" si="19"/>
        <v>point 0,0</v>
      </c>
    </row>
    <row r="110" spans="4:21" ht="14.1" customHeight="1" x14ac:dyDescent="0.2">
      <c r="D110" s="207"/>
      <c r="K110" s="186" t="str">
        <f t="shared" si="11"/>
        <v>PM_0</v>
      </c>
      <c r="L110" s="186">
        <f t="shared" si="12"/>
        <v>0</v>
      </c>
      <c r="M110" s="186">
        <f t="shared" si="13"/>
        <v>0</v>
      </c>
      <c r="N110" s="186">
        <f t="shared" si="14"/>
        <v>0</v>
      </c>
      <c r="P110" s="207" t="str">
        <f t="shared" si="15"/>
        <v>PM_0</v>
      </c>
      <c r="Q110" s="273">
        <f t="shared" si="16"/>
        <v>0</v>
      </c>
      <c r="R110" s="207">
        <f t="shared" si="17"/>
        <v>0</v>
      </c>
      <c r="S110" s="207">
        <f t="shared" si="18"/>
        <v>0</v>
      </c>
      <c r="U110" t="str">
        <f t="shared" si="19"/>
        <v>point 0,0</v>
      </c>
    </row>
    <row r="111" spans="4:21" ht="14.1" customHeight="1" x14ac:dyDescent="0.2">
      <c r="D111" s="207"/>
      <c r="K111" s="186" t="str">
        <f t="shared" si="11"/>
        <v>PM_0</v>
      </c>
      <c r="L111" s="186">
        <f t="shared" si="12"/>
        <v>0</v>
      </c>
      <c r="M111" s="186">
        <f t="shared" si="13"/>
        <v>0</v>
      </c>
      <c r="N111" s="186">
        <f t="shared" si="14"/>
        <v>0</v>
      </c>
      <c r="P111" s="207" t="str">
        <f t="shared" si="15"/>
        <v>PM_0</v>
      </c>
      <c r="Q111" s="273">
        <f t="shared" si="16"/>
        <v>0</v>
      </c>
      <c r="R111" s="207">
        <f t="shared" si="17"/>
        <v>0</v>
      </c>
      <c r="S111" s="207">
        <f t="shared" si="18"/>
        <v>0</v>
      </c>
    </row>
    <row r="112" spans="4:21" ht="14.1" customHeight="1" x14ac:dyDescent="0.2">
      <c r="D112" s="207"/>
      <c r="K112" s="186" t="str">
        <f t="shared" si="11"/>
        <v>PM_0</v>
      </c>
      <c r="L112" s="186">
        <f t="shared" si="12"/>
        <v>0</v>
      </c>
      <c r="M112" s="186">
        <f t="shared" si="13"/>
        <v>0</v>
      </c>
      <c r="N112" s="186">
        <f t="shared" si="14"/>
        <v>0</v>
      </c>
      <c r="P112" s="207" t="str">
        <f t="shared" si="15"/>
        <v>PM_0</v>
      </c>
      <c r="Q112" s="273">
        <f t="shared" si="16"/>
        <v>0</v>
      </c>
      <c r="R112" s="207">
        <f t="shared" si="17"/>
        <v>0</v>
      </c>
      <c r="S112" s="207">
        <f t="shared" si="18"/>
        <v>0</v>
      </c>
    </row>
    <row r="113" spans="4:19" ht="14.1" customHeight="1" x14ac:dyDescent="0.2">
      <c r="D113" s="207"/>
      <c r="K113" s="186" t="str">
        <f t="shared" si="11"/>
        <v>PM_0</v>
      </c>
      <c r="L113" s="186">
        <f t="shared" si="12"/>
        <v>0</v>
      </c>
      <c r="M113" s="186">
        <f t="shared" si="13"/>
        <v>0</v>
      </c>
      <c r="N113" s="186">
        <f t="shared" si="14"/>
        <v>0</v>
      </c>
      <c r="P113" s="207" t="str">
        <f t="shared" si="15"/>
        <v>PM_0</v>
      </c>
      <c r="Q113" s="273">
        <f t="shared" si="16"/>
        <v>0</v>
      </c>
      <c r="R113" s="207">
        <f t="shared" si="17"/>
        <v>0</v>
      </c>
      <c r="S113" s="207">
        <f t="shared" si="18"/>
        <v>0</v>
      </c>
    </row>
    <row r="114" spans="4:19" ht="14.1" customHeight="1" x14ac:dyDescent="0.2">
      <c r="D114" s="207"/>
      <c r="K114" s="186" t="str">
        <f t="shared" si="11"/>
        <v>PM_0</v>
      </c>
      <c r="L114" s="186">
        <f t="shared" si="12"/>
        <v>0</v>
      </c>
      <c r="M114" s="186">
        <f t="shared" si="13"/>
        <v>0</v>
      </c>
      <c r="N114" s="186">
        <f t="shared" si="14"/>
        <v>0</v>
      </c>
      <c r="P114" s="207" t="str">
        <f t="shared" si="15"/>
        <v>PM_0</v>
      </c>
      <c r="Q114" s="273">
        <f t="shared" si="16"/>
        <v>0</v>
      </c>
      <c r="R114" s="207">
        <f t="shared" si="17"/>
        <v>0</v>
      </c>
      <c r="S114" s="207">
        <f t="shared" si="18"/>
        <v>0</v>
      </c>
    </row>
    <row r="115" spans="4:19" ht="14.1" customHeight="1" x14ac:dyDescent="0.2">
      <c r="D115" s="207"/>
      <c r="K115" s="186" t="str">
        <f t="shared" si="11"/>
        <v>PM_0</v>
      </c>
      <c r="L115" s="186">
        <f t="shared" si="12"/>
        <v>0</v>
      </c>
      <c r="M115" s="186">
        <f t="shared" si="13"/>
        <v>0</v>
      </c>
      <c r="N115" s="186">
        <f t="shared" si="14"/>
        <v>0</v>
      </c>
      <c r="P115" s="207" t="str">
        <f t="shared" si="15"/>
        <v>PM_0</v>
      </c>
      <c r="Q115" s="273">
        <f t="shared" si="16"/>
        <v>0</v>
      </c>
      <c r="R115" s="207">
        <f t="shared" si="17"/>
        <v>0</v>
      </c>
      <c r="S115" s="207">
        <f t="shared" si="18"/>
        <v>0</v>
      </c>
    </row>
    <row r="116" spans="4:19" ht="14.1" customHeight="1" x14ac:dyDescent="0.2">
      <c r="D116" s="207"/>
      <c r="K116" s="186" t="str">
        <f t="shared" si="11"/>
        <v>PM_0</v>
      </c>
      <c r="L116" s="186">
        <f t="shared" si="12"/>
        <v>0</v>
      </c>
      <c r="M116" s="186">
        <f t="shared" si="13"/>
        <v>0</v>
      </c>
      <c r="N116" s="186">
        <f t="shared" si="14"/>
        <v>0</v>
      </c>
      <c r="P116" s="207" t="str">
        <f t="shared" si="15"/>
        <v>PM_0</v>
      </c>
      <c r="Q116" s="273">
        <f t="shared" si="16"/>
        <v>0</v>
      </c>
      <c r="R116" s="207">
        <f t="shared" si="17"/>
        <v>0</v>
      </c>
      <c r="S116" s="207">
        <f t="shared" si="18"/>
        <v>0</v>
      </c>
    </row>
    <row r="117" spans="4:19" ht="14.1" customHeight="1" x14ac:dyDescent="0.2">
      <c r="D117" s="207"/>
      <c r="K117" s="186" t="str">
        <f t="shared" si="11"/>
        <v>PM_0</v>
      </c>
      <c r="L117" s="186">
        <f t="shared" si="12"/>
        <v>0</v>
      </c>
      <c r="M117" s="186">
        <f t="shared" si="13"/>
        <v>0</v>
      </c>
      <c r="N117" s="186">
        <f t="shared" si="14"/>
        <v>0</v>
      </c>
      <c r="P117" s="207" t="str">
        <f t="shared" si="15"/>
        <v>PM_0</v>
      </c>
      <c r="Q117" s="273">
        <f t="shared" si="16"/>
        <v>0</v>
      </c>
      <c r="R117" s="207">
        <f t="shared" si="17"/>
        <v>0</v>
      </c>
      <c r="S117" s="207">
        <f t="shared" si="18"/>
        <v>0</v>
      </c>
    </row>
    <row r="118" spans="4:19" ht="14.1" customHeight="1" x14ac:dyDescent="0.2">
      <c r="D118" s="207"/>
      <c r="K118" s="186" t="str">
        <f t="shared" si="11"/>
        <v>PM_0</v>
      </c>
      <c r="L118" s="186">
        <f t="shared" si="12"/>
        <v>0</v>
      </c>
      <c r="M118" s="186">
        <f t="shared" si="13"/>
        <v>0</v>
      </c>
      <c r="N118" s="186">
        <f t="shared" si="14"/>
        <v>0</v>
      </c>
      <c r="P118" s="207" t="str">
        <f t="shared" si="15"/>
        <v>PM_0</v>
      </c>
      <c r="Q118" s="273">
        <f t="shared" si="16"/>
        <v>0</v>
      </c>
      <c r="R118" s="207">
        <f t="shared" si="17"/>
        <v>0</v>
      </c>
      <c r="S118" s="207">
        <f t="shared" si="18"/>
        <v>0</v>
      </c>
    </row>
    <row r="119" spans="4:19" ht="14.1" customHeight="1" x14ac:dyDescent="0.2">
      <c r="D119" s="207"/>
      <c r="K119" s="186" t="str">
        <f t="shared" si="11"/>
        <v>PM_0</v>
      </c>
      <c r="L119" s="186">
        <f t="shared" si="12"/>
        <v>0</v>
      </c>
      <c r="M119" s="186">
        <f t="shared" si="13"/>
        <v>0</v>
      </c>
      <c r="N119" s="186">
        <f t="shared" si="14"/>
        <v>0</v>
      </c>
      <c r="P119" s="207" t="str">
        <f t="shared" si="15"/>
        <v>PM_0</v>
      </c>
      <c r="Q119" s="273">
        <f t="shared" si="16"/>
        <v>0</v>
      </c>
      <c r="R119" s="207">
        <f t="shared" si="17"/>
        <v>0</v>
      </c>
      <c r="S119" s="207">
        <f t="shared" si="18"/>
        <v>0</v>
      </c>
    </row>
    <row r="120" spans="4:19" ht="14.1" customHeight="1" x14ac:dyDescent="0.2">
      <c r="D120" s="207"/>
      <c r="K120" s="186" t="str">
        <f t="shared" si="11"/>
        <v>PM_0</v>
      </c>
      <c r="L120" s="186">
        <f t="shared" si="12"/>
        <v>0</v>
      </c>
      <c r="M120" s="186">
        <f t="shared" si="13"/>
        <v>0</v>
      </c>
      <c r="N120" s="186">
        <f t="shared" si="14"/>
        <v>0</v>
      </c>
      <c r="P120" s="207" t="str">
        <f t="shared" si="15"/>
        <v>PM_0</v>
      </c>
      <c r="Q120" s="273">
        <f t="shared" si="16"/>
        <v>0</v>
      </c>
      <c r="R120" s="207">
        <f t="shared" si="17"/>
        <v>0</v>
      </c>
      <c r="S120" s="207">
        <f t="shared" si="18"/>
        <v>0</v>
      </c>
    </row>
    <row r="121" spans="4:19" ht="14.1" customHeight="1" x14ac:dyDescent="0.2">
      <c r="D121" s="207"/>
      <c r="K121" s="186" t="str">
        <f t="shared" si="11"/>
        <v>PM_0</v>
      </c>
      <c r="L121" s="186">
        <f t="shared" si="12"/>
        <v>0</v>
      </c>
      <c r="M121" s="186">
        <f t="shared" si="13"/>
        <v>0</v>
      </c>
      <c r="N121" s="186">
        <f t="shared" si="14"/>
        <v>0</v>
      </c>
      <c r="P121" s="207" t="str">
        <f t="shared" si="15"/>
        <v>PM_0</v>
      </c>
      <c r="Q121" s="273">
        <f t="shared" si="16"/>
        <v>0</v>
      </c>
      <c r="R121" s="207">
        <f t="shared" si="17"/>
        <v>0</v>
      </c>
      <c r="S121" s="207">
        <f t="shared" si="18"/>
        <v>0</v>
      </c>
    </row>
    <row r="122" spans="4:19" ht="14.1" customHeight="1" x14ac:dyDescent="0.2">
      <c r="D122" s="207"/>
      <c r="K122" s="186" t="str">
        <f t="shared" si="11"/>
        <v>PM_0</v>
      </c>
      <c r="L122" s="186">
        <f t="shared" si="12"/>
        <v>0</v>
      </c>
      <c r="M122" s="186">
        <f t="shared" si="13"/>
        <v>0</v>
      </c>
      <c r="N122" s="186">
        <f t="shared" si="14"/>
        <v>0</v>
      </c>
      <c r="P122" s="207" t="str">
        <f t="shared" si="15"/>
        <v>PM_0</v>
      </c>
      <c r="Q122" s="273">
        <f t="shared" si="16"/>
        <v>0</v>
      </c>
      <c r="R122" s="207">
        <f t="shared" si="17"/>
        <v>0</v>
      </c>
      <c r="S122" s="207">
        <f t="shared" si="18"/>
        <v>0</v>
      </c>
    </row>
    <row r="123" spans="4:19" ht="14.1" customHeight="1" x14ac:dyDescent="0.2">
      <c r="K123" s="186" t="str">
        <f t="shared" si="11"/>
        <v>PM_0</v>
      </c>
      <c r="L123" s="186">
        <f t="shared" si="12"/>
        <v>0</v>
      </c>
      <c r="M123" s="186">
        <f t="shared" si="13"/>
        <v>0</v>
      </c>
      <c r="N123" s="186">
        <f t="shared" si="14"/>
        <v>0</v>
      </c>
      <c r="P123" s="207" t="str">
        <f t="shared" si="15"/>
        <v>PM_0</v>
      </c>
      <c r="Q123" s="273">
        <f t="shared" si="16"/>
        <v>0</v>
      </c>
      <c r="R123" s="207">
        <f t="shared" si="17"/>
        <v>0</v>
      </c>
      <c r="S123" s="207">
        <f t="shared" si="18"/>
        <v>0</v>
      </c>
    </row>
    <row r="124" spans="4:19" ht="14.1" customHeight="1" x14ac:dyDescent="0.2">
      <c r="K124" s="186" t="str">
        <f t="shared" si="11"/>
        <v>PM_0</v>
      </c>
      <c r="L124" s="186">
        <f t="shared" si="12"/>
        <v>0</v>
      </c>
      <c r="M124" s="186">
        <f t="shared" si="13"/>
        <v>0</v>
      </c>
      <c r="N124" s="186">
        <f t="shared" si="14"/>
        <v>0</v>
      </c>
      <c r="P124" s="207" t="str">
        <f t="shared" si="15"/>
        <v>PM_0</v>
      </c>
      <c r="Q124" s="273">
        <f t="shared" si="16"/>
        <v>0</v>
      </c>
      <c r="R124" s="207">
        <f t="shared" si="17"/>
        <v>0</v>
      </c>
      <c r="S124" s="207">
        <f t="shared" si="18"/>
        <v>0</v>
      </c>
    </row>
    <row r="125" spans="4:19" ht="14.1" customHeight="1" x14ac:dyDescent="0.2">
      <c r="K125" s="186" t="str">
        <f t="shared" si="11"/>
        <v>PM_0</v>
      </c>
      <c r="L125" s="186">
        <f t="shared" si="12"/>
        <v>0</v>
      </c>
      <c r="M125" s="186">
        <f t="shared" si="13"/>
        <v>0</v>
      </c>
      <c r="N125" s="186">
        <f t="shared" si="14"/>
        <v>0</v>
      </c>
      <c r="P125" s="207" t="str">
        <f t="shared" si="15"/>
        <v>PM_0</v>
      </c>
      <c r="Q125" s="273">
        <f t="shared" si="16"/>
        <v>0</v>
      </c>
      <c r="R125" s="207">
        <f t="shared" si="17"/>
        <v>0</v>
      </c>
      <c r="S125" s="207">
        <f t="shared" si="18"/>
        <v>0</v>
      </c>
    </row>
    <row r="126" spans="4:19" ht="14.1" customHeight="1" x14ac:dyDescent="0.2">
      <c r="K126" s="186" t="str">
        <f t="shared" si="11"/>
        <v>PM_0</v>
      </c>
      <c r="L126" s="186">
        <f t="shared" si="12"/>
        <v>0</v>
      </c>
      <c r="M126" s="186">
        <f t="shared" si="13"/>
        <v>0</v>
      </c>
      <c r="N126" s="186">
        <f t="shared" si="14"/>
        <v>0</v>
      </c>
      <c r="P126" s="207" t="str">
        <f t="shared" si="15"/>
        <v>PM_0</v>
      </c>
      <c r="Q126" s="273">
        <f t="shared" si="16"/>
        <v>0</v>
      </c>
      <c r="R126" s="207">
        <f t="shared" si="17"/>
        <v>0</v>
      </c>
      <c r="S126" s="207">
        <f t="shared" si="18"/>
        <v>0</v>
      </c>
    </row>
    <row r="127" spans="4:19" ht="14.1" customHeight="1" x14ac:dyDescent="0.2">
      <c r="K127" s="186" t="str">
        <f t="shared" si="11"/>
        <v>PM_0</v>
      </c>
      <c r="L127" s="186">
        <f t="shared" si="12"/>
        <v>0</v>
      </c>
      <c r="M127" s="186">
        <f t="shared" si="13"/>
        <v>0</v>
      </c>
      <c r="N127" s="186">
        <f t="shared" si="14"/>
        <v>0</v>
      </c>
      <c r="P127" s="207" t="str">
        <f t="shared" si="15"/>
        <v>PM_0</v>
      </c>
      <c r="Q127" s="273">
        <f t="shared" si="16"/>
        <v>0</v>
      </c>
      <c r="R127" s="207">
        <f t="shared" si="17"/>
        <v>0</v>
      </c>
      <c r="S127" s="207">
        <f t="shared" si="18"/>
        <v>0</v>
      </c>
    </row>
    <row r="128" spans="4:19" ht="14.1" customHeight="1" x14ac:dyDescent="0.2">
      <c r="K128" s="186" t="str">
        <f t="shared" si="11"/>
        <v>PM_0</v>
      </c>
      <c r="L128" s="186">
        <f t="shared" si="12"/>
        <v>0</v>
      </c>
      <c r="M128" s="186">
        <f t="shared" si="13"/>
        <v>0</v>
      </c>
      <c r="N128" s="186">
        <f t="shared" si="14"/>
        <v>0</v>
      </c>
      <c r="P128" s="207" t="str">
        <f t="shared" si="15"/>
        <v>PM_0</v>
      </c>
      <c r="Q128" s="273">
        <f t="shared" si="16"/>
        <v>0</v>
      </c>
      <c r="R128" s="207">
        <f t="shared" si="17"/>
        <v>0</v>
      </c>
      <c r="S128" s="207">
        <f t="shared" si="18"/>
        <v>0</v>
      </c>
    </row>
    <row r="129" spans="11:19" ht="14.1" customHeight="1" x14ac:dyDescent="0.2">
      <c r="K129" s="186" t="str">
        <f t="shared" si="11"/>
        <v>PM_0</v>
      </c>
      <c r="L129" s="186">
        <f t="shared" si="12"/>
        <v>0</v>
      </c>
      <c r="M129" s="186">
        <f t="shared" si="13"/>
        <v>0</v>
      </c>
      <c r="N129" s="186">
        <f t="shared" si="14"/>
        <v>0</v>
      </c>
      <c r="P129" s="207" t="str">
        <f t="shared" si="15"/>
        <v>PM_0</v>
      </c>
      <c r="Q129" s="273">
        <f t="shared" si="16"/>
        <v>0</v>
      </c>
      <c r="R129" s="207">
        <f t="shared" si="17"/>
        <v>0</v>
      </c>
      <c r="S129" s="207">
        <f t="shared" si="18"/>
        <v>0</v>
      </c>
    </row>
    <row r="130" spans="11:19" ht="14.1" customHeight="1" x14ac:dyDescent="0.2">
      <c r="K130" s="186" t="str">
        <f t="shared" si="11"/>
        <v>PM_0</v>
      </c>
      <c r="L130" s="186">
        <f t="shared" si="12"/>
        <v>0</v>
      </c>
      <c r="M130" s="186">
        <f t="shared" si="13"/>
        <v>0</v>
      </c>
      <c r="N130" s="186">
        <f t="shared" si="14"/>
        <v>0</v>
      </c>
      <c r="P130" s="207" t="str">
        <f t="shared" si="15"/>
        <v>PM_0</v>
      </c>
      <c r="Q130" s="273">
        <f t="shared" si="16"/>
        <v>0</v>
      </c>
      <c r="R130" s="207">
        <f t="shared" si="17"/>
        <v>0</v>
      </c>
      <c r="S130" s="207">
        <f t="shared" si="18"/>
        <v>0</v>
      </c>
    </row>
    <row r="131" spans="11:19" ht="14.1" customHeight="1" x14ac:dyDescent="0.2">
      <c r="K131" s="186" t="str">
        <f t="shared" si="11"/>
        <v>PM_0</v>
      </c>
      <c r="L131" s="186">
        <f t="shared" si="12"/>
        <v>0</v>
      </c>
      <c r="M131" s="186">
        <f t="shared" si="13"/>
        <v>0</v>
      </c>
      <c r="N131" s="186">
        <f t="shared" si="14"/>
        <v>0</v>
      </c>
      <c r="P131" s="207" t="str">
        <f t="shared" si="15"/>
        <v>PM_0</v>
      </c>
      <c r="Q131" s="273">
        <f t="shared" si="16"/>
        <v>0</v>
      </c>
      <c r="R131" s="207">
        <f t="shared" si="17"/>
        <v>0</v>
      </c>
      <c r="S131" s="207">
        <f t="shared" si="18"/>
        <v>0</v>
      </c>
    </row>
    <row r="132" spans="11:19" ht="14.1" customHeight="1" x14ac:dyDescent="0.2">
      <c r="K132" s="186" t="str">
        <f t="shared" si="11"/>
        <v>PM_0</v>
      </c>
      <c r="L132" s="186">
        <f t="shared" si="12"/>
        <v>0</v>
      </c>
      <c r="M132" s="186">
        <f t="shared" si="13"/>
        <v>0</v>
      </c>
      <c r="N132" s="186">
        <f t="shared" si="14"/>
        <v>0</v>
      </c>
      <c r="P132" s="207" t="str">
        <f t="shared" si="15"/>
        <v>PM_0</v>
      </c>
      <c r="Q132" s="273">
        <f t="shared" si="16"/>
        <v>0</v>
      </c>
      <c r="R132" s="207">
        <f t="shared" si="17"/>
        <v>0</v>
      </c>
      <c r="S132" s="207">
        <f t="shared" si="18"/>
        <v>0</v>
      </c>
    </row>
    <row r="133" spans="11:19" ht="14.1" customHeight="1" x14ac:dyDescent="0.2">
      <c r="K133" s="186" t="str">
        <f t="shared" si="11"/>
        <v>PM_0</v>
      </c>
      <c r="L133" s="186">
        <f t="shared" si="12"/>
        <v>0</v>
      </c>
      <c r="M133" s="186">
        <f t="shared" si="13"/>
        <v>0</v>
      </c>
      <c r="N133" s="186">
        <f t="shared" si="14"/>
        <v>0</v>
      </c>
      <c r="P133" s="207" t="str">
        <f t="shared" si="15"/>
        <v>PM_0</v>
      </c>
      <c r="Q133" s="273">
        <f t="shared" si="16"/>
        <v>0</v>
      </c>
      <c r="R133" s="207">
        <f t="shared" si="17"/>
        <v>0</v>
      </c>
      <c r="S133" s="207">
        <f t="shared" si="18"/>
        <v>0</v>
      </c>
    </row>
    <row r="134" spans="11:19" ht="14.1" customHeight="1" x14ac:dyDescent="0.2">
      <c r="K134" s="186" t="str">
        <f t="shared" si="11"/>
        <v>PM_0</v>
      </c>
      <c r="L134" s="186">
        <f t="shared" si="12"/>
        <v>0</v>
      </c>
      <c r="M134" s="186">
        <f t="shared" si="13"/>
        <v>0</v>
      </c>
      <c r="N134" s="186">
        <f t="shared" si="14"/>
        <v>0</v>
      </c>
      <c r="P134" s="207" t="str">
        <f t="shared" si="15"/>
        <v>PM_0</v>
      </c>
      <c r="Q134" s="273">
        <f t="shared" si="16"/>
        <v>0</v>
      </c>
      <c r="R134" s="207">
        <f t="shared" si="17"/>
        <v>0</v>
      </c>
      <c r="S134" s="207">
        <f t="shared" si="18"/>
        <v>0</v>
      </c>
    </row>
    <row r="135" spans="11:19" ht="14.1" customHeight="1" x14ac:dyDescent="0.2">
      <c r="K135" s="186" t="str">
        <f t="shared" si="11"/>
        <v>PM_0</v>
      </c>
      <c r="L135" s="186">
        <f t="shared" si="12"/>
        <v>0</v>
      </c>
      <c r="M135" s="186">
        <f t="shared" si="13"/>
        <v>0</v>
      </c>
      <c r="N135" s="186">
        <f t="shared" si="14"/>
        <v>0</v>
      </c>
      <c r="P135" s="207" t="str">
        <f t="shared" si="15"/>
        <v>PM_0</v>
      </c>
      <c r="Q135" s="273">
        <f t="shared" si="16"/>
        <v>0</v>
      </c>
      <c r="R135" s="207">
        <f t="shared" si="17"/>
        <v>0</v>
      </c>
      <c r="S135" s="207">
        <f t="shared" si="18"/>
        <v>0</v>
      </c>
    </row>
    <row r="136" spans="11:19" ht="14.1" customHeight="1" x14ac:dyDescent="0.2">
      <c r="K136" s="186" t="str">
        <f t="shared" si="11"/>
        <v>PM_0</v>
      </c>
      <c r="L136" s="186">
        <f t="shared" si="12"/>
        <v>0</v>
      </c>
      <c r="M136" s="186">
        <f t="shared" si="13"/>
        <v>0</v>
      </c>
      <c r="N136" s="186">
        <f t="shared" si="14"/>
        <v>0</v>
      </c>
      <c r="P136" s="207" t="str">
        <f t="shared" si="15"/>
        <v>PM_0</v>
      </c>
      <c r="Q136" s="273">
        <f t="shared" si="16"/>
        <v>0</v>
      </c>
      <c r="R136" s="207">
        <f t="shared" si="17"/>
        <v>0</v>
      </c>
      <c r="S136" s="207">
        <f t="shared" si="18"/>
        <v>0</v>
      </c>
    </row>
    <row r="137" spans="11:19" ht="14.1" customHeight="1" x14ac:dyDescent="0.2">
      <c r="K137" s="186" t="str">
        <f t="shared" si="11"/>
        <v>PM_0</v>
      </c>
      <c r="L137" s="186">
        <f t="shared" si="12"/>
        <v>0</v>
      </c>
      <c r="M137" s="186">
        <f t="shared" si="13"/>
        <v>0</v>
      </c>
      <c r="N137" s="186">
        <f t="shared" si="14"/>
        <v>0</v>
      </c>
      <c r="P137" s="207" t="str">
        <f t="shared" si="15"/>
        <v>PM_0</v>
      </c>
      <c r="Q137" s="273">
        <f t="shared" si="16"/>
        <v>0</v>
      </c>
      <c r="R137" s="207">
        <f t="shared" si="17"/>
        <v>0</v>
      </c>
      <c r="S137" s="207">
        <f t="shared" si="18"/>
        <v>0</v>
      </c>
    </row>
    <row r="138" spans="11:19" ht="14.1" customHeight="1" x14ac:dyDescent="0.2">
      <c r="K138" s="186" t="str">
        <f t="shared" si="11"/>
        <v>PM_0</v>
      </c>
      <c r="L138" s="186">
        <f t="shared" si="12"/>
        <v>0</v>
      </c>
      <c r="M138" s="186">
        <f t="shared" si="13"/>
        <v>0</v>
      </c>
      <c r="N138" s="186">
        <f t="shared" si="14"/>
        <v>0</v>
      </c>
      <c r="P138" s="207" t="str">
        <f t="shared" si="15"/>
        <v>PM_0</v>
      </c>
      <c r="Q138" s="273">
        <f t="shared" si="16"/>
        <v>0</v>
      </c>
      <c r="R138" s="207">
        <f t="shared" si="17"/>
        <v>0</v>
      </c>
      <c r="S138" s="207">
        <f t="shared" si="18"/>
        <v>0</v>
      </c>
    </row>
    <row r="139" spans="11:19" ht="14.1" customHeight="1" x14ac:dyDescent="0.2">
      <c r="K139" s="186" t="str">
        <f t="shared" ref="K139:K202" si="20">"PM_"&amp;ROUND(E139,2)</f>
        <v>PM_0</v>
      </c>
      <c r="L139" s="186">
        <f t="shared" ref="L139:L202" si="21">F139</f>
        <v>0</v>
      </c>
      <c r="M139" s="186">
        <f t="shared" ref="M139:M202" si="22">G139</f>
        <v>0</v>
      </c>
      <c r="N139" s="186">
        <f t="shared" ref="N139:N202" si="23">H139</f>
        <v>0</v>
      </c>
      <c r="P139" s="207" t="str">
        <f t="shared" ref="P139:P202" si="24">K139</f>
        <v>PM_0</v>
      </c>
      <c r="Q139" s="273">
        <f t="shared" ref="Q139:Q202" si="25">$S$1+E139</f>
        <v>0</v>
      </c>
      <c r="R139" s="207">
        <f t="shared" ref="R139:R202" si="26">H139</f>
        <v>0</v>
      </c>
      <c r="S139" s="207">
        <f t="shared" ref="S139:S202" si="27">$B$6</f>
        <v>0</v>
      </c>
    </row>
    <row r="140" spans="11:19" ht="14.1" customHeight="1" x14ac:dyDescent="0.2">
      <c r="K140" s="186" t="str">
        <f t="shared" si="20"/>
        <v>PM_0</v>
      </c>
      <c r="L140" s="186">
        <f t="shared" si="21"/>
        <v>0</v>
      </c>
      <c r="M140" s="186">
        <f t="shared" si="22"/>
        <v>0</v>
      </c>
      <c r="N140" s="186">
        <f t="shared" si="23"/>
        <v>0</v>
      </c>
      <c r="P140" s="207" t="str">
        <f t="shared" si="24"/>
        <v>PM_0</v>
      </c>
      <c r="Q140" s="273">
        <f t="shared" si="25"/>
        <v>0</v>
      </c>
      <c r="R140" s="207">
        <f t="shared" si="26"/>
        <v>0</v>
      </c>
      <c r="S140" s="207">
        <f t="shared" si="27"/>
        <v>0</v>
      </c>
    </row>
    <row r="141" spans="11:19" ht="14.1" customHeight="1" x14ac:dyDescent="0.2">
      <c r="K141" s="186" t="str">
        <f t="shared" si="20"/>
        <v>PM_0</v>
      </c>
      <c r="L141" s="186">
        <f t="shared" si="21"/>
        <v>0</v>
      </c>
      <c r="M141" s="186">
        <f t="shared" si="22"/>
        <v>0</v>
      </c>
      <c r="N141" s="186">
        <f t="shared" si="23"/>
        <v>0</v>
      </c>
      <c r="P141" s="207" t="str">
        <f t="shared" si="24"/>
        <v>PM_0</v>
      </c>
      <c r="Q141" s="273">
        <f t="shared" si="25"/>
        <v>0</v>
      </c>
      <c r="R141" s="207">
        <f t="shared" si="26"/>
        <v>0</v>
      </c>
      <c r="S141" s="207">
        <f t="shared" si="27"/>
        <v>0</v>
      </c>
    </row>
    <row r="142" spans="11:19" ht="14.1" customHeight="1" x14ac:dyDescent="0.2">
      <c r="K142" s="186" t="str">
        <f t="shared" si="20"/>
        <v>PM_0</v>
      </c>
      <c r="L142" s="186">
        <f t="shared" si="21"/>
        <v>0</v>
      </c>
      <c r="M142" s="186">
        <f t="shared" si="22"/>
        <v>0</v>
      </c>
      <c r="N142" s="186">
        <f t="shared" si="23"/>
        <v>0</v>
      </c>
      <c r="P142" s="207" t="str">
        <f t="shared" si="24"/>
        <v>PM_0</v>
      </c>
      <c r="Q142" s="273">
        <f t="shared" si="25"/>
        <v>0</v>
      </c>
      <c r="R142" s="207">
        <f t="shared" si="26"/>
        <v>0</v>
      </c>
      <c r="S142" s="207">
        <f t="shared" si="27"/>
        <v>0</v>
      </c>
    </row>
    <row r="143" spans="11:19" ht="14.1" customHeight="1" x14ac:dyDescent="0.2">
      <c r="K143" s="186" t="str">
        <f t="shared" si="20"/>
        <v>PM_0</v>
      </c>
      <c r="L143" s="186">
        <f t="shared" si="21"/>
        <v>0</v>
      </c>
      <c r="M143" s="186">
        <f t="shared" si="22"/>
        <v>0</v>
      </c>
      <c r="N143" s="186">
        <f t="shared" si="23"/>
        <v>0</v>
      </c>
      <c r="P143" s="207" t="str">
        <f t="shared" si="24"/>
        <v>PM_0</v>
      </c>
      <c r="Q143" s="273">
        <f t="shared" si="25"/>
        <v>0</v>
      </c>
      <c r="R143" s="207">
        <f t="shared" si="26"/>
        <v>0</v>
      </c>
      <c r="S143" s="207">
        <f t="shared" si="27"/>
        <v>0</v>
      </c>
    </row>
    <row r="144" spans="11:19" ht="14.1" customHeight="1" x14ac:dyDescent="0.2">
      <c r="K144" s="186" t="str">
        <f t="shared" si="20"/>
        <v>PM_0</v>
      </c>
      <c r="L144" s="186">
        <f t="shared" si="21"/>
        <v>0</v>
      </c>
      <c r="M144" s="186">
        <f t="shared" si="22"/>
        <v>0</v>
      </c>
      <c r="N144" s="186">
        <f t="shared" si="23"/>
        <v>0</v>
      </c>
      <c r="P144" s="207" t="str">
        <f t="shared" si="24"/>
        <v>PM_0</v>
      </c>
      <c r="Q144" s="273">
        <f t="shared" si="25"/>
        <v>0</v>
      </c>
      <c r="R144" s="207">
        <f t="shared" si="26"/>
        <v>0</v>
      </c>
      <c r="S144" s="207">
        <f t="shared" si="27"/>
        <v>0</v>
      </c>
    </row>
    <row r="145" spans="11:19" ht="14.1" customHeight="1" x14ac:dyDescent="0.2">
      <c r="K145" s="186" t="str">
        <f t="shared" si="20"/>
        <v>PM_0</v>
      </c>
      <c r="L145" s="186">
        <f t="shared" si="21"/>
        <v>0</v>
      </c>
      <c r="M145" s="186">
        <f t="shared" si="22"/>
        <v>0</v>
      </c>
      <c r="N145" s="186">
        <f t="shared" si="23"/>
        <v>0</v>
      </c>
      <c r="P145" s="207" t="str">
        <f t="shared" si="24"/>
        <v>PM_0</v>
      </c>
      <c r="Q145" s="273">
        <f t="shared" si="25"/>
        <v>0</v>
      </c>
      <c r="R145" s="207">
        <f t="shared" si="26"/>
        <v>0</v>
      </c>
      <c r="S145" s="207">
        <f t="shared" si="27"/>
        <v>0</v>
      </c>
    </row>
    <row r="146" spans="11:19" ht="14.1" customHeight="1" x14ac:dyDescent="0.2">
      <c r="K146" s="186" t="str">
        <f t="shared" si="20"/>
        <v>PM_0</v>
      </c>
      <c r="L146" s="186">
        <f t="shared" si="21"/>
        <v>0</v>
      </c>
      <c r="M146" s="186">
        <f t="shared" si="22"/>
        <v>0</v>
      </c>
      <c r="N146" s="186">
        <f t="shared" si="23"/>
        <v>0</v>
      </c>
      <c r="P146" s="207" t="str">
        <f t="shared" si="24"/>
        <v>PM_0</v>
      </c>
      <c r="Q146" s="273">
        <f t="shared" si="25"/>
        <v>0</v>
      </c>
      <c r="R146" s="207">
        <f t="shared" si="26"/>
        <v>0</v>
      </c>
      <c r="S146" s="207">
        <f t="shared" si="27"/>
        <v>0</v>
      </c>
    </row>
    <row r="147" spans="11:19" ht="14.1" customHeight="1" x14ac:dyDescent="0.2">
      <c r="K147" s="186" t="str">
        <f t="shared" si="20"/>
        <v>PM_0</v>
      </c>
      <c r="L147" s="186">
        <f t="shared" si="21"/>
        <v>0</v>
      </c>
      <c r="M147" s="186">
        <f t="shared" si="22"/>
        <v>0</v>
      </c>
      <c r="N147" s="186">
        <f t="shared" si="23"/>
        <v>0</v>
      </c>
      <c r="P147" s="207" t="str">
        <f t="shared" si="24"/>
        <v>PM_0</v>
      </c>
      <c r="Q147" s="273">
        <f t="shared" si="25"/>
        <v>0</v>
      </c>
      <c r="R147" s="207">
        <f t="shared" si="26"/>
        <v>0</v>
      </c>
      <c r="S147" s="207">
        <f t="shared" si="27"/>
        <v>0</v>
      </c>
    </row>
    <row r="148" spans="11:19" ht="14.1" customHeight="1" x14ac:dyDescent="0.2">
      <c r="K148" s="186" t="str">
        <f t="shared" si="20"/>
        <v>PM_0</v>
      </c>
      <c r="L148" s="186">
        <f t="shared" si="21"/>
        <v>0</v>
      </c>
      <c r="M148" s="186">
        <f t="shared" si="22"/>
        <v>0</v>
      </c>
      <c r="N148" s="186">
        <f t="shared" si="23"/>
        <v>0</v>
      </c>
      <c r="P148" s="207" t="str">
        <f t="shared" si="24"/>
        <v>PM_0</v>
      </c>
      <c r="Q148" s="273">
        <f t="shared" si="25"/>
        <v>0</v>
      </c>
      <c r="R148" s="207">
        <f t="shared" si="26"/>
        <v>0</v>
      </c>
      <c r="S148" s="207">
        <f t="shared" si="27"/>
        <v>0</v>
      </c>
    </row>
    <row r="149" spans="11:19" ht="14.1" customHeight="1" x14ac:dyDescent="0.2">
      <c r="K149" s="186" t="str">
        <f t="shared" si="20"/>
        <v>PM_0</v>
      </c>
      <c r="L149" s="186">
        <f t="shared" si="21"/>
        <v>0</v>
      </c>
      <c r="M149" s="186">
        <f t="shared" si="22"/>
        <v>0</v>
      </c>
      <c r="N149" s="186">
        <f t="shared" si="23"/>
        <v>0</v>
      </c>
      <c r="P149" s="207" t="str">
        <f t="shared" si="24"/>
        <v>PM_0</v>
      </c>
      <c r="Q149" s="273">
        <f t="shared" si="25"/>
        <v>0</v>
      </c>
      <c r="R149" s="207">
        <f t="shared" si="26"/>
        <v>0</v>
      </c>
      <c r="S149" s="207">
        <f t="shared" si="27"/>
        <v>0</v>
      </c>
    </row>
    <row r="150" spans="11:19" ht="14.1" customHeight="1" x14ac:dyDescent="0.2">
      <c r="K150" s="186" t="str">
        <f t="shared" si="20"/>
        <v>PM_0</v>
      </c>
      <c r="L150" s="186">
        <f t="shared" si="21"/>
        <v>0</v>
      </c>
      <c r="M150" s="186">
        <f t="shared" si="22"/>
        <v>0</v>
      </c>
      <c r="N150" s="186">
        <f t="shared" si="23"/>
        <v>0</v>
      </c>
      <c r="P150" s="207" t="str">
        <f t="shared" si="24"/>
        <v>PM_0</v>
      </c>
      <c r="Q150" s="273">
        <f t="shared" si="25"/>
        <v>0</v>
      </c>
      <c r="R150" s="207">
        <f t="shared" si="26"/>
        <v>0</v>
      </c>
      <c r="S150" s="207">
        <f t="shared" si="27"/>
        <v>0</v>
      </c>
    </row>
    <row r="151" spans="11:19" ht="14.1" customHeight="1" x14ac:dyDescent="0.2">
      <c r="K151" s="186" t="str">
        <f t="shared" si="20"/>
        <v>PM_0</v>
      </c>
      <c r="L151" s="186">
        <f t="shared" si="21"/>
        <v>0</v>
      </c>
      <c r="M151" s="186">
        <f t="shared" si="22"/>
        <v>0</v>
      </c>
      <c r="N151" s="186">
        <f t="shared" si="23"/>
        <v>0</v>
      </c>
      <c r="P151" s="207" t="str">
        <f t="shared" si="24"/>
        <v>PM_0</v>
      </c>
      <c r="Q151" s="273">
        <f t="shared" si="25"/>
        <v>0</v>
      </c>
      <c r="R151" s="207">
        <f t="shared" si="26"/>
        <v>0</v>
      </c>
      <c r="S151" s="207">
        <f t="shared" si="27"/>
        <v>0</v>
      </c>
    </row>
    <row r="152" spans="11:19" ht="14.1" customHeight="1" x14ac:dyDescent="0.2">
      <c r="K152" s="186" t="str">
        <f t="shared" si="20"/>
        <v>PM_0</v>
      </c>
      <c r="L152" s="186">
        <f t="shared" si="21"/>
        <v>0</v>
      </c>
      <c r="M152" s="186">
        <f t="shared" si="22"/>
        <v>0</v>
      </c>
      <c r="N152" s="186">
        <f t="shared" si="23"/>
        <v>0</v>
      </c>
      <c r="P152" s="207" t="str">
        <f t="shared" si="24"/>
        <v>PM_0</v>
      </c>
      <c r="Q152" s="273">
        <f t="shared" si="25"/>
        <v>0</v>
      </c>
      <c r="R152" s="207">
        <f t="shared" si="26"/>
        <v>0</v>
      </c>
      <c r="S152" s="207">
        <f t="shared" si="27"/>
        <v>0</v>
      </c>
    </row>
    <row r="153" spans="11:19" ht="14.1" customHeight="1" x14ac:dyDescent="0.2">
      <c r="K153" s="186" t="str">
        <f t="shared" si="20"/>
        <v>PM_0</v>
      </c>
      <c r="L153" s="186">
        <f t="shared" si="21"/>
        <v>0</v>
      </c>
      <c r="M153" s="186">
        <f t="shared" si="22"/>
        <v>0</v>
      </c>
      <c r="N153" s="186">
        <f t="shared" si="23"/>
        <v>0</v>
      </c>
      <c r="P153" s="207" t="str">
        <f t="shared" si="24"/>
        <v>PM_0</v>
      </c>
      <c r="Q153" s="273">
        <f t="shared" si="25"/>
        <v>0</v>
      </c>
      <c r="R153" s="207">
        <f t="shared" si="26"/>
        <v>0</v>
      </c>
      <c r="S153" s="207">
        <f t="shared" si="27"/>
        <v>0</v>
      </c>
    </row>
    <row r="154" spans="11:19" ht="14.1" customHeight="1" x14ac:dyDescent="0.2">
      <c r="K154" s="186" t="str">
        <f t="shared" si="20"/>
        <v>PM_0</v>
      </c>
      <c r="L154" s="186">
        <f t="shared" si="21"/>
        <v>0</v>
      </c>
      <c r="M154" s="186">
        <f t="shared" si="22"/>
        <v>0</v>
      </c>
      <c r="N154" s="186">
        <f t="shared" si="23"/>
        <v>0</v>
      </c>
      <c r="P154" s="207" t="str">
        <f t="shared" si="24"/>
        <v>PM_0</v>
      </c>
      <c r="Q154" s="273">
        <f t="shared" si="25"/>
        <v>0</v>
      </c>
      <c r="R154" s="207">
        <f t="shared" si="26"/>
        <v>0</v>
      </c>
      <c r="S154" s="207">
        <f t="shared" si="27"/>
        <v>0</v>
      </c>
    </row>
    <row r="155" spans="11:19" ht="14.1" customHeight="1" x14ac:dyDescent="0.2">
      <c r="K155" s="186" t="str">
        <f t="shared" si="20"/>
        <v>PM_0</v>
      </c>
      <c r="L155" s="186">
        <f t="shared" si="21"/>
        <v>0</v>
      </c>
      <c r="M155" s="186">
        <f t="shared" si="22"/>
        <v>0</v>
      </c>
      <c r="N155" s="186">
        <f t="shared" si="23"/>
        <v>0</v>
      </c>
      <c r="P155" s="207" t="str">
        <f t="shared" si="24"/>
        <v>PM_0</v>
      </c>
      <c r="Q155" s="273">
        <f t="shared" si="25"/>
        <v>0</v>
      </c>
      <c r="R155" s="207">
        <f t="shared" si="26"/>
        <v>0</v>
      </c>
      <c r="S155" s="207">
        <f t="shared" si="27"/>
        <v>0</v>
      </c>
    </row>
    <row r="156" spans="11:19" ht="14.1" customHeight="1" x14ac:dyDescent="0.2">
      <c r="K156" s="186" t="str">
        <f t="shared" si="20"/>
        <v>PM_0</v>
      </c>
      <c r="L156" s="186">
        <f t="shared" si="21"/>
        <v>0</v>
      </c>
      <c r="M156" s="186">
        <f t="shared" si="22"/>
        <v>0</v>
      </c>
      <c r="N156" s="186">
        <f t="shared" si="23"/>
        <v>0</v>
      </c>
      <c r="P156" s="207" t="str">
        <f t="shared" si="24"/>
        <v>PM_0</v>
      </c>
      <c r="Q156" s="273">
        <f t="shared" si="25"/>
        <v>0</v>
      </c>
      <c r="R156" s="207">
        <f t="shared" si="26"/>
        <v>0</v>
      </c>
      <c r="S156" s="207">
        <f t="shared" si="27"/>
        <v>0</v>
      </c>
    </row>
    <row r="157" spans="11:19" ht="14.1" customHeight="1" x14ac:dyDescent="0.2">
      <c r="K157" s="186" t="str">
        <f t="shared" si="20"/>
        <v>PM_0</v>
      </c>
      <c r="L157" s="186">
        <f t="shared" si="21"/>
        <v>0</v>
      </c>
      <c r="M157" s="186">
        <f t="shared" si="22"/>
        <v>0</v>
      </c>
      <c r="N157" s="186">
        <f t="shared" si="23"/>
        <v>0</v>
      </c>
      <c r="P157" s="207" t="str">
        <f t="shared" si="24"/>
        <v>PM_0</v>
      </c>
      <c r="Q157" s="273">
        <f t="shared" si="25"/>
        <v>0</v>
      </c>
      <c r="R157" s="207">
        <f t="shared" si="26"/>
        <v>0</v>
      </c>
      <c r="S157" s="207">
        <f t="shared" si="27"/>
        <v>0</v>
      </c>
    </row>
    <row r="158" spans="11:19" ht="14.1" customHeight="1" x14ac:dyDescent="0.2">
      <c r="K158" s="186" t="str">
        <f t="shared" si="20"/>
        <v>PM_0</v>
      </c>
      <c r="L158" s="186">
        <f t="shared" si="21"/>
        <v>0</v>
      </c>
      <c r="M158" s="186">
        <f t="shared" si="22"/>
        <v>0</v>
      </c>
      <c r="N158" s="186">
        <f t="shared" si="23"/>
        <v>0</v>
      </c>
      <c r="P158" s="207" t="str">
        <f t="shared" si="24"/>
        <v>PM_0</v>
      </c>
      <c r="Q158" s="273">
        <f t="shared" si="25"/>
        <v>0</v>
      </c>
      <c r="R158" s="207">
        <f t="shared" si="26"/>
        <v>0</v>
      </c>
      <c r="S158" s="207">
        <f t="shared" si="27"/>
        <v>0</v>
      </c>
    </row>
    <row r="159" spans="11:19" ht="14.1" customHeight="1" x14ac:dyDescent="0.2">
      <c r="K159" s="186" t="str">
        <f t="shared" si="20"/>
        <v>PM_0</v>
      </c>
      <c r="L159" s="186">
        <f t="shared" si="21"/>
        <v>0</v>
      </c>
      <c r="M159" s="186">
        <f t="shared" si="22"/>
        <v>0</v>
      </c>
      <c r="N159" s="186">
        <f t="shared" si="23"/>
        <v>0</v>
      </c>
      <c r="P159" s="207" t="str">
        <f t="shared" si="24"/>
        <v>PM_0</v>
      </c>
      <c r="Q159" s="273">
        <f t="shared" si="25"/>
        <v>0</v>
      </c>
      <c r="R159" s="207">
        <f t="shared" si="26"/>
        <v>0</v>
      </c>
      <c r="S159" s="207">
        <f t="shared" si="27"/>
        <v>0</v>
      </c>
    </row>
    <row r="160" spans="11:19" ht="14.1" customHeight="1" x14ac:dyDescent="0.2">
      <c r="K160" s="186" t="str">
        <f t="shared" si="20"/>
        <v>PM_0</v>
      </c>
      <c r="L160" s="186">
        <f t="shared" si="21"/>
        <v>0</v>
      </c>
      <c r="M160" s="186">
        <f t="shared" si="22"/>
        <v>0</v>
      </c>
      <c r="N160" s="186">
        <f t="shared" si="23"/>
        <v>0</v>
      </c>
      <c r="P160" s="207" t="str">
        <f t="shared" si="24"/>
        <v>PM_0</v>
      </c>
      <c r="Q160" s="273">
        <f t="shared" si="25"/>
        <v>0</v>
      </c>
      <c r="R160" s="207">
        <f t="shared" si="26"/>
        <v>0</v>
      </c>
      <c r="S160" s="207">
        <f t="shared" si="27"/>
        <v>0</v>
      </c>
    </row>
    <row r="161" spans="11:19" ht="14.1" customHeight="1" x14ac:dyDescent="0.2">
      <c r="K161" s="186" t="str">
        <f t="shared" si="20"/>
        <v>PM_0</v>
      </c>
      <c r="L161" s="186">
        <f t="shared" si="21"/>
        <v>0</v>
      </c>
      <c r="M161" s="186">
        <f t="shared" si="22"/>
        <v>0</v>
      </c>
      <c r="N161" s="186">
        <f t="shared" si="23"/>
        <v>0</v>
      </c>
      <c r="P161" s="207" t="str">
        <f t="shared" si="24"/>
        <v>PM_0</v>
      </c>
      <c r="Q161" s="273">
        <f t="shared" si="25"/>
        <v>0</v>
      </c>
      <c r="R161" s="207">
        <f t="shared" si="26"/>
        <v>0</v>
      </c>
      <c r="S161" s="207">
        <f t="shared" si="27"/>
        <v>0</v>
      </c>
    </row>
    <row r="162" spans="11:19" ht="14.1" customHeight="1" x14ac:dyDescent="0.2">
      <c r="K162" s="186" t="str">
        <f t="shared" si="20"/>
        <v>PM_0</v>
      </c>
      <c r="L162" s="186">
        <f t="shared" si="21"/>
        <v>0</v>
      </c>
      <c r="M162" s="186">
        <f t="shared" si="22"/>
        <v>0</v>
      </c>
      <c r="N162" s="186">
        <f t="shared" si="23"/>
        <v>0</v>
      </c>
      <c r="P162" s="207" t="str">
        <f t="shared" si="24"/>
        <v>PM_0</v>
      </c>
      <c r="Q162" s="273">
        <f t="shared" si="25"/>
        <v>0</v>
      </c>
      <c r="R162" s="207">
        <f t="shared" si="26"/>
        <v>0</v>
      </c>
      <c r="S162" s="207">
        <f t="shared" si="27"/>
        <v>0</v>
      </c>
    </row>
    <row r="163" spans="11:19" ht="14.1" customHeight="1" x14ac:dyDescent="0.2">
      <c r="K163" s="186" t="str">
        <f t="shared" si="20"/>
        <v>PM_0</v>
      </c>
      <c r="L163" s="186">
        <f t="shared" si="21"/>
        <v>0</v>
      </c>
      <c r="M163" s="186">
        <f t="shared" si="22"/>
        <v>0</v>
      </c>
      <c r="N163" s="186">
        <f t="shared" si="23"/>
        <v>0</v>
      </c>
      <c r="P163" s="207" t="str">
        <f t="shared" si="24"/>
        <v>PM_0</v>
      </c>
      <c r="Q163" s="273">
        <f t="shared" si="25"/>
        <v>0</v>
      </c>
      <c r="R163" s="207">
        <f t="shared" si="26"/>
        <v>0</v>
      </c>
      <c r="S163" s="207">
        <f t="shared" si="27"/>
        <v>0</v>
      </c>
    </row>
    <row r="164" spans="11:19" ht="14.1" customHeight="1" x14ac:dyDescent="0.2">
      <c r="K164" s="186" t="str">
        <f t="shared" si="20"/>
        <v>PM_0</v>
      </c>
      <c r="L164" s="186">
        <f t="shared" si="21"/>
        <v>0</v>
      </c>
      <c r="M164" s="186">
        <f t="shared" si="22"/>
        <v>0</v>
      </c>
      <c r="N164" s="186">
        <f t="shared" si="23"/>
        <v>0</v>
      </c>
      <c r="P164" s="207" t="str">
        <f t="shared" si="24"/>
        <v>PM_0</v>
      </c>
      <c r="Q164" s="273">
        <f t="shared" si="25"/>
        <v>0</v>
      </c>
      <c r="R164" s="207">
        <f t="shared" si="26"/>
        <v>0</v>
      </c>
      <c r="S164" s="207">
        <f t="shared" si="27"/>
        <v>0</v>
      </c>
    </row>
    <row r="165" spans="11:19" ht="14.1" customHeight="1" x14ac:dyDescent="0.2">
      <c r="K165" s="186" t="str">
        <f t="shared" si="20"/>
        <v>PM_0</v>
      </c>
      <c r="L165" s="186">
        <f t="shared" si="21"/>
        <v>0</v>
      </c>
      <c r="M165" s="186">
        <f t="shared" si="22"/>
        <v>0</v>
      </c>
      <c r="N165" s="186">
        <f t="shared" si="23"/>
        <v>0</v>
      </c>
      <c r="P165" s="207" t="str">
        <f t="shared" si="24"/>
        <v>PM_0</v>
      </c>
      <c r="Q165" s="273">
        <f t="shared" si="25"/>
        <v>0</v>
      </c>
      <c r="R165" s="207">
        <f t="shared" si="26"/>
        <v>0</v>
      </c>
      <c r="S165" s="207">
        <f t="shared" si="27"/>
        <v>0</v>
      </c>
    </row>
    <row r="166" spans="11:19" ht="14.1" customHeight="1" x14ac:dyDescent="0.2">
      <c r="K166" s="186" t="str">
        <f t="shared" si="20"/>
        <v>PM_0</v>
      </c>
      <c r="L166" s="186">
        <f t="shared" si="21"/>
        <v>0</v>
      </c>
      <c r="M166" s="186">
        <f t="shared" si="22"/>
        <v>0</v>
      </c>
      <c r="N166" s="186">
        <f t="shared" si="23"/>
        <v>0</v>
      </c>
      <c r="P166" s="207" t="str">
        <f t="shared" si="24"/>
        <v>PM_0</v>
      </c>
      <c r="Q166" s="273">
        <f t="shared" si="25"/>
        <v>0</v>
      </c>
      <c r="R166" s="207">
        <f t="shared" si="26"/>
        <v>0</v>
      </c>
      <c r="S166" s="207">
        <f t="shared" si="27"/>
        <v>0</v>
      </c>
    </row>
    <row r="167" spans="11:19" ht="14.1" customHeight="1" x14ac:dyDescent="0.2">
      <c r="K167" s="186" t="str">
        <f t="shared" si="20"/>
        <v>PM_0</v>
      </c>
      <c r="L167" s="186">
        <f t="shared" si="21"/>
        <v>0</v>
      </c>
      <c r="M167" s="186">
        <f t="shared" si="22"/>
        <v>0</v>
      </c>
      <c r="N167" s="186">
        <f t="shared" si="23"/>
        <v>0</v>
      </c>
      <c r="P167" s="207" t="str">
        <f t="shared" si="24"/>
        <v>PM_0</v>
      </c>
      <c r="Q167" s="273">
        <f t="shared" si="25"/>
        <v>0</v>
      </c>
      <c r="R167" s="207">
        <f t="shared" si="26"/>
        <v>0</v>
      </c>
      <c r="S167" s="207">
        <f t="shared" si="27"/>
        <v>0</v>
      </c>
    </row>
    <row r="168" spans="11:19" ht="14.1" customHeight="1" x14ac:dyDescent="0.2">
      <c r="K168" s="186" t="str">
        <f t="shared" si="20"/>
        <v>PM_0</v>
      </c>
      <c r="L168" s="186">
        <f t="shared" si="21"/>
        <v>0</v>
      </c>
      <c r="M168" s="186">
        <f t="shared" si="22"/>
        <v>0</v>
      </c>
      <c r="N168" s="186">
        <f t="shared" si="23"/>
        <v>0</v>
      </c>
      <c r="P168" s="207" t="str">
        <f t="shared" si="24"/>
        <v>PM_0</v>
      </c>
      <c r="Q168" s="273">
        <f t="shared" si="25"/>
        <v>0</v>
      </c>
      <c r="R168" s="207">
        <f t="shared" si="26"/>
        <v>0</v>
      </c>
      <c r="S168" s="207">
        <f t="shared" si="27"/>
        <v>0</v>
      </c>
    </row>
    <row r="169" spans="11:19" ht="14.1" customHeight="1" x14ac:dyDescent="0.2">
      <c r="K169" s="186" t="str">
        <f t="shared" si="20"/>
        <v>PM_0</v>
      </c>
      <c r="L169" s="186">
        <f t="shared" si="21"/>
        <v>0</v>
      </c>
      <c r="M169" s="186">
        <f t="shared" si="22"/>
        <v>0</v>
      </c>
      <c r="N169" s="186">
        <f t="shared" si="23"/>
        <v>0</v>
      </c>
      <c r="P169" s="207" t="str">
        <f t="shared" si="24"/>
        <v>PM_0</v>
      </c>
      <c r="Q169" s="273">
        <f t="shared" si="25"/>
        <v>0</v>
      </c>
      <c r="R169" s="207">
        <f t="shared" si="26"/>
        <v>0</v>
      </c>
      <c r="S169" s="207">
        <f t="shared" si="27"/>
        <v>0</v>
      </c>
    </row>
    <row r="170" spans="11:19" ht="14.1" customHeight="1" x14ac:dyDescent="0.2">
      <c r="K170" s="186" t="str">
        <f t="shared" si="20"/>
        <v>PM_0</v>
      </c>
      <c r="L170" s="186">
        <f t="shared" si="21"/>
        <v>0</v>
      </c>
      <c r="M170" s="186">
        <f t="shared" si="22"/>
        <v>0</v>
      </c>
      <c r="N170" s="186">
        <f t="shared" si="23"/>
        <v>0</v>
      </c>
      <c r="P170" s="207" t="str">
        <f t="shared" si="24"/>
        <v>PM_0</v>
      </c>
      <c r="Q170" s="273">
        <f t="shared" si="25"/>
        <v>0</v>
      </c>
      <c r="R170" s="207">
        <f t="shared" si="26"/>
        <v>0</v>
      </c>
      <c r="S170" s="207">
        <f t="shared" si="27"/>
        <v>0</v>
      </c>
    </row>
    <row r="171" spans="11:19" ht="14.1" customHeight="1" x14ac:dyDescent="0.2">
      <c r="K171" s="186" t="str">
        <f t="shared" si="20"/>
        <v>PM_0</v>
      </c>
      <c r="L171" s="186">
        <f t="shared" si="21"/>
        <v>0</v>
      </c>
      <c r="M171" s="186">
        <f t="shared" si="22"/>
        <v>0</v>
      </c>
      <c r="N171" s="186">
        <f t="shared" si="23"/>
        <v>0</v>
      </c>
      <c r="P171" s="207" t="str">
        <f t="shared" si="24"/>
        <v>PM_0</v>
      </c>
      <c r="Q171" s="273">
        <f t="shared" si="25"/>
        <v>0</v>
      </c>
      <c r="R171" s="207">
        <f t="shared" si="26"/>
        <v>0</v>
      </c>
      <c r="S171" s="207">
        <f t="shared" si="27"/>
        <v>0</v>
      </c>
    </row>
    <row r="172" spans="11:19" ht="14.1" customHeight="1" x14ac:dyDescent="0.2">
      <c r="K172" s="186" t="str">
        <f t="shared" si="20"/>
        <v>PM_0</v>
      </c>
      <c r="L172" s="186">
        <f t="shared" si="21"/>
        <v>0</v>
      </c>
      <c r="M172" s="186">
        <f t="shared" si="22"/>
        <v>0</v>
      </c>
      <c r="N172" s="186">
        <f t="shared" si="23"/>
        <v>0</v>
      </c>
      <c r="P172" s="207" t="str">
        <f t="shared" si="24"/>
        <v>PM_0</v>
      </c>
      <c r="Q172" s="273">
        <f t="shared" si="25"/>
        <v>0</v>
      </c>
      <c r="R172" s="207">
        <f t="shared" si="26"/>
        <v>0</v>
      </c>
      <c r="S172" s="207">
        <f t="shared" si="27"/>
        <v>0</v>
      </c>
    </row>
    <row r="173" spans="11:19" ht="14.1" customHeight="1" x14ac:dyDescent="0.2">
      <c r="K173" s="186" t="str">
        <f t="shared" si="20"/>
        <v>PM_0</v>
      </c>
      <c r="L173" s="186">
        <f t="shared" si="21"/>
        <v>0</v>
      </c>
      <c r="M173" s="186">
        <f t="shared" si="22"/>
        <v>0</v>
      </c>
      <c r="N173" s="186">
        <f t="shared" si="23"/>
        <v>0</v>
      </c>
      <c r="P173" s="207" t="str">
        <f t="shared" si="24"/>
        <v>PM_0</v>
      </c>
      <c r="Q173" s="273">
        <f t="shared" si="25"/>
        <v>0</v>
      </c>
      <c r="R173" s="207">
        <f t="shared" si="26"/>
        <v>0</v>
      </c>
      <c r="S173" s="207">
        <f t="shared" si="27"/>
        <v>0</v>
      </c>
    </row>
    <row r="174" spans="11:19" ht="14.1" customHeight="1" x14ac:dyDescent="0.2">
      <c r="K174" s="186" t="str">
        <f t="shared" si="20"/>
        <v>PM_0</v>
      </c>
      <c r="L174" s="186">
        <f t="shared" si="21"/>
        <v>0</v>
      </c>
      <c r="M174" s="186">
        <f t="shared" si="22"/>
        <v>0</v>
      </c>
      <c r="N174" s="186">
        <f t="shared" si="23"/>
        <v>0</v>
      </c>
      <c r="P174" s="207" t="str">
        <f t="shared" si="24"/>
        <v>PM_0</v>
      </c>
      <c r="Q174" s="273">
        <f t="shared" si="25"/>
        <v>0</v>
      </c>
      <c r="R174" s="207">
        <f t="shared" si="26"/>
        <v>0</v>
      </c>
      <c r="S174" s="207">
        <f t="shared" si="27"/>
        <v>0</v>
      </c>
    </row>
    <row r="175" spans="11:19" ht="14.1" customHeight="1" x14ac:dyDescent="0.2">
      <c r="K175" s="186" t="str">
        <f t="shared" si="20"/>
        <v>PM_0</v>
      </c>
      <c r="L175" s="186">
        <f t="shared" si="21"/>
        <v>0</v>
      </c>
      <c r="M175" s="186">
        <f t="shared" si="22"/>
        <v>0</v>
      </c>
      <c r="N175" s="186">
        <f t="shared" si="23"/>
        <v>0</v>
      </c>
      <c r="P175" s="207" t="str">
        <f t="shared" si="24"/>
        <v>PM_0</v>
      </c>
      <c r="Q175" s="273">
        <f t="shared" si="25"/>
        <v>0</v>
      </c>
      <c r="R175" s="207">
        <f t="shared" si="26"/>
        <v>0</v>
      </c>
      <c r="S175" s="207">
        <f t="shared" si="27"/>
        <v>0</v>
      </c>
    </row>
    <row r="176" spans="11:19" ht="14.1" customHeight="1" x14ac:dyDescent="0.2">
      <c r="K176" s="186" t="str">
        <f t="shared" si="20"/>
        <v>PM_0</v>
      </c>
      <c r="L176" s="186">
        <f t="shared" si="21"/>
        <v>0</v>
      </c>
      <c r="M176" s="186">
        <f t="shared" si="22"/>
        <v>0</v>
      </c>
      <c r="N176" s="186">
        <f t="shared" si="23"/>
        <v>0</v>
      </c>
      <c r="P176" s="207" t="str">
        <f t="shared" si="24"/>
        <v>PM_0</v>
      </c>
      <c r="Q176" s="273">
        <f t="shared" si="25"/>
        <v>0</v>
      </c>
      <c r="R176" s="207">
        <f t="shared" si="26"/>
        <v>0</v>
      </c>
      <c r="S176" s="207">
        <f t="shared" si="27"/>
        <v>0</v>
      </c>
    </row>
    <row r="177" spans="11:19" ht="14.1" customHeight="1" x14ac:dyDescent="0.2">
      <c r="K177" s="186" t="str">
        <f t="shared" si="20"/>
        <v>PM_0</v>
      </c>
      <c r="L177" s="186">
        <f t="shared" si="21"/>
        <v>0</v>
      </c>
      <c r="M177" s="186">
        <f t="shared" si="22"/>
        <v>0</v>
      </c>
      <c r="N177" s="186">
        <f t="shared" si="23"/>
        <v>0</v>
      </c>
      <c r="P177" s="207" t="str">
        <f t="shared" si="24"/>
        <v>PM_0</v>
      </c>
      <c r="Q177" s="273">
        <f t="shared" si="25"/>
        <v>0</v>
      </c>
      <c r="R177" s="207">
        <f t="shared" si="26"/>
        <v>0</v>
      </c>
      <c r="S177" s="207">
        <f t="shared" si="27"/>
        <v>0</v>
      </c>
    </row>
    <row r="178" spans="11:19" ht="14.1" customHeight="1" x14ac:dyDescent="0.2">
      <c r="K178" s="186" t="str">
        <f t="shared" si="20"/>
        <v>PM_0</v>
      </c>
      <c r="L178" s="186">
        <f t="shared" si="21"/>
        <v>0</v>
      </c>
      <c r="M178" s="186">
        <f t="shared" si="22"/>
        <v>0</v>
      </c>
      <c r="N178" s="186">
        <f t="shared" si="23"/>
        <v>0</v>
      </c>
      <c r="P178" s="207" t="str">
        <f t="shared" si="24"/>
        <v>PM_0</v>
      </c>
      <c r="Q178" s="273">
        <f t="shared" si="25"/>
        <v>0</v>
      </c>
      <c r="R178" s="207">
        <f t="shared" si="26"/>
        <v>0</v>
      </c>
      <c r="S178" s="207">
        <f t="shared" si="27"/>
        <v>0</v>
      </c>
    </row>
    <row r="179" spans="11:19" ht="14.1" customHeight="1" x14ac:dyDescent="0.2">
      <c r="K179" s="186" t="str">
        <f t="shared" si="20"/>
        <v>PM_0</v>
      </c>
      <c r="L179" s="186">
        <f t="shared" si="21"/>
        <v>0</v>
      </c>
      <c r="M179" s="186">
        <f t="shared" si="22"/>
        <v>0</v>
      </c>
      <c r="N179" s="186">
        <f t="shared" si="23"/>
        <v>0</v>
      </c>
      <c r="P179" s="207" t="str">
        <f t="shared" si="24"/>
        <v>PM_0</v>
      </c>
      <c r="Q179" s="273">
        <f t="shared" si="25"/>
        <v>0</v>
      </c>
      <c r="R179" s="207">
        <f t="shared" si="26"/>
        <v>0</v>
      </c>
      <c r="S179" s="207">
        <f t="shared" si="27"/>
        <v>0</v>
      </c>
    </row>
    <row r="180" spans="11:19" ht="14.1" customHeight="1" x14ac:dyDescent="0.2">
      <c r="K180" s="186" t="str">
        <f t="shared" si="20"/>
        <v>PM_0</v>
      </c>
      <c r="L180" s="186">
        <f t="shared" si="21"/>
        <v>0</v>
      </c>
      <c r="M180" s="186">
        <f t="shared" si="22"/>
        <v>0</v>
      </c>
      <c r="N180" s="186">
        <f t="shared" si="23"/>
        <v>0</v>
      </c>
      <c r="P180" s="207" t="str">
        <f t="shared" si="24"/>
        <v>PM_0</v>
      </c>
      <c r="Q180" s="273">
        <f t="shared" si="25"/>
        <v>0</v>
      </c>
      <c r="R180" s="207">
        <f t="shared" si="26"/>
        <v>0</v>
      </c>
      <c r="S180" s="207">
        <f t="shared" si="27"/>
        <v>0</v>
      </c>
    </row>
    <row r="181" spans="11:19" ht="14.1" customHeight="1" x14ac:dyDescent="0.2">
      <c r="K181" s="186" t="str">
        <f t="shared" si="20"/>
        <v>PM_0</v>
      </c>
      <c r="L181" s="186">
        <f t="shared" si="21"/>
        <v>0</v>
      </c>
      <c r="M181" s="186">
        <f t="shared" si="22"/>
        <v>0</v>
      </c>
      <c r="N181" s="186">
        <f t="shared" si="23"/>
        <v>0</v>
      </c>
      <c r="P181" s="207" t="str">
        <f t="shared" si="24"/>
        <v>PM_0</v>
      </c>
      <c r="Q181" s="273">
        <f t="shared" si="25"/>
        <v>0</v>
      </c>
      <c r="R181" s="207">
        <f t="shared" si="26"/>
        <v>0</v>
      </c>
      <c r="S181" s="207">
        <f t="shared" si="27"/>
        <v>0</v>
      </c>
    </row>
    <row r="182" spans="11:19" ht="14.1" customHeight="1" x14ac:dyDescent="0.2">
      <c r="K182" s="186" t="str">
        <f t="shared" si="20"/>
        <v>PM_0</v>
      </c>
      <c r="L182" s="186">
        <f t="shared" si="21"/>
        <v>0</v>
      </c>
      <c r="M182" s="186">
        <f t="shared" si="22"/>
        <v>0</v>
      </c>
      <c r="N182" s="186">
        <f t="shared" si="23"/>
        <v>0</v>
      </c>
      <c r="P182" s="207" t="str">
        <f t="shared" si="24"/>
        <v>PM_0</v>
      </c>
      <c r="Q182" s="273">
        <f t="shared" si="25"/>
        <v>0</v>
      </c>
      <c r="R182" s="207">
        <f t="shared" si="26"/>
        <v>0</v>
      </c>
      <c r="S182" s="207">
        <f t="shared" si="27"/>
        <v>0</v>
      </c>
    </row>
    <row r="183" spans="11:19" ht="14.1" customHeight="1" x14ac:dyDescent="0.2">
      <c r="K183" s="186" t="str">
        <f t="shared" si="20"/>
        <v>PM_0</v>
      </c>
      <c r="L183" s="186">
        <f t="shared" si="21"/>
        <v>0</v>
      </c>
      <c r="M183" s="186">
        <f t="shared" si="22"/>
        <v>0</v>
      </c>
      <c r="N183" s="186">
        <f t="shared" si="23"/>
        <v>0</v>
      </c>
      <c r="P183" s="207" t="str">
        <f t="shared" si="24"/>
        <v>PM_0</v>
      </c>
      <c r="Q183" s="273">
        <f t="shared" si="25"/>
        <v>0</v>
      </c>
      <c r="R183" s="207">
        <f t="shared" si="26"/>
        <v>0</v>
      </c>
      <c r="S183" s="207">
        <f t="shared" si="27"/>
        <v>0</v>
      </c>
    </row>
    <row r="184" spans="11:19" ht="14.1" customHeight="1" x14ac:dyDescent="0.2">
      <c r="K184" s="186" t="str">
        <f t="shared" si="20"/>
        <v>PM_0</v>
      </c>
      <c r="L184" s="186">
        <f t="shared" si="21"/>
        <v>0</v>
      </c>
      <c r="M184" s="186">
        <f t="shared" si="22"/>
        <v>0</v>
      </c>
      <c r="N184" s="186">
        <f t="shared" si="23"/>
        <v>0</v>
      </c>
      <c r="P184" s="207" t="str">
        <f t="shared" si="24"/>
        <v>PM_0</v>
      </c>
      <c r="Q184" s="273">
        <f t="shared" si="25"/>
        <v>0</v>
      </c>
      <c r="R184" s="207">
        <f t="shared" si="26"/>
        <v>0</v>
      </c>
      <c r="S184" s="207">
        <f t="shared" si="27"/>
        <v>0</v>
      </c>
    </row>
    <row r="185" spans="11:19" ht="14.1" customHeight="1" x14ac:dyDescent="0.2">
      <c r="K185" s="186" t="str">
        <f t="shared" si="20"/>
        <v>PM_0</v>
      </c>
      <c r="L185" s="186">
        <f t="shared" si="21"/>
        <v>0</v>
      </c>
      <c r="M185" s="186">
        <f t="shared" si="22"/>
        <v>0</v>
      </c>
      <c r="N185" s="186">
        <f t="shared" si="23"/>
        <v>0</v>
      </c>
      <c r="P185" s="207" t="str">
        <f t="shared" si="24"/>
        <v>PM_0</v>
      </c>
      <c r="Q185" s="273">
        <f t="shared" si="25"/>
        <v>0</v>
      </c>
      <c r="R185" s="207">
        <f t="shared" si="26"/>
        <v>0</v>
      </c>
      <c r="S185" s="207">
        <f t="shared" si="27"/>
        <v>0</v>
      </c>
    </row>
    <row r="186" spans="11:19" ht="14.1" customHeight="1" x14ac:dyDescent="0.2">
      <c r="K186" s="186" t="str">
        <f t="shared" si="20"/>
        <v>PM_0</v>
      </c>
      <c r="L186" s="186">
        <f t="shared" si="21"/>
        <v>0</v>
      </c>
      <c r="M186" s="186">
        <f t="shared" si="22"/>
        <v>0</v>
      </c>
      <c r="N186" s="186">
        <f t="shared" si="23"/>
        <v>0</v>
      </c>
      <c r="P186" s="207" t="str">
        <f t="shared" si="24"/>
        <v>PM_0</v>
      </c>
      <c r="Q186" s="273">
        <f t="shared" si="25"/>
        <v>0</v>
      </c>
      <c r="R186" s="207">
        <f t="shared" si="26"/>
        <v>0</v>
      </c>
      <c r="S186" s="207">
        <f t="shared" si="27"/>
        <v>0</v>
      </c>
    </row>
    <row r="187" spans="11:19" ht="14.1" customHeight="1" x14ac:dyDescent="0.2">
      <c r="K187" s="186" t="str">
        <f t="shared" si="20"/>
        <v>PM_0</v>
      </c>
      <c r="L187" s="186">
        <f t="shared" si="21"/>
        <v>0</v>
      </c>
      <c r="M187" s="186">
        <f t="shared" si="22"/>
        <v>0</v>
      </c>
      <c r="N187" s="186">
        <f t="shared" si="23"/>
        <v>0</v>
      </c>
      <c r="P187" s="207" t="str">
        <f t="shared" si="24"/>
        <v>PM_0</v>
      </c>
      <c r="Q187" s="273">
        <f t="shared" si="25"/>
        <v>0</v>
      </c>
      <c r="R187" s="207">
        <f t="shared" si="26"/>
        <v>0</v>
      </c>
      <c r="S187" s="207">
        <f t="shared" si="27"/>
        <v>0</v>
      </c>
    </row>
    <row r="188" spans="11:19" ht="14.1" customHeight="1" x14ac:dyDescent="0.2">
      <c r="K188" s="186" t="str">
        <f t="shared" si="20"/>
        <v>PM_0</v>
      </c>
      <c r="L188" s="186">
        <f t="shared" si="21"/>
        <v>0</v>
      </c>
      <c r="M188" s="186">
        <f t="shared" si="22"/>
        <v>0</v>
      </c>
      <c r="N188" s="186">
        <f t="shared" si="23"/>
        <v>0</v>
      </c>
      <c r="P188" s="207" t="str">
        <f t="shared" si="24"/>
        <v>PM_0</v>
      </c>
      <c r="Q188" s="273">
        <f t="shared" si="25"/>
        <v>0</v>
      </c>
      <c r="R188" s="207">
        <f t="shared" si="26"/>
        <v>0</v>
      </c>
      <c r="S188" s="207">
        <f t="shared" si="27"/>
        <v>0</v>
      </c>
    </row>
    <row r="189" spans="11:19" ht="14.1" customHeight="1" x14ac:dyDescent="0.2">
      <c r="K189" s="186" t="str">
        <f t="shared" si="20"/>
        <v>PM_0</v>
      </c>
      <c r="L189" s="186">
        <f t="shared" si="21"/>
        <v>0</v>
      </c>
      <c r="M189" s="186">
        <f t="shared" si="22"/>
        <v>0</v>
      </c>
      <c r="N189" s="186">
        <f t="shared" si="23"/>
        <v>0</v>
      </c>
      <c r="P189" s="207" t="str">
        <f t="shared" si="24"/>
        <v>PM_0</v>
      </c>
      <c r="Q189" s="273">
        <f t="shared" si="25"/>
        <v>0</v>
      </c>
      <c r="R189" s="207">
        <f t="shared" si="26"/>
        <v>0</v>
      </c>
      <c r="S189" s="207">
        <f t="shared" si="27"/>
        <v>0</v>
      </c>
    </row>
    <row r="190" spans="11:19" ht="14.1" customHeight="1" x14ac:dyDescent="0.2">
      <c r="K190" s="186" t="str">
        <f t="shared" si="20"/>
        <v>PM_0</v>
      </c>
      <c r="L190" s="186">
        <f t="shared" si="21"/>
        <v>0</v>
      </c>
      <c r="M190" s="186">
        <f t="shared" si="22"/>
        <v>0</v>
      </c>
      <c r="N190" s="186">
        <f t="shared" si="23"/>
        <v>0</v>
      </c>
      <c r="P190" s="207" t="str">
        <f t="shared" si="24"/>
        <v>PM_0</v>
      </c>
      <c r="Q190" s="273">
        <f t="shared" si="25"/>
        <v>0</v>
      </c>
      <c r="R190" s="207">
        <f t="shared" si="26"/>
        <v>0</v>
      </c>
      <c r="S190" s="207">
        <f t="shared" si="27"/>
        <v>0</v>
      </c>
    </row>
    <row r="191" spans="11:19" ht="14.1" customHeight="1" x14ac:dyDescent="0.2">
      <c r="K191" s="186" t="str">
        <f t="shared" si="20"/>
        <v>PM_0</v>
      </c>
      <c r="L191" s="186">
        <f t="shared" si="21"/>
        <v>0</v>
      </c>
      <c r="M191" s="186">
        <f t="shared" si="22"/>
        <v>0</v>
      </c>
      <c r="N191" s="186">
        <f t="shared" si="23"/>
        <v>0</v>
      </c>
      <c r="P191" s="207" t="str">
        <f t="shared" si="24"/>
        <v>PM_0</v>
      </c>
      <c r="Q191" s="273">
        <f t="shared" si="25"/>
        <v>0</v>
      </c>
      <c r="R191" s="207">
        <f t="shared" si="26"/>
        <v>0</v>
      </c>
      <c r="S191" s="207">
        <f t="shared" si="27"/>
        <v>0</v>
      </c>
    </row>
    <row r="192" spans="11:19" ht="14.1" customHeight="1" x14ac:dyDescent="0.2">
      <c r="K192" s="186" t="str">
        <f t="shared" si="20"/>
        <v>PM_0</v>
      </c>
      <c r="L192" s="186">
        <f t="shared" si="21"/>
        <v>0</v>
      </c>
      <c r="M192" s="186">
        <f t="shared" si="22"/>
        <v>0</v>
      </c>
      <c r="N192" s="186">
        <f t="shared" si="23"/>
        <v>0</v>
      </c>
      <c r="P192" s="207" t="str">
        <f t="shared" si="24"/>
        <v>PM_0</v>
      </c>
      <c r="Q192" s="273">
        <f t="shared" si="25"/>
        <v>0</v>
      </c>
      <c r="R192" s="207">
        <f t="shared" si="26"/>
        <v>0</v>
      </c>
      <c r="S192" s="207">
        <f t="shared" si="27"/>
        <v>0</v>
      </c>
    </row>
    <row r="193" spans="11:19" ht="14.1" customHeight="1" x14ac:dyDescent="0.2">
      <c r="K193" s="186" t="str">
        <f t="shared" si="20"/>
        <v>PM_0</v>
      </c>
      <c r="L193" s="186">
        <f t="shared" si="21"/>
        <v>0</v>
      </c>
      <c r="M193" s="186">
        <f t="shared" si="22"/>
        <v>0</v>
      </c>
      <c r="N193" s="186">
        <f t="shared" si="23"/>
        <v>0</v>
      </c>
      <c r="P193" s="207" t="str">
        <f t="shared" si="24"/>
        <v>PM_0</v>
      </c>
      <c r="Q193" s="273">
        <f t="shared" si="25"/>
        <v>0</v>
      </c>
      <c r="R193" s="207">
        <f t="shared" si="26"/>
        <v>0</v>
      </c>
      <c r="S193" s="207">
        <f t="shared" si="27"/>
        <v>0</v>
      </c>
    </row>
    <row r="194" spans="11:19" ht="14.1" customHeight="1" x14ac:dyDescent="0.2">
      <c r="K194" s="186" t="str">
        <f t="shared" si="20"/>
        <v>PM_0</v>
      </c>
      <c r="L194" s="186">
        <f t="shared" si="21"/>
        <v>0</v>
      </c>
      <c r="M194" s="186">
        <f t="shared" si="22"/>
        <v>0</v>
      </c>
      <c r="N194" s="186">
        <f t="shared" si="23"/>
        <v>0</v>
      </c>
      <c r="P194" s="207" t="str">
        <f t="shared" si="24"/>
        <v>PM_0</v>
      </c>
      <c r="Q194" s="273">
        <f t="shared" si="25"/>
        <v>0</v>
      </c>
      <c r="R194" s="207">
        <f t="shared" si="26"/>
        <v>0</v>
      </c>
      <c r="S194" s="207">
        <f t="shared" si="27"/>
        <v>0</v>
      </c>
    </row>
    <row r="195" spans="11:19" ht="14.1" customHeight="1" x14ac:dyDescent="0.2">
      <c r="K195" s="186" t="str">
        <f t="shared" si="20"/>
        <v>PM_0</v>
      </c>
      <c r="L195" s="186">
        <f t="shared" si="21"/>
        <v>0</v>
      </c>
      <c r="M195" s="186">
        <f t="shared" si="22"/>
        <v>0</v>
      </c>
      <c r="N195" s="186">
        <f t="shared" si="23"/>
        <v>0</v>
      </c>
      <c r="P195" s="207" t="str">
        <f t="shared" si="24"/>
        <v>PM_0</v>
      </c>
      <c r="Q195" s="273">
        <f t="shared" si="25"/>
        <v>0</v>
      </c>
      <c r="R195" s="207">
        <f t="shared" si="26"/>
        <v>0</v>
      </c>
      <c r="S195" s="207">
        <f t="shared" si="27"/>
        <v>0</v>
      </c>
    </row>
    <row r="196" spans="11:19" ht="14.1" customHeight="1" x14ac:dyDescent="0.2">
      <c r="K196" s="186" t="str">
        <f t="shared" si="20"/>
        <v>PM_0</v>
      </c>
      <c r="L196" s="186">
        <f t="shared" si="21"/>
        <v>0</v>
      </c>
      <c r="M196" s="186">
        <f t="shared" si="22"/>
        <v>0</v>
      </c>
      <c r="N196" s="186">
        <f t="shared" si="23"/>
        <v>0</v>
      </c>
      <c r="P196" s="207" t="str">
        <f t="shared" si="24"/>
        <v>PM_0</v>
      </c>
      <c r="Q196" s="273">
        <f t="shared" si="25"/>
        <v>0</v>
      </c>
      <c r="R196" s="207">
        <f t="shared" si="26"/>
        <v>0</v>
      </c>
      <c r="S196" s="207">
        <f t="shared" si="27"/>
        <v>0</v>
      </c>
    </row>
    <row r="197" spans="11:19" ht="14.1" customHeight="1" x14ac:dyDescent="0.2">
      <c r="K197" s="186" t="str">
        <f t="shared" si="20"/>
        <v>PM_0</v>
      </c>
      <c r="L197" s="186">
        <f t="shared" si="21"/>
        <v>0</v>
      </c>
      <c r="M197" s="186">
        <f t="shared" si="22"/>
        <v>0</v>
      </c>
      <c r="N197" s="186">
        <f t="shared" si="23"/>
        <v>0</v>
      </c>
      <c r="P197" s="207" t="str">
        <f t="shared" si="24"/>
        <v>PM_0</v>
      </c>
      <c r="Q197" s="273">
        <f t="shared" si="25"/>
        <v>0</v>
      </c>
      <c r="R197" s="207">
        <f t="shared" si="26"/>
        <v>0</v>
      </c>
      <c r="S197" s="207">
        <f t="shared" si="27"/>
        <v>0</v>
      </c>
    </row>
    <row r="198" spans="11:19" ht="14.1" customHeight="1" x14ac:dyDescent="0.2">
      <c r="K198" s="186" t="str">
        <f t="shared" si="20"/>
        <v>PM_0</v>
      </c>
      <c r="L198" s="186">
        <f t="shared" si="21"/>
        <v>0</v>
      </c>
      <c r="M198" s="186">
        <f t="shared" si="22"/>
        <v>0</v>
      </c>
      <c r="N198" s="186">
        <f t="shared" si="23"/>
        <v>0</v>
      </c>
      <c r="P198" s="207" t="str">
        <f t="shared" si="24"/>
        <v>PM_0</v>
      </c>
      <c r="Q198" s="273">
        <f t="shared" si="25"/>
        <v>0</v>
      </c>
      <c r="R198" s="207">
        <f t="shared" si="26"/>
        <v>0</v>
      </c>
      <c r="S198" s="207">
        <f t="shared" si="27"/>
        <v>0</v>
      </c>
    </row>
    <row r="199" spans="11:19" ht="14.1" customHeight="1" x14ac:dyDescent="0.2">
      <c r="K199" s="186" t="str">
        <f t="shared" si="20"/>
        <v>PM_0</v>
      </c>
      <c r="L199" s="186">
        <f t="shared" si="21"/>
        <v>0</v>
      </c>
      <c r="M199" s="186">
        <f t="shared" si="22"/>
        <v>0</v>
      </c>
      <c r="N199" s="186">
        <f t="shared" si="23"/>
        <v>0</v>
      </c>
      <c r="P199" s="207" t="str">
        <f t="shared" si="24"/>
        <v>PM_0</v>
      </c>
      <c r="Q199" s="273">
        <f t="shared" si="25"/>
        <v>0</v>
      </c>
      <c r="R199" s="207">
        <f t="shared" si="26"/>
        <v>0</v>
      </c>
      <c r="S199" s="207">
        <f t="shared" si="27"/>
        <v>0</v>
      </c>
    </row>
    <row r="200" spans="11:19" ht="14.1" customHeight="1" x14ac:dyDescent="0.2">
      <c r="K200" s="186" t="str">
        <f t="shared" si="20"/>
        <v>PM_0</v>
      </c>
      <c r="L200" s="186">
        <f t="shared" si="21"/>
        <v>0</v>
      </c>
      <c r="M200" s="186">
        <f t="shared" si="22"/>
        <v>0</v>
      </c>
      <c r="N200" s="186">
        <f t="shared" si="23"/>
        <v>0</v>
      </c>
      <c r="P200" s="207" t="str">
        <f t="shared" si="24"/>
        <v>PM_0</v>
      </c>
      <c r="Q200" s="273">
        <f t="shared" si="25"/>
        <v>0</v>
      </c>
      <c r="R200" s="207">
        <f t="shared" si="26"/>
        <v>0</v>
      </c>
      <c r="S200" s="207">
        <f t="shared" si="27"/>
        <v>0</v>
      </c>
    </row>
    <row r="201" spans="11:19" ht="14.1" customHeight="1" x14ac:dyDescent="0.2">
      <c r="K201" s="186" t="str">
        <f t="shared" si="20"/>
        <v>PM_0</v>
      </c>
      <c r="L201" s="186">
        <f t="shared" si="21"/>
        <v>0</v>
      </c>
      <c r="M201" s="186">
        <f t="shared" si="22"/>
        <v>0</v>
      </c>
      <c r="N201" s="186">
        <f t="shared" si="23"/>
        <v>0</v>
      </c>
      <c r="P201" s="207" t="str">
        <f t="shared" si="24"/>
        <v>PM_0</v>
      </c>
      <c r="Q201" s="273">
        <f t="shared" si="25"/>
        <v>0</v>
      </c>
      <c r="R201" s="207">
        <f t="shared" si="26"/>
        <v>0</v>
      </c>
      <c r="S201" s="207">
        <f t="shared" si="27"/>
        <v>0</v>
      </c>
    </row>
    <row r="202" spans="11:19" ht="14.1" customHeight="1" x14ac:dyDescent="0.2">
      <c r="K202" s="186" t="str">
        <f t="shared" si="20"/>
        <v>PM_0</v>
      </c>
      <c r="L202" s="186">
        <f t="shared" si="21"/>
        <v>0</v>
      </c>
      <c r="M202" s="186">
        <f t="shared" si="22"/>
        <v>0</v>
      </c>
      <c r="N202" s="186">
        <f t="shared" si="23"/>
        <v>0</v>
      </c>
      <c r="P202" s="207" t="str">
        <f t="shared" si="24"/>
        <v>PM_0</v>
      </c>
      <c r="Q202" s="273">
        <f t="shared" si="25"/>
        <v>0</v>
      </c>
      <c r="R202" s="207">
        <f t="shared" si="26"/>
        <v>0</v>
      </c>
      <c r="S202" s="207">
        <f t="shared" si="27"/>
        <v>0</v>
      </c>
    </row>
    <row r="203" spans="11:19" ht="14.1" customHeight="1" x14ac:dyDescent="0.2">
      <c r="K203" s="186" t="str">
        <f t="shared" ref="K203:K266" si="28">"PM_"&amp;ROUND(E203,2)</f>
        <v>PM_0</v>
      </c>
      <c r="L203" s="186">
        <f t="shared" ref="L203:L266" si="29">F203</f>
        <v>0</v>
      </c>
      <c r="M203" s="186">
        <f t="shared" ref="M203:M266" si="30">G203</f>
        <v>0</v>
      </c>
      <c r="N203" s="186">
        <f t="shared" ref="N203:N266" si="31">H203</f>
        <v>0</v>
      </c>
      <c r="P203" s="207" t="str">
        <f t="shared" ref="P203:P266" si="32">K203</f>
        <v>PM_0</v>
      </c>
      <c r="Q203" s="273">
        <f t="shared" ref="Q203:Q266" si="33">$S$1+E203</f>
        <v>0</v>
      </c>
      <c r="R203" s="207">
        <f t="shared" ref="R203:R266" si="34">H203</f>
        <v>0</v>
      </c>
      <c r="S203" s="207">
        <f t="shared" ref="S203:S266" si="35">$B$6</f>
        <v>0</v>
      </c>
    </row>
    <row r="204" spans="11:19" ht="14.1" customHeight="1" x14ac:dyDescent="0.2">
      <c r="K204" s="186" t="str">
        <f t="shared" si="28"/>
        <v>PM_0</v>
      </c>
      <c r="L204" s="186">
        <f t="shared" si="29"/>
        <v>0</v>
      </c>
      <c r="M204" s="186">
        <f t="shared" si="30"/>
        <v>0</v>
      </c>
      <c r="N204" s="186">
        <f t="shared" si="31"/>
        <v>0</v>
      </c>
      <c r="P204" s="207" t="str">
        <f t="shared" si="32"/>
        <v>PM_0</v>
      </c>
      <c r="Q204" s="273">
        <f t="shared" si="33"/>
        <v>0</v>
      </c>
      <c r="R204" s="207">
        <f t="shared" si="34"/>
        <v>0</v>
      </c>
      <c r="S204" s="207">
        <f t="shared" si="35"/>
        <v>0</v>
      </c>
    </row>
    <row r="205" spans="11:19" ht="14.1" customHeight="1" x14ac:dyDescent="0.2">
      <c r="K205" s="186" t="str">
        <f t="shared" si="28"/>
        <v>PM_0</v>
      </c>
      <c r="L205" s="186">
        <f t="shared" si="29"/>
        <v>0</v>
      </c>
      <c r="M205" s="186">
        <f t="shared" si="30"/>
        <v>0</v>
      </c>
      <c r="N205" s="186">
        <f t="shared" si="31"/>
        <v>0</v>
      </c>
      <c r="P205" s="207" t="str">
        <f t="shared" si="32"/>
        <v>PM_0</v>
      </c>
      <c r="Q205" s="273">
        <f t="shared" si="33"/>
        <v>0</v>
      </c>
      <c r="R205" s="207">
        <f t="shared" si="34"/>
        <v>0</v>
      </c>
      <c r="S205" s="207">
        <f t="shared" si="35"/>
        <v>0</v>
      </c>
    </row>
    <row r="206" spans="11:19" ht="14.1" customHeight="1" x14ac:dyDescent="0.2">
      <c r="K206" s="186" t="str">
        <f t="shared" si="28"/>
        <v>PM_0</v>
      </c>
      <c r="L206" s="186">
        <f t="shared" si="29"/>
        <v>0</v>
      </c>
      <c r="M206" s="186">
        <f t="shared" si="30"/>
        <v>0</v>
      </c>
      <c r="N206" s="186">
        <f t="shared" si="31"/>
        <v>0</v>
      </c>
      <c r="P206" s="207" t="str">
        <f t="shared" si="32"/>
        <v>PM_0</v>
      </c>
      <c r="Q206" s="273">
        <f t="shared" si="33"/>
        <v>0</v>
      </c>
      <c r="R206" s="207">
        <f t="shared" si="34"/>
        <v>0</v>
      </c>
      <c r="S206" s="207">
        <f t="shared" si="35"/>
        <v>0</v>
      </c>
    </row>
    <row r="207" spans="11:19" ht="14.1" customHeight="1" x14ac:dyDescent="0.2">
      <c r="K207" s="186" t="str">
        <f t="shared" si="28"/>
        <v>PM_0</v>
      </c>
      <c r="L207" s="186">
        <f t="shared" si="29"/>
        <v>0</v>
      </c>
      <c r="M207" s="186">
        <f t="shared" si="30"/>
        <v>0</v>
      </c>
      <c r="N207" s="186">
        <f t="shared" si="31"/>
        <v>0</v>
      </c>
      <c r="P207" s="207" t="str">
        <f t="shared" si="32"/>
        <v>PM_0</v>
      </c>
      <c r="Q207" s="273">
        <f t="shared" si="33"/>
        <v>0</v>
      </c>
      <c r="R207" s="207">
        <f t="shared" si="34"/>
        <v>0</v>
      </c>
      <c r="S207" s="207">
        <f t="shared" si="35"/>
        <v>0</v>
      </c>
    </row>
    <row r="208" spans="11:19" ht="14.1" customHeight="1" x14ac:dyDescent="0.2">
      <c r="K208" s="186" t="str">
        <f t="shared" si="28"/>
        <v>PM_0</v>
      </c>
      <c r="L208" s="186">
        <f t="shared" si="29"/>
        <v>0</v>
      </c>
      <c r="M208" s="186">
        <f t="shared" si="30"/>
        <v>0</v>
      </c>
      <c r="N208" s="186">
        <f t="shared" si="31"/>
        <v>0</v>
      </c>
      <c r="P208" s="207" t="str">
        <f t="shared" si="32"/>
        <v>PM_0</v>
      </c>
      <c r="Q208" s="273">
        <f t="shared" si="33"/>
        <v>0</v>
      </c>
      <c r="R208" s="207">
        <f t="shared" si="34"/>
        <v>0</v>
      </c>
      <c r="S208" s="207">
        <f t="shared" si="35"/>
        <v>0</v>
      </c>
    </row>
    <row r="209" spans="11:19" ht="14.1" customHeight="1" x14ac:dyDescent="0.2">
      <c r="K209" s="186" t="str">
        <f t="shared" si="28"/>
        <v>PM_0</v>
      </c>
      <c r="L209" s="186">
        <f t="shared" si="29"/>
        <v>0</v>
      </c>
      <c r="M209" s="186">
        <f t="shared" si="30"/>
        <v>0</v>
      </c>
      <c r="N209" s="186">
        <f t="shared" si="31"/>
        <v>0</v>
      </c>
      <c r="P209" s="207" t="str">
        <f t="shared" si="32"/>
        <v>PM_0</v>
      </c>
      <c r="Q209" s="273">
        <f t="shared" si="33"/>
        <v>0</v>
      </c>
      <c r="R209" s="207">
        <f t="shared" si="34"/>
        <v>0</v>
      </c>
      <c r="S209" s="207">
        <f t="shared" si="35"/>
        <v>0</v>
      </c>
    </row>
    <row r="210" spans="11:19" ht="14.1" customHeight="1" x14ac:dyDescent="0.2">
      <c r="K210" s="186" t="str">
        <f t="shared" si="28"/>
        <v>PM_0</v>
      </c>
      <c r="L210" s="186">
        <f t="shared" si="29"/>
        <v>0</v>
      </c>
      <c r="M210" s="186">
        <f t="shared" si="30"/>
        <v>0</v>
      </c>
      <c r="N210" s="186">
        <f t="shared" si="31"/>
        <v>0</v>
      </c>
      <c r="P210" s="207" t="str">
        <f t="shared" si="32"/>
        <v>PM_0</v>
      </c>
      <c r="Q210" s="273">
        <f t="shared" si="33"/>
        <v>0</v>
      </c>
      <c r="R210" s="207">
        <f t="shared" si="34"/>
        <v>0</v>
      </c>
      <c r="S210" s="207">
        <f t="shared" si="35"/>
        <v>0</v>
      </c>
    </row>
    <row r="211" spans="11:19" ht="14.1" customHeight="1" x14ac:dyDescent="0.2">
      <c r="K211" s="186" t="str">
        <f t="shared" si="28"/>
        <v>PM_0</v>
      </c>
      <c r="L211" s="186">
        <f t="shared" si="29"/>
        <v>0</v>
      </c>
      <c r="M211" s="186">
        <f t="shared" si="30"/>
        <v>0</v>
      </c>
      <c r="N211" s="186">
        <f t="shared" si="31"/>
        <v>0</v>
      </c>
      <c r="P211" s="207" t="str">
        <f t="shared" si="32"/>
        <v>PM_0</v>
      </c>
      <c r="Q211" s="273">
        <f t="shared" si="33"/>
        <v>0</v>
      </c>
      <c r="R211" s="207">
        <f t="shared" si="34"/>
        <v>0</v>
      </c>
      <c r="S211" s="207">
        <f t="shared" si="35"/>
        <v>0</v>
      </c>
    </row>
    <row r="212" spans="11:19" ht="14.1" customHeight="1" x14ac:dyDescent="0.2">
      <c r="K212" s="186" t="str">
        <f t="shared" si="28"/>
        <v>PM_0</v>
      </c>
      <c r="L212" s="186">
        <f t="shared" si="29"/>
        <v>0</v>
      </c>
      <c r="M212" s="186">
        <f t="shared" si="30"/>
        <v>0</v>
      </c>
      <c r="N212" s="186">
        <f t="shared" si="31"/>
        <v>0</v>
      </c>
      <c r="P212" s="207" t="str">
        <f t="shared" si="32"/>
        <v>PM_0</v>
      </c>
      <c r="Q212" s="273">
        <f t="shared" si="33"/>
        <v>0</v>
      </c>
      <c r="R212" s="207">
        <f t="shared" si="34"/>
        <v>0</v>
      </c>
      <c r="S212" s="207">
        <f t="shared" si="35"/>
        <v>0</v>
      </c>
    </row>
    <row r="213" spans="11:19" ht="14.1" customHeight="1" x14ac:dyDescent="0.2">
      <c r="K213" s="186" t="str">
        <f t="shared" si="28"/>
        <v>PM_0</v>
      </c>
      <c r="L213" s="186">
        <f t="shared" si="29"/>
        <v>0</v>
      </c>
      <c r="M213" s="186">
        <f t="shared" si="30"/>
        <v>0</v>
      </c>
      <c r="N213" s="186">
        <f t="shared" si="31"/>
        <v>0</v>
      </c>
      <c r="P213" s="207" t="str">
        <f t="shared" si="32"/>
        <v>PM_0</v>
      </c>
      <c r="Q213" s="273">
        <f t="shared" si="33"/>
        <v>0</v>
      </c>
      <c r="R213" s="207">
        <f t="shared" si="34"/>
        <v>0</v>
      </c>
      <c r="S213" s="207">
        <f t="shared" si="35"/>
        <v>0</v>
      </c>
    </row>
    <row r="214" spans="11:19" ht="14.1" customHeight="1" x14ac:dyDescent="0.2">
      <c r="K214" s="186" t="str">
        <f t="shared" si="28"/>
        <v>PM_0</v>
      </c>
      <c r="L214" s="186">
        <f t="shared" si="29"/>
        <v>0</v>
      </c>
      <c r="M214" s="186">
        <f t="shared" si="30"/>
        <v>0</v>
      </c>
      <c r="N214" s="186">
        <f t="shared" si="31"/>
        <v>0</v>
      </c>
      <c r="P214" s="207" t="str">
        <f t="shared" si="32"/>
        <v>PM_0</v>
      </c>
      <c r="Q214" s="273">
        <f t="shared" si="33"/>
        <v>0</v>
      </c>
      <c r="R214" s="207">
        <f t="shared" si="34"/>
        <v>0</v>
      </c>
      <c r="S214" s="207">
        <f t="shared" si="35"/>
        <v>0</v>
      </c>
    </row>
    <row r="215" spans="11:19" ht="14.1" customHeight="1" x14ac:dyDescent="0.2">
      <c r="K215" s="186" t="str">
        <f t="shared" si="28"/>
        <v>PM_0</v>
      </c>
      <c r="L215" s="186">
        <f t="shared" si="29"/>
        <v>0</v>
      </c>
      <c r="M215" s="186">
        <f t="shared" si="30"/>
        <v>0</v>
      </c>
      <c r="N215" s="186">
        <f t="shared" si="31"/>
        <v>0</v>
      </c>
      <c r="P215" s="207" t="str">
        <f t="shared" si="32"/>
        <v>PM_0</v>
      </c>
      <c r="Q215" s="273">
        <f t="shared" si="33"/>
        <v>0</v>
      </c>
      <c r="R215" s="207">
        <f t="shared" si="34"/>
        <v>0</v>
      </c>
      <c r="S215" s="207">
        <f t="shared" si="35"/>
        <v>0</v>
      </c>
    </row>
    <row r="216" spans="11:19" ht="14.1" customHeight="1" x14ac:dyDescent="0.2">
      <c r="K216" s="186" t="str">
        <f t="shared" si="28"/>
        <v>PM_0</v>
      </c>
      <c r="L216" s="186">
        <f t="shared" si="29"/>
        <v>0</v>
      </c>
      <c r="M216" s="186">
        <f t="shared" si="30"/>
        <v>0</v>
      </c>
      <c r="N216" s="186">
        <f t="shared" si="31"/>
        <v>0</v>
      </c>
      <c r="P216" s="207" t="str">
        <f t="shared" si="32"/>
        <v>PM_0</v>
      </c>
      <c r="Q216" s="273">
        <f t="shared" si="33"/>
        <v>0</v>
      </c>
      <c r="R216" s="207">
        <f t="shared" si="34"/>
        <v>0</v>
      </c>
      <c r="S216" s="207">
        <f t="shared" si="35"/>
        <v>0</v>
      </c>
    </row>
    <row r="217" spans="11:19" ht="14.1" customHeight="1" x14ac:dyDescent="0.2">
      <c r="K217" s="186" t="str">
        <f t="shared" si="28"/>
        <v>PM_0</v>
      </c>
      <c r="L217" s="186">
        <f t="shared" si="29"/>
        <v>0</v>
      </c>
      <c r="M217" s="186">
        <f t="shared" si="30"/>
        <v>0</v>
      </c>
      <c r="N217" s="186">
        <f t="shared" si="31"/>
        <v>0</v>
      </c>
      <c r="P217" s="207" t="str">
        <f t="shared" si="32"/>
        <v>PM_0</v>
      </c>
      <c r="Q217" s="273">
        <f t="shared" si="33"/>
        <v>0</v>
      </c>
      <c r="R217" s="207">
        <f t="shared" si="34"/>
        <v>0</v>
      </c>
      <c r="S217" s="207">
        <f t="shared" si="35"/>
        <v>0</v>
      </c>
    </row>
    <row r="218" spans="11:19" ht="14.1" customHeight="1" x14ac:dyDescent="0.2">
      <c r="K218" s="186" t="str">
        <f t="shared" si="28"/>
        <v>PM_0</v>
      </c>
      <c r="L218" s="186">
        <f t="shared" si="29"/>
        <v>0</v>
      </c>
      <c r="M218" s="186">
        <f t="shared" si="30"/>
        <v>0</v>
      </c>
      <c r="N218" s="186">
        <f t="shared" si="31"/>
        <v>0</v>
      </c>
      <c r="P218" s="207" t="str">
        <f t="shared" si="32"/>
        <v>PM_0</v>
      </c>
      <c r="Q218" s="273">
        <f t="shared" si="33"/>
        <v>0</v>
      </c>
      <c r="R218" s="207">
        <f t="shared" si="34"/>
        <v>0</v>
      </c>
      <c r="S218" s="207">
        <f t="shared" si="35"/>
        <v>0</v>
      </c>
    </row>
    <row r="219" spans="11:19" ht="14.1" customHeight="1" x14ac:dyDescent="0.2">
      <c r="K219" s="186" t="str">
        <f t="shared" si="28"/>
        <v>PM_0</v>
      </c>
      <c r="L219" s="186">
        <f t="shared" si="29"/>
        <v>0</v>
      </c>
      <c r="M219" s="186">
        <f t="shared" si="30"/>
        <v>0</v>
      </c>
      <c r="N219" s="186">
        <f t="shared" si="31"/>
        <v>0</v>
      </c>
      <c r="P219" s="207" t="str">
        <f t="shared" si="32"/>
        <v>PM_0</v>
      </c>
      <c r="Q219" s="273">
        <f t="shared" si="33"/>
        <v>0</v>
      </c>
      <c r="R219" s="207">
        <f t="shared" si="34"/>
        <v>0</v>
      </c>
      <c r="S219" s="207">
        <f t="shared" si="35"/>
        <v>0</v>
      </c>
    </row>
    <row r="220" spans="11:19" ht="14.1" customHeight="1" x14ac:dyDescent="0.2">
      <c r="K220" s="186" t="str">
        <f t="shared" si="28"/>
        <v>PM_0</v>
      </c>
      <c r="L220" s="186">
        <f t="shared" si="29"/>
        <v>0</v>
      </c>
      <c r="M220" s="186">
        <f t="shared" si="30"/>
        <v>0</v>
      </c>
      <c r="N220" s="186">
        <f t="shared" si="31"/>
        <v>0</v>
      </c>
      <c r="P220" s="207" t="str">
        <f t="shared" si="32"/>
        <v>PM_0</v>
      </c>
      <c r="Q220" s="273">
        <f t="shared" si="33"/>
        <v>0</v>
      </c>
      <c r="R220" s="207">
        <f t="shared" si="34"/>
        <v>0</v>
      </c>
      <c r="S220" s="207">
        <f t="shared" si="35"/>
        <v>0</v>
      </c>
    </row>
    <row r="221" spans="11:19" ht="14.1" customHeight="1" x14ac:dyDescent="0.2">
      <c r="K221" s="186" t="str">
        <f t="shared" si="28"/>
        <v>PM_0</v>
      </c>
      <c r="L221" s="186">
        <f t="shared" si="29"/>
        <v>0</v>
      </c>
      <c r="M221" s="186">
        <f t="shared" si="30"/>
        <v>0</v>
      </c>
      <c r="N221" s="186">
        <f t="shared" si="31"/>
        <v>0</v>
      </c>
      <c r="P221" s="207" t="str">
        <f t="shared" si="32"/>
        <v>PM_0</v>
      </c>
      <c r="Q221" s="273">
        <f t="shared" si="33"/>
        <v>0</v>
      </c>
      <c r="R221" s="207">
        <f t="shared" si="34"/>
        <v>0</v>
      </c>
      <c r="S221" s="207">
        <f t="shared" si="35"/>
        <v>0</v>
      </c>
    </row>
    <row r="222" spans="11:19" ht="14.1" customHeight="1" x14ac:dyDescent="0.2">
      <c r="K222" s="186" t="str">
        <f t="shared" si="28"/>
        <v>PM_0</v>
      </c>
      <c r="L222" s="186">
        <f t="shared" si="29"/>
        <v>0</v>
      </c>
      <c r="M222" s="186">
        <f t="shared" si="30"/>
        <v>0</v>
      </c>
      <c r="N222" s="186">
        <f t="shared" si="31"/>
        <v>0</v>
      </c>
      <c r="P222" s="207" t="str">
        <f t="shared" si="32"/>
        <v>PM_0</v>
      </c>
      <c r="Q222" s="273">
        <f t="shared" si="33"/>
        <v>0</v>
      </c>
      <c r="R222" s="207">
        <f t="shared" si="34"/>
        <v>0</v>
      </c>
      <c r="S222" s="207">
        <f t="shared" si="35"/>
        <v>0</v>
      </c>
    </row>
    <row r="223" spans="11:19" ht="14.1" customHeight="1" x14ac:dyDescent="0.2">
      <c r="K223" s="186" t="str">
        <f t="shared" si="28"/>
        <v>PM_0</v>
      </c>
      <c r="L223" s="186">
        <f t="shared" si="29"/>
        <v>0</v>
      </c>
      <c r="M223" s="186">
        <f t="shared" si="30"/>
        <v>0</v>
      </c>
      <c r="N223" s="186">
        <f t="shared" si="31"/>
        <v>0</v>
      </c>
      <c r="P223" s="207" t="str">
        <f t="shared" si="32"/>
        <v>PM_0</v>
      </c>
      <c r="Q223" s="273">
        <f t="shared" si="33"/>
        <v>0</v>
      </c>
      <c r="R223" s="207">
        <f t="shared" si="34"/>
        <v>0</v>
      </c>
      <c r="S223" s="207">
        <f t="shared" si="35"/>
        <v>0</v>
      </c>
    </row>
    <row r="224" spans="11:19" ht="14.1" customHeight="1" x14ac:dyDescent="0.2">
      <c r="K224" s="186" t="str">
        <f t="shared" si="28"/>
        <v>PM_0</v>
      </c>
      <c r="L224" s="186">
        <f t="shared" si="29"/>
        <v>0</v>
      </c>
      <c r="M224" s="186">
        <f t="shared" si="30"/>
        <v>0</v>
      </c>
      <c r="N224" s="186">
        <f t="shared" si="31"/>
        <v>0</v>
      </c>
      <c r="P224" s="207" t="str">
        <f t="shared" si="32"/>
        <v>PM_0</v>
      </c>
      <c r="Q224" s="273">
        <f t="shared" si="33"/>
        <v>0</v>
      </c>
      <c r="R224" s="207">
        <f t="shared" si="34"/>
        <v>0</v>
      </c>
      <c r="S224" s="207">
        <f t="shared" si="35"/>
        <v>0</v>
      </c>
    </row>
    <row r="225" spans="11:19" ht="14.1" customHeight="1" x14ac:dyDescent="0.2">
      <c r="K225" s="186" t="str">
        <f t="shared" si="28"/>
        <v>PM_0</v>
      </c>
      <c r="L225" s="186">
        <f t="shared" si="29"/>
        <v>0</v>
      </c>
      <c r="M225" s="186">
        <f t="shared" si="30"/>
        <v>0</v>
      </c>
      <c r="N225" s="186">
        <f t="shared" si="31"/>
        <v>0</v>
      </c>
      <c r="P225" s="207" t="str">
        <f t="shared" si="32"/>
        <v>PM_0</v>
      </c>
      <c r="Q225" s="273">
        <f t="shared" si="33"/>
        <v>0</v>
      </c>
      <c r="R225" s="207">
        <f t="shared" si="34"/>
        <v>0</v>
      </c>
      <c r="S225" s="207">
        <f t="shared" si="35"/>
        <v>0</v>
      </c>
    </row>
    <row r="226" spans="11:19" ht="14.1" customHeight="1" x14ac:dyDescent="0.2">
      <c r="K226" s="186" t="str">
        <f t="shared" si="28"/>
        <v>PM_0</v>
      </c>
      <c r="L226" s="186">
        <f t="shared" si="29"/>
        <v>0</v>
      </c>
      <c r="M226" s="186">
        <f t="shared" si="30"/>
        <v>0</v>
      </c>
      <c r="N226" s="186">
        <f t="shared" si="31"/>
        <v>0</v>
      </c>
      <c r="P226" s="207" t="str">
        <f t="shared" si="32"/>
        <v>PM_0</v>
      </c>
      <c r="Q226" s="273">
        <f t="shared" si="33"/>
        <v>0</v>
      </c>
      <c r="R226" s="207">
        <f t="shared" si="34"/>
        <v>0</v>
      </c>
      <c r="S226" s="207">
        <f t="shared" si="35"/>
        <v>0</v>
      </c>
    </row>
    <row r="227" spans="11:19" ht="14.1" customHeight="1" x14ac:dyDescent="0.2">
      <c r="K227" s="186" t="str">
        <f t="shared" si="28"/>
        <v>PM_0</v>
      </c>
      <c r="L227" s="186">
        <f t="shared" si="29"/>
        <v>0</v>
      </c>
      <c r="M227" s="186">
        <f t="shared" si="30"/>
        <v>0</v>
      </c>
      <c r="N227" s="186">
        <f t="shared" si="31"/>
        <v>0</v>
      </c>
      <c r="P227" s="207" t="str">
        <f t="shared" si="32"/>
        <v>PM_0</v>
      </c>
      <c r="Q227" s="273">
        <f t="shared" si="33"/>
        <v>0</v>
      </c>
      <c r="R227" s="207">
        <f t="shared" si="34"/>
        <v>0</v>
      </c>
      <c r="S227" s="207">
        <f t="shared" si="35"/>
        <v>0</v>
      </c>
    </row>
    <row r="228" spans="11:19" ht="14.1" customHeight="1" x14ac:dyDescent="0.2">
      <c r="K228" s="186" t="str">
        <f t="shared" si="28"/>
        <v>PM_0</v>
      </c>
      <c r="L228" s="186">
        <f t="shared" si="29"/>
        <v>0</v>
      </c>
      <c r="M228" s="186">
        <f t="shared" si="30"/>
        <v>0</v>
      </c>
      <c r="N228" s="186">
        <f t="shared" si="31"/>
        <v>0</v>
      </c>
      <c r="P228" s="207" t="str">
        <f t="shared" si="32"/>
        <v>PM_0</v>
      </c>
      <c r="Q228" s="273">
        <f t="shared" si="33"/>
        <v>0</v>
      </c>
      <c r="R228" s="207">
        <f t="shared" si="34"/>
        <v>0</v>
      </c>
      <c r="S228" s="207">
        <f t="shared" si="35"/>
        <v>0</v>
      </c>
    </row>
    <row r="229" spans="11:19" ht="14.1" customHeight="1" x14ac:dyDescent="0.2">
      <c r="K229" s="186" t="str">
        <f t="shared" si="28"/>
        <v>PM_0</v>
      </c>
      <c r="L229" s="186">
        <f t="shared" si="29"/>
        <v>0</v>
      </c>
      <c r="M229" s="186">
        <f t="shared" si="30"/>
        <v>0</v>
      </c>
      <c r="N229" s="186">
        <f t="shared" si="31"/>
        <v>0</v>
      </c>
      <c r="P229" s="207" t="str">
        <f t="shared" si="32"/>
        <v>PM_0</v>
      </c>
      <c r="Q229" s="273">
        <f t="shared" si="33"/>
        <v>0</v>
      </c>
      <c r="R229" s="207">
        <f t="shared" si="34"/>
        <v>0</v>
      </c>
      <c r="S229" s="207">
        <f t="shared" si="35"/>
        <v>0</v>
      </c>
    </row>
    <row r="230" spans="11:19" ht="14.1" customHeight="1" x14ac:dyDescent="0.2">
      <c r="K230" s="186" t="str">
        <f t="shared" si="28"/>
        <v>PM_0</v>
      </c>
      <c r="L230" s="186">
        <f t="shared" si="29"/>
        <v>0</v>
      </c>
      <c r="M230" s="186">
        <f t="shared" si="30"/>
        <v>0</v>
      </c>
      <c r="N230" s="186">
        <f t="shared" si="31"/>
        <v>0</v>
      </c>
      <c r="P230" s="207" t="str">
        <f t="shared" si="32"/>
        <v>PM_0</v>
      </c>
      <c r="Q230" s="273">
        <f t="shared" si="33"/>
        <v>0</v>
      </c>
      <c r="R230" s="207">
        <f t="shared" si="34"/>
        <v>0</v>
      </c>
      <c r="S230" s="207">
        <f t="shared" si="35"/>
        <v>0</v>
      </c>
    </row>
    <row r="231" spans="11:19" ht="14.1" customHeight="1" x14ac:dyDescent="0.2">
      <c r="K231" s="186" t="str">
        <f t="shared" si="28"/>
        <v>PM_0</v>
      </c>
      <c r="L231" s="186">
        <f t="shared" si="29"/>
        <v>0</v>
      </c>
      <c r="M231" s="186">
        <f t="shared" si="30"/>
        <v>0</v>
      </c>
      <c r="N231" s="186">
        <f t="shared" si="31"/>
        <v>0</v>
      </c>
      <c r="P231" s="207" t="str">
        <f t="shared" si="32"/>
        <v>PM_0</v>
      </c>
      <c r="Q231" s="273">
        <f t="shared" si="33"/>
        <v>0</v>
      </c>
      <c r="R231" s="207">
        <f t="shared" si="34"/>
        <v>0</v>
      </c>
      <c r="S231" s="207">
        <f t="shared" si="35"/>
        <v>0</v>
      </c>
    </row>
    <row r="232" spans="11:19" ht="14.1" customHeight="1" x14ac:dyDescent="0.2">
      <c r="K232" s="186" t="str">
        <f t="shared" si="28"/>
        <v>PM_0</v>
      </c>
      <c r="L232" s="186">
        <f t="shared" si="29"/>
        <v>0</v>
      </c>
      <c r="M232" s="186">
        <f t="shared" si="30"/>
        <v>0</v>
      </c>
      <c r="N232" s="186">
        <f t="shared" si="31"/>
        <v>0</v>
      </c>
      <c r="P232" s="207" t="str">
        <f t="shared" si="32"/>
        <v>PM_0</v>
      </c>
      <c r="Q232" s="273">
        <f t="shared" si="33"/>
        <v>0</v>
      </c>
      <c r="R232" s="207">
        <f t="shared" si="34"/>
        <v>0</v>
      </c>
      <c r="S232" s="207">
        <f t="shared" si="35"/>
        <v>0</v>
      </c>
    </row>
    <row r="233" spans="11:19" ht="14.1" customHeight="1" x14ac:dyDescent="0.2">
      <c r="K233" s="186" t="str">
        <f t="shared" si="28"/>
        <v>PM_0</v>
      </c>
      <c r="L233" s="186">
        <f t="shared" si="29"/>
        <v>0</v>
      </c>
      <c r="M233" s="186">
        <f t="shared" si="30"/>
        <v>0</v>
      </c>
      <c r="N233" s="186">
        <f t="shared" si="31"/>
        <v>0</v>
      </c>
      <c r="P233" s="207" t="str">
        <f t="shared" si="32"/>
        <v>PM_0</v>
      </c>
      <c r="Q233" s="273">
        <f t="shared" si="33"/>
        <v>0</v>
      </c>
      <c r="R233" s="207">
        <f t="shared" si="34"/>
        <v>0</v>
      </c>
      <c r="S233" s="207">
        <f t="shared" si="35"/>
        <v>0</v>
      </c>
    </row>
    <row r="234" spans="11:19" ht="14.1" customHeight="1" x14ac:dyDescent="0.2">
      <c r="K234" s="186" t="str">
        <f t="shared" si="28"/>
        <v>PM_0</v>
      </c>
      <c r="L234" s="186">
        <f t="shared" si="29"/>
        <v>0</v>
      </c>
      <c r="M234" s="186">
        <f t="shared" si="30"/>
        <v>0</v>
      </c>
      <c r="N234" s="186">
        <f t="shared" si="31"/>
        <v>0</v>
      </c>
      <c r="P234" s="207" t="str">
        <f t="shared" si="32"/>
        <v>PM_0</v>
      </c>
      <c r="Q234" s="273">
        <f t="shared" si="33"/>
        <v>0</v>
      </c>
      <c r="R234" s="207">
        <f t="shared" si="34"/>
        <v>0</v>
      </c>
      <c r="S234" s="207">
        <f t="shared" si="35"/>
        <v>0</v>
      </c>
    </row>
    <row r="235" spans="11:19" ht="14.1" customHeight="1" x14ac:dyDescent="0.2">
      <c r="K235" s="186" t="str">
        <f t="shared" si="28"/>
        <v>PM_0</v>
      </c>
      <c r="L235" s="186">
        <f t="shared" si="29"/>
        <v>0</v>
      </c>
      <c r="M235" s="186">
        <f t="shared" si="30"/>
        <v>0</v>
      </c>
      <c r="N235" s="186">
        <f t="shared" si="31"/>
        <v>0</v>
      </c>
      <c r="P235" s="207" t="str">
        <f t="shared" si="32"/>
        <v>PM_0</v>
      </c>
      <c r="Q235" s="273">
        <f t="shared" si="33"/>
        <v>0</v>
      </c>
      <c r="R235" s="207">
        <f t="shared" si="34"/>
        <v>0</v>
      </c>
      <c r="S235" s="207">
        <f t="shared" si="35"/>
        <v>0</v>
      </c>
    </row>
    <row r="236" spans="11:19" ht="14.1" customHeight="1" x14ac:dyDescent="0.2">
      <c r="K236" s="186" t="str">
        <f t="shared" si="28"/>
        <v>PM_0</v>
      </c>
      <c r="L236" s="186">
        <f t="shared" si="29"/>
        <v>0</v>
      </c>
      <c r="M236" s="186">
        <f t="shared" si="30"/>
        <v>0</v>
      </c>
      <c r="N236" s="186">
        <f t="shared" si="31"/>
        <v>0</v>
      </c>
      <c r="P236" s="207" t="str">
        <f t="shared" si="32"/>
        <v>PM_0</v>
      </c>
      <c r="Q236" s="273">
        <f t="shared" si="33"/>
        <v>0</v>
      </c>
      <c r="R236" s="207">
        <f t="shared" si="34"/>
        <v>0</v>
      </c>
      <c r="S236" s="207">
        <f t="shared" si="35"/>
        <v>0</v>
      </c>
    </row>
    <row r="237" spans="11:19" ht="14.1" customHeight="1" x14ac:dyDescent="0.2">
      <c r="K237" s="186" t="str">
        <f t="shared" si="28"/>
        <v>PM_0</v>
      </c>
      <c r="L237" s="186">
        <f t="shared" si="29"/>
        <v>0</v>
      </c>
      <c r="M237" s="186">
        <f t="shared" si="30"/>
        <v>0</v>
      </c>
      <c r="N237" s="186">
        <f t="shared" si="31"/>
        <v>0</v>
      </c>
      <c r="P237" s="207" t="str">
        <f t="shared" si="32"/>
        <v>PM_0</v>
      </c>
      <c r="Q237" s="273">
        <f t="shared" si="33"/>
        <v>0</v>
      </c>
      <c r="R237" s="207">
        <f t="shared" si="34"/>
        <v>0</v>
      </c>
      <c r="S237" s="207">
        <f t="shared" si="35"/>
        <v>0</v>
      </c>
    </row>
    <row r="238" spans="11:19" ht="14.1" customHeight="1" x14ac:dyDescent="0.2">
      <c r="K238" s="186" t="str">
        <f t="shared" si="28"/>
        <v>PM_0</v>
      </c>
      <c r="L238" s="186">
        <f t="shared" si="29"/>
        <v>0</v>
      </c>
      <c r="M238" s="186">
        <f t="shared" si="30"/>
        <v>0</v>
      </c>
      <c r="N238" s="186">
        <f t="shared" si="31"/>
        <v>0</v>
      </c>
      <c r="P238" s="207" t="str">
        <f t="shared" si="32"/>
        <v>PM_0</v>
      </c>
      <c r="Q238" s="273">
        <f t="shared" si="33"/>
        <v>0</v>
      </c>
      <c r="R238" s="207">
        <f t="shared" si="34"/>
        <v>0</v>
      </c>
      <c r="S238" s="207">
        <f t="shared" si="35"/>
        <v>0</v>
      </c>
    </row>
    <row r="239" spans="11:19" ht="14.1" customHeight="1" x14ac:dyDescent="0.2">
      <c r="K239" s="186" t="str">
        <f t="shared" si="28"/>
        <v>PM_0</v>
      </c>
      <c r="L239" s="186">
        <f t="shared" si="29"/>
        <v>0</v>
      </c>
      <c r="M239" s="186">
        <f t="shared" si="30"/>
        <v>0</v>
      </c>
      <c r="N239" s="186">
        <f t="shared" si="31"/>
        <v>0</v>
      </c>
      <c r="P239" s="207" t="str">
        <f t="shared" si="32"/>
        <v>PM_0</v>
      </c>
      <c r="Q239" s="273">
        <f t="shared" si="33"/>
        <v>0</v>
      </c>
      <c r="R239" s="207">
        <f t="shared" si="34"/>
        <v>0</v>
      </c>
      <c r="S239" s="207">
        <f t="shared" si="35"/>
        <v>0</v>
      </c>
    </row>
    <row r="240" spans="11:19" ht="14.1" customHeight="1" x14ac:dyDescent="0.2">
      <c r="K240" s="186" t="str">
        <f t="shared" si="28"/>
        <v>PM_0</v>
      </c>
      <c r="L240" s="186">
        <f t="shared" si="29"/>
        <v>0</v>
      </c>
      <c r="M240" s="186">
        <f t="shared" si="30"/>
        <v>0</v>
      </c>
      <c r="N240" s="186">
        <f t="shared" si="31"/>
        <v>0</v>
      </c>
      <c r="P240" s="207" t="str">
        <f t="shared" si="32"/>
        <v>PM_0</v>
      </c>
      <c r="Q240" s="273">
        <f t="shared" si="33"/>
        <v>0</v>
      </c>
      <c r="R240" s="207">
        <f t="shared" si="34"/>
        <v>0</v>
      </c>
      <c r="S240" s="207">
        <f t="shared" si="35"/>
        <v>0</v>
      </c>
    </row>
    <row r="241" spans="11:19" ht="14.1" customHeight="1" x14ac:dyDescent="0.2">
      <c r="K241" s="186" t="str">
        <f t="shared" si="28"/>
        <v>PM_0</v>
      </c>
      <c r="L241" s="186">
        <f t="shared" si="29"/>
        <v>0</v>
      </c>
      <c r="M241" s="186">
        <f t="shared" si="30"/>
        <v>0</v>
      </c>
      <c r="N241" s="186">
        <f t="shared" si="31"/>
        <v>0</v>
      </c>
      <c r="P241" s="207" t="str">
        <f t="shared" si="32"/>
        <v>PM_0</v>
      </c>
      <c r="Q241" s="273">
        <f t="shared" si="33"/>
        <v>0</v>
      </c>
      <c r="R241" s="207">
        <f t="shared" si="34"/>
        <v>0</v>
      </c>
      <c r="S241" s="207">
        <f t="shared" si="35"/>
        <v>0</v>
      </c>
    </row>
    <row r="242" spans="11:19" ht="14.1" customHeight="1" x14ac:dyDescent="0.2">
      <c r="K242" s="186" t="str">
        <f t="shared" si="28"/>
        <v>PM_0</v>
      </c>
      <c r="L242" s="186">
        <f t="shared" si="29"/>
        <v>0</v>
      </c>
      <c r="M242" s="186">
        <f t="shared" si="30"/>
        <v>0</v>
      </c>
      <c r="N242" s="186">
        <f t="shared" si="31"/>
        <v>0</v>
      </c>
      <c r="P242" s="207" t="str">
        <f t="shared" si="32"/>
        <v>PM_0</v>
      </c>
      <c r="Q242" s="273">
        <f t="shared" si="33"/>
        <v>0</v>
      </c>
      <c r="R242" s="207">
        <f t="shared" si="34"/>
        <v>0</v>
      </c>
      <c r="S242" s="207">
        <f t="shared" si="35"/>
        <v>0</v>
      </c>
    </row>
    <row r="243" spans="11:19" ht="14.1" customHeight="1" x14ac:dyDescent="0.2">
      <c r="K243" s="186" t="str">
        <f t="shared" si="28"/>
        <v>PM_0</v>
      </c>
      <c r="L243" s="186">
        <f t="shared" si="29"/>
        <v>0</v>
      </c>
      <c r="M243" s="186">
        <f t="shared" si="30"/>
        <v>0</v>
      </c>
      <c r="N243" s="186">
        <f t="shared" si="31"/>
        <v>0</v>
      </c>
      <c r="P243" s="207" t="str">
        <f t="shared" si="32"/>
        <v>PM_0</v>
      </c>
      <c r="Q243" s="273">
        <f t="shared" si="33"/>
        <v>0</v>
      </c>
      <c r="R243" s="207">
        <f t="shared" si="34"/>
        <v>0</v>
      </c>
      <c r="S243" s="207">
        <f t="shared" si="35"/>
        <v>0</v>
      </c>
    </row>
    <row r="244" spans="11:19" ht="14.1" customHeight="1" x14ac:dyDescent="0.2">
      <c r="K244" s="186" t="str">
        <f t="shared" si="28"/>
        <v>PM_0</v>
      </c>
      <c r="L244" s="186">
        <f t="shared" si="29"/>
        <v>0</v>
      </c>
      <c r="M244" s="186">
        <f t="shared" si="30"/>
        <v>0</v>
      </c>
      <c r="N244" s="186">
        <f t="shared" si="31"/>
        <v>0</v>
      </c>
      <c r="P244" s="207" t="str">
        <f t="shared" si="32"/>
        <v>PM_0</v>
      </c>
      <c r="Q244" s="273">
        <f t="shared" si="33"/>
        <v>0</v>
      </c>
      <c r="R244" s="207">
        <f t="shared" si="34"/>
        <v>0</v>
      </c>
      <c r="S244" s="207">
        <f t="shared" si="35"/>
        <v>0</v>
      </c>
    </row>
    <row r="245" spans="11:19" ht="14.1" customHeight="1" x14ac:dyDescent="0.2">
      <c r="K245" s="186" t="str">
        <f t="shared" si="28"/>
        <v>PM_0</v>
      </c>
      <c r="L245" s="186">
        <f t="shared" si="29"/>
        <v>0</v>
      </c>
      <c r="M245" s="186">
        <f t="shared" si="30"/>
        <v>0</v>
      </c>
      <c r="N245" s="186">
        <f t="shared" si="31"/>
        <v>0</v>
      </c>
      <c r="P245" s="207" t="str">
        <f t="shared" si="32"/>
        <v>PM_0</v>
      </c>
      <c r="Q245" s="273">
        <f t="shared" si="33"/>
        <v>0</v>
      </c>
      <c r="R245" s="207">
        <f t="shared" si="34"/>
        <v>0</v>
      </c>
      <c r="S245" s="207">
        <f t="shared" si="35"/>
        <v>0</v>
      </c>
    </row>
    <row r="246" spans="11:19" ht="14.1" customHeight="1" x14ac:dyDescent="0.2">
      <c r="K246" s="186" t="str">
        <f t="shared" si="28"/>
        <v>PM_0</v>
      </c>
      <c r="L246" s="186">
        <f t="shared" si="29"/>
        <v>0</v>
      </c>
      <c r="M246" s="186">
        <f t="shared" si="30"/>
        <v>0</v>
      </c>
      <c r="N246" s="186">
        <f t="shared" si="31"/>
        <v>0</v>
      </c>
      <c r="P246" s="207" t="str">
        <f t="shared" si="32"/>
        <v>PM_0</v>
      </c>
      <c r="Q246" s="273">
        <f t="shared" si="33"/>
        <v>0</v>
      </c>
      <c r="R246" s="207">
        <f t="shared" si="34"/>
        <v>0</v>
      </c>
      <c r="S246" s="207">
        <f t="shared" si="35"/>
        <v>0</v>
      </c>
    </row>
    <row r="247" spans="11:19" ht="14.1" customHeight="1" x14ac:dyDescent="0.2">
      <c r="K247" s="186" t="str">
        <f t="shared" si="28"/>
        <v>PM_0</v>
      </c>
      <c r="L247" s="186">
        <f t="shared" si="29"/>
        <v>0</v>
      </c>
      <c r="M247" s="186">
        <f t="shared" si="30"/>
        <v>0</v>
      </c>
      <c r="N247" s="186">
        <f t="shared" si="31"/>
        <v>0</v>
      </c>
      <c r="P247" s="207" t="str">
        <f t="shared" si="32"/>
        <v>PM_0</v>
      </c>
      <c r="Q247" s="273">
        <f t="shared" si="33"/>
        <v>0</v>
      </c>
      <c r="R247" s="207">
        <f t="shared" si="34"/>
        <v>0</v>
      </c>
      <c r="S247" s="207">
        <f t="shared" si="35"/>
        <v>0</v>
      </c>
    </row>
    <row r="248" spans="11:19" ht="14.1" customHeight="1" x14ac:dyDescent="0.2">
      <c r="K248" s="186" t="str">
        <f t="shared" si="28"/>
        <v>PM_0</v>
      </c>
      <c r="L248" s="186">
        <f t="shared" si="29"/>
        <v>0</v>
      </c>
      <c r="M248" s="186">
        <f t="shared" si="30"/>
        <v>0</v>
      </c>
      <c r="N248" s="186">
        <f t="shared" si="31"/>
        <v>0</v>
      </c>
      <c r="P248" s="207" t="str">
        <f t="shared" si="32"/>
        <v>PM_0</v>
      </c>
      <c r="Q248" s="273">
        <f t="shared" si="33"/>
        <v>0</v>
      </c>
      <c r="R248" s="207">
        <f t="shared" si="34"/>
        <v>0</v>
      </c>
      <c r="S248" s="207">
        <f t="shared" si="35"/>
        <v>0</v>
      </c>
    </row>
    <row r="249" spans="11:19" ht="14.1" customHeight="1" x14ac:dyDescent="0.2">
      <c r="K249" s="186" t="str">
        <f t="shared" si="28"/>
        <v>PM_0</v>
      </c>
      <c r="L249" s="186">
        <f t="shared" si="29"/>
        <v>0</v>
      </c>
      <c r="M249" s="186">
        <f t="shared" si="30"/>
        <v>0</v>
      </c>
      <c r="N249" s="186">
        <f t="shared" si="31"/>
        <v>0</v>
      </c>
      <c r="P249" s="207" t="str">
        <f t="shared" si="32"/>
        <v>PM_0</v>
      </c>
      <c r="Q249" s="273">
        <f t="shared" si="33"/>
        <v>0</v>
      </c>
      <c r="R249" s="207">
        <f t="shared" si="34"/>
        <v>0</v>
      </c>
      <c r="S249" s="207">
        <f t="shared" si="35"/>
        <v>0</v>
      </c>
    </row>
    <row r="250" spans="11:19" ht="14.1" customHeight="1" x14ac:dyDescent="0.2">
      <c r="K250" s="186" t="str">
        <f t="shared" si="28"/>
        <v>PM_0</v>
      </c>
      <c r="L250" s="186">
        <f t="shared" si="29"/>
        <v>0</v>
      </c>
      <c r="M250" s="186">
        <f t="shared" si="30"/>
        <v>0</v>
      </c>
      <c r="N250" s="186">
        <f t="shared" si="31"/>
        <v>0</v>
      </c>
      <c r="P250" s="207" t="str">
        <f t="shared" si="32"/>
        <v>PM_0</v>
      </c>
      <c r="Q250" s="273">
        <f t="shared" si="33"/>
        <v>0</v>
      </c>
      <c r="R250" s="207">
        <f t="shared" si="34"/>
        <v>0</v>
      </c>
      <c r="S250" s="207">
        <f t="shared" si="35"/>
        <v>0</v>
      </c>
    </row>
    <row r="251" spans="11:19" ht="14.1" customHeight="1" x14ac:dyDescent="0.2">
      <c r="K251" s="186" t="str">
        <f t="shared" si="28"/>
        <v>PM_0</v>
      </c>
      <c r="L251" s="186">
        <f t="shared" si="29"/>
        <v>0</v>
      </c>
      <c r="M251" s="186">
        <f t="shared" si="30"/>
        <v>0</v>
      </c>
      <c r="N251" s="186">
        <f t="shared" si="31"/>
        <v>0</v>
      </c>
      <c r="P251" s="207" t="str">
        <f t="shared" si="32"/>
        <v>PM_0</v>
      </c>
      <c r="Q251" s="273">
        <f t="shared" si="33"/>
        <v>0</v>
      </c>
      <c r="R251" s="207">
        <f t="shared" si="34"/>
        <v>0</v>
      </c>
      <c r="S251" s="207">
        <f t="shared" si="35"/>
        <v>0</v>
      </c>
    </row>
    <row r="252" spans="11:19" ht="14.1" customHeight="1" x14ac:dyDescent="0.2">
      <c r="K252" s="186" t="str">
        <f t="shared" si="28"/>
        <v>PM_0</v>
      </c>
      <c r="L252" s="186">
        <f t="shared" si="29"/>
        <v>0</v>
      </c>
      <c r="M252" s="186">
        <f t="shared" si="30"/>
        <v>0</v>
      </c>
      <c r="N252" s="186">
        <f t="shared" si="31"/>
        <v>0</v>
      </c>
      <c r="P252" s="207" t="str">
        <f t="shared" si="32"/>
        <v>PM_0</v>
      </c>
      <c r="Q252" s="273">
        <f t="shared" si="33"/>
        <v>0</v>
      </c>
      <c r="R252" s="207">
        <f t="shared" si="34"/>
        <v>0</v>
      </c>
      <c r="S252" s="207">
        <f t="shared" si="35"/>
        <v>0</v>
      </c>
    </row>
    <row r="253" spans="11:19" ht="14.1" customHeight="1" x14ac:dyDescent="0.2">
      <c r="K253" s="186" t="str">
        <f t="shared" si="28"/>
        <v>PM_0</v>
      </c>
      <c r="L253" s="186">
        <f t="shared" si="29"/>
        <v>0</v>
      </c>
      <c r="M253" s="186">
        <f t="shared" si="30"/>
        <v>0</v>
      </c>
      <c r="N253" s="186">
        <f t="shared" si="31"/>
        <v>0</v>
      </c>
      <c r="P253" s="207" t="str">
        <f t="shared" si="32"/>
        <v>PM_0</v>
      </c>
      <c r="Q253" s="273">
        <f t="shared" si="33"/>
        <v>0</v>
      </c>
      <c r="R253" s="207">
        <f t="shared" si="34"/>
        <v>0</v>
      </c>
      <c r="S253" s="207">
        <f t="shared" si="35"/>
        <v>0</v>
      </c>
    </row>
    <row r="254" spans="11:19" ht="14.1" customHeight="1" x14ac:dyDescent="0.2">
      <c r="K254" s="186" t="str">
        <f t="shared" si="28"/>
        <v>PM_0</v>
      </c>
      <c r="L254" s="186">
        <f t="shared" si="29"/>
        <v>0</v>
      </c>
      <c r="M254" s="186">
        <f t="shared" si="30"/>
        <v>0</v>
      </c>
      <c r="N254" s="186">
        <f t="shared" si="31"/>
        <v>0</v>
      </c>
      <c r="P254" s="207" t="str">
        <f t="shared" si="32"/>
        <v>PM_0</v>
      </c>
      <c r="Q254" s="273">
        <f t="shared" si="33"/>
        <v>0</v>
      </c>
      <c r="R254" s="207">
        <f t="shared" si="34"/>
        <v>0</v>
      </c>
      <c r="S254" s="207">
        <f t="shared" si="35"/>
        <v>0</v>
      </c>
    </row>
    <row r="255" spans="11:19" ht="14.1" customHeight="1" x14ac:dyDescent="0.2">
      <c r="K255" s="186" t="str">
        <f t="shared" si="28"/>
        <v>PM_0</v>
      </c>
      <c r="L255" s="186">
        <f t="shared" si="29"/>
        <v>0</v>
      </c>
      <c r="M255" s="186">
        <f t="shared" si="30"/>
        <v>0</v>
      </c>
      <c r="N255" s="186">
        <f t="shared" si="31"/>
        <v>0</v>
      </c>
      <c r="P255" s="207" t="str">
        <f t="shared" si="32"/>
        <v>PM_0</v>
      </c>
      <c r="Q255" s="273">
        <f t="shared" si="33"/>
        <v>0</v>
      </c>
      <c r="R255" s="207">
        <f t="shared" si="34"/>
        <v>0</v>
      </c>
      <c r="S255" s="207">
        <f t="shared" si="35"/>
        <v>0</v>
      </c>
    </row>
    <row r="256" spans="11:19" ht="14.1" customHeight="1" x14ac:dyDescent="0.2">
      <c r="K256" s="186" t="str">
        <f t="shared" si="28"/>
        <v>PM_0</v>
      </c>
      <c r="L256" s="186">
        <f t="shared" si="29"/>
        <v>0</v>
      </c>
      <c r="M256" s="186">
        <f t="shared" si="30"/>
        <v>0</v>
      </c>
      <c r="N256" s="186">
        <f t="shared" si="31"/>
        <v>0</v>
      </c>
      <c r="P256" s="207" t="str">
        <f t="shared" si="32"/>
        <v>PM_0</v>
      </c>
      <c r="Q256" s="273">
        <f t="shared" si="33"/>
        <v>0</v>
      </c>
      <c r="R256" s="207">
        <f t="shared" si="34"/>
        <v>0</v>
      </c>
      <c r="S256" s="207">
        <f t="shared" si="35"/>
        <v>0</v>
      </c>
    </row>
    <row r="257" spans="11:19" ht="14.1" customHeight="1" x14ac:dyDescent="0.2">
      <c r="K257" s="186" t="str">
        <f t="shared" si="28"/>
        <v>PM_0</v>
      </c>
      <c r="L257" s="186">
        <f t="shared" si="29"/>
        <v>0</v>
      </c>
      <c r="M257" s="186">
        <f t="shared" si="30"/>
        <v>0</v>
      </c>
      <c r="N257" s="186">
        <f t="shared" si="31"/>
        <v>0</v>
      </c>
      <c r="P257" s="207" t="str">
        <f t="shared" si="32"/>
        <v>PM_0</v>
      </c>
      <c r="Q257" s="273">
        <f t="shared" si="33"/>
        <v>0</v>
      </c>
      <c r="R257" s="207">
        <f t="shared" si="34"/>
        <v>0</v>
      </c>
      <c r="S257" s="207">
        <f t="shared" si="35"/>
        <v>0</v>
      </c>
    </row>
    <row r="258" spans="11:19" ht="14.1" customHeight="1" x14ac:dyDescent="0.2">
      <c r="K258" s="186" t="str">
        <f t="shared" si="28"/>
        <v>PM_0</v>
      </c>
      <c r="L258" s="186">
        <f t="shared" si="29"/>
        <v>0</v>
      </c>
      <c r="M258" s="186">
        <f t="shared" si="30"/>
        <v>0</v>
      </c>
      <c r="N258" s="186">
        <f t="shared" si="31"/>
        <v>0</v>
      </c>
      <c r="P258" s="207" t="str">
        <f t="shared" si="32"/>
        <v>PM_0</v>
      </c>
      <c r="Q258" s="273">
        <f t="shared" si="33"/>
        <v>0</v>
      </c>
      <c r="R258" s="207">
        <f t="shared" si="34"/>
        <v>0</v>
      </c>
      <c r="S258" s="207">
        <f t="shared" si="35"/>
        <v>0</v>
      </c>
    </row>
    <row r="259" spans="11:19" ht="14.1" customHeight="1" x14ac:dyDescent="0.2">
      <c r="K259" s="186" t="str">
        <f t="shared" si="28"/>
        <v>PM_0</v>
      </c>
      <c r="L259" s="186">
        <f t="shared" si="29"/>
        <v>0</v>
      </c>
      <c r="M259" s="186">
        <f t="shared" si="30"/>
        <v>0</v>
      </c>
      <c r="N259" s="186">
        <f t="shared" si="31"/>
        <v>0</v>
      </c>
      <c r="P259" s="207" t="str">
        <f t="shared" si="32"/>
        <v>PM_0</v>
      </c>
      <c r="Q259" s="273">
        <f t="shared" si="33"/>
        <v>0</v>
      </c>
      <c r="R259" s="207">
        <f t="shared" si="34"/>
        <v>0</v>
      </c>
      <c r="S259" s="207">
        <f t="shared" si="35"/>
        <v>0</v>
      </c>
    </row>
    <row r="260" spans="11:19" ht="14.1" customHeight="1" x14ac:dyDescent="0.2">
      <c r="K260" s="186" t="str">
        <f t="shared" si="28"/>
        <v>PM_0</v>
      </c>
      <c r="L260" s="186">
        <f t="shared" si="29"/>
        <v>0</v>
      </c>
      <c r="M260" s="186">
        <f t="shared" si="30"/>
        <v>0</v>
      </c>
      <c r="N260" s="186">
        <f t="shared" si="31"/>
        <v>0</v>
      </c>
      <c r="P260" s="207" t="str">
        <f t="shared" si="32"/>
        <v>PM_0</v>
      </c>
      <c r="Q260" s="273">
        <f t="shared" si="33"/>
        <v>0</v>
      </c>
      <c r="R260" s="207">
        <f t="shared" si="34"/>
        <v>0</v>
      </c>
      <c r="S260" s="207">
        <f t="shared" si="35"/>
        <v>0</v>
      </c>
    </row>
    <row r="261" spans="11:19" ht="14.1" customHeight="1" x14ac:dyDescent="0.2">
      <c r="K261" s="186" t="str">
        <f t="shared" si="28"/>
        <v>PM_0</v>
      </c>
      <c r="L261" s="186">
        <f t="shared" si="29"/>
        <v>0</v>
      </c>
      <c r="M261" s="186">
        <f t="shared" si="30"/>
        <v>0</v>
      </c>
      <c r="N261" s="186">
        <f t="shared" si="31"/>
        <v>0</v>
      </c>
      <c r="P261" s="207" t="str">
        <f t="shared" si="32"/>
        <v>PM_0</v>
      </c>
      <c r="Q261" s="273">
        <f t="shared" si="33"/>
        <v>0</v>
      </c>
      <c r="R261" s="207">
        <f t="shared" si="34"/>
        <v>0</v>
      </c>
      <c r="S261" s="207">
        <f t="shared" si="35"/>
        <v>0</v>
      </c>
    </row>
    <row r="262" spans="11:19" ht="14.1" customHeight="1" x14ac:dyDescent="0.2">
      <c r="K262" s="186" t="str">
        <f t="shared" si="28"/>
        <v>PM_0</v>
      </c>
      <c r="L262" s="186">
        <f t="shared" si="29"/>
        <v>0</v>
      </c>
      <c r="M262" s="186">
        <f t="shared" si="30"/>
        <v>0</v>
      </c>
      <c r="N262" s="186">
        <f t="shared" si="31"/>
        <v>0</v>
      </c>
      <c r="P262" s="207" t="str">
        <f t="shared" si="32"/>
        <v>PM_0</v>
      </c>
      <c r="Q262" s="273">
        <f t="shared" si="33"/>
        <v>0</v>
      </c>
      <c r="R262" s="207">
        <f t="shared" si="34"/>
        <v>0</v>
      </c>
      <c r="S262" s="207">
        <f t="shared" si="35"/>
        <v>0</v>
      </c>
    </row>
    <row r="263" spans="11:19" ht="14.1" customHeight="1" x14ac:dyDescent="0.2">
      <c r="K263" s="186" t="str">
        <f t="shared" si="28"/>
        <v>PM_0</v>
      </c>
      <c r="L263" s="186">
        <f t="shared" si="29"/>
        <v>0</v>
      </c>
      <c r="M263" s="186">
        <f t="shared" si="30"/>
        <v>0</v>
      </c>
      <c r="N263" s="186">
        <f t="shared" si="31"/>
        <v>0</v>
      </c>
      <c r="P263" s="207" t="str">
        <f t="shared" si="32"/>
        <v>PM_0</v>
      </c>
      <c r="Q263" s="273">
        <f t="shared" si="33"/>
        <v>0</v>
      </c>
      <c r="R263" s="207">
        <f t="shared" si="34"/>
        <v>0</v>
      </c>
      <c r="S263" s="207">
        <f t="shared" si="35"/>
        <v>0</v>
      </c>
    </row>
    <row r="264" spans="11:19" ht="14.1" customHeight="1" x14ac:dyDescent="0.2">
      <c r="K264" s="186" t="str">
        <f t="shared" si="28"/>
        <v>PM_0</v>
      </c>
      <c r="L264" s="186">
        <f t="shared" si="29"/>
        <v>0</v>
      </c>
      <c r="M264" s="186">
        <f t="shared" si="30"/>
        <v>0</v>
      </c>
      <c r="N264" s="186">
        <f t="shared" si="31"/>
        <v>0</v>
      </c>
      <c r="P264" s="207" t="str">
        <f t="shared" si="32"/>
        <v>PM_0</v>
      </c>
      <c r="Q264" s="273">
        <f t="shared" si="33"/>
        <v>0</v>
      </c>
      <c r="R264" s="207">
        <f t="shared" si="34"/>
        <v>0</v>
      </c>
      <c r="S264" s="207">
        <f t="shared" si="35"/>
        <v>0</v>
      </c>
    </row>
    <row r="265" spans="11:19" ht="14.1" customHeight="1" x14ac:dyDescent="0.2">
      <c r="K265" s="186" t="str">
        <f t="shared" si="28"/>
        <v>PM_0</v>
      </c>
      <c r="L265" s="186">
        <f t="shared" si="29"/>
        <v>0</v>
      </c>
      <c r="M265" s="186">
        <f t="shared" si="30"/>
        <v>0</v>
      </c>
      <c r="N265" s="186">
        <f t="shared" si="31"/>
        <v>0</v>
      </c>
      <c r="P265" s="207" t="str">
        <f t="shared" si="32"/>
        <v>PM_0</v>
      </c>
      <c r="Q265" s="273">
        <f t="shared" si="33"/>
        <v>0</v>
      </c>
      <c r="R265" s="207">
        <f t="shared" si="34"/>
        <v>0</v>
      </c>
      <c r="S265" s="207">
        <f t="shared" si="35"/>
        <v>0</v>
      </c>
    </row>
    <row r="266" spans="11:19" ht="14.1" customHeight="1" x14ac:dyDescent="0.2">
      <c r="K266" s="186" t="str">
        <f t="shared" si="28"/>
        <v>PM_0</v>
      </c>
      <c r="L266" s="186">
        <f t="shared" si="29"/>
        <v>0</v>
      </c>
      <c r="M266" s="186">
        <f t="shared" si="30"/>
        <v>0</v>
      </c>
      <c r="N266" s="186">
        <f t="shared" si="31"/>
        <v>0</v>
      </c>
      <c r="P266" s="207" t="str">
        <f t="shared" si="32"/>
        <v>PM_0</v>
      </c>
      <c r="Q266" s="273">
        <f t="shared" si="33"/>
        <v>0</v>
      </c>
      <c r="R266" s="207">
        <f t="shared" si="34"/>
        <v>0</v>
      </c>
      <c r="S266" s="207">
        <f t="shared" si="35"/>
        <v>0</v>
      </c>
    </row>
    <row r="267" spans="11:19" ht="14.1" customHeight="1" x14ac:dyDescent="0.2">
      <c r="K267" s="186" t="str">
        <f t="shared" ref="K267:K330" si="36">"PM_"&amp;ROUND(E267,2)</f>
        <v>PM_0</v>
      </c>
      <c r="L267" s="186">
        <f t="shared" ref="L267:L330" si="37">F267</f>
        <v>0</v>
      </c>
      <c r="M267" s="186">
        <f t="shared" ref="M267:M330" si="38">G267</f>
        <v>0</v>
      </c>
      <c r="N267" s="186">
        <f t="shared" ref="N267:N330" si="39">H267</f>
        <v>0</v>
      </c>
      <c r="P267" s="207" t="str">
        <f t="shared" ref="P267:P330" si="40">K267</f>
        <v>PM_0</v>
      </c>
      <c r="Q267" s="273">
        <f t="shared" ref="Q267:Q330" si="41">$S$1+E267</f>
        <v>0</v>
      </c>
      <c r="R267" s="207">
        <f t="shared" ref="R267:R330" si="42">H267</f>
        <v>0</v>
      </c>
      <c r="S267" s="207">
        <f t="shared" ref="S267:S330" si="43">$B$6</f>
        <v>0</v>
      </c>
    </row>
    <row r="268" spans="11:19" ht="14.1" customHeight="1" x14ac:dyDescent="0.2">
      <c r="K268" s="186" t="str">
        <f t="shared" si="36"/>
        <v>PM_0</v>
      </c>
      <c r="L268" s="186">
        <f t="shared" si="37"/>
        <v>0</v>
      </c>
      <c r="M268" s="186">
        <f t="shared" si="38"/>
        <v>0</v>
      </c>
      <c r="N268" s="186">
        <f t="shared" si="39"/>
        <v>0</v>
      </c>
      <c r="P268" s="207" t="str">
        <f t="shared" si="40"/>
        <v>PM_0</v>
      </c>
      <c r="Q268" s="273">
        <f t="shared" si="41"/>
        <v>0</v>
      </c>
      <c r="R268" s="207">
        <f t="shared" si="42"/>
        <v>0</v>
      </c>
      <c r="S268" s="207">
        <f t="shared" si="43"/>
        <v>0</v>
      </c>
    </row>
    <row r="269" spans="11:19" ht="14.1" customHeight="1" x14ac:dyDescent="0.2">
      <c r="K269" s="186" t="str">
        <f t="shared" si="36"/>
        <v>PM_0</v>
      </c>
      <c r="L269" s="186">
        <f t="shared" si="37"/>
        <v>0</v>
      </c>
      <c r="M269" s="186">
        <f t="shared" si="38"/>
        <v>0</v>
      </c>
      <c r="N269" s="186">
        <f t="shared" si="39"/>
        <v>0</v>
      </c>
      <c r="P269" s="207" t="str">
        <f t="shared" si="40"/>
        <v>PM_0</v>
      </c>
      <c r="Q269" s="273">
        <f t="shared" si="41"/>
        <v>0</v>
      </c>
      <c r="R269" s="207">
        <f t="shared" si="42"/>
        <v>0</v>
      </c>
      <c r="S269" s="207">
        <f t="shared" si="43"/>
        <v>0</v>
      </c>
    </row>
    <row r="270" spans="11:19" ht="14.1" customHeight="1" x14ac:dyDescent="0.2">
      <c r="K270" s="186" t="str">
        <f t="shared" si="36"/>
        <v>PM_0</v>
      </c>
      <c r="L270" s="186">
        <f t="shared" si="37"/>
        <v>0</v>
      </c>
      <c r="M270" s="186">
        <f t="shared" si="38"/>
        <v>0</v>
      </c>
      <c r="N270" s="186">
        <f t="shared" si="39"/>
        <v>0</v>
      </c>
      <c r="P270" s="207" t="str">
        <f t="shared" si="40"/>
        <v>PM_0</v>
      </c>
      <c r="Q270" s="273">
        <f t="shared" si="41"/>
        <v>0</v>
      </c>
      <c r="R270" s="207">
        <f t="shared" si="42"/>
        <v>0</v>
      </c>
      <c r="S270" s="207">
        <f t="shared" si="43"/>
        <v>0</v>
      </c>
    </row>
    <row r="271" spans="11:19" ht="14.1" customHeight="1" x14ac:dyDescent="0.2">
      <c r="K271" s="186" t="str">
        <f t="shared" si="36"/>
        <v>PM_0</v>
      </c>
      <c r="L271" s="186">
        <f t="shared" si="37"/>
        <v>0</v>
      </c>
      <c r="M271" s="186">
        <f t="shared" si="38"/>
        <v>0</v>
      </c>
      <c r="N271" s="186">
        <f t="shared" si="39"/>
        <v>0</v>
      </c>
      <c r="P271" s="207" t="str">
        <f t="shared" si="40"/>
        <v>PM_0</v>
      </c>
      <c r="Q271" s="273">
        <f t="shared" si="41"/>
        <v>0</v>
      </c>
      <c r="R271" s="207">
        <f t="shared" si="42"/>
        <v>0</v>
      </c>
      <c r="S271" s="207">
        <f t="shared" si="43"/>
        <v>0</v>
      </c>
    </row>
    <row r="272" spans="11:19" ht="14.1" customHeight="1" x14ac:dyDescent="0.2">
      <c r="K272" s="186" t="str">
        <f t="shared" si="36"/>
        <v>PM_0</v>
      </c>
      <c r="L272" s="186">
        <f t="shared" si="37"/>
        <v>0</v>
      </c>
      <c r="M272" s="186">
        <f t="shared" si="38"/>
        <v>0</v>
      </c>
      <c r="N272" s="186">
        <f t="shared" si="39"/>
        <v>0</v>
      </c>
      <c r="P272" s="207" t="str">
        <f t="shared" si="40"/>
        <v>PM_0</v>
      </c>
      <c r="Q272" s="273">
        <f t="shared" si="41"/>
        <v>0</v>
      </c>
      <c r="R272" s="207">
        <f t="shared" si="42"/>
        <v>0</v>
      </c>
      <c r="S272" s="207">
        <f t="shared" si="43"/>
        <v>0</v>
      </c>
    </row>
    <row r="273" spans="11:19" ht="14.1" customHeight="1" x14ac:dyDescent="0.2">
      <c r="K273" s="186" t="str">
        <f t="shared" si="36"/>
        <v>PM_0</v>
      </c>
      <c r="L273" s="186">
        <f t="shared" si="37"/>
        <v>0</v>
      </c>
      <c r="M273" s="186">
        <f t="shared" si="38"/>
        <v>0</v>
      </c>
      <c r="N273" s="186">
        <f t="shared" si="39"/>
        <v>0</v>
      </c>
      <c r="P273" s="207" t="str">
        <f t="shared" si="40"/>
        <v>PM_0</v>
      </c>
      <c r="Q273" s="273">
        <f t="shared" si="41"/>
        <v>0</v>
      </c>
      <c r="R273" s="207">
        <f t="shared" si="42"/>
        <v>0</v>
      </c>
      <c r="S273" s="207">
        <f t="shared" si="43"/>
        <v>0</v>
      </c>
    </row>
    <row r="274" spans="11:19" ht="14.1" customHeight="1" x14ac:dyDescent="0.2">
      <c r="K274" s="186" t="str">
        <f t="shared" si="36"/>
        <v>PM_0</v>
      </c>
      <c r="L274" s="186">
        <f t="shared" si="37"/>
        <v>0</v>
      </c>
      <c r="M274" s="186">
        <f t="shared" si="38"/>
        <v>0</v>
      </c>
      <c r="N274" s="186">
        <f t="shared" si="39"/>
        <v>0</v>
      </c>
      <c r="P274" s="207" t="str">
        <f t="shared" si="40"/>
        <v>PM_0</v>
      </c>
      <c r="Q274" s="273">
        <f t="shared" si="41"/>
        <v>0</v>
      </c>
      <c r="R274" s="207">
        <f t="shared" si="42"/>
        <v>0</v>
      </c>
      <c r="S274" s="207">
        <f t="shared" si="43"/>
        <v>0</v>
      </c>
    </row>
    <row r="275" spans="11:19" ht="14.1" customHeight="1" x14ac:dyDescent="0.2">
      <c r="K275" s="186" t="str">
        <f t="shared" si="36"/>
        <v>PM_0</v>
      </c>
      <c r="L275" s="186">
        <f t="shared" si="37"/>
        <v>0</v>
      </c>
      <c r="M275" s="186">
        <f t="shared" si="38"/>
        <v>0</v>
      </c>
      <c r="N275" s="186">
        <f t="shared" si="39"/>
        <v>0</v>
      </c>
      <c r="P275" s="207" t="str">
        <f t="shared" si="40"/>
        <v>PM_0</v>
      </c>
      <c r="Q275" s="273">
        <f t="shared" si="41"/>
        <v>0</v>
      </c>
      <c r="R275" s="207">
        <f t="shared" si="42"/>
        <v>0</v>
      </c>
      <c r="S275" s="207">
        <f t="shared" si="43"/>
        <v>0</v>
      </c>
    </row>
    <row r="276" spans="11:19" ht="14.1" customHeight="1" x14ac:dyDescent="0.2">
      <c r="K276" s="186" t="str">
        <f t="shared" si="36"/>
        <v>PM_0</v>
      </c>
      <c r="L276" s="186">
        <f t="shared" si="37"/>
        <v>0</v>
      </c>
      <c r="M276" s="186">
        <f t="shared" si="38"/>
        <v>0</v>
      </c>
      <c r="N276" s="186">
        <f t="shared" si="39"/>
        <v>0</v>
      </c>
      <c r="P276" s="207" t="str">
        <f t="shared" si="40"/>
        <v>PM_0</v>
      </c>
      <c r="Q276" s="273">
        <f t="shared" si="41"/>
        <v>0</v>
      </c>
      <c r="R276" s="207">
        <f t="shared" si="42"/>
        <v>0</v>
      </c>
      <c r="S276" s="207">
        <f t="shared" si="43"/>
        <v>0</v>
      </c>
    </row>
    <row r="277" spans="11:19" ht="14.1" customHeight="1" x14ac:dyDescent="0.2">
      <c r="K277" s="186" t="str">
        <f t="shared" si="36"/>
        <v>PM_0</v>
      </c>
      <c r="L277" s="186">
        <f t="shared" si="37"/>
        <v>0</v>
      </c>
      <c r="M277" s="186">
        <f t="shared" si="38"/>
        <v>0</v>
      </c>
      <c r="N277" s="186">
        <f t="shared" si="39"/>
        <v>0</v>
      </c>
      <c r="P277" s="207" t="str">
        <f t="shared" si="40"/>
        <v>PM_0</v>
      </c>
      <c r="Q277" s="273">
        <f t="shared" si="41"/>
        <v>0</v>
      </c>
      <c r="R277" s="207">
        <f t="shared" si="42"/>
        <v>0</v>
      </c>
      <c r="S277" s="207">
        <f t="shared" si="43"/>
        <v>0</v>
      </c>
    </row>
    <row r="278" spans="11:19" ht="14.1" customHeight="1" x14ac:dyDescent="0.2">
      <c r="K278" s="186" t="str">
        <f t="shared" si="36"/>
        <v>PM_0</v>
      </c>
      <c r="L278" s="186">
        <f t="shared" si="37"/>
        <v>0</v>
      </c>
      <c r="M278" s="186">
        <f t="shared" si="38"/>
        <v>0</v>
      </c>
      <c r="N278" s="186">
        <f t="shared" si="39"/>
        <v>0</v>
      </c>
      <c r="P278" s="207" t="str">
        <f t="shared" si="40"/>
        <v>PM_0</v>
      </c>
      <c r="Q278" s="273">
        <f t="shared" si="41"/>
        <v>0</v>
      </c>
      <c r="R278" s="207">
        <f t="shared" si="42"/>
        <v>0</v>
      </c>
      <c r="S278" s="207">
        <f t="shared" si="43"/>
        <v>0</v>
      </c>
    </row>
    <row r="279" spans="11:19" ht="14.1" customHeight="1" x14ac:dyDescent="0.2">
      <c r="K279" s="186" t="str">
        <f t="shared" si="36"/>
        <v>PM_0</v>
      </c>
      <c r="L279" s="186">
        <f t="shared" si="37"/>
        <v>0</v>
      </c>
      <c r="M279" s="186">
        <f t="shared" si="38"/>
        <v>0</v>
      </c>
      <c r="N279" s="186">
        <f t="shared" si="39"/>
        <v>0</v>
      </c>
      <c r="P279" s="207" t="str">
        <f t="shared" si="40"/>
        <v>PM_0</v>
      </c>
      <c r="Q279" s="273">
        <f t="shared" si="41"/>
        <v>0</v>
      </c>
      <c r="R279" s="207">
        <f t="shared" si="42"/>
        <v>0</v>
      </c>
      <c r="S279" s="207">
        <f t="shared" si="43"/>
        <v>0</v>
      </c>
    </row>
    <row r="280" spans="11:19" ht="14.1" customHeight="1" x14ac:dyDescent="0.2">
      <c r="K280" s="186" t="str">
        <f t="shared" si="36"/>
        <v>PM_0</v>
      </c>
      <c r="L280" s="186">
        <f t="shared" si="37"/>
        <v>0</v>
      </c>
      <c r="M280" s="186">
        <f t="shared" si="38"/>
        <v>0</v>
      </c>
      <c r="N280" s="186">
        <f t="shared" si="39"/>
        <v>0</v>
      </c>
      <c r="P280" s="207" t="str">
        <f t="shared" si="40"/>
        <v>PM_0</v>
      </c>
      <c r="Q280" s="273">
        <f t="shared" si="41"/>
        <v>0</v>
      </c>
      <c r="R280" s="207">
        <f t="shared" si="42"/>
        <v>0</v>
      </c>
      <c r="S280" s="207">
        <f t="shared" si="43"/>
        <v>0</v>
      </c>
    </row>
    <row r="281" spans="11:19" ht="14.1" customHeight="1" x14ac:dyDescent="0.2">
      <c r="K281" s="186" t="str">
        <f t="shared" si="36"/>
        <v>PM_0</v>
      </c>
      <c r="L281" s="186">
        <f t="shared" si="37"/>
        <v>0</v>
      </c>
      <c r="M281" s="186">
        <f t="shared" si="38"/>
        <v>0</v>
      </c>
      <c r="N281" s="186">
        <f t="shared" si="39"/>
        <v>0</v>
      </c>
      <c r="P281" s="207" t="str">
        <f t="shared" si="40"/>
        <v>PM_0</v>
      </c>
      <c r="Q281" s="273">
        <f t="shared" si="41"/>
        <v>0</v>
      </c>
      <c r="R281" s="207">
        <f t="shared" si="42"/>
        <v>0</v>
      </c>
      <c r="S281" s="207">
        <f t="shared" si="43"/>
        <v>0</v>
      </c>
    </row>
    <row r="282" spans="11:19" ht="14.1" customHeight="1" x14ac:dyDescent="0.2">
      <c r="K282" s="186" t="str">
        <f t="shared" si="36"/>
        <v>PM_0</v>
      </c>
      <c r="L282" s="186">
        <f t="shared" si="37"/>
        <v>0</v>
      </c>
      <c r="M282" s="186">
        <f t="shared" si="38"/>
        <v>0</v>
      </c>
      <c r="N282" s="186">
        <f t="shared" si="39"/>
        <v>0</v>
      </c>
      <c r="P282" s="207" t="str">
        <f t="shared" si="40"/>
        <v>PM_0</v>
      </c>
      <c r="Q282" s="273">
        <f t="shared" si="41"/>
        <v>0</v>
      </c>
      <c r="R282" s="207">
        <f t="shared" si="42"/>
        <v>0</v>
      </c>
      <c r="S282" s="207">
        <f t="shared" si="43"/>
        <v>0</v>
      </c>
    </row>
    <row r="283" spans="11:19" ht="14.1" customHeight="1" x14ac:dyDescent="0.2">
      <c r="K283" s="186" t="str">
        <f t="shared" si="36"/>
        <v>PM_0</v>
      </c>
      <c r="L283" s="186">
        <f t="shared" si="37"/>
        <v>0</v>
      </c>
      <c r="M283" s="186">
        <f t="shared" si="38"/>
        <v>0</v>
      </c>
      <c r="N283" s="186">
        <f t="shared" si="39"/>
        <v>0</v>
      </c>
      <c r="P283" s="207" t="str">
        <f t="shared" si="40"/>
        <v>PM_0</v>
      </c>
      <c r="Q283" s="273">
        <f t="shared" si="41"/>
        <v>0</v>
      </c>
      <c r="R283" s="207">
        <f t="shared" si="42"/>
        <v>0</v>
      </c>
      <c r="S283" s="207">
        <f t="shared" si="43"/>
        <v>0</v>
      </c>
    </row>
    <row r="284" spans="11:19" ht="14.1" customHeight="1" x14ac:dyDescent="0.2">
      <c r="K284" s="186" t="str">
        <f t="shared" si="36"/>
        <v>PM_0</v>
      </c>
      <c r="L284" s="186">
        <f t="shared" si="37"/>
        <v>0</v>
      </c>
      <c r="M284" s="186">
        <f t="shared" si="38"/>
        <v>0</v>
      </c>
      <c r="N284" s="186">
        <f t="shared" si="39"/>
        <v>0</v>
      </c>
      <c r="P284" s="207" t="str">
        <f t="shared" si="40"/>
        <v>PM_0</v>
      </c>
      <c r="Q284" s="273">
        <f t="shared" si="41"/>
        <v>0</v>
      </c>
      <c r="R284" s="207">
        <f t="shared" si="42"/>
        <v>0</v>
      </c>
      <c r="S284" s="207">
        <f t="shared" si="43"/>
        <v>0</v>
      </c>
    </row>
    <row r="285" spans="11:19" ht="14.1" customHeight="1" x14ac:dyDescent="0.2">
      <c r="K285" s="186" t="str">
        <f t="shared" si="36"/>
        <v>PM_0</v>
      </c>
      <c r="L285" s="186">
        <f t="shared" si="37"/>
        <v>0</v>
      </c>
      <c r="M285" s="186">
        <f t="shared" si="38"/>
        <v>0</v>
      </c>
      <c r="N285" s="186">
        <f t="shared" si="39"/>
        <v>0</v>
      </c>
      <c r="P285" s="207" t="str">
        <f t="shared" si="40"/>
        <v>PM_0</v>
      </c>
      <c r="Q285" s="273">
        <f t="shared" si="41"/>
        <v>0</v>
      </c>
      <c r="R285" s="207">
        <f t="shared" si="42"/>
        <v>0</v>
      </c>
      <c r="S285" s="207">
        <f t="shared" si="43"/>
        <v>0</v>
      </c>
    </row>
    <row r="286" spans="11:19" ht="14.1" customHeight="1" x14ac:dyDescent="0.2">
      <c r="K286" s="186" t="str">
        <f t="shared" si="36"/>
        <v>PM_0</v>
      </c>
      <c r="L286" s="186">
        <f t="shared" si="37"/>
        <v>0</v>
      </c>
      <c r="M286" s="186">
        <f t="shared" si="38"/>
        <v>0</v>
      </c>
      <c r="N286" s="186">
        <f t="shared" si="39"/>
        <v>0</v>
      </c>
      <c r="P286" s="207" t="str">
        <f t="shared" si="40"/>
        <v>PM_0</v>
      </c>
      <c r="Q286" s="273">
        <f t="shared" si="41"/>
        <v>0</v>
      </c>
      <c r="R286" s="207">
        <f t="shared" si="42"/>
        <v>0</v>
      </c>
      <c r="S286" s="207">
        <f t="shared" si="43"/>
        <v>0</v>
      </c>
    </row>
    <row r="287" spans="11:19" ht="14.1" customHeight="1" x14ac:dyDescent="0.2">
      <c r="K287" s="186" t="str">
        <f t="shared" si="36"/>
        <v>PM_0</v>
      </c>
      <c r="L287" s="186">
        <f t="shared" si="37"/>
        <v>0</v>
      </c>
      <c r="M287" s="186">
        <f t="shared" si="38"/>
        <v>0</v>
      </c>
      <c r="N287" s="186">
        <f t="shared" si="39"/>
        <v>0</v>
      </c>
      <c r="P287" s="207" t="str">
        <f t="shared" si="40"/>
        <v>PM_0</v>
      </c>
      <c r="Q287" s="273">
        <f t="shared" si="41"/>
        <v>0</v>
      </c>
      <c r="R287" s="207">
        <f t="shared" si="42"/>
        <v>0</v>
      </c>
      <c r="S287" s="207">
        <f t="shared" si="43"/>
        <v>0</v>
      </c>
    </row>
    <row r="288" spans="11:19" ht="14.1" customHeight="1" x14ac:dyDescent="0.2">
      <c r="K288" s="186" t="str">
        <f t="shared" si="36"/>
        <v>PM_0</v>
      </c>
      <c r="L288" s="186">
        <f t="shared" si="37"/>
        <v>0</v>
      </c>
      <c r="M288" s="186">
        <f t="shared" si="38"/>
        <v>0</v>
      </c>
      <c r="N288" s="186">
        <f t="shared" si="39"/>
        <v>0</v>
      </c>
      <c r="P288" s="207" t="str">
        <f t="shared" si="40"/>
        <v>PM_0</v>
      </c>
      <c r="Q288" s="273">
        <f t="shared" si="41"/>
        <v>0</v>
      </c>
      <c r="R288" s="207">
        <f t="shared" si="42"/>
        <v>0</v>
      </c>
      <c r="S288" s="207">
        <f t="shared" si="43"/>
        <v>0</v>
      </c>
    </row>
    <row r="289" spans="11:19" ht="14.1" customHeight="1" x14ac:dyDescent="0.2">
      <c r="K289" s="186" t="str">
        <f t="shared" si="36"/>
        <v>PM_0</v>
      </c>
      <c r="L289" s="186">
        <f t="shared" si="37"/>
        <v>0</v>
      </c>
      <c r="M289" s="186">
        <f t="shared" si="38"/>
        <v>0</v>
      </c>
      <c r="N289" s="186">
        <f t="shared" si="39"/>
        <v>0</v>
      </c>
      <c r="P289" s="207" t="str">
        <f t="shared" si="40"/>
        <v>PM_0</v>
      </c>
      <c r="Q289" s="273">
        <f t="shared" si="41"/>
        <v>0</v>
      </c>
      <c r="R289" s="207">
        <f t="shared" si="42"/>
        <v>0</v>
      </c>
      <c r="S289" s="207">
        <f t="shared" si="43"/>
        <v>0</v>
      </c>
    </row>
    <row r="290" spans="11:19" ht="14.1" customHeight="1" x14ac:dyDescent="0.2">
      <c r="K290" s="186" t="str">
        <f t="shared" si="36"/>
        <v>PM_0</v>
      </c>
      <c r="L290" s="186">
        <f t="shared" si="37"/>
        <v>0</v>
      </c>
      <c r="M290" s="186">
        <f t="shared" si="38"/>
        <v>0</v>
      </c>
      <c r="N290" s="186">
        <f t="shared" si="39"/>
        <v>0</v>
      </c>
      <c r="P290" s="207" t="str">
        <f t="shared" si="40"/>
        <v>PM_0</v>
      </c>
      <c r="Q290" s="273">
        <f t="shared" si="41"/>
        <v>0</v>
      </c>
      <c r="R290" s="207">
        <f t="shared" si="42"/>
        <v>0</v>
      </c>
      <c r="S290" s="207">
        <f t="shared" si="43"/>
        <v>0</v>
      </c>
    </row>
    <row r="291" spans="11:19" ht="14.1" customHeight="1" x14ac:dyDescent="0.2">
      <c r="K291" s="186" t="str">
        <f t="shared" si="36"/>
        <v>PM_0</v>
      </c>
      <c r="L291" s="186">
        <f t="shared" si="37"/>
        <v>0</v>
      </c>
      <c r="M291" s="186">
        <f t="shared" si="38"/>
        <v>0</v>
      </c>
      <c r="N291" s="186">
        <f t="shared" si="39"/>
        <v>0</v>
      </c>
      <c r="P291" s="207" t="str">
        <f t="shared" si="40"/>
        <v>PM_0</v>
      </c>
      <c r="Q291" s="273">
        <f t="shared" si="41"/>
        <v>0</v>
      </c>
      <c r="R291" s="207">
        <f t="shared" si="42"/>
        <v>0</v>
      </c>
      <c r="S291" s="207">
        <f t="shared" si="43"/>
        <v>0</v>
      </c>
    </row>
    <row r="292" spans="11:19" ht="14.1" customHeight="1" x14ac:dyDescent="0.2">
      <c r="K292" s="186" t="str">
        <f t="shared" si="36"/>
        <v>PM_0</v>
      </c>
      <c r="L292" s="186">
        <f t="shared" si="37"/>
        <v>0</v>
      </c>
      <c r="M292" s="186">
        <f t="shared" si="38"/>
        <v>0</v>
      </c>
      <c r="N292" s="186">
        <f t="shared" si="39"/>
        <v>0</v>
      </c>
      <c r="P292" s="207" t="str">
        <f t="shared" si="40"/>
        <v>PM_0</v>
      </c>
      <c r="Q292" s="273">
        <f t="shared" si="41"/>
        <v>0</v>
      </c>
      <c r="R292" s="207">
        <f t="shared" si="42"/>
        <v>0</v>
      </c>
      <c r="S292" s="207">
        <f t="shared" si="43"/>
        <v>0</v>
      </c>
    </row>
    <row r="293" spans="11:19" ht="14.1" customHeight="1" x14ac:dyDescent="0.2">
      <c r="K293" s="186" t="str">
        <f t="shared" si="36"/>
        <v>PM_0</v>
      </c>
      <c r="L293" s="186">
        <f t="shared" si="37"/>
        <v>0</v>
      </c>
      <c r="M293" s="186">
        <f t="shared" si="38"/>
        <v>0</v>
      </c>
      <c r="N293" s="186">
        <f t="shared" si="39"/>
        <v>0</v>
      </c>
      <c r="P293" s="207" t="str">
        <f t="shared" si="40"/>
        <v>PM_0</v>
      </c>
      <c r="Q293" s="273">
        <f t="shared" si="41"/>
        <v>0</v>
      </c>
      <c r="R293" s="207">
        <f t="shared" si="42"/>
        <v>0</v>
      </c>
      <c r="S293" s="207">
        <f t="shared" si="43"/>
        <v>0</v>
      </c>
    </row>
    <row r="294" spans="11:19" ht="14.1" customHeight="1" x14ac:dyDescent="0.2">
      <c r="K294" s="186" t="str">
        <f t="shared" si="36"/>
        <v>PM_0</v>
      </c>
      <c r="L294" s="186">
        <f t="shared" si="37"/>
        <v>0</v>
      </c>
      <c r="M294" s="186">
        <f t="shared" si="38"/>
        <v>0</v>
      </c>
      <c r="N294" s="186">
        <f t="shared" si="39"/>
        <v>0</v>
      </c>
      <c r="P294" s="207" t="str">
        <f t="shared" si="40"/>
        <v>PM_0</v>
      </c>
      <c r="Q294" s="273">
        <f t="shared" si="41"/>
        <v>0</v>
      </c>
      <c r="R294" s="207">
        <f t="shared" si="42"/>
        <v>0</v>
      </c>
      <c r="S294" s="207">
        <f t="shared" si="43"/>
        <v>0</v>
      </c>
    </row>
    <row r="295" spans="11:19" ht="14.1" customHeight="1" x14ac:dyDescent="0.2">
      <c r="K295" s="186" t="str">
        <f t="shared" si="36"/>
        <v>PM_0</v>
      </c>
      <c r="L295" s="186">
        <f t="shared" si="37"/>
        <v>0</v>
      </c>
      <c r="M295" s="186">
        <f t="shared" si="38"/>
        <v>0</v>
      </c>
      <c r="N295" s="186">
        <f t="shared" si="39"/>
        <v>0</v>
      </c>
      <c r="P295" s="207" t="str">
        <f t="shared" si="40"/>
        <v>PM_0</v>
      </c>
      <c r="Q295" s="273">
        <f t="shared" si="41"/>
        <v>0</v>
      </c>
      <c r="R295" s="207">
        <f t="shared" si="42"/>
        <v>0</v>
      </c>
      <c r="S295" s="207">
        <f t="shared" si="43"/>
        <v>0</v>
      </c>
    </row>
    <row r="296" spans="11:19" ht="14.1" customHeight="1" x14ac:dyDescent="0.2">
      <c r="K296" s="186" t="str">
        <f t="shared" si="36"/>
        <v>PM_0</v>
      </c>
      <c r="L296" s="186">
        <f t="shared" si="37"/>
        <v>0</v>
      </c>
      <c r="M296" s="186">
        <f t="shared" si="38"/>
        <v>0</v>
      </c>
      <c r="N296" s="186">
        <f t="shared" si="39"/>
        <v>0</v>
      </c>
      <c r="P296" s="207" t="str">
        <f t="shared" si="40"/>
        <v>PM_0</v>
      </c>
      <c r="Q296" s="273">
        <f t="shared" si="41"/>
        <v>0</v>
      </c>
      <c r="R296" s="207">
        <f t="shared" si="42"/>
        <v>0</v>
      </c>
      <c r="S296" s="207">
        <f t="shared" si="43"/>
        <v>0</v>
      </c>
    </row>
    <row r="297" spans="11:19" ht="14.1" customHeight="1" x14ac:dyDescent="0.2">
      <c r="K297" s="186" t="str">
        <f t="shared" si="36"/>
        <v>PM_0</v>
      </c>
      <c r="L297" s="186">
        <f t="shared" si="37"/>
        <v>0</v>
      </c>
      <c r="M297" s="186">
        <f t="shared" si="38"/>
        <v>0</v>
      </c>
      <c r="N297" s="186">
        <f t="shared" si="39"/>
        <v>0</v>
      </c>
      <c r="P297" s="207" t="str">
        <f t="shared" si="40"/>
        <v>PM_0</v>
      </c>
      <c r="Q297" s="273">
        <f t="shared" si="41"/>
        <v>0</v>
      </c>
      <c r="R297" s="207">
        <f t="shared" si="42"/>
        <v>0</v>
      </c>
      <c r="S297" s="207">
        <f t="shared" si="43"/>
        <v>0</v>
      </c>
    </row>
    <row r="298" spans="11:19" ht="14.1" customHeight="1" x14ac:dyDescent="0.2">
      <c r="K298" s="186" t="str">
        <f t="shared" si="36"/>
        <v>PM_0</v>
      </c>
      <c r="L298" s="186">
        <f t="shared" si="37"/>
        <v>0</v>
      </c>
      <c r="M298" s="186">
        <f t="shared" si="38"/>
        <v>0</v>
      </c>
      <c r="N298" s="186">
        <f t="shared" si="39"/>
        <v>0</v>
      </c>
      <c r="P298" s="207" t="str">
        <f t="shared" si="40"/>
        <v>PM_0</v>
      </c>
      <c r="Q298" s="273">
        <f t="shared" si="41"/>
        <v>0</v>
      </c>
      <c r="R298" s="207">
        <f t="shared" si="42"/>
        <v>0</v>
      </c>
      <c r="S298" s="207">
        <f t="shared" si="43"/>
        <v>0</v>
      </c>
    </row>
    <row r="299" spans="11:19" ht="14.1" customHeight="1" x14ac:dyDescent="0.2">
      <c r="K299" s="186" t="str">
        <f t="shared" si="36"/>
        <v>PM_0</v>
      </c>
      <c r="L299" s="186">
        <f t="shared" si="37"/>
        <v>0</v>
      </c>
      <c r="M299" s="186">
        <f t="shared" si="38"/>
        <v>0</v>
      </c>
      <c r="N299" s="186">
        <f t="shared" si="39"/>
        <v>0</v>
      </c>
      <c r="P299" s="207" t="str">
        <f t="shared" si="40"/>
        <v>PM_0</v>
      </c>
      <c r="Q299" s="273">
        <f t="shared" si="41"/>
        <v>0</v>
      </c>
      <c r="R299" s="207">
        <f t="shared" si="42"/>
        <v>0</v>
      </c>
      <c r="S299" s="207">
        <f t="shared" si="43"/>
        <v>0</v>
      </c>
    </row>
    <row r="300" spans="11:19" ht="14.1" customHeight="1" x14ac:dyDescent="0.2">
      <c r="K300" s="186" t="str">
        <f t="shared" si="36"/>
        <v>PM_0</v>
      </c>
      <c r="L300" s="186">
        <f t="shared" si="37"/>
        <v>0</v>
      </c>
      <c r="M300" s="186">
        <f t="shared" si="38"/>
        <v>0</v>
      </c>
      <c r="N300" s="186">
        <f t="shared" si="39"/>
        <v>0</v>
      </c>
      <c r="P300" s="207" t="str">
        <f t="shared" si="40"/>
        <v>PM_0</v>
      </c>
      <c r="Q300" s="273">
        <f t="shared" si="41"/>
        <v>0</v>
      </c>
      <c r="R300" s="207">
        <f t="shared" si="42"/>
        <v>0</v>
      </c>
      <c r="S300" s="207">
        <f t="shared" si="43"/>
        <v>0</v>
      </c>
    </row>
    <row r="301" spans="11:19" ht="14.1" customHeight="1" x14ac:dyDescent="0.2">
      <c r="K301" s="186" t="str">
        <f t="shared" si="36"/>
        <v>PM_0</v>
      </c>
      <c r="L301" s="186">
        <f t="shared" si="37"/>
        <v>0</v>
      </c>
      <c r="M301" s="186">
        <f t="shared" si="38"/>
        <v>0</v>
      </c>
      <c r="N301" s="186">
        <f t="shared" si="39"/>
        <v>0</v>
      </c>
      <c r="P301" s="207" t="str">
        <f t="shared" si="40"/>
        <v>PM_0</v>
      </c>
      <c r="Q301" s="273">
        <f t="shared" si="41"/>
        <v>0</v>
      </c>
      <c r="R301" s="207">
        <f t="shared" si="42"/>
        <v>0</v>
      </c>
      <c r="S301" s="207">
        <f t="shared" si="43"/>
        <v>0</v>
      </c>
    </row>
    <row r="302" spans="11:19" ht="14.1" customHeight="1" x14ac:dyDescent="0.2">
      <c r="K302" s="186" t="str">
        <f t="shared" si="36"/>
        <v>PM_0</v>
      </c>
      <c r="L302" s="186">
        <f t="shared" si="37"/>
        <v>0</v>
      </c>
      <c r="M302" s="186">
        <f t="shared" si="38"/>
        <v>0</v>
      </c>
      <c r="N302" s="186">
        <f t="shared" si="39"/>
        <v>0</v>
      </c>
      <c r="P302" s="207" t="str">
        <f t="shared" si="40"/>
        <v>PM_0</v>
      </c>
      <c r="Q302" s="273">
        <f t="shared" si="41"/>
        <v>0</v>
      </c>
      <c r="R302" s="207">
        <f t="shared" si="42"/>
        <v>0</v>
      </c>
      <c r="S302" s="207">
        <f t="shared" si="43"/>
        <v>0</v>
      </c>
    </row>
    <row r="303" spans="11:19" ht="14.1" customHeight="1" x14ac:dyDescent="0.2">
      <c r="K303" s="186" t="str">
        <f t="shared" si="36"/>
        <v>PM_0</v>
      </c>
      <c r="L303" s="186">
        <f t="shared" si="37"/>
        <v>0</v>
      </c>
      <c r="M303" s="186">
        <f t="shared" si="38"/>
        <v>0</v>
      </c>
      <c r="N303" s="186">
        <f t="shared" si="39"/>
        <v>0</v>
      </c>
      <c r="P303" s="207" t="str">
        <f t="shared" si="40"/>
        <v>PM_0</v>
      </c>
      <c r="Q303" s="273">
        <f t="shared" si="41"/>
        <v>0</v>
      </c>
      <c r="R303" s="207">
        <f t="shared" si="42"/>
        <v>0</v>
      </c>
      <c r="S303" s="207">
        <f t="shared" si="43"/>
        <v>0</v>
      </c>
    </row>
    <row r="304" spans="11:19" ht="14.1" customHeight="1" x14ac:dyDescent="0.2">
      <c r="K304" s="186" t="str">
        <f t="shared" si="36"/>
        <v>PM_0</v>
      </c>
      <c r="L304" s="186">
        <f t="shared" si="37"/>
        <v>0</v>
      </c>
      <c r="M304" s="186">
        <f t="shared" si="38"/>
        <v>0</v>
      </c>
      <c r="N304" s="186">
        <f t="shared" si="39"/>
        <v>0</v>
      </c>
      <c r="P304" s="207" t="str">
        <f t="shared" si="40"/>
        <v>PM_0</v>
      </c>
      <c r="Q304" s="273">
        <f t="shared" si="41"/>
        <v>0</v>
      </c>
      <c r="R304" s="207">
        <f t="shared" si="42"/>
        <v>0</v>
      </c>
      <c r="S304" s="207">
        <f t="shared" si="43"/>
        <v>0</v>
      </c>
    </row>
    <row r="305" spans="11:19" ht="14.1" customHeight="1" x14ac:dyDescent="0.2">
      <c r="K305" s="186" t="str">
        <f t="shared" si="36"/>
        <v>PM_0</v>
      </c>
      <c r="L305" s="186">
        <f t="shared" si="37"/>
        <v>0</v>
      </c>
      <c r="M305" s="186">
        <f t="shared" si="38"/>
        <v>0</v>
      </c>
      <c r="N305" s="186">
        <f t="shared" si="39"/>
        <v>0</v>
      </c>
      <c r="P305" s="207" t="str">
        <f t="shared" si="40"/>
        <v>PM_0</v>
      </c>
      <c r="Q305" s="273">
        <f t="shared" si="41"/>
        <v>0</v>
      </c>
      <c r="R305" s="207">
        <f t="shared" si="42"/>
        <v>0</v>
      </c>
      <c r="S305" s="207">
        <f t="shared" si="43"/>
        <v>0</v>
      </c>
    </row>
    <row r="306" spans="11:19" ht="14.1" customHeight="1" x14ac:dyDescent="0.2">
      <c r="K306" s="186" t="str">
        <f t="shared" si="36"/>
        <v>PM_0</v>
      </c>
      <c r="L306" s="186">
        <f t="shared" si="37"/>
        <v>0</v>
      </c>
      <c r="M306" s="186">
        <f t="shared" si="38"/>
        <v>0</v>
      </c>
      <c r="N306" s="186">
        <f t="shared" si="39"/>
        <v>0</v>
      </c>
      <c r="P306" s="207" t="str">
        <f t="shared" si="40"/>
        <v>PM_0</v>
      </c>
      <c r="Q306" s="273">
        <f t="shared" si="41"/>
        <v>0</v>
      </c>
      <c r="R306" s="207">
        <f t="shared" si="42"/>
        <v>0</v>
      </c>
      <c r="S306" s="207">
        <f t="shared" si="43"/>
        <v>0</v>
      </c>
    </row>
    <row r="307" spans="11:19" ht="14.1" customHeight="1" x14ac:dyDescent="0.2">
      <c r="K307" s="186" t="str">
        <f t="shared" si="36"/>
        <v>PM_0</v>
      </c>
      <c r="L307" s="186">
        <f t="shared" si="37"/>
        <v>0</v>
      </c>
      <c r="M307" s="186">
        <f t="shared" si="38"/>
        <v>0</v>
      </c>
      <c r="N307" s="186">
        <f t="shared" si="39"/>
        <v>0</v>
      </c>
      <c r="P307" s="207" t="str">
        <f t="shared" si="40"/>
        <v>PM_0</v>
      </c>
      <c r="Q307" s="273">
        <f t="shared" si="41"/>
        <v>0</v>
      </c>
      <c r="R307" s="207">
        <f t="shared" si="42"/>
        <v>0</v>
      </c>
      <c r="S307" s="207">
        <f t="shared" si="43"/>
        <v>0</v>
      </c>
    </row>
    <row r="308" spans="11:19" ht="14.1" customHeight="1" x14ac:dyDescent="0.2">
      <c r="K308" s="186" t="str">
        <f t="shared" si="36"/>
        <v>PM_0</v>
      </c>
      <c r="L308" s="186">
        <f t="shared" si="37"/>
        <v>0</v>
      </c>
      <c r="M308" s="186">
        <f t="shared" si="38"/>
        <v>0</v>
      </c>
      <c r="N308" s="186">
        <f t="shared" si="39"/>
        <v>0</v>
      </c>
      <c r="P308" s="207" t="str">
        <f t="shared" si="40"/>
        <v>PM_0</v>
      </c>
      <c r="Q308" s="273">
        <f t="shared" si="41"/>
        <v>0</v>
      </c>
      <c r="R308" s="207">
        <f t="shared" si="42"/>
        <v>0</v>
      </c>
      <c r="S308" s="207">
        <f t="shared" si="43"/>
        <v>0</v>
      </c>
    </row>
    <row r="309" spans="11:19" ht="14.1" customHeight="1" x14ac:dyDescent="0.2">
      <c r="K309" s="186" t="str">
        <f t="shared" si="36"/>
        <v>PM_0</v>
      </c>
      <c r="L309" s="186">
        <f t="shared" si="37"/>
        <v>0</v>
      </c>
      <c r="M309" s="186">
        <f t="shared" si="38"/>
        <v>0</v>
      </c>
      <c r="N309" s="186">
        <f t="shared" si="39"/>
        <v>0</v>
      </c>
      <c r="P309" s="207" t="str">
        <f t="shared" si="40"/>
        <v>PM_0</v>
      </c>
      <c r="Q309" s="273">
        <f t="shared" si="41"/>
        <v>0</v>
      </c>
      <c r="R309" s="207">
        <f t="shared" si="42"/>
        <v>0</v>
      </c>
      <c r="S309" s="207">
        <f t="shared" si="43"/>
        <v>0</v>
      </c>
    </row>
    <row r="310" spans="11:19" ht="14.1" customHeight="1" x14ac:dyDescent="0.2">
      <c r="K310" s="186" t="str">
        <f t="shared" si="36"/>
        <v>PM_0</v>
      </c>
      <c r="L310" s="186">
        <f t="shared" si="37"/>
        <v>0</v>
      </c>
      <c r="M310" s="186">
        <f t="shared" si="38"/>
        <v>0</v>
      </c>
      <c r="N310" s="186">
        <f t="shared" si="39"/>
        <v>0</v>
      </c>
      <c r="P310" s="207" t="str">
        <f t="shared" si="40"/>
        <v>PM_0</v>
      </c>
      <c r="Q310" s="273">
        <f t="shared" si="41"/>
        <v>0</v>
      </c>
      <c r="R310" s="207">
        <f t="shared" si="42"/>
        <v>0</v>
      </c>
      <c r="S310" s="207">
        <f t="shared" si="43"/>
        <v>0</v>
      </c>
    </row>
    <row r="311" spans="11:19" ht="14.1" customHeight="1" x14ac:dyDescent="0.2">
      <c r="K311" s="186" t="str">
        <f t="shared" si="36"/>
        <v>PM_0</v>
      </c>
      <c r="L311" s="186">
        <f t="shared" si="37"/>
        <v>0</v>
      </c>
      <c r="M311" s="186">
        <f t="shared" si="38"/>
        <v>0</v>
      </c>
      <c r="N311" s="186">
        <f t="shared" si="39"/>
        <v>0</v>
      </c>
      <c r="P311" s="207" t="str">
        <f t="shared" si="40"/>
        <v>PM_0</v>
      </c>
      <c r="Q311" s="273">
        <f t="shared" si="41"/>
        <v>0</v>
      </c>
      <c r="R311" s="207">
        <f t="shared" si="42"/>
        <v>0</v>
      </c>
      <c r="S311" s="207">
        <f t="shared" si="43"/>
        <v>0</v>
      </c>
    </row>
    <row r="312" spans="11:19" ht="14.1" customHeight="1" x14ac:dyDescent="0.2">
      <c r="K312" s="186" t="str">
        <f t="shared" si="36"/>
        <v>PM_0</v>
      </c>
      <c r="L312" s="186">
        <f t="shared" si="37"/>
        <v>0</v>
      </c>
      <c r="M312" s="186">
        <f t="shared" si="38"/>
        <v>0</v>
      </c>
      <c r="N312" s="186">
        <f t="shared" si="39"/>
        <v>0</v>
      </c>
      <c r="P312" s="207" t="str">
        <f t="shared" si="40"/>
        <v>PM_0</v>
      </c>
      <c r="Q312" s="273">
        <f t="shared" si="41"/>
        <v>0</v>
      </c>
      <c r="R312" s="207">
        <f t="shared" si="42"/>
        <v>0</v>
      </c>
      <c r="S312" s="207">
        <f t="shared" si="43"/>
        <v>0</v>
      </c>
    </row>
    <row r="313" spans="11:19" ht="14.1" customHeight="1" x14ac:dyDescent="0.2">
      <c r="K313" s="186" t="str">
        <f t="shared" si="36"/>
        <v>PM_0</v>
      </c>
      <c r="L313" s="186">
        <f t="shared" si="37"/>
        <v>0</v>
      </c>
      <c r="M313" s="186">
        <f t="shared" si="38"/>
        <v>0</v>
      </c>
      <c r="N313" s="186">
        <f t="shared" si="39"/>
        <v>0</v>
      </c>
      <c r="P313" s="207" t="str">
        <f t="shared" si="40"/>
        <v>PM_0</v>
      </c>
      <c r="Q313" s="273">
        <f t="shared" si="41"/>
        <v>0</v>
      </c>
      <c r="R313" s="207">
        <f t="shared" si="42"/>
        <v>0</v>
      </c>
      <c r="S313" s="207">
        <f t="shared" si="43"/>
        <v>0</v>
      </c>
    </row>
    <row r="314" spans="11:19" ht="14.1" customHeight="1" x14ac:dyDescent="0.2">
      <c r="K314" s="186" t="str">
        <f t="shared" si="36"/>
        <v>PM_0</v>
      </c>
      <c r="L314" s="186">
        <f t="shared" si="37"/>
        <v>0</v>
      </c>
      <c r="M314" s="186">
        <f t="shared" si="38"/>
        <v>0</v>
      </c>
      <c r="N314" s="186">
        <f t="shared" si="39"/>
        <v>0</v>
      </c>
      <c r="P314" s="207" t="str">
        <f t="shared" si="40"/>
        <v>PM_0</v>
      </c>
      <c r="Q314" s="273">
        <f t="shared" si="41"/>
        <v>0</v>
      </c>
      <c r="R314" s="207">
        <f t="shared" si="42"/>
        <v>0</v>
      </c>
      <c r="S314" s="207">
        <f t="shared" si="43"/>
        <v>0</v>
      </c>
    </row>
    <row r="315" spans="11:19" ht="14.1" customHeight="1" x14ac:dyDescent="0.2">
      <c r="K315" s="186" t="str">
        <f t="shared" si="36"/>
        <v>PM_0</v>
      </c>
      <c r="L315" s="186">
        <f t="shared" si="37"/>
        <v>0</v>
      </c>
      <c r="M315" s="186">
        <f t="shared" si="38"/>
        <v>0</v>
      </c>
      <c r="N315" s="186">
        <f t="shared" si="39"/>
        <v>0</v>
      </c>
      <c r="P315" s="207" t="str">
        <f t="shared" si="40"/>
        <v>PM_0</v>
      </c>
      <c r="Q315" s="273">
        <f t="shared" si="41"/>
        <v>0</v>
      </c>
      <c r="R315" s="207">
        <f t="shared" si="42"/>
        <v>0</v>
      </c>
      <c r="S315" s="207">
        <f t="shared" si="43"/>
        <v>0</v>
      </c>
    </row>
    <row r="316" spans="11:19" ht="14.1" customHeight="1" x14ac:dyDescent="0.2">
      <c r="K316" s="186" t="str">
        <f t="shared" si="36"/>
        <v>PM_0</v>
      </c>
      <c r="L316" s="186">
        <f t="shared" si="37"/>
        <v>0</v>
      </c>
      <c r="M316" s="186">
        <f t="shared" si="38"/>
        <v>0</v>
      </c>
      <c r="N316" s="186">
        <f t="shared" si="39"/>
        <v>0</v>
      </c>
      <c r="P316" s="207" t="str">
        <f t="shared" si="40"/>
        <v>PM_0</v>
      </c>
      <c r="Q316" s="273">
        <f t="shared" si="41"/>
        <v>0</v>
      </c>
      <c r="R316" s="207">
        <f t="shared" si="42"/>
        <v>0</v>
      </c>
      <c r="S316" s="207">
        <f t="shared" si="43"/>
        <v>0</v>
      </c>
    </row>
    <row r="317" spans="11:19" ht="14.1" customHeight="1" x14ac:dyDescent="0.2">
      <c r="K317" s="186" t="str">
        <f t="shared" si="36"/>
        <v>PM_0</v>
      </c>
      <c r="L317" s="186">
        <f t="shared" si="37"/>
        <v>0</v>
      </c>
      <c r="M317" s="186">
        <f t="shared" si="38"/>
        <v>0</v>
      </c>
      <c r="N317" s="186">
        <f t="shared" si="39"/>
        <v>0</v>
      </c>
      <c r="P317" s="207" t="str">
        <f t="shared" si="40"/>
        <v>PM_0</v>
      </c>
      <c r="Q317" s="273">
        <f t="shared" si="41"/>
        <v>0</v>
      </c>
      <c r="R317" s="207">
        <f t="shared" si="42"/>
        <v>0</v>
      </c>
      <c r="S317" s="207">
        <f t="shared" si="43"/>
        <v>0</v>
      </c>
    </row>
    <row r="318" spans="11:19" ht="14.1" customHeight="1" x14ac:dyDescent="0.2">
      <c r="K318" s="186" t="str">
        <f t="shared" si="36"/>
        <v>PM_0</v>
      </c>
      <c r="L318" s="186">
        <f t="shared" si="37"/>
        <v>0</v>
      </c>
      <c r="M318" s="186">
        <f t="shared" si="38"/>
        <v>0</v>
      </c>
      <c r="N318" s="186">
        <f t="shared" si="39"/>
        <v>0</v>
      </c>
      <c r="P318" s="207" t="str">
        <f t="shared" si="40"/>
        <v>PM_0</v>
      </c>
      <c r="Q318" s="273">
        <f t="shared" si="41"/>
        <v>0</v>
      </c>
      <c r="R318" s="207">
        <f t="shared" si="42"/>
        <v>0</v>
      </c>
      <c r="S318" s="207">
        <f t="shared" si="43"/>
        <v>0</v>
      </c>
    </row>
    <row r="319" spans="11:19" ht="14.1" customHeight="1" x14ac:dyDescent="0.2">
      <c r="K319" s="186" t="str">
        <f t="shared" si="36"/>
        <v>PM_0</v>
      </c>
      <c r="L319" s="186">
        <f t="shared" si="37"/>
        <v>0</v>
      </c>
      <c r="M319" s="186">
        <f t="shared" si="38"/>
        <v>0</v>
      </c>
      <c r="N319" s="186">
        <f t="shared" si="39"/>
        <v>0</v>
      </c>
      <c r="P319" s="207" t="str">
        <f t="shared" si="40"/>
        <v>PM_0</v>
      </c>
      <c r="Q319" s="273">
        <f t="shared" si="41"/>
        <v>0</v>
      </c>
      <c r="R319" s="207">
        <f t="shared" si="42"/>
        <v>0</v>
      </c>
      <c r="S319" s="207">
        <f t="shared" si="43"/>
        <v>0</v>
      </c>
    </row>
    <row r="320" spans="11:19" ht="14.1" customHeight="1" x14ac:dyDescent="0.2">
      <c r="K320" s="186" t="str">
        <f t="shared" si="36"/>
        <v>PM_0</v>
      </c>
      <c r="L320" s="186">
        <f t="shared" si="37"/>
        <v>0</v>
      </c>
      <c r="M320" s="186">
        <f t="shared" si="38"/>
        <v>0</v>
      </c>
      <c r="N320" s="186">
        <f t="shared" si="39"/>
        <v>0</v>
      </c>
      <c r="P320" s="207" t="str">
        <f t="shared" si="40"/>
        <v>PM_0</v>
      </c>
      <c r="Q320" s="273">
        <f t="shared" si="41"/>
        <v>0</v>
      </c>
      <c r="R320" s="207">
        <f t="shared" si="42"/>
        <v>0</v>
      </c>
      <c r="S320" s="207">
        <f t="shared" si="43"/>
        <v>0</v>
      </c>
    </row>
    <row r="321" spans="11:19" ht="14.1" customHeight="1" x14ac:dyDescent="0.2">
      <c r="K321" s="186" t="str">
        <f t="shared" si="36"/>
        <v>PM_0</v>
      </c>
      <c r="L321" s="186">
        <f t="shared" si="37"/>
        <v>0</v>
      </c>
      <c r="M321" s="186">
        <f t="shared" si="38"/>
        <v>0</v>
      </c>
      <c r="N321" s="186">
        <f t="shared" si="39"/>
        <v>0</v>
      </c>
      <c r="P321" s="207" t="str">
        <f t="shared" si="40"/>
        <v>PM_0</v>
      </c>
      <c r="Q321" s="273">
        <f t="shared" si="41"/>
        <v>0</v>
      </c>
      <c r="R321" s="207">
        <f t="shared" si="42"/>
        <v>0</v>
      </c>
      <c r="S321" s="207">
        <f t="shared" si="43"/>
        <v>0</v>
      </c>
    </row>
    <row r="322" spans="11:19" ht="14.1" customHeight="1" x14ac:dyDescent="0.2">
      <c r="K322" s="186" t="str">
        <f t="shared" si="36"/>
        <v>PM_0</v>
      </c>
      <c r="L322" s="186">
        <f t="shared" si="37"/>
        <v>0</v>
      </c>
      <c r="M322" s="186">
        <f t="shared" si="38"/>
        <v>0</v>
      </c>
      <c r="N322" s="186">
        <f t="shared" si="39"/>
        <v>0</v>
      </c>
      <c r="P322" s="207" t="str">
        <f t="shared" si="40"/>
        <v>PM_0</v>
      </c>
      <c r="Q322" s="273">
        <f t="shared" si="41"/>
        <v>0</v>
      </c>
      <c r="R322" s="207">
        <f t="shared" si="42"/>
        <v>0</v>
      </c>
      <c r="S322" s="207">
        <f t="shared" si="43"/>
        <v>0</v>
      </c>
    </row>
    <row r="323" spans="11:19" ht="14.1" customHeight="1" x14ac:dyDescent="0.2">
      <c r="K323" s="186" t="str">
        <f t="shared" si="36"/>
        <v>PM_0</v>
      </c>
      <c r="L323" s="186">
        <f t="shared" si="37"/>
        <v>0</v>
      </c>
      <c r="M323" s="186">
        <f t="shared" si="38"/>
        <v>0</v>
      </c>
      <c r="N323" s="186">
        <f t="shared" si="39"/>
        <v>0</v>
      </c>
      <c r="P323" s="207" t="str">
        <f t="shared" si="40"/>
        <v>PM_0</v>
      </c>
      <c r="Q323" s="273">
        <f t="shared" si="41"/>
        <v>0</v>
      </c>
      <c r="R323" s="207">
        <f t="shared" si="42"/>
        <v>0</v>
      </c>
      <c r="S323" s="207">
        <f t="shared" si="43"/>
        <v>0</v>
      </c>
    </row>
    <row r="324" spans="11:19" ht="14.1" customHeight="1" x14ac:dyDescent="0.2">
      <c r="K324" s="186" t="str">
        <f t="shared" si="36"/>
        <v>PM_0</v>
      </c>
      <c r="L324" s="186">
        <f t="shared" si="37"/>
        <v>0</v>
      </c>
      <c r="M324" s="186">
        <f t="shared" si="38"/>
        <v>0</v>
      </c>
      <c r="N324" s="186">
        <f t="shared" si="39"/>
        <v>0</v>
      </c>
      <c r="P324" s="207" t="str">
        <f t="shared" si="40"/>
        <v>PM_0</v>
      </c>
      <c r="Q324" s="273">
        <f t="shared" si="41"/>
        <v>0</v>
      </c>
      <c r="R324" s="207">
        <f t="shared" si="42"/>
        <v>0</v>
      </c>
      <c r="S324" s="207">
        <f t="shared" si="43"/>
        <v>0</v>
      </c>
    </row>
    <row r="325" spans="11:19" ht="14.1" customHeight="1" x14ac:dyDescent="0.2">
      <c r="K325" s="186" t="str">
        <f t="shared" si="36"/>
        <v>PM_0</v>
      </c>
      <c r="L325" s="186">
        <f t="shared" si="37"/>
        <v>0</v>
      </c>
      <c r="M325" s="186">
        <f t="shared" si="38"/>
        <v>0</v>
      </c>
      <c r="N325" s="186">
        <f t="shared" si="39"/>
        <v>0</v>
      </c>
      <c r="P325" s="207" t="str">
        <f t="shared" si="40"/>
        <v>PM_0</v>
      </c>
      <c r="Q325" s="273">
        <f t="shared" si="41"/>
        <v>0</v>
      </c>
      <c r="R325" s="207">
        <f t="shared" si="42"/>
        <v>0</v>
      </c>
      <c r="S325" s="207">
        <f t="shared" si="43"/>
        <v>0</v>
      </c>
    </row>
    <row r="326" spans="11:19" ht="14.1" customHeight="1" x14ac:dyDescent="0.2">
      <c r="K326" s="186" t="str">
        <f t="shared" si="36"/>
        <v>PM_0</v>
      </c>
      <c r="L326" s="186">
        <f t="shared" si="37"/>
        <v>0</v>
      </c>
      <c r="M326" s="186">
        <f t="shared" si="38"/>
        <v>0</v>
      </c>
      <c r="N326" s="186">
        <f t="shared" si="39"/>
        <v>0</v>
      </c>
      <c r="P326" s="207" t="str">
        <f t="shared" si="40"/>
        <v>PM_0</v>
      </c>
      <c r="Q326" s="273">
        <f t="shared" si="41"/>
        <v>0</v>
      </c>
      <c r="R326" s="207">
        <f t="shared" si="42"/>
        <v>0</v>
      </c>
      <c r="S326" s="207">
        <f t="shared" si="43"/>
        <v>0</v>
      </c>
    </row>
    <row r="327" spans="11:19" ht="14.1" customHeight="1" x14ac:dyDescent="0.2">
      <c r="K327" s="186" t="str">
        <f t="shared" si="36"/>
        <v>PM_0</v>
      </c>
      <c r="L327" s="186">
        <f t="shared" si="37"/>
        <v>0</v>
      </c>
      <c r="M327" s="186">
        <f t="shared" si="38"/>
        <v>0</v>
      </c>
      <c r="N327" s="186">
        <f t="shared" si="39"/>
        <v>0</v>
      </c>
      <c r="P327" s="207" t="str">
        <f t="shared" si="40"/>
        <v>PM_0</v>
      </c>
      <c r="Q327" s="273">
        <f t="shared" si="41"/>
        <v>0</v>
      </c>
      <c r="R327" s="207">
        <f t="shared" si="42"/>
        <v>0</v>
      </c>
      <c r="S327" s="207">
        <f t="shared" si="43"/>
        <v>0</v>
      </c>
    </row>
    <row r="328" spans="11:19" ht="14.1" customHeight="1" x14ac:dyDescent="0.2">
      <c r="K328" s="186" t="str">
        <f t="shared" si="36"/>
        <v>PM_0</v>
      </c>
      <c r="L328" s="186">
        <f t="shared" si="37"/>
        <v>0</v>
      </c>
      <c r="M328" s="186">
        <f t="shared" si="38"/>
        <v>0</v>
      </c>
      <c r="N328" s="186">
        <f t="shared" si="39"/>
        <v>0</v>
      </c>
      <c r="P328" s="207" t="str">
        <f t="shared" si="40"/>
        <v>PM_0</v>
      </c>
      <c r="Q328" s="273">
        <f t="shared" si="41"/>
        <v>0</v>
      </c>
      <c r="R328" s="207">
        <f t="shared" si="42"/>
        <v>0</v>
      </c>
      <c r="S328" s="207">
        <f t="shared" si="43"/>
        <v>0</v>
      </c>
    </row>
    <row r="329" spans="11:19" ht="14.1" customHeight="1" x14ac:dyDescent="0.2">
      <c r="K329" s="186" t="str">
        <f t="shared" si="36"/>
        <v>PM_0</v>
      </c>
      <c r="L329" s="186">
        <f t="shared" si="37"/>
        <v>0</v>
      </c>
      <c r="M329" s="186">
        <f t="shared" si="38"/>
        <v>0</v>
      </c>
      <c r="N329" s="186">
        <f t="shared" si="39"/>
        <v>0</v>
      </c>
      <c r="P329" s="207" t="str">
        <f t="shared" si="40"/>
        <v>PM_0</v>
      </c>
      <c r="Q329" s="273">
        <f t="shared" si="41"/>
        <v>0</v>
      </c>
      <c r="R329" s="207">
        <f t="shared" si="42"/>
        <v>0</v>
      </c>
      <c r="S329" s="207">
        <f t="shared" si="43"/>
        <v>0</v>
      </c>
    </row>
    <row r="330" spans="11:19" ht="14.1" customHeight="1" x14ac:dyDescent="0.2">
      <c r="K330" s="186" t="str">
        <f t="shared" si="36"/>
        <v>PM_0</v>
      </c>
      <c r="L330" s="186">
        <f t="shared" si="37"/>
        <v>0</v>
      </c>
      <c r="M330" s="186">
        <f t="shared" si="38"/>
        <v>0</v>
      </c>
      <c r="N330" s="186">
        <f t="shared" si="39"/>
        <v>0</v>
      </c>
      <c r="P330" s="207" t="str">
        <f t="shared" si="40"/>
        <v>PM_0</v>
      </c>
      <c r="Q330" s="273">
        <f t="shared" si="41"/>
        <v>0</v>
      </c>
      <c r="R330" s="207">
        <f t="shared" si="42"/>
        <v>0</v>
      </c>
      <c r="S330" s="207">
        <f t="shared" si="43"/>
        <v>0</v>
      </c>
    </row>
    <row r="331" spans="11:19" ht="14.1" customHeight="1" x14ac:dyDescent="0.2">
      <c r="K331" s="186" t="str">
        <f t="shared" ref="K331:K394" si="44">"PM_"&amp;ROUND(E331,2)</f>
        <v>PM_0</v>
      </c>
      <c r="L331" s="186">
        <f t="shared" ref="L331:L394" si="45">F331</f>
        <v>0</v>
      </c>
      <c r="M331" s="186">
        <f t="shared" ref="M331:M394" si="46">G331</f>
        <v>0</v>
      </c>
      <c r="N331" s="186">
        <f t="shared" ref="N331:N394" si="47">H331</f>
        <v>0</v>
      </c>
      <c r="P331" s="207" t="str">
        <f t="shared" ref="P331:P394" si="48">K331</f>
        <v>PM_0</v>
      </c>
      <c r="Q331" s="273">
        <f t="shared" ref="Q331:Q394" si="49">$S$1+E331</f>
        <v>0</v>
      </c>
      <c r="R331" s="207">
        <f t="shared" ref="R331:R394" si="50">H331</f>
        <v>0</v>
      </c>
      <c r="S331" s="207">
        <f t="shared" ref="S331:S394" si="51">$B$6</f>
        <v>0</v>
      </c>
    </row>
    <row r="332" spans="11:19" ht="14.1" customHeight="1" x14ac:dyDescent="0.2">
      <c r="K332" s="186" t="str">
        <f t="shared" si="44"/>
        <v>PM_0</v>
      </c>
      <c r="L332" s="186">
        <f t="shared" si="45"/>
        <v>0</v>
      </c>
      <c r="M332" s="186">
        <f t="shared" si="46"/>
        <v>0</v>
      </c>
      <c r="N332" s="186">
        <f t="shared" si="47"/>
        <v>0</v>
      </c>
      <c r="P332" s="207" t="str">
        <f t="shared" si="48"/>
        <v>PM_0</v>
      </c>
      <c r="Q332" s="273">
        <f t="shared" si="49"/>
        <v>0</v>
      </c>
      <c r="R332" s="207">
        <f t="shared" si="50"/>
        <v>0</v>
      </c>
      <c r="S332" s="207">
        <f t="shared" si="51"/>
        <v>0</v>
      </c>
    </row>
    <row r="333" spans="11:19" ht="14.1" customHeight="1" x14ac:dyDescent="0.2">
      <c r="K333" s="186" t="str">
        <f t="shared" si="44"/>
        <v>PM_0</v>
      </c>
      <c r="L333" s="186">
        <f t="shared" si="45"/>
        <v>0</v>
      </c>
      <c r="M333" s="186">
        <f t="shared" si="46"/>
        <v>0</v>
      </c>
      <c r="N333" s="186">
        <f t="shared" si="47"/>
        <v>0</v>
      </c>
      <c r="P333" s="207" t="str">
        <f t="shared" si="48"/>
        <v>PM_0</v>
      </c>
      <c r="Q333" s="273">
        <f t="shared" si="49"/>
        <v>0</v>
      </c>
      <c r="R333" s="207">
        <f t="shared" si="50"/>
        <v>0</v>
      </c>
      <c r="S333" s="207">
        <f t="shared" si="51"/>
        <v>0</v>
      </c>
    </row>
    <row r="334" spans="11:19" ht="14.1" customHeight="1" x14ac:dyDescent="0.2">
      <c r="K334" s="186" t="str">
        <f t="shared" si="44"/>
        <v>PM_0</v>
      </c>
      <c r="L334" s="186">
        <f t="shared" si="45"/>
        <v>0</v>
      </c>
      <c r="M334" s="186">
        <f t="shared" si="46"/>
        <v>0</v>
      </c>
      <c r="N334" s="186">
        <f t="shared" si="47"/>
        <v>0</v>
      </c>
      <c r="P334" s="207" t="str">
        <f t="shared" si="48"/>
        <v>PM_0</v>
      </c>
      <c r="Q334" s="273">
        <f t="shared" si="49"/>
        <v>0</v>
      </c>
      <c r="R334" s="207">
        <f t="shared" si="50"/>
        <v>0</v>
      </c>
      <c r="S334" s="207">
        <f t="shared" si="51"/>
        <v>0</v>
      </c>
    </row>
    <row r="335" spans="11:19" ht="14.1" customHeight="1" x14ac:dyDescent="0.2">
      <c r="K335" s="186" t="str">
        <f t="shared" si="44"/>
        <v>PM_0</v>
      </c>
      <c r="L335" s="186">
        <f t="shared" si="45"/>
        <v>0</v>
      </c>
      <c r="M335" s="186">
        <f t="shared" si="46"/>
        <v>0</v>
      </c>
      <c r="N335" s="186">
        <f t="shared" si="47"/>
        <v>0</v>
      </c>
      <c r="P335" s="207" t="str">
        <f t="shared" si="48"/>
        <v>PM_0</v>
      </c>
      <c r="Q335" s="273">
        <f t="shared" si="49"/>
        <v>0</v>
      </c>
      <c r="R335" s="207">
        <f t="shared" si="50"/>
        <v>0</v>
      </c>
      <c r="S335" s="207">
        <f t="shared" si="51"/>
        <v>0</v>
      </c>
    </row>
    <row r="336" spans="11:19" ht="14.1" customHeight="1" x14ac:dyDescent="0.2">
      <c r="K336" s="186" t="str">
        <f t="shared" si="44"/>
        <v>PM_0</v>
      </c>
      <c r="L336" s="186">
        <f t="shared" si="45"/>
        <v>0</v>
      </c>
      <c r="M336" s="186">
        <f t="shared" si="46"/>
        <v>0</v>
      </c>
      <c r="N336" s="186">
        <f t="shared" si="47"/>
        <v>0</v>
      </c>
      <c r="P336" s="207" t="str">
        <f t="shared" si="48"/>
        <v>PM_0</v>
      </c>
      <c r="Q336" s="273">
        <f t="shared" si="49"/>
        <v>0</v>
      </c>
      <c r="R336" s="207">
        <f t="shared" si="50"/>
        <v>0</v>
      </c>
      <c r="S336" s="207">
        <f t="shared" si="51"/>
        <v>0</v>
      </c>
    </row>
    <row r="337" spans="11:19" ht="14.1" customHeight="1" x14ac:dyDescent="0.2">
      <c r="K337" s="186" t="str">
        <f t="shared" si="44"/>
        <v>PM_0</v>
      </c>
      <c r="L337" s="186">
        <f t="shared" si="45"/>
        <v>0</v>
      </c>
      <c r="M337" s="186">
        <f t="shared" si="46"/>
        <v>0</v>
      </c>
      <c r="N337" s="186">
        <f t="shared" si="47"/>
        <v>0</v>
      </c>
      <c r="P337" s="207" t="str">
        <f t="shared" si="48"/>
        <v>PM_0</v>
      </c>
      <c r="Q337" s="273">
        <f t="shared" si="49"/>
        <v>0</v>
      </c>
      <c r="R337" s="207">
        <f t="shared" si="50"/>
        <v>0</v>
      </c>
      <c r="S337" s="207">
        <f t="shared" si="51"/>
        <v>0</v>
      </c>
    </row>
    <row r="338" spans="11:19" ht="14.1" customHeight="1" x14ac:dyDescent="0.2">
      <c r="K338" s="186" t="str">
        <f t="shared" si="44"/>
        <v>PM_0</v>
      </c>
      <c r="L338" s="186">
        <f t="shared" si="45"/>
        <v>0</v>
      </c>
      <c r="M338" s="186">
        <f t="shared" si="46"/>
        <v>0</v>
      </c>
      <c r="N338" s="186">
        <f t="shared" si="47"/>
        <v>0</v>
      </c>
      <c r="P338" s="207" t="str">
        <f t="shared" si="48"/>
        <v>PM_0</v>
      </c>
      <c r="Q338" s="273">
        <f t="shared" si="49"/>
        <v>0</v>
      </c>
      <c r="R338" s="207">
        <f t="shared" si="50"/>
        <v>0</v>
      </c>
      <c r="S338" s="207">
        <f t="shared" si="51"/>
        <v>0</v>
      </c>
    </row>
    <row r="339" spans="11:19" ht="14.1" customHeight="1" x14ac:dyDescent="0.2">
      <c r="K339" s="186" t="str">
        <f t="shared" si="44"/>
        <v>PM_0</v>
      </c>
      <c r="L339" s="186">
        <f t="shared" si="45"/>
        <v>0</v>
      </c>
      <c r="M339" s="186">
        <f t="shared" si="46"/>
        <v>0</v>
      </c>
      <c r="N339" s="186">
        <f t="shared" si="47"/>
        <v>0</v>
      </c>
      <c r="P339" s="207" t="str">
        <f t="shared" si="48"/>
        <v>PM_0</v>
      </c>
      <c r="Q339" s="273">
        <f t="shared" si="49"/>
        <v>0</v>
      </c>
      <c r="R339" s="207">
        <f t="shared" si="50"/>
        <v>0</v>
      </c>
      <c r="S339" s="207">
        <f t="shared" si="51"/>
        <v>0</v>
      </c>
    </row>
    <row r="340" spans="11:19" ht="14.1" customHeight="1" x14ac:dyDescent="0.2">
      <c r="K340" s="186" t="str">
        <f t="shared" si="44"/>
        <v>PM_0</v>
      </c>
      <c r="L340" s="186">
        <f t="shared" si="45"/>
        <v>0</v>
      </c>
      <c r="M340" s="186">
        <f t="shared" si="46"/>
        <v>0</v>
      </c>
      <c r="N340" s="186">
        <f t="shared" si="47"/>
        <v>0</v>
      </c>
      <c r="P340" s="207" t="str">
        <f t="shared" si="48"/>
        <v>PM_0</v>
      </c>
      <c r="Q340" s="273">
        <f t="shared" si="49"/>
        <v>0</v>
      </c>
      <c r="R340" s="207">
        <f t="shared" si="50"/>
        <v>0</v>
      </c>
      <c r="S340" s="207">
        <f t="shared" si="51"/>
        <v>0</v>
      </c>
    </row>
    <row r="341" spans="11:19" ht="14.1" customHeight="1" x14ac:dyDescent="0.2">
      <c r="K341" s="186" t="str">
        <f t="shared" si="44"/>
        <v>PM_0</v>
      </c>
      <c r="L341" s="186">
        <f t="shared" si="45"/>
        <v>0</v>
      </c>
      <c r="M341" s="186">
        <f t="shared" si="46"/>
        <v>0</v>
      </c>
      <c r="N341" s="186">
        <f t="shared" si="47"/>
        <v>0</v>
      </c>
      <c r="P341" s="207" t="str">
        <f t="shared" si="48"/>
        <v>PM_0</v>
      </c>
      <c r="Q341" s="273">
        <f t="shared" si="49"/>
        <v>0</v>
      </c>
      <c r="R341" s="207">
        <f t="shared" si="50"/>
        <v>0</v>
      </c>
      <c r="S341" s="207">
        <f t="shared" si="51"/>
        <v>0</v>
      </c>
    </row>
    <row r="342" spans="11:19" ht="14.1" customHeight="1" x14ac:dyDescent="0.2">
      <c r="K342" s="186" t="str">
        <f t="shared" si="44"/>
        <v>PM_0</v>
      </c>
      <c r="L342" s="186">
        <f t="shared" si="45"/>
        <v>0</v>
      </c>
      <c r="M342" s="186">
        <f t="shared" si="46"/>
        <v>0</v>
      </c>
      <c r="N342" s="186">
        <f t="shared" si="47"/>
        <v>0</v>
      </c>
      <c r="P342" s="207" t="str">
        <f t="shared" si="48"/>
        <v>PM_0</v>
      </c>
      <c r="Q342" s="273">
        <f t="shared" si="49"/>
        <v>0</v>
      </c>
      <c r="R342" s="207">
        <f t="shared" si="50"/>
        <v>0</v>
      </c>
      <c r="S342" s="207">
        <f t="shared" si="51"/>
        <v>0</v>
      </c>
    </row>
    <row r="343" spans="11:19" ht="14.1" customHeight="1" x14ac:dyDescent="0.2">
      <c r="K343" s="186" t="str">
        <f t="shared" si="44"/>
        <v>PM_0</v>
      </c>
      <c r="L343" s="186">
        <f t="shared" si="45"/>
        <v>0</v>
      </c>
      <c r="M343" s="186">
        <f t="shared" si="46"/>
        <v>0</v>
      </c>
      <c r="N343" s="186">
        <f t="shared" si="47"/>
        <v>0</v>
      </c>
      <c r="P343" s="207" t="str">
        <f t="shared" si="48"/>
        <v>PM_0</v>
      </c>
      <c r="Q343" s="273">
        <f t="shared" si="49"/>
        <v>0</v>
      </c>
      <c r="R343" s="207">
        <f t="shared" si="50"/>
        <v>0</v>
      </c>
      <c r="S343" s="207">
        <f t="shared" si="51"/>
        <v>0</v>
      </c>
    </row>
    <row r="344" spans="11:19" ht="14.1" customHeight="1" x14ac:dyDescent="0.2">
      <c r="K344" s="186" t="str">
        <f t="shared" si="44"/>
        <v>PM_0</v>
      </c>
      <c r="L344" s="186">
        <f t="shared" si="45"/>
        <v>0</v>
      </c>
      <c r="M344" s="186">
        <f t="shared" si="46"/>
        <v>0</v>
      </c>
      <c r="N344" s="186">
        <f t="shared" si="47"/>
        <v>0</v>
      </c>
      <c r="P344" s="207" t="str">
        <f t="shared" si="48"/>
        <v>PM_0</v>
      </c>
      <c r="Q344" s="273">
        <f t="shared" si="49"/>
        <v>0</v>
      </c>
      <c r="R344" s="207">
        <f t="shared" si="50"/>
        <v>0</v>
      </c>
      <c r="S344" s="207">
        <f t="shared" si="51"/>
        <v>0</v>
      </c>
    </row>
    <row r="345" spans="11:19" ht="14.1" customHeight="1" x14ac:dyDescent="0.2">
      <c r="K345" s="186" t="str">
        <f t="shared" si="44"/>
        <v>PM_0</v>
      </c>
      <c r="L345" s="186">
        <f t="shared" si="45"/>
        <v>0</v>
      </c>
      <c r="M345" s="186">
        <f t="shared" si="46"/>
        <v>0</v>
      </c>
      <c r="N345" s="186">
        <f t="shared" si="47"/>
        <v>0</v>
      </c>
      <c r="P345" s="207" t="str">
        <f t="shared" si="48"/>
        <v>PM_0</v>
      </c>
      <c r="Q345" s="273">
        <f t="shared" si="49"/>
        <v>0</v>
      </c>
      <c r="R345" s="207">
        <f t="shared" si="50"/>
        <v>0</v>
      </c>
      <c r="S345" s="207">
        <f t="shared" si="51"/>
        <v>0</v>
      </c>
    </row>
    <row r="346" spans="11:19" ht="14.1" customHeight="1" x14ac:dyDescent="0.2">
      <c r="K346" s="186" t="str">
        <f t="shared" si="44"/>
        <v>PM_0</v>
      </c>
      <c r="L346" s="186">
        <f t="shared" si="45"/>
        <v>0</v>
      </c>
      <c r="M346" s="186">
        <f t="shared" si="46"/>
        <v>0</v>
      </c>
      <c r="N346" s="186">
        <f t="shared" si="47"/>
        <v>0</v>
      </c>
      <c r="P346" s="207" t="str">
        <f t="shared" si="48"/>
        <v>PM_0</v>
      </c>
      <c r="Q346" s="273">
        <f t="shared" si="49"/>
        <v>0</v>
      </c>
      <c r="R346" s="207">
        <f t="shared" si="50"/>
        <v>0</v>
      </c>
      <c r="S346" s="207">
        <f t="shared" si="51"/>
        <v>0</v>
      </c>
    </row>
    <row r="347" spans="11:19" ht="14.1" customHeight="1" x14ac:dyDescent="0.2">
      <c r="K347" s="186" t="str">
        <f t="shared" si="44"/>
        <v>PM_0</v>
      </c>
      <c r="L347" s="186">
        <f t="shared" si="45"/>
        <v>0</v>
      </c>
      <c r="M347" s="186">
        <f t="shared" si="46"/>
        <v>0</v>
      </c>
      <c r="N347" s="186">
        <f t="shared" si="47"/>
        <v>0</v>
      </c>
      <c r="P347" s="207" t="str">
        <f t="shared" si="48"/>
        <v>PM_0</v>
      </c>
      <c r="Q347" s="273">
        <f t="shared" si="49"/>
        <v>0</v>
      </c>
      <c r="R347" s="207">
        <f t="shared" si="50"/>
        <v>0</v>
      </c>
      <c r="S347" s="207">
        <f t="shared" si="51"/>
        <v>0</v>
      </c>
    </row>
    <row r="348" spans="11:19" ht="14.1" customHeight="1" x14ac:dyDescent="0.2">
      <c r="K348" s="186" t="str">
        <f t="shared" si="44"/>
        <v>PM_0</v>
      </c>
      <c r="L348" s="186">
        <f t="shared" si="45"/>
        <v>0</v>
      </c>
      <c r="M348" s="186">
        <f t="shared" si="46"/>
        <v>0</v>
      </c>
      <c r="N348" s="186">
        <f t="shared" si="47"/>
        <v>0</v>
      </c>
      <c r="P348" s="207" t="str">
        <f t="shared" si="48"/>
        <v>PM_0</v>
      </c>
      <c r="Q348" s="273">
        <f t="shared" si="49"/>
        <v>0</v>
      </c>
      <c r="R348" s="207">
        <f t="shared" si="50"/>
        <v>0</v>
      </c>
      <c r="S348" s="207">
        <f t="shared" si="51"/>
        <v>0</v>
      </c>
    </row>
    <row r="349" spans="11:19" ht="14.1" customHeight="1" x14ac:dyDescent="0.2">
      <c r="K349" s="186" t="str">
        <f t="shared" si="44"/>
        <v>PM_0</v>
      </c>
      <c r="L349" s="186">
        <f t="shared" si="45"/>
        <v>0</v>
      </c>
      <c r="M349" s="186">
        <f t="shared" si="46"/>
        <v>0</v>
      </c>
      <c r="N349" s="186">
        <f t="shared" si="47"/>
        <v>0</v>
      </c>
      <c r="P349" s="207" t="str">
        <f t="shared" si="48"/>
        <v>PM_0</v>
      </c>
      <c r="Q349" s="273">
        <f t="shared" si="49"/>
        <v>0</v>
      </c>
      <c r="R349" s="207">
        <f t="shared" si="50"/>
        <v>0</v>
      </c>
      <c r="S349" s="207">
        <f t="shared" si="51"/>
        <v>0</v>
      </c>
    </row>
    <row r="350" spans="11:19" ht="14.1" customHeight="1" x14ac:dyDescent="0.2">
      <c r="K350" s="186" t="str">
        <f t="shared" si="44"/>
        <v>PM_0</v>
      </c>
      <c r="L350" s="186">
        <f t="shared" si="45"/>
        <v>0</v>
      </c>
      <c r="M350" s="186">
        <f t="shared" si="46"/>
        <v>0</v>
      </c>
      <c r="N350" s="186">
        <f t="shared" si="47"/>
        <v>0</v>
      </c>
      <c r="P350" s="207" t="str">
        <f t="shared" si="48"/>
        <v>PM_0</v>
      </c>
      <c r="Q350" s="273">
        <f t="shared" si="49"/>
        <v>0</v>
      </c>
      <c r="R350" s="207">
        <f t="shared" si="50"/>
        <v>0</v>
      </c>
      <c r="S350" s="207">
        <f t="shared" si="51"/>
        <v>0</v>
      </c>
    </row>
    <row r="351" spans="11:19" ht="14.1" customHeight="1" x14ac:dyDescent="0.2">
      <c r="K351" s="186" t="str">
        <f t="shared" si="44"/>
        <v>PM_0</v>
      </c>
      <c r="L351" s="186">
        <f t="shared" si="45"/>
        <v>0</v>
      </c>
      <c r="M351" s="186">
        <f t="shared" si="46"/>
        <v>0</v>
      </c>
      <c r="N351" s="186">
        <f t="shared" si="47"/>
        <v>0</v>
      </c>
      <c r="P351" s="207" t="str">
        <f t="shared" si="48"/>
        <v>PM_0</v>
      </c>
      <c r="Q351" s="273">
        <f t="shared" si="49"/>
        <v>0</v>
      </c>
      <c r="R351" s="207">
        <f t="shared" si="50"/>
        <v>0</v>
      </c>
      <c r="S351" s="207">
        <f t="shared" si="51"/>
        <v>0</v>
      </c>
    </row>
    <row r="352" spans="11:19" ht="14.1" customHeight="1" x14ac:dyDescent="0.2">
      <c r="K352" s="186" t="str">
        <f t="shared" si="44"/>
        <v>PM_0</v>
      </c>
      <c r="L352" s="186">
        <f t="shared" si="45"/>
        <v>0</v>
      </c>
      <c r="M352" s="186">
        <f t="shared" si="46"/>
        <v>0</v>
      </c>
      <c r="N352" s="186">
        <f t="shared" si="47"/>
        <v>0</v>
      </c>
      <c r="P352" s="207" t="str">
        <f t="shared" si="48"/>
        <v>PM_0</v>
      </c>
      <c r="Q352" s="273">
        <f t="shared" si="49"/>
        <v>0</v>
      </c>
      <c r="R352" s="207">
        <f t="shared" si="50"/>
        <v>0</v>
      </c>
      <c r="S352" s="207">
        <f t="shared" si="51"/>
        <v>0</v>
      </c>
    </row>
    <row r="353" spans="11:19" ht="14.1" customHeight="1" x14ac:dyDescent="0.2">
      <c r="K353" s="186" t="str">
        <f t="shared" si="44"/>
        <v>PM_0</v>
      </c>
      <c r="L353" s="186">
        <f t="shared" si="45"/>
        <v>0</v>
      </c>
      <c r="M353" s="186">
        <f t="shared" si="46"/>
        <v>0</v>
      </c>
      <c r="N353" s="186">
        <f t="shared" si="47"/>
        <v>0</v>
      </c>
      <c r="P353" s="207" t="str">
        <f t="shared" si="48"/>
        <v>PM_0</v>
      </c>
      <c r="Q353" s="273">
        <f t="shared" si="49"/>
        <v>0</v>
      </c>
      <c r="R353" s="207">
        <f t="shared" si="50"/>
        <v>0</v>
      </c>
      <c r="S353" s="207">
        <f t="shared" si="51"/>
        <v>0</v>
      </c>
    </row>
    <row r="354" spans="11:19" ht="14.1" customHeight="1" x14ac:dyDescent="0.2">
      <c r="K354" s="186" t="str">
        <f t="shared" si="44"/>
        <v>PM_0</v>
      </c>
      <c r="L354" s="186">
        <f t="shared" si="45"/>
        <v>0</v>
      </c>
      <c r="M354" s="186">
        <f t="shared" si="46"/>
        <v>0</v>
      </c>
      <c r="N354" s="186">
        <f t="shared" si="47"/>
        <v>0</v>
      </c>
      <c r="P354" s="207" t="str">
        <f t="shared" si="48"/>
        <v>PM_0</v>
      </c>
      <c r="Q354" s="273">
        <f t="shared" si="49"/>
        <v>0</v>
      </c>
      <c r="R354" s="207">
        <f t="shared" si="50"/>
        <v>0</v>
      </c>
      <c r="S354" s="207">
        <f t="shared" si="51"/>
        <v>0</v>
      </c>
    </row>
    <row r="355" spans="11:19" ht="14.1" customHeight="1" x14ac:dyDescent="0.2">
      <c r="K355" s="186" t="str">
        <f t="shared" si="44"/>
        <v>PM_0</v>
      </c>
      <c r="L355" s="186">
        <f t="shared" si="45"/>
        <v>0</v>
      </c>
      <c r="M355" s="186">
        <f t="shared" si="46"/>
        <v>0</v>
      </c>
      <c r="N355" s="186">
        <f t="shared" si="47"/>
        <v>0</v>
      </c>
      <c r="P355" s="207" t="str">
        <f t="shared" si="48"/>
        <v>PM_0</v>
      </c>
      <c r="Q355" s="273">
        <f t="shared" si="49"/>
        <v>0</v>
      </c>
      <c r="R355" s="207">
        <f t="shared" si="50"/>
        <v>0</v>
      </c>
      <c r="S355" s="207">
        <f t="shared" si="51"/>
        <v>0</v>
      </c>
    </row>
    <row r="356" spans="11:19" ht="14.1" customHeight="1" x14ac:dyDescent="0.2">
      <c r="K356" s="186" t="str">
        <f t="shared" si="44"/>
        <v>PM_0</v>
      </c>
      <c r="L356" s="186">
        <f t="shared" si="45"/>
        <v>0</v>
      </c>
      <c r="M356" s="186">
        <f t="shared" si="46"/>
        <v>0</v>
      </c>
      <c r="N356" s="186">
        <f t="shared" si="47"/>
        <v>0</v>
      </c>
      <c r="P356" s="207" t="str">
        <f t="shared" si="48"/>
        <v>PM_0</v>
      </c>
      <c r="Q356" s="273">
        <f t="shared" si="49"/>
        <v>0</v>
      </c>
      <c r="R356" s="207">
        <f t="shared" si="50"/>
        <v>0</v>
      </c>
      <c r="S356" s="207">
        <f t="shared" si="51"/>
        <v>0</v>
      </c>
    </row>
    <row r="357" spans="11:19" ht="14.1" customHeight="1" x14ac:dyDescent="0.2">
      <c r="K357" s="186" t="str">
        <f t="shared" si="44"/>
        <v>PM_0</v>
      </c>
      <c r="L357" s="186">
        <f t="shared" si="45"/>
        <v>0</v>
      </c>
      <c r="M357" s="186">
        <f t="shared" si="46"/>
        <v>0</v>
      </c>
      <c r="N357" s="186">
        <f t="shared" si="47"/>
        <v>0</v>
      </c>
      <c r="P357" s="207" t="str">
        <f t="shared" si="48"/>
        <v>PM_0</v>
      </c>
      <c r="Q357" s="273">
        <f t="shared" si="49"/>
        <v>0</v>
      </c>
      <c r="R357" s="207">
        <f t="shared" si="50"/>
        <v>0</v>
      </c>
      <c r="S357" s="207">
        <f t="shared" si="51"/>
        <v>0</v>
      </c>
    </row>
    <row r="358" spans="11:19" ht="14.1" customHeight="1" x14ac:dyDescent="0.2">
      <c r="K358" s="186" t="str">
        <f t="shared" si="44"/>
        <v>PM_0</v>
      </c>
      <c r="L358" s="186">
        <f t="shared" si="45"/>
        <v>0</v>
      </c>
      <c r="M358" s="186">
        <f t="shared" si="46"/>
        <v>0</v>
      </c>
      <c r="N358" s="186">
        <f t="shared" si="47"/>
        <v>0</v>
      </c>
      <c r="P358" s="207" t="str">
        <f t="shared" si="48"/>
        <v>PM_0</v>
      </c>
      <c r="Q358" s="273">
        <f t="shared" si="49"/>
        <v>0</v>
      </c>
      <c r="R358" s="207">
        <f t="shared" si="50"/>
        <v>0</v>
      </c>
      <c r="S358" s="207">
        <f t="shared" si="51"/>
        <v>0</v>
      </c>
    </row>
    <row r="359" spans="11:19" ht="14.1" customHeight="1" x14ac:dyDescent="0.2">
      <c r="K359" s="186" t="str">
        <f t="shared" si="44"/>
        <v>PM_0</v>
      </c>
      <c r="L359" s="186">
        <f t="shared" si="45"/>
        <v>0</v>
      </c>
      <c r="M359" s="186">
        <f t="shared" si="46"/>
        <v>0</v>
      </c>
      <c r="N359" s="186">
        <f t="shared" si="47"/>
        <v>0</v>
      </c>
      <c r="P359" s="207" t="str">
        <f t="shared" si="48"/>
        <v>PM_0</v>
      </c>
      <c r="Q359" s="273">
        <f t="shared" si="49"/>
        <v>0</v>
      </c>
      <c r="R359" s="207">
        <f t="shared" si="50"/>
        <v>0</v>
      </c>
      <c r="S359" s="207">
        <f t="shared" si="51"/>
        <v>0</v>
      </c>
    </row>
    <row r="360" spans="11:19" ht="14.1" customHeight="1" x14ac:dyDescent="0.2">
      <c r="K360" s="186" t="str">
        <f t="shared" si="44"/>
        <v>PM_0</v>
      </c>
      <c r="L360" s="186">
        <f t="shared" si="45"/>
        <v>0</v>
      </c>
      <c r="M360" s="186">
        <f t="shared" si="46"/>
        <v>0</v>
      </c>
      <c r="N360" s="186">
        <f t="shared" si="47"/>
        <v>0</v>
      </c>
      <c r="P360" s="207" t="str">
        <f t="shared" si="48"/>
        <v>PM_0</v>
      </c>
      <c r="Q360" s="273">
        <f t="shared" si="49"/>
        <v>0</v>
      </c>
      <c r="R360" s="207">
        <f t="shared" si="50"/>
        <v>0</v>
      </c>
      <c r="S360" s="207">
        <f t="shared" si="51"/>
        <v>0</v>
      </c>
    </row>
    <row r="361" spans="11:19" ht="14.1" customHeight="1" x14ac:dyDescent="0.2">
      <c r="K361" s="186" t="str">
        <f t="shared" si="44"/>
        <v>PM_0</v>
      </c>
      <c r="L361" s="186">
        <f t="shared" si="45"/>
        <v>0</v>
      </c>
      <c r="M361" s="186">
        <f t="shared" si="46"/>
        <v>0</v>
      </c>
      <c r="N361" s="186">
        <f t="shared" si="47"/>
        <v>0</v>
      </c>
      <c r="P361" s="207" t="str">
        <f t="shared" si="48"/>
        <v>PM_0</v>
      </c>
      <c r="Q361" s="273">
        <f t="shared" si="49"/>
        <v>0</v>
      </c>
      <c r="R361" s="207">
        <f t="shared" si="50"/>
        <v>0</v>
      </c>
      <c r="S361" s="207">
        <f t="shared" si="51"/>
        <v>0</v>
      </c>
    </row>
    <row r="362" spans="11:19" ht="14.1" customHeight="1" x14ac:dyDescent="0.2">
      <c r="K362" s="186" t="str">
        <f t="shared" si="44"/>
        <v>PM_0</v>
      </c>
      <c r="L362" s="186">
        <f t="shared" si="45"/>
        <v>0</v>
      </c>
      <c r="M362" s="186">
        <f t="shared" si="46"/>
        <v>0</v>
      </c>
      <c r="N362" s="186">
        <f t="shared" si="47"/>
        <v>0</v>
      </c>
      <c r="P362" s="207" t="str">
        <f t="shared" si="48"/>
        <v>PM_0</v>
      </c>
      <c r="Q362" s="273">
        <f t="shared" si="49"/>
        <v>0</v>
      </c>
      <c r="R362" s="207">
        <f t="shared" si="50"/>
        <v>0</v>
      </c>
      <c r="S362" s="207">
        <f t="shared" si="51"/>
        <v>0</v>
      </c>
    </row>
    <row r="363" spans="11:19" ht="14.1" customHeight="1" x14ac:dyDescent="0.2">
      <c r="K363" s="186" t="str">
        <f t="shared" si="44"/>
        <v>PM_0</v>
      </c>
      <c r="L363" s="186">
        <f t="shared" si="45"/>
        <v>0</v>
      </c>
      <c r="M363" s="186">
        <f t="shared" si="46"/>
        <v>0</v>
      </c>
      <c r="N363" s="186">
        <f t="shared" si="47"/>
        <v>0</v>
      </c>
      <c r="P363" s="207" t="str">
        <f t="shared" si="48"/>
        <v>PM_0</v>
      </c>
      <c r="Q363" s="273">
        <f t="shared" si="49"/>
        <v>0</v>
      </c>
      <c r="R363" s="207">
        <f t="shared" si="50"/>
        <v>0</v>
      </c>
      <c r="S363" s="207">
        <f t="shared" si="51"/>
        <v>0</v>
      </c>
    </row>
    <row r="364" spans="11:19" ht="14.1" customHeight="1" x14ac:dyDescent="0.2">
      <c r="K364" s="186" t="str">
        <f t="shared" si="44"/>
        <v>PM_0</v>
      </c>
      <c r="L364" s="186">
        <f t="shared" si="45"/>
        <v>0</v>
      </c>
      <c r="M364" s="186">
        <f t="shared" si="46"/>
        <v>0</v>
      </c>
      <c r="N364" s="186">
        <f t="shared" si="47"/>
        <v>0</v>
      </c>
      <c r="P364" s="207" t="str">
        <f t="shared" si="48"/>
        <v>PM_0</v>
      </c>
      <c r="Q364" s="273">
        <f t="shared" si="49"/>
        <v>0</v>
      </c>
      <c r="R364" s="207">
        <f t="shared" si="50"/>
        <v>0</v>
      </c>
      <c r="S364" s="207">
        <f t="shared" si="51"/>
        <v>0</v>
      </c>
    </row>
    <row r="365" spans="11:19" ht="14.1" customHeight="1" x14ac:dyDescent="0.2">
      <c r="K365" s="186" t="str">
        <f t="shared" si="44"/>
        <v>PM_0</v>
      </c>
      <c r="L365" s="186">
        <f t="shared" si="45"/>
        <v>0</v>
      </c>
      <c r="M365" s="186">
        <f t="shared" si="46"/>
        <v>0</v>
      </c>
      <c r="N365" s="186">
        <f t="shared" si="47"/>
        <v>0</v>
      </c>
      <c r="P365" s="207" t="str">
        <f t="shared" si="48"/>
        <v>PM_0</v>
      </c>
      <c r="Q365" s="273">
        <f t="shared" si="49"/>
        <v>0</v>
      </c>
      <c r="R365" s="207">
        <f t="shared" si="50"/>
        <v>0</v>
      </c>
      <c r="S365" s="207">
        <f t="shared" si="51"/>
        <v>0</v>
      </c>
    </row>
    <row r="366" spans="11:19" ht="14.1" customHeight="1" x14ac:dyDescent="0.2">
      <c r="K366" s="186" t="str">
        <f t="shared" si="44"/>
        <v>PM_0</v>
      </c>
      <c r="L366" s="186">
        <f t="shared" si="45"/>
        <v>0</v>
      </c>
      <c r="M366" s="186">
        <f t="shared" si="46"/>
        <v>0</v>
      </c>
      <c r="N366" s="186">
        <f t="shared" si="47"/>
        <v>0</v>
      </c>
      <c r="P366" s="207" t="str">
        <f t="shared" si="48"/>
        <v>PM_0</v>
      </c>
      <c r="Q366" s="273">
        <f t="shared" si="49"/>
        <v>0</v>
      </c>
      <c r="R366" s="207">
        <f t="shared" si="50"/>
        <v>0</v>
      </c>
      <c r="S366" s="207">
        <f t="shared" si="51"/>
        <v>0</v>
      </c>
    </row>
    <row r="367" spans="11:19" ht="14.1" customHeight="1" x14ac:dyDescent="0.2">
      <c r="K367" s="186" t="str">
        <f t="shared" si="44"/>
        <v>PM_0</v>
      </c>
      <c r="L367" s="186">
        <f t="shared" si="45"/>
        <v>0</v>
      </c>
      <c r="M367" s="186">
        <f t="shared" si="46"/>
        <v>0</v>
      </c>
      <c r="N367" s="186">
        <f t="shared" si="47"/>
        <v>0</v>
      </c>
      <c r="P367" s="207" t="str">
        <f t="shared" si="48"/>
        <v>PM_0</v>
      </c>
      <c r="Q367" s="273">
        <f t="shared" si="49"/>
        <v>0</v>
      </c>
      <c r="R367" s="207">
        <f t="shared" si="50"/>
        <v>0</v>
      </c>
      <c r="S367" s="207">
        <f t="shared" si="51"/>
        <v>0</v>
      </c>
    </row>
    <row r="368" spans="11:19" ht="14.1" customHeight="1" x14ac:dyDescent="0.2">
      <c r="K368" s="186" t="str">
        <f t="shared" si="44"/>
        <v>PM_0</v>
      </c>
      <c r="L368" s="186">
        <f t="shared" si="45"/>
        <v>0</v>
      </c>
      <c r="M368" s="186">
        <f t="shared" si="46"/>
        <v>0</v>
      </c>
      <c r="N368" s="186">
        <f t="shared" si="47"/>
        <v>0</v>
      </c>
      <c r="P368" s="207" t="str">
        <f t="shared" si="48"/>
        <v>PM_0</v>
      </c>
      <c r="Q368" s="273">
        <f t="shared" si="49"/>
        <v>0</v>
      </c>
      <c r="R368" s="207">
        <f t="shared" si="50"/>
        <v>0</v>
      </c>
      <c r="S368" s="207">
        <f t="shared" si="51"/>
        <v>0</v>
      </c>
    </row>
    <row r="369" spans="11:19" ht="14.1" customHeight="1" x14ac:dyDescent="0.2">
      <c r="K369" s="186" t="str">
        <f t="shared" si="44"/>
        <v>PM_0</v>
      </c>
      <c r="L369" s="186">
        <f t="shared" si="45"/>
        <v>0</v>
      </c>
      <c r="M369" s="186">
        <f t="shared" si="46"/>
        <v>0</v>
      </c>
      <c r="N369" s="186">
        <f t="shared" si="47"/>
        <v>0</v>
      </c>
      <c r="P369" s="207" t="str">
        <f t="shared" si="48"/>
        <v>PM_0</v>
      </c>
      <c r="Q369" s="273">
        <f t="shared" si="49"/>
        <v>0</v>
      </c>
      <c r="R369" s="207">
        <f t="shared" si="50"/>
        <v>0</v>
      </c>
      <c r="S369" s="207">
        <f t="shared" si="51"/>
        <v>0</v>
      </c>
    </row>
    <row r="370" spans="11:19" ht="14.1" customHeight="1" x14ac:dyDescent="0.2">
      <c r="K370" s="186" t="str">
        <f t="shared" si="44"/>
        <v>PM_0</v>
      </c>
      <c r="L370" s="186">
        <f t="shared" si="45"/>
        <v>0</v>
      </c>
      <c r="M370" s="186">
        <f t="shared" si="46"/>
        <v>0</v>
      </c>
      <c r="N370" s="186">
        <f t="shared" si="47"/>
        <v>0</v>
      </c>
      <c r="P370" s="207" t="str">
        <f t="shared" si="48"/>
        <v>PM_0</v>
      </c>
      <c r="Q370" s="273">
        <f t="shared" si="49"/>
        <v>0</v>
      </c>
      <c r="R370" s="207">
        <f t="shared" si="50"/>
        <v>0</v>
      </c>
      <c r="S370" s="207">
        <f t="shared" si="51"/>
        <v>0</v>
      </c>
    </row>
    <row r="371" spans="11:19" ht="14.1" customHeight="1" x14ac:dyDescent="0.2">
      <c r="K371" s="186" t="str">
        <f t="shared" si="44"/>
        <v>PM_0</v>
      </c>
      <c r="L371" s="186">
        <f t="shared" si="45"/>
        <v>0</v>
      </c>
      <c r="M371" s="186">
        <f t="shared" si="46"/>
        <v>0</v>
      </c>
      <c r="N371" s="186">
        <f t="shared" si="47"/>
        <v>0</v>
      </c>
      <c r="P371" s="207" t="str">
        <f t="shared" si="48"/>
        <v>PM_0</v>
      </c>
      <c r="Q371" s="273">
        <f t="shared" si="49"/>
        <v>0</v>
      </c>
      <c r="R371" s="207">
        <f t="shared" si="50"/>
        <v>0</v>
      </c>
      <c r="S371" s="207">
        <f t="shared" si="51"/>
        <v>0</v>
      </c>
    </row>
    <row r="372" spans="11:19" ht="14.1" customHeight="1" x14ac:dyDescent="0.2">
      <c r="K372" s="186" t="str">
        <f t="shared" si="44"/>
        <v>PM_0</v>
      </c>
      <c r="L372" s="186">
        <f t="shared" si="45"/>
        <v>0</v>
      </c>
      <c r="M372" s="186">
        <f t="shared" si="46"/>
        <v>0</v>
      </c>
      <c r="N372" s="186">
        <f t="shared" si="47"/>
        <v>0</v>
      </c>
      <c r="P372" s="207" t="str">
        <f t="shared" si="48"/>
        <v>PM_0</v>
      </c>
      <c r="Q372" s="273">
        <f t="shared" si="49"/>
        <v>0</v>
      </c>
      <c r="R372" s="207">
        <f t="shared" si="50"/>
        <v>0</v>
      </c>
      <c r="S372" s="207">
        <f t="shared" si="51"/>
        <v>0</v>
      </c>
    </row>
    <row r="373" spans="11:19" ht="14.1" customHeight="1" x14ac:dyDescent="0.2">
      <c r="K373" s="186" t="str">
        <f t="shared" si="44"/>
        <v>PM_0</v>
      </c>
      <c r="L373" s="186">
        <f t="shared" si="45"/>
        <v>0</v>
      </c>
      <c r="M373" s="186">
        <f t="shared" si="46"/>
        <v>0</v>
      </c>
      <c r="N373" s="186">
        <f t="shared" si="47"/>
        <v>0</v>
      </c>
      <c r="P373" s="207" t="str">
        <f t="shared" si="48"/>
        <v>PM_0</v>
      </c>
      <c r="Q373" s="273">
        <f t="shared" si="49"/>
        <v>0</v>
      </c>
      <c r="R373" s="207">
        <f t="shared" si="50"/>
        <v>0</v>
      </c>
      <c r="S373" s="207">
        <f t="shared" si="51"/>
        <v>0</v>
      </c>
    </row>
    <row r="374" spans="11:19" ht="14.1" customHeight="1" x14ac:dyDescent="0.2">
      <c r="K374" s="186" t="str">
        <f t="shared" si="44"/>
        <v>PM_0</v>
      </c>
      <c r="L374" s="186">
        <f t="shared" si="45"/>
        <v>0</v>
      </c>
      <c r="M374" s="186">
        <f t="shared" si="46"/>
        <v>0</v>
      </c>
      <c r="N374" s="186">
        <f t="shared" si="47"/>
        <v>0</v>
      </c>
      <c r="P374" s="207" t="str">
        <f t="shared" si="48"/>
        <v>PM_0</v>
      </c>
      <c r="Q374" s="273">
        <f t="shared" si="49"/>
        <v>0</v>
      </c>
      <c r="R374" s="207">
        <f t="shared" si="50"/>
        <v>0</v>
      </c>
      <c r="S374" s="207">
        <f t="shared" si="51"/>
        <v>0</v>
      </c>
    </row>
    <row r="375" spans="11:19" ht="14.1" customHeight="1" x14ac:dyDescent="0.2">
      <c r="K375" s="186" t="str">
        <f t="shared" si="44"/>
        <v>PM_0</v>
      </c>
      <c r="L375" s="186">
        <f t="shared" si="45"/>
        <v>0</v>
      </c>
      <c r="M375" s="186">
        <f t="shared" si="46"/>
        <v>0</v>
      </c>
      <c r="N375" s="186">
        <f t="shared" si="47"/>
        <v>0</v>
      </c>
      <c r="P375" s="207" t="str">
        <f t="shared" si="48"/>
        <v>PM_0</v>
      </c>
      <c r="Q375" s="273">
        <f t="shared" si="49"/>
        <v>0</v>
      </c>
      <c r="R375" s="207">
        <f t="shared" si="50"/>
        <v>0</v>
      </c>
      <c r="S375" s="207">
        <f t="shared" si="51"/>
        <v>0</v>
      </c>
    </row>
    <row r="376" spans="11:19" ht="14.1" customHeight="1" x14ac:dyDescent="0.2">
      <c r="K376" s="186" t="str">
        <f t="shared" si="44"/>
        <v>PM_0</v>
      </c>
      <c r="L376" s="186">
        <f t="shared" si="45"/>
        <v>0</v>
      </c>
      <c r="M376" s="186">
        <f t="shared" si="46"/>
        <v>0</v>
      </c>
      <c r="N376" s="186">
        <f t="shared" si="47"/>
        <v>0</v>
      </c>
      <c r="P376" s="207" t="str">
        <f t="shared" si="48"/>
        <v>PM_0</v>
      </c>
      <c r="Q376" s="273">
        <f t="shared" si="49"/>
        <v>0</v>
      </c>
      <c r="R376" s="207">
        <f t="shared" si="50"/>
        <v>0</v>
      </c>
      <c r="S376" s="207">
        <f t="shared" si="51"/>
        <v>0</v>
      </c>
    </row>
    <row r="377" spans="11:19" ht="14.1" customHeight="1" x14ac:dyDescent="0.2">
      <c r="K377" s="186" t="str">
        <f t="shared" si="44"/>
        <v>PM_0</v>
      </c>
      <c r="L377" s="186">
        <f t="shared" si="45"/>
        <v>0</v>
      </c>
      <c r="M377" s="186">
        <f t="shared" si="46"/>
        <v>0</v>
      </c>
      <c r="N377" s="186">
        <f t="shared" si="47"/>
        <v>0</v>
      </c>
      <c r="P377" s="207" t="str">
        <f t="shared" si="48"/>
        <v>PM_0</v>
      </c>
      <c r="Q377" s="273">
        <f t="shared" si="49"/>
        <v>0</v>
      </c>
      <c r="R377" s="207">
        <f t="shared" si="50"/>
        <v>0</v>
      </c>
      <c r="S377" s="207">
        <f t="shared" si="51"/>
        <v>0</v>
      </c>
    </row>
    <row r="378" spans="11:19" ht="14.1" customHeight="1" x14ac:dyDescent="0.2">
      <c r="K378" s="186" t="str">
        <f t="shared" si="44"/>
        <v>PM_0</v>
      </c>
      <c r="L378" s="186">
        <f t="shared" si="45"/>
        <v>0</v>
      </c>
      <c r="M378" s="186">
        <f t="shared" si="46"/>
        <v>0</v>
      </c>
      <c r="N378" s="186">
        <f t="shared" si="47"/>
        <v>0</v>
      </c>
      <c r="P378" s="207" t="str">
        <f t="shared" si="48"/>
        <v>PM_0</v>
      </c>
      <c r="Q378" s="273">
        <f t="shared" si="49"/>
        <v>0</v>
      </c>
      <c r="R378" s="207">
        <f t="shared" si="50"/>
        <v>0</v>
      </c>
      <c r="S378" s="207">
        <f t="shared" si="51"/>
        <v>0</v>
      </c>
    </row>
    <row r="379" spans="11:19" ht="14.1" customHeight="1" x14ac:dyDescent="0.2">
      <c r="K379" s="186" t="str">
        <f t="shared" si="44"/>
        <v>PM_0</v>
      </c>
      <c r="L379" s="186">
        <f t="shared" si="45"/>
        <v>0</v>
      </c>
      <c r="M379" s="186">
        <f t="shared" si="46"/>
        <v>0</v>
      </c>
      <c r="N379" s="186">
        <f t="shared" si="47"/>
        <v>0</v>
      </c>
      <c r="P379" s="207" t="str">
        <f t="shared" si="48"/>
        <v>PM_0</v>
      </c>
      <c r="Q379" s="273">
        <f t="shared" si="49"/>
        <v>0</v>
      </c>
      <c r="R379" s="207">
        <f t="shared" si="50"/>
        <v>0</v>
      </c>
      <c r="S379" s="207">
        <f t="shared" si="51"/>
        <v>0</v>
      </c>
    </row>
    <row r="380" spans="11:19" ht="14.1" customHeight="1" x14ac:dyDescent="0.2">
      <c r="K380" s="186" t="str">
        <f t="shared" si="44"/>
        <v>PM_0</v>
      </c>
      <c r="L380" s="186">
        <f t="shared" si="45"/>
        <v>0</v>
      </c>
      <c r="M380" s="186">
        <f t="shared" si="46"/>
        <v>0</v>
      </c>
      <c r="N380" s="186">
        <f t="shared" si="47"/>
        <v>0</v>
      </c>
      <c r="P380" s="207" t="str">
        <f t="shared" si="48"/>
        <v>PM_0</v>
      </c>
      <c r="Q380" s="273">
        <f t="shared" si="49"/>
        <v>0</v>
      </c>
      <c r="R380" s="207">
        <f t="shared" si="50"/>
        <v>0</v>
      </c>
      <c r="S380" s="207">
        <f t="shared" si="51"/>
        <v>0</v>
      </c>
    </row>
    <row r="381" spans="11:19" ht="14.1" customHeight="1" x14ac:dyDescent="0.2">
      <c r="K381" s="186" t="str">
        <f t="shared" si="44"/>
        <v>PM_0</v>
      </c>
      <c r="L381" s="186">
        <f t="shared" si="45"/>
        <v>0</v>
      </c>
      <c r="M381" s="186">
        <f t="shared" si="46"/>
        <v>0</v>
      </c>
      <c r="N381" s="186">
        <f t="shared" si="47"/>
        <v>0</v>
      </c>
      <c r="P381" s="207" t="str">
        <f t="shared" si="48"/>
        <v>PM_0</v>
      </c>
      <c r="Q381" s="273">
        <f t="shared" si="49"/>
        <v>0</v>
      </c>
      <c r="R381" s="207">
        <f t="shared" si="50"/>
        <v>0</v>
      </c>
      <c r="S381" s="207">
        <f t="shared" si="51"/>
        <v>0</v>
      </c>
    </row>
    <row r="382" spans="11:19" ht="14.1" customHeight="1" x14ac:dyDescent="0.2">
      <c r="K382" s="186" t="str">
        <f t="shared" si="44"/>
        <v>PM_0</v>
      </c>
      <c r="L382" s="186">
        <f t="shared" si="45"/>
        <v>0</v>
      </c>
      <c r="M382" s="186">
        <f t="shared" si="46"/>
        <v>0</v>
      </c>
      <c r="N382" s="186">
        <f t="shared" si="47"/>
        <v>0</v>
      </c>
      <c r="P382" s="207" t="str">
        <f t="shared" si="48"/>
        <v>PM_0</v>
      </c>
      <c r="Q382" s="273">
        <f t="shared" si="49"/>
        <v>0</v>
      </c>
      <c r="R382" s="207">
        <f t="shared" si="50"/>
        <v>0</v>
      </c>
      <c r="S382" s="207">
        <f t="shared" si="51"/>
        <v>0</v>
      </c>
    </row>
    <row r="383" spans="11:19" ht="14.1" customHeight="1" x14ac:dyDescent="0.2">
      <c r="K383" s="186" t="str">
        <f t="shared" si="44"/>
        <v>PM_0</v>
      </c>
      <c r="L383" s="186">
        <f t="shared" si="45"/>
        <v>0</v>
      </c>
      <c r="M383" s="186">
        <f t="shared" si="46"/>
        <v>0</v>
      </c>
      <c r="N383" s="186">
        <f t="shared" si="47"/>
        <v>0</v>
      </c>
      <c r="P383" s="207" t="str">
        <f t="shared" si="48"/>
        <v>PM_0</v>
      </c>
      <c r="Q383" s="273">
        <f t="shared" si="49"/>
        <v>0</v>
      </c>
      <c r="R383" s="207">
        <f t="shared" si="50"/>
        <v>0</v>
      </c>
      <c r="S383" s="207">
        <f t="shared" si="51"/>
        <v>0</v>
      </c>
    </row>
    <row r="384" spans="11:19" ht="14.1" customHeight="1" x14ac:dyDescent="0.2">
      <c r="K384" s="186" t="str">
        <f t="shared" si="44"/>
        <v>PM_0</v>
      </c>
      <c r="L384" s="186">
        <f t="shared" si="45"/>
        <v>0</v>
      </c>
      <c r="M384" s="186">
        <f t="shared" si="46"/>
        <v>0</v>
      </c>
      <c r="N384" s="186">
        <f t="shared" si="47"/>
        <v>0</v>
      </c>
      <c r="P384" s="207" t="str">
        <f t="shared" si="48"/>
        <v>PM_0</v>
      </c>
      <c r="Q384" s="273">
        <f t="shared" si="49"/>
        <v>0</v>
      </c>
      <c r="R384" s="207">
        <f t="shared" si="50"/>
        <v>0</v>
      </c>
      <c r="S384" s="207">
        <f t="shared" si="51"/>
        <v>0</v>
      </c>
    </row>
    <row r="385" spans="11:19" ht="14.1" customHeight="1" x14ac:dyDescent="0.2">
      <c r="K385" s="186" t="str">
        <f t="shared" si="44"/>
        <v>PM_0</v>
      </c>
      <c r="L385" s="186">
        <f t="shared" si="45"/>
        <v>0</v>
      </c>
      <c r="M385" s="186">
        <f t="shared" si="46"/>
        <v>0</v>
      </c>
      <c r="N385" s="186">
        <f t="shared" si="47"/>
        <v>0</v>
      </c>
      <c r="P385" s="207" t="str">
        <f t="shared" si="48"/>
        <v>PM_0</v>
      </c>
      <c r="Q385" s="273">
        <f t="shared" si="49"/>
        <v>0</v>
      </c>
      <c r="R385" s="207">
        <f t="shared" si="50"/>
        <v>0</v>
      </c>
      <c r="S385" s="207">
        <f t="shared" si="51"/>
        <v>0</v>
      </c>
    </row>
    <row r="386" spans="11:19" ht="14.1" customHeight="1" x14ac:dyDescent="0.2">
      <c r="K386" s="186" t="str">
        <f t="shared" si="44"/>
        <v>PM_0</v>
      </c>
      <c r="L386" s="186">
        <f t="shared" si="45"/>
        <v>0</v>
      </c>
      <c r="M386" s="186">
        <f t="shared" si="46"/>
        <v>0</v>
      </c>
      <c r="N386" s="186">
        <f t="shared" si="47"/>
        <v>0</v>
      </c>
      <c r="P386" s="207" t="str">
        <f t="shared" si="48"/>
        <v>PM_0</v>
      </c>
      <c r="Q386" s="273">
        <f t="shared" si="49"/>
        <v>0</v>
      </c>
      <c r="R386" s="207">
        <f t="shared" si="50"/>
        <v>0</v>
      </c>
      <c r="S386" s="207">
        <f t="shared" si="51"/>
        <v>0</v>
      </c>
    </row>
    <row r="387" spans="11:19" ht="14.1" customHeight="1" x14ac:dyDescent="0.2">
      <c r="K387" s="186" t="str">
        <f t="shared" si="44"/>
        <v>PM_0</v>
      </c>
      <c r="L387" s="186">
        <f t="shared" si="45"/>
        <v>0</v>
      </c>
      <c r="M387" s="186">
        <f t="shared" si="46"/>
        <v>0</v>
      </c>
      <c r="N387" s="186">
        <f t="shared" si="47"/>
        <v>0</v>
      </c>
      <c r="P387" s="207" t="str">
        <f t="shared" si="48"/>
        <v>PM_0</v>
      </c>
      <c r="Q387" s="273">
        <f t="shared" si="49"/>
        <v>0</v>
      </c>
      <c r="R387" s="207">
        <f t="shared" si="50"/>
        <v>0</v>
      </c>
      <c r="S387" s="207">
        <f t="shared" si="51"/>
        <v>0</v>
      </c>
    </row>
    <row r="388" spans="11:19" ht="14.1" customHeight="1" x14ac:dyDescent="0.2">
      <c r="K388" s="186" t="str">
        <f t="shared" si="44"/>
        <v>PM_0</v>
      </c>
      <c r="L388" s="186">
        <f t="shared" si="45"/>
        <v>0</v>
      </c>
      <c r="M388" s="186">
        <f t="shared" si="46"/>
        <v>0</v>
      </c>
      <c r="N388" s="186">
        <f t="shared" si="47"/>
        <v>0</v>
      </c>
      <c r="P388" s="207" t="str">
        <f t="shared" si="48"/>
        <v>PM_0</v>
      </c>
      <c r="Q388" s="273">
        <f t="shared" si="49"/>
        <v>0</v>
      </c>
      <c r="R388" s="207">
        <f t="shared" si="50"/>
        <v>0</v>
      </c>
      <c r="S388" s="207">
        <f t="shared" si="51"/>
        <v>0</v>
      </c>
    </row>
    <row r="389" spans="11:19" ht="14.1" customHeight="1" x14ac:dyDescent="0.2">
      <c r="K389" s="186" t="str">
        <f t="shared" si="44"/>
        <v>PM_0</v>
      </c>
      <c r="L389" s="186">
        <f t="shared" si="45"/>
        <v>0</v>
      </c>
      <c r="M389" s="186">
        <f t="shared" si="46"/>
        <v>0</v>
      </c>
      <c r="N389" s="186">
        <f t="shared" si="47"/>
        <v>0</v>
      </c>
      <c r="P389" s="207" t="str">
        <f t="shared" si="48"/>
        <v>PM_0</v>
      </c>
      <c r="Q389" s="273">
        <f t="shared" si="49"/>
        <v>0</v>
      </c>
      <c r="R389" s="207">
        <f t="shared" si="50"/>
        <v>0</v>
      </c>
      <c r="S389" s="207">
        <f t="shared" si="51"/>
        <v>0</v>
      </c>
    </row>
    <row r="390" spans="11:19" ht="14.1" customHeight="1" x14ac:dyDescent="0.2">
      <c r="K390" s="186" t="str">
        <f t="shared" si="44"/>
        <v>PM_0</v>
      </c>
      <c r="L390" s="186">
        <f t="shared" si="45"/>
        <v>0</v>
      </c>
      <c r="M390" s="186">
        <f t="shared" si="46"/>
        <v>0</v>
      </c>
      <c r="N390" s="186">
        <f t="shared" si="47"/>
        <v>0</v>
      </c>
      <c r="P390" s="207" t="str">
        <f t="shared" si="48"/>
        <v>PM_0</v>
      </c>
      <c r="Q390" s="273">
        <f t="shared" si="49"/>
        <v>0</v>
      </c>
      <c r="R390" s="207">
        <f t="shared" si="50"/>
        <v>0</v>
      </c>
      <c r="S390" s="207">
        <f t="shared" si="51"/>
        <v>0</v>
      </c>
    </row>
    <row r="391" spans="11:19" ht="14.1" customHeight="1" x14ac:dyDescent="0.2">
      <c r="K391" s="186" t="str">
        <f t="shared" si="44"/>
        <v>PM_0</v>
      </c>
      <c r="L391" s="186">
        <f t="shared" si="45"/>
        <v>0</v>
      </c>
      <c r="M391" s="186">
        <f t="shared" si="46"/>
        <v>0</v>
      </c>
      <c r="N391" s="186">
        <f t="shared" si="47"/>
        <v>0</v>
      </c>
      <c r="P391" s="207" t="str">
        <f t="shared" si="48"/>
        <v>PM_0</v>
      </c>
      <c r="Q391" s="273">
        <f t="shared" si="49"/>
        <v>0</v>
      </c>
      <c r="R391" s="207">
        <f t="shared" si="50"/>
        <v>0</v>
      </c>
      <c r="S391" s="207">
        <f t="shared" si="51"/>
        <v>0</v>
      </c>
    </row>
    <row r="392" spans="11:19" ht="14.1" customHeight="1" x14ac:dyDescent="0.2">
      <c r="K392" s="186" t="str">
        <f t="shared" si="44"/>
        <v>PM_0</v>
      </c>
      <c r="L392" s="186">
        <f t="shared" si="45"/>
        <v>0</v>
      </c>
      <c r="M392" s="186">
        <f t="shared" si="46"/>
        <v>0</v>
      </c>
      <c r="N392" s="186">
        <f t="shared" si="47"/>
        <v>0</v>
      </c>
      <c r="P392" s="207" t="str">
        <f t="shared" si="48"/>
        <v>PM_0</v>
      </c>
      <c r="Q392" s="273">
        <f t="shared" si="49"/>
        <v>0</v>
      </c>
      <c r="R392" s="207">
        <f t="shared" si="50"/>
        <v>0</v>
      </c>
      <c r="S392" s="207">
        <f t="shared" si="51"/>
        <v>0</v>
      </c>
    </row>
    <row r="393" spans="11:19" ht="14.1" customHeight="1" x14ac:dyDescent="0.2">
      <c r="K393" s="186" t="str">
        <f t="shared" si="44"/>
        <v>PM_0</v>
      </c>
      <c r="L393" s="186">
        <f t="shared" si="45"/>
        <v>0</v>
      </c>
      <c r="M393" s="186">
        <f t="shared" si="46"/>
        <v>0</v>
      </c>
      <c r="N393" s="186">
        <f t="shared" si="47"/>
        <v>0</v>
      </c>
      <c r="P393" s="207" t="str">
        <f t="shared" si="48"/>
        <v>PM_0</v>
      </c>
      <c r="Q393" s="273">
        <f t="shared" si="49"/>
        <v>0</v>
      </c>
      <c r="R393" s="207">
        <f t="shared" si="50"/>
        <v>0</v>
      </c>
      <c r="S393" s="207">
        <f t="shared" si="51"/>
        <v>0</v>
      </c>
    </row>
    <row r="394" spans="11:19" ht="14.1" customHeight="1" x14ac:dyDescent="0.2">
      <c r="K394" s="186" t="str">
        <f t="shared" si="44"/>
        <v>PM_0</v>
      </c>
      <c r="L394" s="186">
        <f t="shared" si="45"/>
        <v>0</v>
      </c>
      <c r="M394" s="186">
        <f t="shared" si="46"/>
        <v>0</v>
      </c>
      <c r="N394" s="186">
        <f t="shared" si="47"/>
        <v>0</v>
      </c>
      <c r="P394" s="207" t="str">
        <f t="shared" si="48"/>
        <v>PM_0</v>
      </c>
      <c r="Q394" s="273">
        <f t="shared" si="49"/>
        <v>0</v>
      </c>
      <c r="R394" s="207">
        <f t="shared" si="50"/>
        <v>0</v>
      </c>
      <c r="S394" s="207">
        <f t="shared" si="51"/>
        <v>0</v>
      </c>
    </row>
    <row r="395" spans="11:19" ht="14.1" customHeight="1" x14ac:dyDescent="0.2">
      <c r="K395" s="186" t="str">
        <f t="shared" ref="K395:K458" si="52">"PM_"&amp;ROUND(E395,2)</f>
        <v>PM_0</v>
      </c>
      <c r="L395" s="186">
        <f t="shared" ref="L395:L458" si="53">F395</f>
        <v>0</v>
      </c>
      <c r="M395" s="186">
        <f t="shared" ref="M395:M458" si="54">G395</f>
        <v>0</v>
      </c>
      <c r="N395" s="186">
        <f t="shared" ref="N395:N458" si="55">H395</f>
        <v>0</v>
      </c>
      <c r="P395" s="207" t="str">
        <f t="shared" ref="P395:P458" si="56">K395</f>
        <v>PM_0</v>
      </c>
      <c r="Q395" s="273">
        <f t="shared" ref="Q395:Q458" si="57">$S$1+E395</f>
        <v>0</v>
      </c>
      <c r="R395" s="207">
        <f t="shared" ref="R395:R458" si="58">H395</f>
        <v>0</v>
      </c>
      <c r="S395" s="207">
        <f t="shared" ref="S395:S458" si="59">$B$6</f>
        <v>0</v>
      </c>
    </row>
    <row r="396" spans="11:19" ht="14.1" customHeight="1" x14ac:dyDescent="0.2">
      <c r="K396" s="186" t="str">
        <f t="shared" si="52"/>
        <v>PM_0</v>
      </c>
      <c r="L396" s="186">
        <f t="shared" si="53"/>
        <v>0</v>
      </c>
      <c r="M396" s="186">
        <f t="shared" si="54"/>
        <v>0</v>
      </c>
      <c r="N396" s="186">
        <f t="shared" si="55"/>
        <v>0</v>
      </c>
      <c r="P396" s="207" t="str">
        <f t="shared" si="56"/>
        <v>PM_0</v>
      </c>
      <c r="Q396" s="273">
        <f t="shared" si="57"/>
        <v>0</v>
      </c>
      <c r="R396" s="207">
        <f t="shared" si="58"/>
        <v>0</v>
      </c>
      <c r="S396" s="207">
        <f t="shared" si="59"/>
        <v>0</v>
      </c>
    </row>
    <row r="397" spans="11:19" ht="14.1" customHeight="1" x14ac:dyDescent="0.2">
      <c r="K397" s="186" t="str">
        <f t="shared" si="52"/>
        <v>PM_0</v>
      </c>
      <c r="L397" s="186">
        <f t="shared" si="53"/>
        <v>0</v>
      </c>
      <c r="M397" s="186">
        <f t="shared" si="54"/>
        <v>0</v>
      </c>
      <c r="N397" s="186">
        <f t="shared" si="55"/>
        <v>0</v>
      </c>
      <c r="P397" s="207" t="str">
        <f t="shared" si="56"/>
        <v>PM_0</v>
      </c>
      <c r="Q397" s="273">
        <f t="shared" si="57"/>
        <v>0</v>
      </c>
      <c r="R397" s="207">
        <f t="shared" si="58"/>
        <v>0</v>
      </c>
      <c r="S397" s="207">
        <f t="shared" si="59"/>
        <v>0</v>
      </c>
    </row>
    <row r="398" spans="11:19" ht="14.1" customHeight="1" x14ac:dyDescent="0.2">
      <c r="K398" s="186" t="str">
        <f t="shared" si="52"/>
        <v>PM_0</v>
      </c>
      <c r="L398" s="186">
        <f t="shared" si="53"/>
        <v>0</v>
      </c>
      <c r="M398" s="186">
        <f t="shared" si="54"/>
        <v>0</v>
      </c>
      <c r="N398" s="186">
        <f t="shared" si="55"/>
        <v>0</v>
      </c>
      <c r="P398" s="207" t="str">
        <f t="shared" si="56"/>
        <v>PM_0</v>
      </c>
      <c r="Q398" s="273">
        <f t="shared" si="57"/>
        <v>0</v>
      </c>
      <c r="R398" s="207">
        <f t="shared" si="58"/>
        <v>0</v>
      </c>
      <c r="S398" s="207">
        <f t="shared" si="59"/>
        <v>0</v>
      </c>
    </row>
    <row r="399" spans="11:19" ht="14.1" customHeight="1" x14ac:dyDescent="0.2">
      <c r="K399" s="186" t="str">
        <f t="shared" si="52"/>
        <v>PM_0</v>
      </c>
      <c r="L399" s="186">
        <f t="shared" si="53"/>
        <v>0</v>
      </c>
      <c r="M399" s="186">
        <f t="shared" si="54"/>
        <v>0</v>
      </c>
      <c r="N399" s="186">
        <f t="shared" si="55"/>
        <v>0</v>
      </c>
      <c r="P399" s="207" t="str">
        <f t="shared" si="56"/>
        <v>PM_0</v>
      </c>
      <c r="Q399" s="273">
        <f t="shared" si="57"/>
        <v>0</v>
      </c>
      <c r="R399" s="207">
        <f t="shared" si="58"/>
        <v>0</v>
      </c>
      <c r="S399" s="207">
        <f t="shared" si="59"/>
        <v>0</v>
      </c>
    </row>
    <row r="400" spans="11:19" ht="14.1" customHeight="1" x14ac:dyDescent="0.2">
      <c r="K400" s="186" t="str">
        <f t="shared" si="52"/>
        <v>PM_0</v>
      </c>
      <c r="L400" s="186">
        <f t="shared" si="53"/>
        <v>0</v>
      </c>
      <c r="M400" s="186">
        <f t="shared" si="54"/>
        <v>0</v>
      </c>
      <c r="N400" s="186">
        <f t="shared" si="55"/>
        <v>0</v>
      </c>
      <c r="P400" s="207" t="str">
        <f t="shared" si="56"/>
        <v>PM_0</v>
      </c>
      <c r="Q400" s="273">
        <f t="shared" si="57"/>
        <v>0</v>
      </c>
      <c r="R400" s="207">
        <f t="shared" si="58"/>
        <v>0</v>
      </c>
      <c r="S400" s="207">
        <f t="shared" si="59"/>
        <v>0</v>
      </c>
    </row>
    <row r="401" spans="11:19" ht="14.1" customHeight="1" x14ac:dyDescent="0.2">
      <c r="K401" s="186" t="str">
        <f t="shared" si="52"/>
        <v>PM_0</v>
      </c>
      <c r="L401" s="186">
        <f t="shared" si="53"/>
        <v>0</v>
      </c>
      <c r="M401" s="186">
        <f t="shared" si="54"/>
        <v>0</v>
      </c>
      <c r="N401" s="186">
        <f t="shared" si="55"/>
        <v>0</v>
      </c>
      <c r="P401" s="207" t="str">
        <f t="shared" si="56"/>
        <v>PM_0</v>
      </c>
      <c r="Q401" s="273">
        <f t="shared" si="57"/>
        <v>0</v>
      </c>
      <c r="R401" s="207">
        <f t="shared" si="58"/>
        <v>0</v>
      </c>
      <c r="S401" s="207">
        <f t="shared" si="59"/>
        <v>0</v>
      </c>
    </row>
    <row r="402" spans="11:19" ht="14.1" customHeight="1" x14ac:dyDescent="0.2">
      <c r="K402" s="186" t="str">
        <f t="shared" si="52"/>
        <v>PM_0</v>
      </c>
      <c r="L402" s="186">
        <f t="shared" si="53"/>
        <v>0</v>
      </c>
      <c r="M402" s="186">
        <f t="shared" si="54"/>
        <v>0</v>
      </c>
      <c r="N402" s="186">
        <f t="shared" si="55"/>
        <v>0</v>
      </c>
      <c r="P402" s="207" t="str">
        <f t="shared" si="56"/>
        <v>PM_0</v>
      </c>
      <c r="Q402" s="273">
        <f t="shared" si="57"/>
        <v>0</v>
      </c>
      <c r="R402" s="207">
        <f t="shared" si="58"/>
        <v>0</v>
      </c>
      <c r="S402" s="207">
        <f t="shared" si="59"/>
        <v>0</v>
      </c>
    </row>
    <row r="403" spans="11:19" ht="14.1" customHeight="1" x14ac:dyDescent="0.2">
      <c r="K403" s="186" t="str">
        <f t="shared" si="52"/>
        <v>PM_0</v>
      </c>
      <c r="L403" s="186">
        <f t="shared" si="53"/>
        <v>0</v>
      </c>
      <c r="M403" s="186">
        <f t="shared" si="54"/>
        <v>0</v>
      </c>
      <c r="N403" s="186">
        <f t="shared" si="55"/>
        <v>0</v>
      </c>
      <c r="P403" s="207" t="str">
        <f t="shared" si="56"/>
        <v>PM_0</v>
      </c>
      <c r="Q403" s="273">
        <f t="shared" si="57"/>
        <v>0</v>
      </c>
      <c r="R403" s="207">
        <f t="shared" si="58"/>
        <v>0</v>
      </c>
      <c r="S403" s="207">
        <f t="shared" si="59"/>
        <v>0</v>
      </c>
    </row>
    <row r="404" spans="11:19" ht="14.1" customHeight="1" x14ac:dyDescent="0.2">
      <c r="K404" s="186" t="str">
        <f t="shared" si="52"/>
        <v>PM_0</v>
      </c>
      <c r="L404" s="186">
        <f t="shared" si="53"/>
        <v>0</v>
      </c>
      <c r="M404" s="186">
        <f t="shared" si="54"/>
        <v>0</v>
      </c>
      <c r="N404" s="186">
        <f t="shared" si="55"/>
        <v>0</v>
      </c>
      <c r="P404" s="207" t="str">
        <f t="shared" si="56"/>
        <v>PM_0</v>
      </c>
      <c r="Q404" s="273">
        <f t="shared" si="57"/>
        <v>0</v>
      </c>
      <c r="R404" s="207">
        <f t="shared" si="58"/>
        <v>0</v>
      </c>
      <c r="S404" s="207">
        <f t="shared" si="59"/>
        <v>0</v>
      </c>
    </row>
    <row r="405" spans="11:19" ht="14.1" customHeight="1" x14ac:dyDescent="0.2">
      <c r="K405" s="186" t="str">
        <f t="shared" si="52"/>
        <v>PM_0</v>
      </c>
      <c r="L405" s="186">
        <f t="shared" si="53"/>
        <v>0</v>
      </c>
      <c r="M405" s="186">
        <f t="shared" si="54"/>
        <v>0</v>
      </c>
      <c r="N405" s="186">
        <f t="shared" si="55"/>
        <v>0</v>
      </c>
      <c r="P405" s="207" t="str">
        <f t="shared" si="56"/>
        <v>PM_0</v>
      </c>
      <c r="Q405" s="273">
        <f t="shared" si="57"/>
        <v>0</v>
      </c>
      <c r="R405" s="207">
        <f t="shared" si="58"/>
        <v>0</v>
      </c>
      <c r="S405" s="207">
        <f t="shared" si="59"/>
        <v>0</v>
      </c>
    </row>
    <row r="406" spans="11:19" ht="14.1" customHeight="1" x14ac:dyDescent="0.2">
      <c r="K406" s="186" t="str">
        <f t="shared" si="52"/>
        <v>PM_0</v>
      </c>
      <c r="L406" s="186">
        <f t="shared" si="53"/>
        <v>0</v>
      </c>
      <c r="M406" s="186">
        <f t="shared" si="54"/>
        <v>0</v>
      </c>
      <c r="N406" s="186">
        <f t="shared" si="55"/>
        <v>0</v>
      </c>
      <c r="P406" s="207" t="str">
        <f t="shared" si="56"/>
        <v>PM_0</v>
      </c>
      <c r="Q406" s="273">
        <f t="shared" si="57"/>
        <v>0</v>
      </c>
      <c r="R406" s="207">
        <f t="shared" si="58"/>
        <v>0</v>
      </c>
      <c r="S406" s="207">
        <f t="shared" si="59"/>
        <v>0</v>
      </c>
    </row>
    <row r="407" spans="11:19" ht="14.1" customHeight="1" x14ac:dyDescent="0.2">
      <c r="K407" s="186" t="str">
        <f t="shared" si="52"/>
        <v>PM_0</v>
      </c>
      <c r="L407" s="186">
        <f t="shared" si="53"/>
        <v>0</v>
      </c>
      <c r="M407" s="186">
        <f t="shared" si="54"/>
        <v>0</v>
      </c>
      <c r="N407" s="186">
        <f t="shared" si="55"/>
        <v>0</v>
      </c>
      <c r="P407" s="207" t="str">
        <f t="shared" si="56"/>
        <v>PM_0</v>
      </c>
      <c r="Q407" s="273">
        <f t="shared" si="57"/>
        <v>0</v>
      </c>
      <c r="R407" s="207">
        <f t="shared" si="58"/>
        <v>0</v>
      </c>
      <c r="S407" s="207">
        <f t="shared" si="59"/>
        <v>0</v>
      </c>
    </row>
    <row r="408" spans="11:19" ht="14.1" customHeight="1" x14ac:dyDescent="0.2">
      <c r="K408" s="186" t="str">
        <f t="shared" si="52"/>
        <v>PM_0</v>
      </c>
      <c r="L408" s="186">
        <f t="shared" si="53"/>
        <v>0</v>
      </c>
      <c r="M408" s="186">
        <f t="shared" si="54"/>
        <v>0</v>
      </c>
      <c r="N408" s="186">
        <f t="shared" si="55"/>
        <v>0</v>
      </c>
      <c r="P408" s="207" t="str">
        <f t="shared" si="56"/>
        <v>PM_0</v>
      </c>
      <c r="Q408" s="273">
        <f t="shared" si="57"/>
        <v>0</v>
      </c>
      <c r="R408" s="207">
        <f t="shared" si="58"/>
        <v>0</v>
      </c>
      <c r="S408" s="207">
        <f t="shared" si="59"/>
        <v>0</v>
      </c>
    </row>
    <row r="409" spans="11:19" ht="14.1" customHeight="1" x14ac:dyDescent="0.2">
      <c r="K409" s="186" t="str">
        <f t="shared" si="52"/>
        <v>PM_0</v>
      </c>
      <c r="L409" s="186">
        <f t="shared" si="53"/>
        <v>0</v>
      </c>
      <c r="M409" s="186">
        <f t="shared" si="54"/>
        <v>0</v>
      </c>
      <c r="N409" s="186">
        <f t="shared" si="55"/>
        <v>0</v>
      </c>
      <c r="P409" s="207" t="str">
        <f t="shared" si="56"/>
        <v>PM_0</v>
      </c>
      <c r="Q409" s="273">
        <f t="shared" si="57"/>
        <v>0</v>
      </c>
      <c r="R409" s="207">
        <f t="shared" si="58"/>
        <v>0</v>
      </c>
      <c r="S409" s="207">
        <f t="shared" si="59"/>
        <v>0</v>
      </c>
    </row>
    <row r="410" spans="11:19" ht="14.1" customHeight="1" x14ac:dyDescent="0.2">
      <c r="K410" s="186" t="str">
        <f t="shared" si="52"/>
        <v>PM_0</v>
      </c>
      <c r="L410" s="186">
        <f t="shared" si="53"/>
        <v>0</v>
      </c>
      <c r="M410" s="186">
        <f t="shared" si="54"/>
        <v>0</v>
      </c>
      <c r="N410" s="186">
        <f t="shared" si="55"/>
        <v>0</v>
      </c>
      <c r="P410" s="207" t="str">
        <f t="shared" si="56"/>
        <v>PM_0</v>
      </c>
      <c r="Q410" s="273">
        <f t="shared" si="57"/>
        <v>0</v>
      </c>
      <c r="R410" s="207">
        <f t="shared" si="58"/>
        <v>0</v>
      </c>
      <c r="S410" s="207">
        <f t="shared" si="59"/>
        <v>0</v>
      </c>
    </row>
    <row r="411" spans="11:19" ht="14.1" customHeight="1" x14ac:dyDescent="0.2">
      <c r="K411" s="186" t="str">
        <f t="shared" si="52"/>
        <v>PM_0</v>
      </c>
      <c r="L411" s="186">
        <f t="shared" si="53"/>
        <v>0</v>
      </c>
      <c r="M411" s="186">
        <f t="shared" si="54"/>
        <v>0</v>
      </c>
      <c r="N411" s="186">
        <f t="shared" si="55"/>
        <v>0</v>
      </c>
      <c r="P411" s="207" t="str">
        <f t="shared" si="56"/>
        <v>PM_0</v>
      </c>
      <c r="Q411" s="273">
        <f t="shared" si="57"/>
        <v>0</v>
      </c>
      <c r="R411" s="207">
        <f t="shared" si="58"/>
        <v>0</v>
      </c>
      <c r="S411" s="207">
        <f t="shared" si="59"/>
        <v>0</v>
      </c>
    </row>
    <row r="412" spans="11:19" ht="14.1" customHeight="1" x14ac:dyDescent="0.2">
      <c r="K412" s="186" t="str">
        <f t="shared" si="52"/>
        <v>PM_0</v>
      </c>
      <c r="L412" s="186">
        <f t="shared" si="53"/>
        <v>0</v>
      </c>
      <c r="M412" s="186">
        <f t="shared" si="54"/>
        <v>0</v>
      </c>
      <c r="N412" s="186">
        <f t="shared" si="55"/>
        <v>0</v>
      </c>
      <c r="P412" s="207" t="str">
        <f t="shared" si="56"/>
        <v>PM_0</v>
      </c>
      <c r="Q412" s="273">
        <f t="shared" si="57"/>
        <v>0</v>
      </c>
      <c r="R412" s="207">
        <f t="shared" si="58"/>
        <v>0</v>
      </c>
      <c r="S412" s="207">
        <f t="shared" si="59"/>
        <v>0</v>
      </c>
    </row>
    <row r="413" spans="11:19" ht="14.1" customHeight="1" x14ac:dyDescent="0.2">
      <c r="K413" s="186" t="str">
        <f t="shared" si="52"/>
        <v>PM_0</v>
      </c>
      <c r="L413" s="186">
        <f t="shared" si="53"/>
        <v>0</v>
      </c>
      <c r="M413" s="186">
        <f t="shared" si="54"/>
        <v>0</v>
      </c>
      <c r="N413" s="186">
        <f t="shared" si="55"/>
        <v>0</v>
      </c>
      <c r="P413" s="207" t="str">
        <f t="shared" si="56"/>
        <v>PM_0</v>
      </c>
      <c r="Q413" s="273">
        <f t="shared" si="57"/>
        <v>0</v>
      </c>
      <c r="R413" s="207">
        <f t="shared" si="58"/>
        <v>0</v>
      </c>
      <c r="S413" s="207">
        <f t="shared" si="59"/>
        <v>0</v>
      </c>
    </row>
    <row r="414" spans="11:19" ht="14.1" customHeight="1" x14ac:dyDescent="0.2">
      <c r="K414" s="186" t="str">
        <f t="shared" si="52"/>
        <v>PM_0</v>
      </c>
      <c r="L414" s="186">
        <f t="shared" si="53"/>
        <v>0</v>
      </c>
      <c r="M414" s="186">
        <f t="shared" si="54"/>
        <v>0</v>
      </c>
      <c r="N414" s="186">
        <f t="shared" si="55"/>
        <v>0</v>
      </c>
      <c r="P414" s="207" t="str">
        <f t="shared" si="56"/>
        <v>PM_0</v>
      </c>
      <c r="Q414" s="273">
        <f t="shared" si="57"/>
        <v>0</v>
      </c>
      <c r="R414" s="207">
        <f t="shared" si="58"/>
        <v>0</v>
      </c>
      <c r="S414" s="207">
        <f t="shared" si="59"/>
        <v>0</v>
      </c>
    </row>
    <row r="415" spans="11:19" ht="14.1" customHeight="1" x14ac:dyDescent="0.2">
      <c r="K415" s="186" t="str">
        <f t="shared" si="52"/>
        <v>PM_0</v>
      </c>
      <c r="L415" s="186">
        <f t="shared" si="53"/>
        <v>0</v>
      </c>
      <c r="M415" s="186">
        <f t="shared" si="54"/>
        <v>0</v>
      </c>
      <c r="N415" s="186">
        <f t="shared" si="55"/>
        <v>0</v>
      </c>
      <c r="P415" s="207" t="str">
        <f t="shared" si="56"/>
        <v>PM_0</v>
      </c>
      <c r="Q415" s="273">
        <f t="shared" si="57"/>
        <v>0</v>
      </c>
      <c r="R415" s="207">
        <f t="shared" si="58"/>
        <v>0</v>
      </c>
      <c r="S415" s="207">
        <f t="shared" si="59"/>
        <v>0</v>
      </c>
    </row>
    <row r="416" spans="11:19" ht="14.1" customHeight="1" x14ac:dyDescent="0.2">
      <c r="K416" s="186" t="str">
        <f t="shared" si="52"/>
        <v>PM_0</v>
      </c>
      <c r="L416" s="186">
        <f t="shared" si="53"/>
        <v>0</v>
      </c>
      <c r="M416" s="186">
        <f t="shared" si="54"/>
        <v>0</v>
      </c>
      <c r="N416" s="186">
        <f t="shared" si="55"/>
        <v>0</v>
      </c>
      <c r="P416" s="207" t="str">
        <f t="shared" si="56"/>
        <v>PM_0</v>
      </c>
      <c r="Q416" s="273">
        <f t="shared" si="57"/>
        <v>0</v>
      </c>
      <c r="R416" s="207">
        <f t="shared" si="58"/>
        <v>0</v>
      </c>
      <c r="S416" s="207">
        <f t="shared" si="59"/>
        <v>0</v>
      </c>
    </row>
    <row r="417" spans="11:19" ht="14.1" customHeight="1" x14ac:dyDescent="0.2">
      <c r="K417" s="186" t="str">
        <f t="shared" si="52"/>
        <v>PM_0</v>
      </c>
      <c r="L417" s="186">
        <f t="shared" si="53"/>
        <v>0</v>
      </c>
      <c r="M417" s="186">
        <f t="shared" si="54"/>
        <v>0</v>
      </c>
      <c r="N417" s="186">
        <f t="shared" si="55"/>
        <v>0</v>
      </c>
      <c r="P417" s="207" t="str">
        <f t="shared" si="56"/>
        <v>PM_0</v>
      </c>
      <c r="Q417" s="273">
        <f t="shared" si="57"/>
        <v>0</v>
      </c>
      <c r="R417" s="207">
        <f t="shared" si="58"/>
        <v>0</v>
      </c>
      <c r="S417" s="207">
        <f t="shared" si="59"/>
        <v>0</v>
      </c>
    </row>
    <row r="418" spans="11:19" ht="14.1" customHeight="1" x14ac:dyDescent="0.2">
      <c r="K418" s="186" t="str">
        <f t="shared" si="52"/>
        <v>PM_0</v>
      </c>
      <c r="L418" s="186">
        <f t="shared" si="53"/>
        <v>0</v>
      </c>
      <c r="M418" s="186">
        <f t="shared" si="54"/>
        <v>0</v>
      </c>
      <c r="N418" s="186">
        <f t="shared" si="55"/>
        <v>0</v>
      </c>
      <c r="P418" s="207" t="str">
        <f t="shared" si="56"/>
        <v>PM_0</v>
      </c>
      <c r="Q418" s="273">
        <f t="shared" si="57"/>
        <v>0</v>
      </c>
      <c r="R418" s="207">
        <f t="shared" si="58"/>
        <v>0</v>
      </c>
      <c r="S418" s="207">
        <f t="shared" si="59"/>
        <v>0</v>
      </c>
    </row>
    <row r="419" spans="11:19" ht="14.1" customHeight="1" x14ac:dyDescent="0.2">
      <c r="K419" s="186" t="str">
        <f t="shared" si="52"/>
        <v>PM_0</v>
      </c>
      <c r="L419" s="186">
        <f t="shared" si="53"/>
        <v>0</v>
      </c>
      <c r="M419" s="186">
        <f t="shared" si="54"/>
        <v>0</v>
      </c>
      <c r="N419" s="186">
        <f t="shared" si="55"/>
        <v>0</v>
      </c>
      <c r="P419" s="207" t="str">
        <f t="shared" si="56"/>
        <v>PM_0</v>
      </c>
      <c r="Q419" s="273">
        <f t="shared" si="57"/>
        <v>0</v>
      </c>
      <c r="R419" s="207">
        <f t="shared" si="58"/>
        <v>0</v>
      </c>
      <c r="S419" s="207">
        <f t="shared" si="59"/>
        <v>0</v>
      </c>
    </row>
    <row r="420" spans="11:19" ht="14.1" customHeight="1" x14ac:dyDescent="0.2">
      <c r="K420" s="186" t="str">
        <f t="shared" si="52"/>
        <v>PM_0</v>
      </c>
      <c r="L420" s="186">
        <f t="shared" si="53"/>
        <v>0</v>
      </c>
      <c r="M420" s="186">
        <f t="shared" si="54"/>
        <v>0</v>
      </c>
      <c r="N420" s="186">
        <f t="shared" si="55"/>
        <v>0</v>
      </c>
      <c r="P420" s="207" t="str">
        <f t="shared" si="56"/>
        <v>PM_0</v>
      </c>
      <c r="Q420" s="273">
        <f t="shared" si="57"/>
        <v>0</v>
      </c>
      <c r="R420" s="207">
        <f t="shared" si="58"/>
        <v>0</v>
      </c>
      <c r="S420" s="207">
        <f t="shared" si="59"/>
        <v>0</v>
      </c>
    </row>
    <row r="421" spans="11:19" ht="14.1" customHeight="1" x14ac:dyDescent="0.2">
      <c r="K421" s="186" t="str">
        <f t="shared" si="52"/>
        <v>PM_0</v>
      </c>
      <c r="L421" s="186">
        <f t="shared" si="53"/>
        <v>0</v>
      </c>
      <c r="M421" s="186">
        <f t="shared" si="54"/>
        <v>0</v>
      </c>
      <c r="N421" s="186">
        <f t="shared" si="55"/>
        <v>0</v>
      </c>
      <c r="P421" s="207" t="str">
        <f t="shared" si="56"/>
        <v>PM_0</v>
      </c>
      <c r="Q421" s="273">
        <f t="shared" si="57"/>
        <v>0</v>
      </c>
      <c r="R421" s="207">
        <f t="shared" si="58"/>
        <v>0</v>
      </c>
      <c r="S421" s="207">
        <f t="shared" si="59"/>
        <v>0</v>
      </c>
    </row>
    <row r="422" spans="11:19" ht="14.1" customHeight="1" x14ac:dyDescent="0.2">
      <c r="K422" s="186" t="str">
        <f t="shared" si="52"/>
        <v>PM_0</v>
      </c>
      <c r="L422" s="186">
        <f t="shared" si="53"/>
        <v>0</v>
      </c>
      <c r="M422" s="186">
        <f t="shared" si="54"/>
        <v>0</v>
      </c>
      <c r="N422" s="186">
        <f t="shared" si="55"/>
        <v>0</v>
      </c>
      <c r="P422" s="207" t="str">
        <f t="shared" si="56"/>
        <v>PM_0</v>
      </c>
      <c r="Q422" s="273">
        <f t="shared" si="57"/>
        <v>0</v>
      </c>
      <c r="R422" s="207">
        <f t="shared" si="58"/>
        <v>0</v>
      </c>
      <c r="S422" s="207">
        <f t="shared" si="59"/>
        <v>0</v>
      </c>
    </row>
    <row r="423" spans="11:19" ht="14.1" customHeight="1" x14ac:dyDescent="0.2">
      <c r="K423" s="186" t="str">
        <f t="shared" si="52"/>
        <v>PM_0</v>
      </c>
      <c r="L423" s="186">
        <f t="shared" si="53"/>
        <v>0</v>
      </c>
      <c r="M423" s="186">
        <f t="shared" si="54"/>
        <v>0</v>
      </c>
      <c r="N423" s="186">
        <f t="shared" si="55"/>
        <v>0</v>
      </c>
      <c r="P423" s="207" t="str">
        <f t="shared" si="56"/>
        <v>PM_0</v>
      </c>
      <c r="Q423" s="273">
        <f t="shared" si="57"/>
        <v>0</v>
      </c>
      <c r="R423" s="207">
        <f t="shared" si="58"/>
        <v>0</v>
      </c>
      <c r="S423" s="207">
        <f t="shared" si="59"/>
        <v>0</v>
      </c>
    </row>
    <row r="424" spans="11:19" ht="14.1" customHeight="1" x14ac:dyDescent="0.2">
      <c r="K424" s="186" t="str">
        <f t="shared" si="52"/>
        <v>PM_0</v>
      </c>
      <c r="L424" s="186">
        <f t="shared" si="53"/>
        <v>0</v>
      </c>
      <c r="M424" s="186">
        <f t="shared" si="54"/>
        <v>0</v>
      </c>
      <c r="N424" s="186">
        <f t="shared" si="55"/>
        <v>0</v>
      </c>
      <c r="P424" s="207" t="str">
        <f t="shared" si="56"/>
        <v>PM_0</v>
      </c>
      <c r="Q424" s="273">
        <f t="shared" si="57"/>
        <v>0</v>
      </c>
      <c r="R424" s="207">
        <f t="shared" si="58"/>
        <v>0</v>
      </c>
      <c r="S424" s="207">
        <f t="shared" si="59"/>
        <v>0</v>
      </c>
    </row>
    <row r="425" spans="11:19" ht="14.1" customHeight="1" x14ac:dyDescent="0.2">
      <c r="K425" s="186" t="str">
        <f t="shared" si="52"/>
        <v>PM_0</v>
      </c>
      <c r="L425" s="186">
        <f t="shared" si="53"/>
        <v>0</v>
      </c>
      <c r="M425" s="186">
        <f t="shared" si="54"/>
        <v>0</v>
      </c>
      <c r="N425" s="186">
        <f t="shared" si="55"/>
        <v>0</v>
      </c>
      <c r="P425" s="207" t="str">
        <f t="shared" si="56"/>
        <v>PM_0</v>
      </c>
      <c r="Q425" s="273">
        <f t="shared" si="57"/>
        <v>0</v>
      </c>
      <c r="R425" s="207">
        <f t="shared" si="58"/>
        <v>0</v>
      </c>
      <c r="S425" s="207">
        <f t="shared" si="59"/>
        <v>0</v>
      </c>
    </row>
    <row r="426" spans="11:19" ht="14.1" customHeight="1" x14ac:dyDescent="0.2">
      <c r="K426" s="186" t="str">
        <f t="shared" si="52"/>
        <v>PM_0</v>
      </c>
      <c r="L426" s="186">
        <f t="shared" si="53"/>
        <v>0</v>
      </c>
      <c r="M426" s="186">
        <f t="shared" si="54"/>
        <v>0</v>
      </c>
      <c r="N426" s="186">
        <f t="shared" si="55"/>
        <v>0</v>
      </c>
      <c r="P426" s="207" t="str">
        <f t="shared" si="56"/>
        <v>PM_0</v>
      </c>
      <c r="Q426" s="273">
        <f t="shared" si="57"/>
        <v>0</v>
      </c>
      <c r="R426" s="207">
        <f t="shared" si="58"/>
        <v>0</v>
      </c>
      <c r="S426" s="207">
        <f t="shared" si="59"/>
        <v>0</v>
      </c>
    </row>
    <row r="427" spans="11:19" ht="14.1" customHeight="1" x14ac:dyDescent="0.2">
      <c r="K427" s="186" t="str">
        <f t="shared" si="52"/>
        <v>PM_0</v>
      </c>
      <c r="L427" s="186">
        <f t="shared" si="53"/>
        <v>0</v>
      </c>
      <c r="M427" s="186">
        <f t="shared" si="54"/>
        <v>0</v>
      </c>
      <c r="N427" s="186">
        <f t="shared" si="55"/>
        <v>0</v>
      </c>
      <c r="P427" s="207" t="str">
        <f t="shared" si="56"/>
        <v>PM_0</v>
      </c>
      <c r="Q427" s="273">
        <f t="shared" si="57"/>
        <v>0</v>
      </c>
      <c r="R427" s="207">
        <f t="shared" si="58"/>
        <v>0</v>
      </c>
      <c r="S427" s="207">
        <f t="shared" si="59"/>
        <v>0</v>
      </c>
    </row>
    <row r="428" spans="11:19" ht="14.1" customHeight="1" x14ac:dyDescent="0.2">
      <c r="K428" s="186" t="str">
        <f t="shared" si="52"/>
        <v>PM_0</v>
      </c>
      <c r="L428" s="186">
        <f t="shared" si="53"/>
        <v>0</v>
      </c>
      <c r="M428" s="186">
        <f t="shared" si="54"/>
        <v>0</v>
      </c>
      <c r="N428" s="186">
        <f t="shared" si="55"/>
        <v>0</v>
      </c>
      <c r="P428" s="207" t="str">
        <f t="shared" si="56"/>
        <v>PM_0</v>
      </c>
      <c r="Q428" s="273">
        <f t="shared" si="57"/>
        <v>0</v>
      </c>
      <c r="R428" s="207">
        <f t="shared" si="58"/>
        <v>0</v>
      </c>
      <c r="S428" s="207">
        <f t="shared" si="59"/>
        <v>0</v>
      </c>
    </row>
    <row r="429" spans="11:19" ht="14.1" customHeight="1" x14ac:dyDescent="0.2">
      <c r="K429" s="186" t="str">
        <f t="shared" si="52"/>
        <v>PM_0</v>
      </c>
      <c r="L429" s="186">
        <f t="shared" si="53"/>
        <v>0</v>
      </c>
      <c r="M429" s="186">
        <f t="shared" si="54"/>
        <v>0</v>
      </c>
      <c r="N429" s="186">
        <f t="shared" si="55"/>
        <v>0</v>
      </c>
      <c r="P429" s="207" t="str">
        <f t="shared" si="56"/>
        <v>PM_0</v>
      </c>
      <c r="Q429" s="273">
        <f t="shared" si="57"/>
        <v>0</v>
      </c>
      <c r="R429" s="207">
        <f t="shared" si="58"/>
        <v>0</v>
      </c>
      <c r="S429" s="207">
        <f t="shared" si="59"/>
        <v>0</v>
      </c>
    </row>
    <row r="430" spans="11:19" ht="14.1" customHeight="1" x14ac:dyDescent="0.2">
      <c r="K430" s="186" t="str">
        <f t="shared" si="52"/>
        <v>PM_0</v>
      </c>
      <c r="L430" s="186">
        <f t="shared" si="53"/>
        <v>0</v>
      </c>
      <c r="M430" s="186">
        <f t="shared" si="54"/>
        <v>0</v>
      </c>
      <c r="N430" s="186">
        <f t="shared" si="55"/>
        <v>0</v>
      </c>
      <c r="P430" s="207" t="str">
        <f t="shared" si="56"/>
        <v>PM_0</v>
      </c>
      <c r="Q430" s="273">
        <f t="shared" si="57"/>
        <v>0</v>
      </c>
      <c r="R430" s="207">
        <f t="shared" si="58"/>
        <v>0</v>
      </c>
      <c r="S430" s="207">
        <f t="shared" si="59"/>
        <v>0</v>
      </c>
    </row>
    <row r="431" spans="11:19" ht="14.1" customHeight="1" x14ac:dyDescent="0.2">
      <c r="K431" s="186" t="str">
        <f t="shared" si="52"/>
        <v>PM_0</v>
      </c>
      <c r="L431" s="186">
        <f t="shared" si="53"/>
        <v>0</v>
      </c>
      <c r="M431" s="186">
        <f t="shared" si="54"/>
        <v>0</v>
      </c>
      <c r="N431" s="186">
        <f t="shared" si="55"/>
        <v>0</v>
      </c>
      <c r="P431" s="207" t="str">
        <f t="shared" si="56"/>
        <v>PM_0</v>
      </c>
      <c r="Q431" s="273">
        <f t="shared" si="57"/>
        <v>0</v>
      </c>
      <c r="R431" s="207">
        <f t="shared" si="58"/>
        <v>0</v>
      </c>
      <c r="S431" s="207">
        <f t="shared" si="59"/>
        <v>0</v>
      </c>
    </row>
    <row r="432" spans="11:19" ht="14.1" customHeight="1" x14ac:dyDescent="0.2">
      <c r="K432" s="186" t="str">
        <f t="shared" si="52"/>
        <v>PM_0</v>
      </c>
      <c r="L432" s="186">
        <f t="shared" si="53"/>
        <v>0</v>
      </c>
      <c r="M432" s="186">
        <f t="shared" si="54"/>
        <v>0</v>
      </c>
      <c r="N432" s="186">
        <f t="shared" si="55"/>
        <v>0</v>
      </c>
      <c r="P432" s="207" t="str">
        <f t="shared" si="56"/>
        <v>PM_0</v>
      </c>
      <c r="Q432" s="273">
        <f t="shared" si="57"/>
        <v>0</v>
      </c>
      <c r="R432" s="207">
        <f t="shared" si="58"/>
        <v>0</v>
      </c>
      <c r="S432" s="207">
        <f t="shared" si="59"/>
        <v>0</v>
      </c>
    </row>
    <row r="433" spans="11:19" ht="14.1" customHeight="1" x14ac:dyDescent="0.2">
      <c r="K433" s="186" t="str">
        <f t="shared" si="52"/>
        <v>PM_0</v>
      </c>
      <c r="L433" s="186">
        <f t="shared" si="53"/>
        <v>0</v>
      </c>
      <c r="M433" s="186">
        <f t="shared" si="54"/>
        <v>0</v>
      </c>
      <c r="N433" s="186">
        <f t="shared" si="55"/>
        <v>0</v>
      </c>
      <c r="P433" s="207" t="str">
        <f t="shared" si="56"/>
        <v>PM_0</v>
      </c>
      <c r="Q433" s="273">
        <f t="shared" si="57"/>
        <v>0</v>
      </c>
      <c r="R433" s="207">
        <f t="shared" si="58"/>
        <v>0</v>
      </c>
      <c r="S433" s="207">
        <f t="shared" si="59"/>
        <v>0</v>
      </c>
    </row>
    <row r="434" spans="11:19" ht="14.1" customHeight="1" x14ac:dyDescent="0.2">
      <c r="K434" s="186" t="str">
        <f t="shared" si="52"/>
        <v>PM_0</v>
      </c>
      <c r="L434" s="186">
        <f t="shared" si="53"/>
        <v>0</v>
      </c>
      <c r="M434" s="186">
        <f t="shared" si="54"/>
        <v>0</v>
      </c>
      <c r="N434" s="186">
        <f t="shared" si="55"/>
        <v>0</v>
      </c>
      <c r="P434" s="207" t="str">
        <f t="shared" si="56"/>
        <v>PM_0</v>
      </c>
      <c r="Q434" s="273">
        <f t="shared" si="57"/>
        <v>0</v>
      </c>
      <c r="R434" s="207">
        <f t="shared" si="58"/>
        <v>0</v>
      </c>
      <c r="S434" s="207">
        <f t="shared" si="59"/>
        <v>0</v>
      </c>
    </row>
    <row r="435" spans="11:19" ht="14.1" customHeight="1" x14ac:dyDescent="0.2">
      <c r="K435" s="186" t="str">
        <f t="shared" si="52"/>
        <v>PM_0</v>
      </c>
      <c r="L435" s="186">
        <f t="shared" si="53"/>
        <v>0</v>
      </c>
      <c r="M435" s="186">
        <f t="shared" si="54"/>
        <v>0</v>
      </c>
      <c r="N435" s="186">
        <f t="shared" si="55"/>
        <v>0</v>
      </c>
      <c r="P435" s="207" t="str">
        <f t="shared" si="56"/>
        <v>PM_0</v>
      </c>
      <c r="Q435" s="273">
        <f t="shared" si="57"/>
        <v>0</v>
      </c>
      <c r="R435" s="207">
        <f t="shared" si="58"/>
        <v>0</v>
      </c>
      <c r="S435" s="207">
        <f t="shared" si="59"/>
        <v>0</v>
      </c>
    </row>
    <row r="436" spans="11:19" ht="14.1" customHeight="1" x14ac:dyDescent="0.2">
      <c r="K436" s="186" t="str">
        <f t="shared" si="52"/>
        <v>PM_0</v>
      </c>
      <c r="L436" s="186">
        <f t="shared" si="53"/>
        <v>0</v>
      </c>
      <c r="M436" s="186">
        <f t="shared" si="54"/>
        <v>0</v>
      </c>
      <c r="N436" s="186">
        <f t="shared" si="55"/>
        <v>0</v>
      </c>
      <c r="P436" s="207" t="str">
        <f t="shared" si="56"/>
        <v>PM_0</v>
      </c>
      <c r="Q436" s="273">
        <f t="shared" si="57"/>
        <v>0</v>
      </c>
      <c r="R436" s="207">
        <f t="shared" si="58"/>
        <v>0</v>
      </c>
      <c r="S436" s="207">
        <f t="shared" si="59"/>
        <v>0</v>
      </c>
    </row>
    <row r="437" spans="11:19" ht="14.1" customHeight="1" x14ac:dyDescent="0.2">
      <c r="K437" s="186" t="str">
        <f t="shared" si="52"/>
        <v>PM_0</v>
      </c>
      <c r="L437" s="186">
        <f t="shared" si="53"/>
        <v>0</v>
      </c>
      <c r="M437" s="186">
        <f t="shared" si="54"/>
        <v>0</v>
      </c>
      <c r="N437" s="186">
        <f t="shared" si="55"/>
        <v>0</v>
      </c>
      <c r="P437" s="207" t="str">
        <f t="shared" si="56"/>
        <v>PM_0</v>
      </c>
      <c r="Q437" s="273">
        <f t="shared" si="57"/>
        <v>0</v>
      </c>
      <c r="R437" s="207">
        <f t="shared" si="58"/>
        <v>0</v>
      </c>
      <c r="S437" s="207">
        <f t="shared" si="59"/>
        <v>0</v>
      </c>
    </row>
    <row r="438" spans="11:19" ht="14.1" customHeight="1" x14ac:dyDescent="0.2">
      <c r="K438" s="186" t="str">
        <f t="shared" si="52"/>
        <v>PM_0</v>
      </c>
      <c r="L438" s="186">
        <f t="shared" si="53"/>
        <v>0</v>
      </c>
      <c r="M438" s="186">
        <f t="shared" si="54"/>
        <v>0</v>
      </c>
      <c r="N438" s="186">
        <f t="shared" si="55"/>
        <v>0</v>
      </c>
      <c r="P438" s="207" t="str">
        <f t="shared" si="56"/>
        <v>PM_0</v>
      </c>
      <c r="Q438" s="273">
        <f t="shared" si="57"/>
        <v>0</v>
      </c>
      <c r="R438" s="207">
        <f t="shared" si="58"/>
        <v>0</v>
      </c>
      <c r="S438" s="207">
        <f t="shared" si="59"/>
        <v>0</v>
      </c>
    </row>
    <row r="439" spans="11:19" ht="14.1" customHeight="1" x14ac:dyDescent="0.2">
      <c r="K439" s="186" t="str">
        <f t="shared" si="52"/>
        <v>PM_0</v>
      </c>
      <c r="L439" s="186">
        <f t="shared" si="53"/>
        <v>0</v>
      </c>
      <c r="M439" s="186">
        <f t="shared" si="54"/>
        <v>0</v>
      </c>
      <c r="N439" s="186">
        <f t="shared" si="55"/>
        <v>0</v>
      </c>
      <c r="P439" s="207" t="str">
        <f t="shared" si="56"/>
        <v>PM_0</v>
      </c>
      <c r="Q439" s="273">
        <f t="shared" si="57"/>
        <v>0</v>
      </c>
      <c r="R439" s="207">
        <f t="shared" si="58"/>
        <v>0</v>
      </c>
      <c r="S439" s="207">
        <f t="shared" si="59"/>
        <v>0</v>
      </c>
    </row>
    <row r="440" spans="11:19" ht="14.1" customHeight="1" x14ac:dyDescent="0.2">
      <c r="K440" s="186" t="str">
        <f t="shared" si="52"/>
        <v>PM_0</v>
      </c>
      <c r="L440" s="186">
        <f t="shared" si="53"/>
        <v>0</v>
      </c>
      <c r="M440" s="186">
        <f t="shared" si="54"/>
        <v>0</v>
      </c>
      <c r="N440" s="186">
        <f t="shared" si="55"/>
        <v>0</v>
      </c>
      <c r="P440" s="207" t="str">
        <f t="shared" si="56"/>
        <v>PM_0</v>
      </c>
      <c r="Q440" s="273">
        <f t="shared" si="57"/>
        <v>0</v>
      </c>
      <c r="R440" s="207">
        <f t="shared" si="58"/>
        <v>0</v>
      </c>
      <c r="S440" s="207">
        <f t="shared" si="59"/>
        <v>0</v>
      </c>
    </row>
    <row r="441" spans="11:19" ht="14.1" customHeight="1" x14ac:dyDescent="0.2">
      <c r="K441" s="186" t="str">
        <f t="shared" si="52"/>
        <v>PM_0</v>
      </c>
      <c r="L441" s="186">
        <f t="shared" si="53"/>
        <v>0</v>
      </c>
      <c r="M441" s="186">
        <f t="shared" si="54"/>
        <v>0</v>
      </c>
      <c r="N441" s="186">
        <f t="shared" si="55"/>
        <v>0</v>
      </c>
      <c r="P441" s="207" t="str">
        <f t="shared" si="56"/>
        <v>PM_0</v>
      </c>
      <c r="Q441" s="273">
        <f t="shared" si="57"/>
        <v>0</v>
      </c>
      <c r="R441" s="207">
        <f t="shared" si="58"/>
        <v>0</v>
      </c>
      <c r="S441" s="207">
        <f t="shared" si="59"/>
        <v>0</v>
      </c>
    </row>
    <row r="442" spans="11:19" ht="14.1" customHeight="1" x14ac:dyDescent="0.2">
      <c r="K442" s="186" t="str">
        <f t="shared" si="52"/>
        <v>PM_0</v>
      </c>
      <c r="L442" s="186">
        <f t="shared" si="53"/>
        <v>0</v>
      </c>
      <c r="M442" s="186">
        <f t="shared" si="54"/>
        <v>0</v>
      </c>
      <c r="N442" s="186">
        <f t="shared" si="55"/>
        <v>0</v>
      </c>
      <c r="P442" s="207" t="str">
        <f t="shared" si="56"/>
        <v>PM_0</v>
      </c>
      <c r="Q442" s="273">
        <f t="shared" si="57"/>
        <v>0</v>
      </c>
      <c r="R442" s="207">
        <f t="shared" si="58"/>
        <v>0</v>
      </c>
      <c r="S442" s="207">
        <f t="shared" si="59"/>
        <v>0</v>
      </c>
    </row>
    <row r="443" spans="11:19" ht="14.1" customHeight="1" x14ac:dyDescent="0.2">
      <c r="K443" s="186" t="str">
        <f t="shared" si="52"/>
        <v>PM_0</v>
      </c>
      <c r="L443" s="186">
        <f t="shared" si="53"/>
        <v>0</v>
      </c>
      <c r="M443" s="186">
        <f t="shared" si="54"/>
        <v>0</v>
      </c>
      <c r="N443" s="186">
        <f t="shared" si="55"/>
        <v>0</v>
      </c>
      <c r="P443" s="207" t="str">
        <f t="shared" si="56"/>
        <v>PM_0</v>
      </c>
      <c r="Q443" s="273">
        <f t="shared" si="57"/>
        <v>0</v>
      </c>
      <c r="R443" s="207">
        <f t="shared" si="58"/>
        <v>0</v>
      </c>
      <c r="S443" s="207">
        <f t="shared" si="59"/>
        <v>0</v>
      </c>
    </row>
    <row r="444" spans="11:19" ht="14.1" customHeight="1" x14ac:dyDescent="0.2">
      <c r="K444" s="186" t="str">
        <f t="shared" si="52"/>
        <v>PM_0</v>
      </c>
      <c r="L444" s="186">
        <f t="shared" si="53"/>
        <v>0</v>
      </c>
      <c r="M444" s="186">
        <f t="shared" si="54"/>
        <v>0</v>
      </c>
      <c r="N444" s="186">
        <f t="shared" si="55"/>
        <v>0</v>
      </c>
      <c r="P444" s="207" t="str">
        <f t="shared" si="56"/>
        <v>PM_0</v>
      </c>
      <c r="Q444" s="273">
        <f t="shared" si="57"/>
        <v>0</v>
      </c>
      <c r="R444" s="207">
        <f t="shared" si="58"/>
        <v>0</v>
      </c>
      <c r="S444" s="207">
        <f t="shared" si="59"/>
        <v>0</v>
      </c>
    </row>
    <row r="445" spans="11:19" ht="14.1" customHeight="1" x14ac:dyDescent="0.2">
      <c r="K445" s="186" t="str">
        <f t="shared" si="52"/>
        <v>PM_0</v>
      </c>
      <c r="L445" s="186">
        <f t="shared" si="53"/>
        <v>0</v>
      </c>
      <c r="M445" s="186">
        <f t="shared" si="54"/>
        <v>0</v>
      </c>
      <c r="N445" s="186">
        <f t="shared" si="55"/>
        <v>0</v>
      </c>
      <c r="P445" s="207" t="str">
        <f t="shared" si="56"/>
        <v>PM_0</v>
      </c>
      <c r="Q445" s="273">
        <f t="shared" si="57"/>
        <v>0</v>
      </c>
      <c r="R445" s="207">
        <f t="shared" si="58"/>
        <v>0</v>
      </c>
      <c r="S445" s="207">
        <f t="shared" si="59"/>
        <v>0</v>
      </c>
    </row>
    <row r="446" spans="11:19" ht="14.1" customHeight="1" x14ac:dyDescent="0.2">
      <c r="K446" s="186" t="str">
        <f t="shared" si="52"/>
        <v>PM_0</v>
      </c>
      <c r="L446" s="186">
        <f t="shared" si="53"/>
        <v>0</v>
      </c>
      <c r="M446" s="186">
        <f t="shared" si="54"/>
        <v>0</v>
      </c>
      <c r="N446" s="186">
        <f t="shared" si="55"/>
        <v>0</v>
      </c>
      <c r="P446" s="207" t="str">
        <f t="shared" si="56"/>
        <v>PM_0</v>
      </c>
      <c r="Q446" s="273">
        <f t="shared" si="57"/>
        <v>0</v>
      </c>
      <c r="R446" s="207">
        <f t="shared" si="58"/>
        <v>0</v>
      </c>
      <c r="S446" s="207">
        <f t="shared" si="59"/>
        <v>0</v>
      </c>
    </row>
    <row r="447" spans="11:19" ht="14.1" customHeight="1" x14ac:dyDescent="0.2">
      <c r="K447" s="186" t="str">
        <f t="shared" si="52"/>
        <v>PM_0</v>
      </c>
      <c r="L447" s="186">
        <f t="shared" si="53"/>
        <v>0</v>
      </c>
      <c r="M447" s="186">
        <f t="shared" si="54"/>
        <v>0</v>
      </c>
      <c r="N447" s="186">
        <f t="shared" si="55"/>
        <v>0</v>
      </c>
      <c r="P447" s="207" t="str">
        <f t="shared" si="56"/>
        <v>PM_0</v>
      </c>
      <c r="Q447" s="273">
        <f t="shared" si="57"/>
        <v>0</v>
      </c>
      <c r="R447" s="207">
        <f t="shared" si="58"/>
        <v>0</v>
      </c>
      <c r="S447" s="207">
        <f t="shared" si="59"/>
        <v>0</v>
      </c>
    </row>
    <row r="448" spans="11:19" ht="14.1" customHeight="1" x14ac:dyDescent="0.2">
      <c r="K448" s="186" t="str">
        <f t="shared" si="52"/>
        <v>PM_0</v>
      </c>
      <c r="L448" s="186">
        <f t="shared" si="53"/>
        <v>0</v>
      </c>
      <c r="M448" s="186">
        <f t="shared" si="54"/>
        <v>0</v>
      </c>
      <c r="N448" s="186">
        <f t="shared" si="55"/>
        <v>0</v>
      </c>
      <c r="P448" s="207" t="str">
        <f t="shared" si="56"/>
        <v>PM_0</v>
      </c>
      <c r="Q448" s="273">
        <f t="shared" si="57"/>
        <v>0</v>
      </c>
      <c r="R448" s="207">
        <f t="shared" si="58"/>
        <v>0</v>
      </c>
      <c r="S448" s="207">
        <f t="shared" si="59"/>
        <v>0</v>
      </c>
    </row>
    <row r="449" spans="11:19" ht="14.1" customHeight="1" x14ac:dyDescent="0.2">
      <c r="K449" s="186" t="str">
        <f t="shared" si="52"/>
        <v>PM_0</v>
      </c>
      <c r="L449" s="186">
        <f t="shared" si="53"/>
        <v>0</v>
      </c>
      <c r="M449" s="186">
        <f t="shared" si="54"/>
        <v>0</v>
      </c>
      <c r="N449" s="186">
        <f t="shared" si="55"/>
        <v>0</v>
      </c>
      <c r="P449" s="207" t="str">
        <f t="shared" si="56"/>
        <v>PM_0</v>
      </c>
      <c r="Q449" s="273">
        <f t="shared" si="57"/>
        <v>0</v>
      </c>
      <c r="R449" s="207">
        <f t="shared" si="58"/>
        <v>0</v>
      </c>
      <c r="S449" s="207">
        <f t="shared" si="59"/>
        <v>0</v>
      </c>
    </row>
    <row r="450" spans="11:19" ht="14.1" customHeight="1" x14ac:dyDescent="0.2">
      <c r="K450" s="186" t="str">
        <f t="shared" si="52"/>
        <v>PM_0</v>
      </c>
      <c r="L450" s="186">
        <f t="shared" si="53"/>
        <v>0</v>
      </c>
      <c r="M450" s="186">
        <f t="shared" si="54"/>
        <v>0</v>
      </c>
      <c r="N450" s="186">
        <f t="shared" si="55"/>
        <v>0</v>
      </c>
      <c r="P450" s="207" t="str">
        <f t="shared" si="56"/>
        <v>PM_0</v>
      </c>
      <c r="Q450" s="273">
        <f t="shared" si="57"/>
        <v>0</v>
      </c>
      <c r="R450" s="207">
        <f t="shared" si="58"/>
        <v>0</v>
      </c>
      <c r="S450" s="207">
        <f t="shared" si="59"/>
        <v>0</v>
      </c>
    </row>
    <row r="451" spans="11:19" ht="14.1" customHeight="1" x14ac:dyDescent="0.2">
      <c r="K451" s="186" t="str">
        <f t="shared" si="52"/>
        <v>PM_0</v>
      </c>
      <c r="L451" s="186">
        <f t="shared" si="53"/>
        <v>0</v>
      </c>
      <c r="M451" s="186">
        <f t="shared" si="54"/>
        <v>0</v>
      </c>
      <c r="N451" s="186">
        <f t="shared" si="55"/>
        <v>0</v>
      </c>
      <c r="P451" s="207" t="str">
        <f t="shared" si="56"/>
        <v>PM_0</v>
      </c>
      <c r="Q451" s="273">
        <f t="shared" si="57"/>
        <v>0</v>
      </c>
      <c r="R451" s="207">
        <f t="shared" si="58"/>
        <v>0</v>
      </c>
      <c r="S451" s="207">
        <f t="shared" si="59"/>
        <v>0</v>
      </c>
    </row>
    <row r="452" spans="11:19" ht="14.1" customHeight="1" x14ac:dyDescent="0.2">
      <c r="K452" s="186" t="str">
        <f t="shared" si="52"/>
        <v>PM_0</v>
      </c>
      <c r="L452" s="186">
        <f t="shared" si="53"/>
        <v>0</v>
      </c>
      <c r="M452" s="186">
        <f t="shared" si="54"/>
        <v>0</v>
      </c>
      <c r="N452" s="186">
        <f t="shared" si="55"/>
        <v>0</v>
      </c>
      <c r="P452" s="207" t="str">
        <f t="shared" si="56"/>
        <v>PM_0</v>
      </c>
      <c r="Q452" s="273">
        <f t="shared" si="57"/>
        <v>0</v>
      </c>
      <c r="R452" s="207">
        <f t="shared" si="58"/>
        <v>0</v>
      </c>
      <c r="S452" s="207">
        <f t="shared" si="59"/>
        <v>0</v>
      </c>
    </row>
    <row r="453" spans="11:19" ht="14.1" customHeight="1" x14ac:dyDescent="0.2">
      <c r="K453" s="186" t="str">
        <f t="shared" si="52"/>
        <v>PM_0</v>
      </c>
      <c r="L453" s="186">
        <f t="shared" si="53"/>
        <v>0</v>
      </c>
      <c r="M453" s="186">
        <f t="shared" si="54"/>
        <v>0</v>
      </c>
      <c r="N453" s="186">
        <f t="shared" si="55"/>
        <v>0</v>
      </c>
      <c r="P453" s="207" t="str">
        <f t="shared" si="56"/>
        <v>PM_0</v>
      </c>
      <c r="Q453" s="273">
        <f t="shared" si="57"/>
        <v>0</v>
      </c>
      <c r="R453" s="207">
        <f t="shared" si="58"/>
        <v>0</v>
      </c>
      <c r="S453" s="207">
        <f t="shared" si="59"/>
        <v>0</v>
      </c>
    </row>
    <row r="454" spans="11:19" ht="14.1" customHeight="1" x14ac:dyDescent="0.2">
      <c r="K454" s="186" t="str">
        <f t="shared" si="52"/>
        <v>PM_0</v>
      </c>
      <c r="L454" s="186">
        <f t="shared" si="53"/>
        <v>0</v>
      </c>
      <c r="M454" s="186">
        <f t="shared" si="54"/>
        <v>0</v>
      </c>
      <c r="N454" s="186">
        <f t="shared" si="55"/>
        <v>0</v>
      </c>
      <c r="P454" s="207" t="str">
        <f t="shared" si="56"/>
        <v>PM_0</v>
      </c>
      <c r="Q454" s="273">
        <f t="shared" si="57"/>
        <v>0</v>
      </c>
      <c r="R454" s="207">
        <f t="shared" si="58"/>
        <v>0</v>
      </c>
      <c r="S454" s="207">
        <f t="shared" si="59"/>
        <v>0</v>
      </c>
    </row>
    <row r="455" spans="11:19" ht="14.1" customHeight="1" x14ac:dyDescent="0.2">
      <c r="K455" s="186" t="str">
        <f t="shared" si="52"/>
        <v>PM_0</v>
      </c>
      <c r="L455" s="186">
        <f t="shared" si="53"/>
        <v>0</v>
      </c>
      <c r="M455" s="186">
        <f t="shared" si="54"/>
        <v>0</v>
      </c>
      <c r="N455" s="186">
        <f t="shared" si="55"/>
        <v>0</v>
      </c>
      <c r="P455" s="207" t="str">
        <f t="shared" si="56"/>
        <v>PM_0</v>
      </c>
      <c r="Q455" s="273">
        <f t="shared" si="57"/>
        <v>0</v>
      </c>
      <c r="R455" s="207">
        <f t="shared" si="58"/>
        <v>0</v>
      </c>
      <c r="S455" s="207">
        <f t="shared" si="59"/>
        <v>0</v>
      </c>
    </row>
    <row r="456" spans="11:19" ht="14.1" customHeight="1" x14ac:dyDescent="0.2">
      <c r="K456" s="186" t="str">
        <f t="shared" si="52"/>
        <v>PM_0</v>
      </c>
      <c r="L456" s="186">
        <f t="shared" si="53"/>
        <v>0</v>
      </c>
      <c r="M456" s="186">
        <f t="shared" si="54"/>
        <v>0</v>
      </c>
      <c r="N456" s="186">
        <f t="shared" si="55"/>
        <v>0</v>
      </c>
      <c r="P456" s="207" t="str">
        <f t="shared" si="56"/>
        <v>PM_0</v>
      </c>
      <c r="Q456" s="273">
        <f t="shared" si="57"/>
        <v>0</v>
      </c>
      <c r="R456" s="207">
        <f t="shared" si="58"/>
        <v>0</v>
      </c>
      <c r="S456" s="207">
        <f t="shared" si="59"/>
        <v>0</v>
      </c>
    </row>
    <row r="457" spans="11:19" ht="14.1" customHeight="1" x14ac:dyDescent="0.2">
      <c r="K457" s="186" t="str">
        <f t="shared" si="52"/>
        <v>PM_0</v>
      </c>
      <c r="L457" s="186">
        <f t="shared" si="53"/>
        <v>0</v>
      </c>
      <c r="M457" s="186">
        <f t="shared" si="54"/>
        <v>0</v>
      </c>
      <c r="N457" s="186">
        <f t="shared" si="55"/>
        <v>0</v>
      </c>
      <c r="P457" s="207" t="str">
        <f t="shared" si="56"/>
        <v>PM_0</v>
      </c>
      <c r="Q457" s="273">
        <f t="shared" si="57"/>
        <v>0</v>
      </c>
      <c r="R457" s="207">
        <f t="shared" si="58"/>
        <v>0</v>
      </c>
      <c r="S457" s="207">
        <f t="shared" si="59"/>
        <v>0</v>
      </c>
    </row>
    <row r="458" spans="11:19" ht="14.1" customHeight="1" x14ac:dyDescent="0.2">
      <c r="K458" s="186" t="str">
        <f t="shared" si="52"/>
        <v>PM_0</v>
      </c>
      <c r="L458" s="186">
        <f t="shared" si="53"/>
        <v>0</v>
      </c>
      <c r="M458" s="186">
        <f t="shared" si="54"/>
        <v>0</v>
      </c>
      <c r="N458" s="186">
        <f t="shared" si="55"/>
        <v>0</v>
      </c>
      <c r="P458" s="207" t="str">
        <f t="shared" si="56"/>
        <v>PM_0</v>
      </c>
      <c r="Q458" s="273">
        <f t="shared" si="57"/>
        <v>0</v>
      </c>
      <c r="R458" s="207">
        <f t="shared" si="58"/>
        <v>0</v>
      </c>
      <c r="S458" s="207">
        <f t="shared" si="59"/>
        <v>0</v>
      </c>
    </row>
    <row r="459" spans="11:19" ht="14.1" customHeight="1" x14ac:dyDescent="0.2">
      <c r="K459" s="186" t="str">
        <f t="shared" ref="K459:K522" si="60">"PM_"&amp;ROUND(E459,2)</f>
        <v>PM_0</v>
      </c>
      <c r="L459" s="186">
        <f t="shared" ref="L459:L522" si="61">F459</f>
        <v>0</v>
      </c>
      <c r="M459" s="186">
        <f t="shared" ref="M459:M522" si="62">G459</f>
        <v>0</v>
      </c>
      <c r="N459" s="186">
        <f t="shared" ref="N459:N522" si="63">H459</f>
        <v>0</v>
      </c>
      <c r="P459" s="207" t="str">
        <f t="shared" ref="P459:P522" si="64">K459</f>
        <v>PM_0</v>
      </c>
      <c r="Q459" s="273">
        <f t="shared" ref="Q459:Q522" si="65">$S$1+E459</f>
        <v>0</v>
      </c>
      <c r="R459" s="207">
        <f t="shared" ref="R459:R522" si="66">H459</f>
        <v>0</v>
      </c>
      <c r="S459" s="207">
        <f t="shared" ref="S459:S522" si="67">$B$6</f>
        <v>0</v>
      </c>
    </row>
    <row r="460" spans="11:19" ht="14.1" customHeight="1" x14ac:dyDescent="0.2">
      <c r="K460" s="186" t="str">
        <f t="shared" si="60"/>
        <v>PM_0</v>
      </c>
      <c r="L460" s="186">
        <f t="shared" si="61"/>
        <v>0</v>
      </c>
      <c r="M460" s="186">
        <f t="shared" si="62"/>
        <v>0</v>
      </c>
      <c r="N460" s="186">
        <f t="shared" si="63"/>
        <v>0</v>
      </c>
      <c r="P460" s="207" t="str">
        <f t="shared" si="64"/>
        <v>PM_0</v>
      </c>
      <c r="Q460" s="273">
        <f t="shared" si="65"/>
        <v>0</v>
      </c>
      <c r="R460" s="207">
        <f t="shared" si="66"/>
        <v>0</v>
      </c>
      <c r="S460" s="207">
        <f t="shared" si="67"/>
        <v>0</v>
      </c>
    </row>
    <row r="461" spans="11:19" ht="14.1" customHeight="1" x14ac:dyDescent="0.2">
      <c r="K461" s="186" t="str">
        <f t="shared" si="60"/>
        <v>PM_0</v>
      </c>
      <c r="L461" s="186">
        <f t="shared" si="61"/>
        <v>0</v>
      </c>
      <c r="M461" s="186">
        <f t="shared" si="62"/>
        <v>0</v>
      </c>
      <c r="N461" s="186">
        <f t="shared" si="63"/>
        <v>0</v>
      </c>
      <c r="P461" s="207" t="str">
        <f t="shared" si="64"/>
        <v>PM_0</v>
      </c>
      <c r="Q461" s="273">
        <f t="shared" si="65"/>
        <v>0</v>
      </c>
      <c r="R461" s="207">
        <f t="shared" si="66"/>
        <v>0</v>
      </c>
      <c r="S461" s="207">
        <f t="shared" si="67"/>
        <v>0</v>
      </c>
    </row>
    <row r="462" spans="11:19" ht="14.1" customHeight="1" x14ac:dyDescent="0.2">
      <c r="K462" s="186" t="str">
        <f t="shared" si="60"/>
        <v>PM_0</v>
      </c>
      <c r="L462" s="186">
        <f t="shared" si="61"/>
        <v>0</v>
      </c>
      <c r="M462" s="186">
        <f t="shared" si="62"/>
        <v>0</v>
      </c>
      <c r="N462" s="186">
        <f t="shared" si="63"/>
        <v>0</v>
      </c>
      <c r="P462" s="207" t="str">
        <f t="shared" si="64"/>
        <v>PM_0</v>
      </c>
      <c r="Q462" s="273">
        <f t="shared" si="65"/>
        <v>0</v>
      </c>
      <c r="R462" s="207">
        <f t="shared" si="66"/>
        <v>0</v>
      </c>
      <c r="S462" s="207">
        <f t="shared" si="67"/>
        <v>0</v>
      </c>
    </row>
    <row r="463" spans="11:19" ht="14.1" customHeight="1" x14ac:dyDescent="0.2">
      <c r="K463" s="186" t="str">
        <f t="shared" si="60"/>
        <v>PM_0</v>
      </c>
      <c r="L463" s="186">
        <f t="shared" si="61"/>
        <v>0</v>
      </c>
      <c r="M463" s="186">
        <f t="shared" si="62"/>
        <v>0</v>
      </c>
      <c r="N463" s="186">
        <f t="shared" si="63"/>
        <v>0</v>
      </c>
      <c r="P463" s="207" t="str">
        <f t="shared" si="64"/>
        <v>PM_0</v>
      </c>
      <c r="Q463" s="273">
        <f t="shared" si="65"/>
        <v>0</v>
      </c>
      <c r="R463" s="207">
        <f t="shared" si="66"/>
        <v>0</v>
      </c>
      <c r="S463" s="207">
        <f t="shared" si="67"/>
        <v>0</v>
      </c>
    </row>
    <row r="464" spans="11:19" ht="14.1" customHeight="1" x14ac:dyDescent="0.2">
      <c r="K464" s="186" t="str">
        <f t="shared" si="60"/>
        <v>PM_0</v>
      </c>
      <c r="L464" s="186">
        <f t="shared" si="61"/>
        <v>0</v>
      </c>
      <c r="M464" s="186">
        <f t="shared" si="62"/>
        <v>0</v>
      </c>
      <c r="N464" s="186">
        <f t="shared" si="63"/>
        <v>0</v>
      </c>
      <c r="P464" s="207" t="str">
        <f t="shared" si="64"/>
        <v>PM_0</v>
      </c>
      <c r="Q464" s="273">
        <f t="shared" si="65"/>
        <v>0</v>
      </c>
      <c r="R464" s="207">
        <f t="shared" si="66"/>
        <v>0</v>
      </c>
      <c r="S464" s="207">
        <f t="shared" si="67"/>
        <v>0</v>
      </c>
    </row>
    <row r="465" spans="11:19" ht="14.1" customHeight="1" x14ac:dyDescent="0.2">
      <c r="K465" s="186" t="str">
        <f t="shared" si="60"/>
        <v>PM_0</v>
      </c>
      <c r="L465" s="186">
        <f t="shared" si="61"/>
        <v>0</v>
      </c>
      <c r="M465" s="186">
        <f t="shared" si="62"/>
        <v>0</v>
      </c>
      <c r="N465" s="186">
        <f t="shared" si="63"/>
        <v>0</v>
      </c>
      <c r="P465" s="207" t="str">
        <f t="shared" si="64"/>
        <v>PM_0</v>
      </c>
      <c r="Q465" s="273">
        <f t="shared" si="65"/>
        <v>0</v>
      </c>
      <c r="R465" s="207">
        <f t="shared" si="66"/>
        <v>0</v>
      </c>
      <c r="S465" s="207">
        <f t="shared" si="67"/>
        <v>0</v>
      </c>
    </row>
    <row r="466" spans="11:19" ht="14.1" customHeight="1" x14ac:dyDescent="0.2">
      <c r="K466" s="186" t="str">
        <f t="shared" si="60"/>
        <v>PM_0</v>
      </c>
      <c r="L466" s="186">
        <f t="shared" si="61"/>
        <v>0</v>
      </c>
      <c r="M466" s="186">
        <f t="shared" si="62"/>
        <v>0</v>
      </c>
      <c r="N466" s="186">
        <f t="shared" si="63"/>
        <v>0</v>
      </c>
      <c r="P466" s="207" t="str">
        <f t="shared" si="64"/>
        <v>PM_0</v>
      </c>
      <c r="Q466" s="273">
        <f t="shared" si="65"/>
        <v>0</v>
      </c>
      <c r="R466" s="207">
        <f t="shared" si="66"/>
        <v>0</v>
      </c>
      <c r="S466" s="207">
        <f t="shared" si="67"/>
        <v>0</v>
      </c>
    </row>
    <row r="467" spans="11:19" ht="14.1" customHeight="1" x14ac:dyDescent="0.2">
      <c r="K467" s="186" t="str">
        <f t="shared" si="60"/>
        <v>PM_0</v>
      </c>
      <c r="L467" s="186">
        <f t="shared" si="61"/>
        <v>0</v>
      </c>
      <c r="M467" s="186">
        <f t="shared" si="62"/>
        <v>0</v>
      </c>
      <c r="N467" s="186">
        <f t="shared" si="63"/>
        <v>0</v>
      </c>
      <c r="P467" s="207" t="str">
        <f t="shared" si="64"/>
        <v>PM_0</v>
      </c>
      <c r="Q467" s="273">
        <f t="shared" si="65"/>
        <v>0</v>
      </c>
      <c r="R467" s="207">
        <f t="shared" si="66"/>
        <v>0</v>
      </c>
      <c r="S467" s="207">
        <f t="shared" si="67"/>
        <v>0</v>
      </c>
    </row>
    <row r="468" spans="11:19" ht="14.1" customHeight="1" x14ac:dyDescent="0.2">
      <c r="K468" s="186" t="str">
        <f t="shared" si="60"/>
        <v>PM_0</v>
      </c>
      <c r="L468" s="186">
        <f t="shared" si="61"/>
        <v>0</v>
      </c>
      <c r="M468" s="186">
        <f t="shared" si="62"/>
        <v>0</v>
      </c>
      <c r="N468" s="186">
        <f t="shared" si="63"/>
        <v>0</v>
      </c>
      <c r="P468" s="207" t="str">
        <f t="shared" si="64"/>
        <v>PM_0</v>
      </c>
      <c r="Q468" s="273">
        <f t="shared" si="65"/>
        <v>0</v>
      </c>
      <c r="R468" s="207">
        <f t="shared" si="66"/>
        <v>0</v>
      </c>
      <c r="S468" s="207">
        <f t="shared" si="67"/>
        <v>0</v>
      </c>
    </row>
    <row r="469" spans="11:19" ht="14.1" customHeight="1" x14ac:dyDescent="0.2">
      <c r="K469" s="186" t="str">
        <f t="shared" si="60"/>
        <v>PM_0</v>
      </c>
      <c r="L469" s="186">
        <f t="shared" si="61"/>
        <v>0</v>
      </c>
      <c r="M469" s="186">
        <f t="shared" si="62"/>
        <v>0</v>
      </c>
      <c r="N469" s="186">
        <f t="shared" si="63"/>
        <v>0</v>
      </c>
      <c r="P469" s="207" t="str">
        <f t="shared" si="64"/>
        <v>PM_0</v>
      </c>
      <c r="Q469" s="273">
        <f t="shared" si="65"/>
        <v>0</v>
      </c>
      <c r="R469" s="207">
        <f t="shared" si="66"/>
        <v>0</v>
      </c>
      <c r="S469" s="207">
        <f t="shared" si="67"/>
        <v>0</v>
      </c>
    </row>
    <row r="470" spans="11:19" ht="14.1" customHeight="1" x14ac:dyDescent="0.2">
      <c r="K470" s="186" t="str">
        <f t="shared" si="60"/>
        <v>PM_0</v>
      </c>
      <c r="L470" s="186">
        <f t="shared" si="61"/>
        <v>0</v>
      </c>
      <c r="M470" s="186">
        <f t="shared" si="62"/>
        <v>0</v>
      </c>
      <c r="N470" s="186">
        <f t="shared" si="63"/>
        <v>0</v>
      </c>
      <c r="P470" s="207" t="str">
        <f t="shared" si="64"/>
        <v>PM_0</v>
      </c>
      <c r="Q470" s="273">
        <f t="shared" si="65"/>
        <v>0</v>
      </c>
      <c r="R470" s="207">
        <f t="shared" si="66"/>
        <v>0</v>
      </c>
      <c r="S470" s="207">
        <f t="shared" si="67"/>
        <v>0</v>
      </c>
    </row>
    <row r="471" spans="11:19" ht="14.1" customHeight="1" x14ac:dyDescent="0.2">
      <c r="K471" s="186" t="str">
        <f t="shared" si="60"/>
        <v>PM_0</v>
      </c>
      <c r="L471" s="186">
        <f t="shared" si="61"/>
        <v>0</v>
      </c>
      <c r="M471" s="186">
        <f t="shared" si="62"/>
        <v>0</v>
      </c>
      <c r="N471" s="186">
        <f t="shared" si="63"/>
        <v>0</v>
      </c>
      <c r="P471" s="207" t="str">
        <f t="shared" si="64"/>
        <v>PM_0</v>
      </c>
      <c r="Q471" s="273">
        <f t="shared" si="65"/>
        <v>0</v>
      </c>
      <c r="R471" s="207">
        <f t="shared" si="66"/>
        <v>0</v>
      </c>
      <c r="S471" s="207">
        <f t="shared" si="67"/>
        <v>0</v>
      </c>
    </row>
    <row r="472" spans="11:19" ht="14.1" customHeight="1" x14ac:dyDescent="0.2">
      <c r="K472" s="186" t="str">
        <f t="shared" si="60"/>
        <v>PM_0</v>
      </c>
      <c r="L472" s="186">
        <f t="shared" si="61"/>
        <v>0</v>
      </c>
      <c r="M472" s="186">
        <f t="shared" si="62"/>
        <v>0</v>
      </c>
      <c r="N472" s="186">
        <f t="shared" si="63"/>
        <v>0</v>
      </c>
      <c r="P472" s="207" t="str">
        <f t="shared" si="64"/>
        <v>PM_0</v>
      </c>
      <c r="Q472" s="273">
        <f t="shared" si="65"/>
        <v>0</v>
      </c>
      <c r="R472" s="207">
        <f t="shared" si="66"/>
        <v>0</v>
      </c>
      <c r="S472" s="207">
        <f t="shared" si="67"/>
        <v>0</v>
      </c>
    </row>
    <row r="473" spans="11:19" ht="14.1" customHeight="1" x14ac:dyDescent="0.2">
      <c r="K473" s="186" t="str">
        <f t="shared" si="60"/>
        <v>PM_0</v>
      </c>
      <c r="L473" s="186">
        <f t="shared" si="61"/>
        <v>0</v>
      </c>
      <c r="M473" s="186">
        <f t="shared" si="62"/>
        <v>0</v>
      </c>
      <c r="N473" s="186">
        <f t="shared" si="63"/>
        <v>0</v>
      </c>
      <c r="P473" s="207" t="str">
        <f t="shared" si="64"/>
        <v>PM_0</v>
      </c>
      <c r="Q473" s="273">
        <f t="shared" si="65"/>
        <v>0</v>
      </c>
      <c r="R473" s="207">
        <f t="shared" si="66"/>
        <v>0</v>
      </c>
      <c r="S473" s="207">
        <f t="shared" si="67"/>
        <v>0</v>
      </c>
    </row>
    <row r="474" spans="11:19" ht="14.1" customHeight="1" x14ac:dyDescent="0.2">
      <c r="K474" s="186" t="str">
        <f t="shared" si="60"/>
        <v>PM_0</v>
      </c>
      <c r="L474" s="186">
        <f t="shared" si="61"/>
        <v>0</v>
      </c>
      <c r="M474" s="186">
        <f t="shared" si="62"/>
        <v>0</v>
      </c>
      <c r="N474" s="186">
        <f t="shared" si="63"/>
        <v>0</v>
      </c>
      <c r="P474" s="207" t="str">
        <f t="shared" si="64"/>
        <v>PM_0</v>
      </c>
      <c r="Q474" s="273">
        <f t="shared" si="65"/>
        <v>0</v>
      </c>
      <c r="R474" s="207">
        <f t="shared" si="66"/>
        <v>0</v>
      </c>
      <c r="S474" s="207">
        <f t="shared" si="67"/>
        <v>0</v>
      </c>
    </row>
    <row r="475" spans="11:19" ht="14.1" customHeight="1" x14ac:dyDescent="0.2">
      <c r="K475" s="186" t="str">
        <f t="shared" si="60"/>
        <v>PM_0</v>
      </c>
      <c r="L475" s="186">
        <f t="shared" si="61"/>
        <v>0</v>
      </c>
      <c r="M475" s="186">
        <f t="shared" si="62"/>
        <v>0</v>
      </c>
      <c r="N475" s="186">
        <f t="shared" si="63"/>
        <v>0</v>
      </c>
      <c r="P475" s="207" t="str">
        <f t="shared" si="64"/>
        <v>PM_0</v>
      </c>
      <c r="Q475" s="273">
        <f t="shared" si="65"/>
        <v>0</v>
      </c>
      <c r="R475" s="207">
        <f t="shared" si="66"/>
        <v>0</v>
      </c>
      <c r="S475" s="207">
        <f t="shared" si="67"/>
        <v>0</v>
      </c>
    </row>
    <row r="476" spans="11:19" ht="14.1" customHeight="1" x14ac:dyDescent="0.2">
      <c r="K476" s="186" t="str">
        <f t="shared" si="60"/>
        <v>PM_0</v>
      </c>
      <c r="L476" s="186">
        <f t="shared" si="61"/>
        <v>0</v>
      </c>
      <c r="M476" s="186">
        <f t="shared" si="62"/>
        <v>0</v>
      </c>
      <c r="N476" s="186">
        <f t="shared" si="63"/>
        <v>0</v>
      </c>
      <c r="P476" s="207" t="str">
        <f t="shared" si="64"/>
        <v>PM_0</v>
      </c>
      <c r="Q476" s="273">
        <f t="shared" si="65"/>
        <v>0</v>
      </c>
      <c r="R476" s="207">
        <f t="shared" si="66"/>
        <v>0</v>
      </c>
      <c r="S476" s="207">
        <f t="shared" si="67"/>
        <v>0</v>
      </c>
    </row>
    <row r="477" spans="11:19" ht="14.1" customHeight="1" x14ac:dyDescent="0.2">
      <c r="K477" s="186" t="str">
        <f t="shared" si="60"/>
        <v>PM_0</v>
      </c>
      <c r="L477" s="186">
        <f t="shared" si="61"/>
        <v>0</v>
      </c>
      <c r="M477" s="186">
        <f t="shared" si="62"/>
        <v>0</v>
      </c>
      <c r="N477" s="186">
        <f t="shared" si="63"/>
        <v>0</v>
      </c>
      <c r="P477" s="207" t="str">
        <f t="shared" si="64"/>
        <v>PM_0</v>
      </c>
      <c r="Q477" s="273">
        <f t="shared" si="65"/>
        <v>0</v>
      </c>
      <c r="R477" s="207">
        <f t="shared" si="66"/>
        <v>0</v>
      </c>
      <c r="S477" s="207">
        <f t="shared" si="67"/>
        <v>0</v>
      </c>
    </row>
    <row r="478" spans="11:19" ht="14.1" customHeight="1" x14ac:dyDescent="0.2">
      <c r="K478" s="186" t="str">
        <f t="shared" si="60"/>
        <v>PM_0</v>
      </c>
      <c r="L478" s="186">
        <f t="shared" si="61"/>
        <v>0</v>
      </c>
      <c r="M478" s="186">
        <f t="shared" si="62"/>
        <v>0</v>
      </c>
      <c r="N478" s="186">
        <f t="shared" si="63"/>
        <v>0</v>
      </c>
      <c r="P478" s="207" t="str">
        <f t="shared" si="64"/>
        <v>PM_0</v>
      </c>
      <c r="Q478" s="273">
        <f t="shared" si="65"/>
        <v>0</v>
      </c>
      <c r="R478" s="207">
        <f t="shared" si="66"/>
        <v>0</v>
      </c>
      <c r="S478" s="207">
        <f t="shared" si="67"/>
        <v>0</v>
      </c>
    </row>
    <row r="479" spans="11:19" ht="14.1" customHeight="1" x14ac:dyDescent="0.2">
      <c r="K479" s="186" t="str">
        <f t="shared" si="60"/>
        <v>PM_0</v>
      </c>
      <c r="L479" s="186">
        <f t="shared" si="61"/>
        <v>0</v>
      </c>
      <c r="M479" s="186">
        <f t="shared" si="62"/>
        <v>0</v>
      </c>
      <c r="N479" s="186">
        <f t="shared" si="63"/>
        <v>0</v>
      </c>
      <c r="P479" s="207" t="str">
        <f t="shared" si="64"/>
        <v>PM_0</v>
      </c>
      <c r="Q479" s="273">
        <f t="shared" si="65"/>
        <v>0</v>
      </c>
      <c r="R479" s="207">
        <f t="shared" si="66"/>
        <v>0</v>
      </c>
      <c r="S479" s="207">
        <f t="shared" si="67"/>
        <v>0</v>
      </c>
    </row>
    <row r="480" spans="11:19" ht="14.1" customHeight="1" x14ac:dyDescent="0.2">
      <c r="K480" s="186" t="str">
        <f t="shared" si="60"/>
        <v>PM_0</v>
      </c>
      <c r="L480" s="186">
        <f t="shared" si="61"/>
        <v>0</v>
      </c>
      <c r="M480" s="186">
        <f t="shared" si="62"/>
        <v>0</v>
      </c>
      <c r="N480" s="186">
        <f t="shared" si="63"/>
        <v>0</v>
      </c>
      <c r="P480" s="207" t="str">
        <f t="shared" si="64"/>
        <v>PM_0</v>
      </c>
      <c r="Q480" s="273">
        <f t="shared" si="65"/>
        <v>0</v>
      </c>
      <c r="R480" s="207">
        <f t="shared" si="66"/>
        <v>0</v>
      </c>
      <c r="S480" s="207">
        <f t="shared" si="67"/>
        <v>0</v>
      </c>
    </row>
    <row r="481" spans="11:19" ht="14.1" customHeight="1" x14ac:dyDescent="0.2">
      <c r="K481" s="186" t="str">
        <f t="shared" si="60"/>
        <v>PM_0</v>
      </c>
      <c r="L481" s="186">
        <f t="shared" si="61"/>
        <v>0</v>
      </c>
      <c r="M481" s="186">
        <f t="shared" si="62"/>
        <v>0</v>
      </c>
      <c r="N481" s="186">
        <f t="shared" si="63"/>
        <v>0</v>
      </c>
      <c r="P481" s="207" t="str">
        <f t="shared" si="64"/>
        <v>PM_0</v>
      </c>
      <c r="Q481" s="273">
        <f t="shared" si="65"/>
        <v>0</v>
      </c>
      <c r="R481" s="207">
        <f t="shared" si="66"/>
        <v>0</v>
      </c>
      <c r="S481" s="207">
        <f t="shared" si="67"/>
        <v>0</v>
      </c>
    </row>
    <row r="482" spans="11:19" ht="14.1" customHeight="1" x14ac:dyDescent="0.2">
      <c r="K482" s="186" t="str">
        <f t="shared" si="60"/>
        <v>PM_0</v>
      </c>
      <c r="L482" s="186">
        <f t="shared" si="61"/>
        <v>0</v>
      </c>
      <c r="M482" s="186">
        <f t="shared" si="62"/>
        <v>0</v>
      </c>
      <c r="N482" s="186">
        <f t="shared" si="63"/>
        <v>0</v>
      </c>
      <c r="P482" s="207" t="str">
        <f t="shared" si="64"/>
        <v>PM_0</v>
      </c>
      <c r="Q482" s="273">
        <f t="shared" si="65"/>
        <v>0</v>
      </c>
      <c r="R482" s="207">
        <f t="shared" si="66"/>
        <v>0</v>
      </c>
      <c r="S482" s="207">
        <f t="shared" si="67"/>
        <v>0</v>
      </c>
    </row>
    <row r="483" spans="11:19" ht="14.1" customHeight="1" x14ac:dyDescent="0.2">
      <c r="K483" s="186" t="str">
        <f t="shared" si="60"/>
        <v>PM_0</v>
      </c>
      <c r="L483" s="186">
        <f t="shared" si="61"/>
        <v>0</v>
      </c>
      <c r="M483" s="186">
        <f t="shared" si="62"/>
        <v>0</v>
      </c>
      <c r="N483" s="186">
        <f t="shared" si="63"/>
        <v>0</v>
      </c>
      <c r="P483" s="207" t="str">
        <f t="shared" si="64"/>
        <v>PM_0</v>
      </c>
      <c r="Q483" s="273">
        <f t="shared" si="65"/>
        <v>0</v>
      </c>
      <c r="R483" s="207">
        <f t="shared" si="66"/>
        <v>0</v>
      </c>
      <c r="S483" s="207">
        <f t="shared" si="67"/>
        <v>0</v>
      </c>
    </row>
    <row r="484" spans="11:19" ht="14.1" customHeight="1" x14ac:dyDescent="0.2">
      <c r="K484" s="186" t="str">
        <f t="shared" si="60"/>
        <v>PM_0</v>
      </c>
      <c r="L484" s="186">
        <f t="shared" si="61"/>
        <v>0</v>
      </c>
      <c r="M484" s="186">
        <f t="shared" si="62"/>
        <v>0</v>
      </c>
      <c r="N484" s="186">
        <f t="shared" si="63"/>
        <v>0</v>
      </c>
      <c r="P484" s="207" t="str">
        <f t="shared" si="64"/>
        <v>PM_0</v>
      </c>
      <c r="Q484" s="273">
        <f t="shared" si="65"/>
        <v>0</v>
      </c>
      <c r="R484" s="207">
        <f t="shared" si="66"/>
        <v>0</v>
      </c>
      <c r="S484" s="207">
        <f t="shared" si="67"/>
        <v>0</v>
      </c>
    </row>
    <row r="485" spans="11:19" ht="14.1" customHeight="1" x14ac:dyDescent="0.2">
      <c r="K485" s="186" t="str">
        <f t="shared" si="60"/>
        <v>PM_0</v>
      </c>
      <c r="L485" s="186">
        <f t="shared" si="61"/>
        <v>0</v>
      </c>
      <c r="M485" s="186">
        <f t="shared" si="62"/>
        <v>0</v>
      </c>
      <c r="N485" s="186">
        <f t="shared" si="63"/>
        <v>0</v>
      </c>
      <c r="P485" s="207" t="str">
        <f t="shared" si="64"/>
        <v>PM_0</v>
      </c>
      <c r="Q485" s="273">
        <f t="shared" si="65"/>
        <v>0</v>
      </c>
      <c r="R485" s="207">
        <f t="shared" si="66"/>
        <v>0</v>
      </c>
      <c r="S485" s="207">
        <f t="shared" si="67"/>
        <v>0</v>
      </c>
    </row>
    <row r="486" spans="11:19" ht="14.1" customHeight="1" x14ac:dyDescent="0.2">
      <c r="K486" s="186" t="str">
        <f t="shared" si="60"/>
        <v>PM_0</v>
      </c>
      <c r="L486" s="186">
        <f t="shared" si="61"/>
        <v>0</v>
      </c>
      <c r="M486" s="186">
        <f t="shared" si="62"/>
        <v>0</v>
      </c>
      <c r="N486" s="186">
        <f t="shared" si="63"/>
        <v>0</v>
      </c>
      <c r="P486" s="207" t="str">
        <f t="shared" si="64"/>
        <v>PM_0</v>
      </c>
      <c r="Q486" s="273">
        <f t="shared" si="65"/>
        <v>0</v>
      </c>
      <c r="R486" s="207">
        <f t="shared" si="66"/>
        <v>0</v>
      </c>
      <c r="S486" s="207">
        <f t="shared" si="67"/>
        <v>0</v>
      </c>
    </row>
    <row r="487" spans="11:19" ht="14.1" customHeight="1" x14ac:dyDescent="0.2">
      <c r="K487" s="186" t="str">
        <f t="shared" si="60"/>
        <v>PM_0</v>
      </c>
      <c r="L487" s="186">
        <f t="shared" si="61"/>
        <v>0</v>
      </c>
      <c r="M487" s="186">
        <f t="shared" si="62"/>
        <v>0</v>
      </c>
      <c r="N487" s="186">
        <f t="shared" si="63"/>
        <v>0</v>
      </c>
      <c r="P487" s="207" t="str">
        <f t="shared" si="64"/>
        <v>PM_0</v>
      </c>
      <c r="Q487" s="273">
        <f t="shared" si="65"/>
        <v>0</v>
      </c>
      <c r="R487" s="207">
        <f t="shared" si="66"/>
        <v>0</v>
      </c>
      <c r="S487" s="207">
        <f t="shared" si="67"/>
        <v>0</v>
      </c>
    </row>
    <row r="488" spans="11:19" ht="14.1" customHeight="1" x14ac:dyDescent="0.2">
      <c r="K488" s="186" t="str">
        <f t="shared" si="60"/>
        <v>PM_0</v>
      </c>
      <c r="L488" s="186">
        <f t="shared" si="61"/>
        <v>0</v>
      </c>
      <c r="M488" s="186">
        <f t="shared" si="62"/>
        <v>0</v>
      </c>
      <c r="N488" s="186">
        <f t="shared" si="63"/>
        <v>0</v>
      </c>
      <c r="P488" s="207" t="str">
        <f t="shared" si="64"/>
        <v>PM_0</v>
      </c>
      <c r="Q488" s="273">
        <f t="shared" si="65"/>
        <v>0</v>
      </c>
      <c r="R488" s="207">
        <f t="shared" si="66"/>
        <v>0</v>
      </c>
      <c r="S488" s="207">
        <f t="shared" si="67"/>
        <v>0</v>
      </c>
    </row>
    <row r="489" spans="11:19" ht="14.1" customHeight="1" x14ac:dyDescent="0.2">
      <c r="K489" s="186" t="str">
        <f t="shared" si="60"/>
        <v>PM_0</v>
      </c>
      <c r="L489" s="186">
        <f t="shared" si="61"/>
        <v>0</v>
      </c>
      <c r="M489" s="186">
        <f t="shared" si="62"/>
        <v>0</v>
      </c>
      <c r="N489" s="186">
        <f t="shared" si="63"/>
        <v>0</v>
      </c>
      <c r="P489" s="207" t="str">
        <f t="shared" si="64"/>
        <v>PM_0</v>
      </c>
      <c r="Q489" s="273">
        <f t="shared" si="65"/>
        <v>0</v>
      </c>
      <c r="R489" s="207">
        <f t="shared" si="66"/>
        <v>0</v>
      </c>
      <c r="S489" s="207">
        <f t="shared" si="67"/>
        <v>0</v>
      </c>
    </row>
    <row r="490" spans="11:19" ht="14.1" customHeight="1" x14ac:dyDescent="0.2">
      <c r="K490" s="186" t="str">
        <f t="shared" si="60"/>
        <v>PM_0</v>
      </c>
      <c r="L490" s="186">
        <f t="shared" si="61"/>
        <v>0</v>
      </c>
      <c r="M490" s="186">
        <f t="shared" si="62"/>
        <v>0</v>
      </c>
      <c r="N490" s="186">
        <f t="shared" si="63"/>
        <v>0</v>
      </c>
      <c r="P490" s="207" t="str">
        <f t="shared" si="64"/>
        <v>PM_0</v>
      </c>
      <c r="Q490" s="273">
        <f t="shared" si="65"/>
        <v>0</v>
      </c>
      <c r="R490" s="207">
        <f t="shared" si="66"/>
        <v>0</v>
      </c>
      <c r="S490" s="207">
        <f t="shared" si="67"/>
        <v>0</v>
      </c>
    </row>
    <row r="491" spans="11:19" ht="14.1" customHeight="1" x14ac:dyDescent="0.2">
      <c r="K491" s="186" t="str">
        <f t="shared" si="60"/>
        <v>PM_0</v>
      </c>
      <c r="L491" s="186">
        <f t="shared" si="61"/>
        <v>0</v>
      </c>
      <c r="M491" s="186">
        <f t="shared" si="62"/>
        <v>0</v>
      </c>
      <c r="N491" s="186">
        <f t="shared" si="63"/>
        <v>0</v>
      </c>
      <c r="P491" s="207" t="str">
        <f t="shared" si="64"/>
        <v>PM_0</v>
      </c>
      <c r="Q491" s="273">
        <f t="shared" si="65"/>
        <v>0</v>
      </c>
      <c r="R491" s="207">
        <f t="shared" si="66"/>
        <v>0</v>
      </c>
      <c r="S491" s="207">
        <f t="shared" si="67"/>
        <v>0</v>
      </c>
    </row>
    <row r="492" spans="11:19" ht="14.1" customHeight="1" x14ac:dyDescent="0.2">
      <c r="K492" s="186" t="str">
        <f t="shared" si="60"/>
        <v>PM_0</v>
      </c>
      <c r="L492" s="186">
        <f t="shared" si="61"/>
        <v>0</v>
      </c>
      <c r="M492" s="186">
        <f t="shared" si="62"/>
        <v>0</v>
      </c>
      <c r="N492" s="186">
        <f t="shared" si="63"/>
        <v>0</v>
      </c>
      <c r="P492" s="207" t="str">
        <f t="shared" si="64"/>
        <v>PM_0</v>
      </c>
      <c r="Q492" s="273">
        <f t="shared" si="65"/>
        <v>0</v>
      </c>
      <c r="R492" s="207">
        <f t="shared" si="66"/>
        <v>0</v>
      </c>
      <c r="S492" s="207">
        <f t="shared" si="67"/>
        <v>0</v>
      </c>
    </row>
    <row r="493" spans="11:19" ht="14.1" customHeight="1" x14ac:dyDescent="0.2">
      <c r="K493" s="186" t="str">
        <f t="shared" si="60"/>
        <v>PM_0</v>
      </c>
      <c r="L493" s="186">
        <f t="shared" si="61"/>
        <v>0</v>
      </c>
      <c r="M493" s="186">
        <f t="shared" si="62"/>
        <v>0</v>
      </c>
      <c r="N493" s="186">
        <f t="shared" si="63"/>
        <v>0</v>
      </c>
      <c r="P493" s="207" t="str">
        <f t="shared" si="64"/>
        <v>PM_0</v>
      </c>
      <c r="Q493" s="273">
        <f t="shared" si="65"/>
        <v>0</v>
      </c>
      <c r="R493" s="207">
        <f t="shared" si="66"/>
        <v>0</v>
      </c>
      <c r="S493" s="207">
        <f t="shared" si="67"/>
        <v>0</v>
      </c>
    </row>
    <row r="494" spans="11:19" ht="14.1" customHeight="1" x14ac:dyDescent="0.2">
      <c r="K494" s="186" t="str">
        <f t="shared" si="60"/>
        <v>PM_0</v>
      </c>
      <c r="L494" s="186">
        <f t="shared" si="61"/>
        <v>0</v>
      </c>
      <c r="M494" s="186">
        <f t="shared" si="62"/>
        <v>0</v>
      </c>
      <c r="N494" s="186">
        <f t="shared" si="63"/>
        <v>0</v>
      </c>
      <c r="P494" s="207" t="str">
        <f t="shared" si="64"/>
        <v>PM_0</v>
      </c>
      <c r="Q494" s="273">
        <f t="shared" si="65"/>
        <v>0</v>
      </c>
      <c r="R494" s="207">
        <f t="shared" si="66"/>
        <v>0</v>
      </c>
      <c r="S494" s="207">
        <f t="shared" si="67"/>
        <v>0</v>
      </c>
    </row>
    <row r="495" spans="11:19" ht="14.1" customHeight="1" x14ac:dyDescent="0.2">
      <c r="K495" s="186" t="str">
        <f t="shared" si="60"/>
        <v>PM_0</v>
      </c>
      <c r="L495" s="186">
        <f t="shared" si="61"/>
        <v>0</v>
      </c>
      <c r="M495" s="186">
        <f t="shared" si="62"/>
        <v>0</v>
      </c>
      <c r="N495" s="186">
        <f t="shared" si="63"/>
        <v>0</v>
      </c>
      <c r="P495" s="207" t="str">
        <f t="shared" si="64"/>
        <v>PM_0</v>
      </c>
      <c r="Q495" s="273">
        <f t="shared" si="65"/>
        <v>0</v>
      </c>
      <c r="R495" s="207">
        <f t="shared" si="66"/>
        <v>0</v>
      </c>
      <c r="S495" s="207">
        <f t="shared" si="67"/>
        <v>0</v>
      </c>
    </row>
    <row r="496" spans="11:19" ht="14.1" customHeight="1" x14ac:dyDescent="0.2">
      <c r="K496" s="186" t="str">
        <f t="shared" si="60"/>
        <v>PM_0</v>
      </c>
      <c r="L496" s="186">
        <f t="shared" si="61"/>
        <v>0</v>
      </c>
      <c r="M496" s="186">
        <f t="shared" si="62"/>
        <v>0</v>
      </c>
      <c r="N496" s="186">
        <f t="shared" si="63"/>
        <v>0</v>
      </c>
      <c r="P496" s="207" t="str">
        <f t="shared" si="64"/>
        <v>PM_0</v>
      </c>
      <c r="Q496" s="273">
        <f t="shared" si="65"/>
        <v>0</v>
      </c>
      <c r="R496" s="207">
        <f t="shared" si="66"/>
        <v>0</v>
      </c>
      <c r="S496" s="207">
        <f t="shared" si="67"/>
        <v>0</v>
      </c>
    </row>
    <row r="497" spans="11:19" ht="14.1" customHeight="1" x14ac:dyDescent="0.2">
      <c r="K497" s="186" t="str">
        <f t="shared" si="60"/>
        <v>PM_0</v>
      </c>
      <c r="L497" s="186">
        <f t="shared" si="61"/>
        <v>0</v>
      </c>
      <c r="M497" s="186">
        <f t="shared" si="62"/>
        <v>0</v>
      </c>
      <c r="N497" s="186">
        <f t="shared" si="63"/>
        <v>0</v>
      </c>
      <c r="P497" s="207" t="str">
        <f t="shared" si="64"/>
        <v>PM_0</v>
      </c>
      <c r="Q497" s="273">
        <f t="shared" si="65"/>
        <v>0</v>
      </c>
      <c r="R497" s="207">
        <f t="shared" si="66"/>
        <v>0</v>
      </c>
      <c r="S497" s="207">
        <f t="shared" si="67"/>
        <v>0</v>
      </c>
    </row>
    <row r="498" spans="11:19" ht="14.1" customHeight="1" x14ac:dyDescent="0.2">
      <c r="K498" s="186" t="str">
        <f t="shared" si="60"/>
        <v>PM_0</v>
      </c>
      <c r="L498" s="186">
        <f t="shared" si="61"/>
        <v>0</v>
      </c>
      <c r="M498" s="186">
        <f t="shared" si="62"/>
        <v>0</v>
      </c>
      <c r="N498" s="186">
        <f t="shared" si="63"/>
        <v>0</v>
      </c>
      <c r="P498" s="207" t="str">
        <f t="shared" si="64"/>
        <v>PM_0</v>
      </c>
      <c r="Q498" s="273">
        <f t="shared" si="65"/>
        <v>0</v>
      </c>
      <c r="R498" s="207">
        <f t="shared" si="66"/>
        <v>0</v>
      </c>
      <c r="S498" s="207">
        <f t="shared" si="67"/>
        <v>0</v>
      </c>
    </row>
    <row r="499" spans="11:19" ht="14.1" customHeight="1" x14ac:dyDescent="0.2">
      <c r="K499" s="186" t="str">
        <f t="shared" si="60"/>
        <v>PM_0</v>
      </c>
      <c r="L499" s="186">
        <f t="shared" si="61"/>
        <v>0</v>
      </c>
      <c r="M499" s="186">
        <f t="shared" si="62"/>
        <v>0</v>
      </c>
      <c r="N499" s="186">
        <f t="shared" si="63"/>
        <v>0</v>
      </c>
      <c r="P499" s="207" t="str">
        <f t="shared" si="64"/>
        <v>PM_0</v>
      </c>
      <c r="Q499" s="273">
        <f t="shared" si="65"/>
        <v>0</v>
      </c>
      <c r="R499" s="207">
        <f t="shared" si="66"/>
        <v>0</v>
      </c>
      <c r="S499" s="207">
        <f t="shared" si="67"/>
        <v>0</v>
      </c>
    </row>
    <row r="500" spans="11:19" ht="14.1" customHeight="1" x14ac:dyDescent="0.2">
      <c r="K500" s="186" t="str">
        <f t="shared" si="60"/>
        <v>PM_0</v>
      </c>
      <c r="L500" s="186">
        <f t="shared" si="61"/>
        <v>0</v>
      </c>
      <c r="M500" s="186">
        <f t="shared" si="62"/>
        <v>0</v>
      </c>
      <c r="N500" s="186">
        <f t="shared" si="63"/>
        <v>0</v>
      </c>
      <c r="P500" s="207" t="str">
        <f t="shared" si="64"/>
        <v>PM_0</v>
      </c>
      <c r="Q500" s="273">
        <f t="shared" si="65"/>
        <v>0</v>
      </c>
      <c r="R500" s="207">
        <f t="shared" si="66"/>
        <v>0</v>
      </c>
      <c r="S500" s="207">
        <f t="shared" si="67"/>
        <v>0</v>
      </c>
    </row>
    <row r="501" spans="11:19" ht="14.1" customHeight="1" x14ac:dyDescent="0.2">
      <c r="K501" s="186" t="str">
        <f t="shared" si="60"/>
        <v>PM_0</v>
      </c>
      <c r="L501" s="186">
        <f t="shared" si="61"/>
        <v>0</v>
      </c>
      <c r="M501" s="186">
        <f t="shared" si="62"/>
        <v>0</v>
      </c>
      <c r="N501" s="186">
        <f t="shared" si="63"/>
        <v>0</v>
      </c>
      <c r="P501" s="207" t="str">
        <f t="shared" si="64"/>
        <v>PM_0</v>
      </c>
      <c r="Q501" s="273">
        <f t="shared" si="65"/>
        <v>0</v>
      </c>
      <c r="R501" s="207">
        <f t="shared" si="66"/>
        <v>0</v>
      </c>
      <c r="S501" s="207">
        <f t="shared" si="67"/>
        <v>0</v>
      </c>
    </row>
    <row r="502" spans="11:19" ht="14.1" customHeight="1" x14ac:dyDescent="0.2">
      <c r="K502" s="186" t="str">
        <f t="shared" si="60"/>
        <v>PM_0</v>
      </c>
      <c r="L502" s="186">
        <f t="shared" si="61"/>
        <v>0</v>
      </c>
      <c r="M502" s="186">
        <f t="shared" si="62"/>
        <v>0</v>
      </c>
      <c r="N502" s="186">
        <f t="shared" si="63"/>
        <v>0</v>
      </c>
      <c r="P502" s="207" t="str">
        <f t="shared" si="64"/>
        <v>PM_0</v>
      </c>
      <c r="Q502" s="273">
        <f t="shared" si="65"/>
        <v>0</v>
      </c>
      <c r="R502" s="207">
        <f t="shared" si="66"/>
        <v>0</v>
      </c>
      <c r="S502" s="207">
        <f t="shared" si="67"/>
        <v>0</v>
      </c>
    </row>
    <row r="503" spans="11:19" ht="14.1" customHeight="1" x14ac:dyDescent="0.2">
      <c r="K503" s="186" t="str">
        <f t="shared" si="60"/>
        <v>PM_0</v>
      </c>
      <c r="L503" s="186">
        <f t="shared" si="61"/>
        <v>0</v>
      </c>
      <c r="M503" s="186">
        <f t="shared" si="62"/>
        <v>0</v>
      </c>
      <c r="N503" s="186">
        <f t="shared" si="63"/>
        <v>0</v>
      </c>
      <c r="P503" s="207" t="str">
        <f t="shared" si="64"/>
        <v>PM_0</v>
      </c>
      <c r="Q503" s="273">
        <f t="shared" si="65"/>
        <v>0</v>
      </c>
      <c r="R503" s="207">
        <f t="shared" si="66"/>
        <v>0</v>
      </c>
      <c r="S503" s="207">
        <f t="shared" si="67"/>
        <v>0</v>
      </c>
    </row>
    <row r="504" spans="11:19" ht="14.1" customHeight="1" x14ac:dyDescent="0.2">
      <c r="K504" s="186" t="str">
        <f t="shared" si="60"/>
        <v>PM_0</v>
      </c>
      <c r="L504" s="186">
        <f t="shared" si="61"/>
        <v>0</v>
      </c>
      <c r="M504" s="186">
        <f t="shared" si="62"/>
        <v>0</v>
      </c>
      <c r="N504" s="186">
        <f t="shared" si="63"/>
        <v>0</v>
      </c>
      <c r="P504" s="207" t="str">
        <f t="shared" si="64"/>
        <v>PM_0</v>
      </c>
      <c r="Q504" s="273">
        <f t="shared" si="65"/>
        <v>0</v>
      </c>
      <c r="R504" s="207">
        <f t="shared" si="66"/>
        <v>0</v>
      </c>
      <c r="S504" s="207">
        <f t="shared" si="67"/>
        <v>0</v>
      </c>
    </row>
    <row r="505" spans="11:19" ht="14.1" customHeight="1" x14ac:dyDescent="0.2">
      <c r="K505" s="186" t="str">
        <f t="shared" si="60"/>
        <v>PM_0</v>
      </c>
      <c r="L505" s="186">
        <f t="shared" si="61"/>
        <v>0</v>
      </c>
      <c r="M505" s="186">
        <f t="shared" si="62"/>
        <v>0</v>
      </c>
      <c r="N505" s="186">
        <f t="shared" si="63"/>
        <v>0</v>
      </c>
      <c r="P505" s="207" t="str">
        <f t="shared" si="64"/>
        <v>PM_0</v>
      </c>
      <c r="Q505" s="273">
        <f t="shared" si="65"/>
        <v>0</v>
      </c>
      <c r="R505" s="207">
        <f t="shared" si="66"/>
        <v>0</v>
      </c>
      <c r="S505" s="207">
        <f t="shared" si="67"/>
        <v>0</v>
      </c>
    </row>
    <row r="506" spans="11:19" ht="14.1" customHeight="1" x14ac:dyDescent="0.2">
      <c r="K506" s="186" t="str">
        <f t="shared" si="60"/>
        <v>PM_0</v>
      </c>
      <c r="L506" s="186">
        <f t="shared" si="61"/>
        <v>0</v>
      </c>
      <c r="M506" s="186">
        <f t="shared" si="62"/>
        <v>0</v>
      </c>
      <c r="N506" s="186">
        <f t="shared" si="63"/>
        <v>0</v>
      </c>
      <c r="P506" s="207" t="str">
        <f t="shared" si="64"/>
        <v>PM_0</v>
      </c>
      <c r="Q506" s="273">
        <f t="shared" si="65"/>
        <v>0</v>
      </c>
      <c r="R506" s="207">
        <f t="shared" si="66"/>
        <v>0</v>
      </c>
      <c r="S506" s="207">
        <f t="shared" si="67"/>
        <v>0</v>
      </c>
    </row>
    <row r="507" spans="11:19" ht="14.1" customHeight="1" x14ac:dyDescent="0.2">
      <c r="K507" s="186" t="str">
        <f t="shared" si="60"/>
        <v>PM_0</v>
      </c>
      <c r="L507" s="186">
        <f t="shared" si="61"/>
        <v>0</v>
      </c>
      <c r="M507" s="186">
        <f t="shared" si="62"/>
        <v>0</v>
      </c>
      <c r="N507" s="186">
        <f t="shared" si="63"/>
        <v>0</v>
      </c>
      <c r="P507" s="207" t="str">
        <f t="shared" si="64"/>
        <v>PM_0</v>
      </c>
      <c r="Q507" s="273">
        <f t="shared" si="65"/>
        <v>0</v>
      </c>
      <c r="R507" s="207">
        <f t="shared" si="66"/>
        <v>0</v>
      </c>
      <c r="S507" s="207">
        <f t="shared" si="67"/>
        <v>0</v>
      </c>
    </row>
    <row r="508" spans="11:19" ht="14.1" customHeight="1" x14ac:dyDescent="0.2">
      <c r="K508" s="186" t="str">
        <f t="shared" si="60"/>
        <v>PM_0</v>
      </c>
      <c r="L508" s="186">
        <f t="shared" si="61"/>
        <v>0</v>
      </c>
      <c r="M508" s="186">
        <f t="shared" si="62"/>
        <v>0</v>
      </c>
      <c r="N508" s="186">
        <f t="shared" si="63"/>
        <v>0</v>
      </c>
      <c r="P508" s="207" t="str">
        <f t="shared" si="64"/>
        <v>PM_0</v>
      </c>
      <c r="Q508" s="273">
        <f t="shared" si="65"/>
        <v>0</v>
      </c>
      <c r="R508" s="207">
        <f t="shared" si="66"/>
        <v>0</v>
      </c>
      <c r="S508" s="207">
        <f t="shared" si="67"/>
        <v>0</v>
      </c>
    </row>
    <row r="509" spans="11:19" ht="14.1" customHeight="1" x14ac:dyDescent="0.2">
      <c r="K509" s="186" t="str">
        <f t="shared" si="60"/>
        <v>PM_0</v>
      </c>
      <c r="L509" s="186">
        <f t="shared" si="61"/>
        <v>0</v>
      </c>
      <c r="M509" s="186">
        <f t="shared" si="62"/>
        <v>0</v>
      </c>
      <c r="N509" s="186">
        <f t="shared" si="63"/>
        <v>0</v>
      </c>
      <c r="P509" s="207" t="str">
        <f t="shared" si="64"/>
        <v>PM_0</v>
      </c>
      <c r="Q509" s="273">
        <f t="shared" si="65"/>
        <v>0</v>
      </c>
      <c r="R509" s="207">
        <f t="shared" si="66"/>
        <v>0</v>
      </c>
      <c r="S509" s="207">
        <f t="shared" si="67"/>
        <v>0</v>
      </c>
    </row>
    <row r="510" spans="11:19" ht="14.1" customHeight="1" x14ac:dyDescent="0.2">
      <c r="K510" s="186" t="str">
        <f t="shared" si="60"/>
        <v>PM_0</v>
      </c>
      <c r="L510" s="186">
        <f t="shared" si="61"/>
        <v>0</v>
      </c>
      <c r="M510" s="186">
        <f t="shared" si="62"/>
        <v>0</v>
      </c>
      <c r="N510" s="186">
        <f t="shared" si="63"/>
        <v>0</v>
      </c>
      <c r="P510" s="207" t="str">
        <f t="shared" si="64"/>
        <v>PM_0</v>
      </c>
      <c r="Q510" s="273">
        <f t="shared" si="65"/>
        <v>0</v>
      </c>
      <c r="R510" s="207">
        <f t="shared" si="66"/>
        <v>0</v>
      </c>
      <c r="S510" s="207">
        <f t="shared" si="67"/>
        <v>0</v>
      </c>
    </row>
    <row r="511" spans="11:19" ht="14.1" customHeight="1" x14ac:dyDescent="0.2">
      <c r="K511" s="186" t="str">
        <f t="shared" si="60"/>
        <v>PM_0</v>
      </c>
      <c r="L511" s="186">
        <f t="shared" si="61"/>
        <v>0</v>
      </c>
      <c r="M511" s="186">
        <f t="shared" si="62"/>
        <v>0</v>
      </c>
      <c r="N511" s="186">
        <f t="shared" si="63"/>
        <v>0</v>
      </c>
      <c r="P511" s="207" t="str">
        <f t="shared" si="64"/>
        <v>PM_0</v>
      </c>
      <c r="Q511" s="273">
        <f t="shared" si="65"/>
        <v>0</v>
      </c>
      <c r="R511" s="207">
        <f t="shared" si="66"/>
        <v>0</v>
      </c>
      <c r="S511" s="207">
        <f t="shared" si="67"/>
        <v>0</v>
      </c>
    </row>
    <row r="512" spans="11:19" ht="14.1" customHeight="1" x14ac:dyDescent="0.2">
      <c r="K512" s="186" t="str">
        <f t="shared" si="60"/>
        <v>PM_0</v>
      </c>
      <c r="L512" s="186">
        <f t="shared" si="61"/>
        <v>0</v>
      </c>
      <c r="M512" s="186">
        <f t="shared" si="62"/>
        <v>0</v>
      </c>
      <c r="N512" s="186">
        <f t="shared" si="63"/>
        <v>0</v>
      </c>
      <c r="P512" s="207" t="str">
        <f t="shared" si="64"/>
        <v>PM_0</v>
      </c>
      <c r="Q512" s="273">
        <f t="shared" si="65"/>
        <v>0</v>
      </c>
      <c r="R512" s="207">
        <f t="shared" si="66"/>
        <v>0</v>
      </c>
      <c r="S512" s="207">
        <f t="shared" si="67"/>
        <v>0</v>
      </c>
    </row>
    <row r="513" spans="11:19" ht="14.1" customHeight="1" x14ac:dyDescent="0.2">
      <c r="K513" s="186" t="str">
        <f t="shared" si="60"/>
        <v>PM_0</v>
      </c>
      <c r="L513" s="186">
        <f t="shared" si="61"/>
        <v>0</v>
      </c>
      <c r="M513" s="186">
        <f t="shared" si="62"/>
        <v>0</v>
      </c>
      <c r="N513" s="186">
        <f t="shared" si="63"/>
        <v>0</v>
      </c>
      <c r="P513" s="207" t="str">
        <f t="shared" si="64"/>
        <v>PM_0</v>
      </c>
      <c r="Q513" s="273">
        <f t="shared" si="65"/>
        <v>0</v>
      </c>
      <c r="R513" s="207">
        <f t="shared" si="66"/>
        <v>0</v>
      </c>
      <c r="S513" s="207">
        <f t="shared" si="67"/>
        <v>0</v>
      </c>
    </row>
    <row r="514" spans="11:19" ht="14.1" customHeight="1" x14ac:dyDescent="0.2">
      <c r="K514" s="186" t="str">
        <f t="shared" si="60"/>
        <v>PM_0</v>
      </c>
      <c r="L514" s="186">
        <f t="shared" si="61"/>
        <v>0</v>
      </c>
      <c r="M514" s="186">
        <f t="shared" si="62"/>
        <v>0</v>
      </c>
      <c r="N514" s="186">
        <f t="shared" si="63"/>
        <v>0</v>
      </c>
      <c r="P514" s="207" t="str">
        <f t="shared" si="64"/>
        <v>PM_0</v>
      </c>
      <c r="Q514" s="273">
        <f t="shared" si="65"/>
        <v>0</v>
      </c>
      <c r="R514" s="207">
        <f t="shared" si="66"/>
        <v>0</v>
      </c>
      <c r="S514" s="207">
        <f t="shared" si="67"/>
        <v>0</v>
      </c>
    </row>
    <row r="515" spans="11:19" ht="14.1" customHeight="1" x14ac:dyDescent="0.2">
      <c r="K515" s="186" t="str">
        <f t="shared" si="60"/>
        <v>PM_0</v>
      </c>
      <c r="L515" s="186">
        <f t="shared" si="61"/>
        <v>0</v>
      </c>
      <c r="M515" s="186">
        <f t="shared" si="62"/>
        <v>0</v>
      </c>
      <c r="N515" s="186">
        <f t="shared" si="63"/>
        <v>0</v>
      </c>
      <c r="P515" s="207" t="str">
        <f t="shared" si="64"/>
        <v>PM_0</v>
      </c>
      <c r="Q515" s="273">
        <f t="shared" si="65"/>
        <v>0</v>
      </c>
      <c r="R515" s="207">
        <f t="shared" si="66"/>
        <v>0</v>
      </c>
      <c r="S515" s="207">
        <f t="shared" si="67"/>
        <v>0</v>
      </c>
    </row>
    <row r="516" spans="11:19" ht="14.1" customHeight="1" x14ac:dyDescent="0.2">
      <c r="K516" s="186" t="str">
        <f t="shared" si="60"/>
        <v>PM_0</v>
      </c>
      <c r="L516" s="186">
        <f t="shared" si="61"/>
        <v>0</v>
      </c>
      <c r="M516" s="186">
        <f t="shared" si="62"/>
        <v>0</v>
      </c>
      <c r="N516" s="186">
        <f t="shared" si="63"/>
        <v>0</v>
      </c>
      <c r="P516" s="207" t="str">
        <f t="shared" si="64"/>
        <v>PM_0</v>
      </c>
      <c r="Q516" s="273">
        <f t="shared" si="65"/>
        <v>0</v>
      </c>
      <c r="R516" s="207">
        <f t="shared" si="66"/>
        <v>0</v>
      </c>
      <c r="S516" s="207">
        <f t="shared" si="67"/>
        <v>0</v>
      </c>
    </row>
    <row r="517" spans="11:19" ht="14.1" customHeight="1" x14ac:dyDescent="0.2">
      <c r="K517" s="186" t="str">
        <f t="shared" si="60"/>
        <v>PM_0</v>
      </c>
      <c r="L517" s="186">
        <f t="shared" si="61"/>
        <v>0</v>
      </c>
      <c r="M517" s="186">
        <f t="shared" si="62"/>
        <v>0</v>
      </c>
      <c r="N517" s="186">
        <f t="shared" si="63"/>
        <v>0</v>
      </c>
      <c r="P517" s="207" t="str">
        <f t="shared" si="64"/>
        <v>PM_0</v>
      </c>
      <c r="Q517" s="273">
        <f t="shared" si="65"/>
        <v>0</v>
      </c>
      <c r="R517" s="207">
        <f t="shared" si="66"/>
        <v>0</v>
      </c>
      <c r="S517" s="207">
        <f t="shared" si="67"/>
        <v>0</v>
      </c>
    </row>
    <row r="518" spans="11:19" ht="14.1" customHeight="1" x14ac:dyDescent="0.2">
      <c r="K518" s="186" t="str">
        <f t="shared" si="60"/>
        <v>PM_0</v>
      </c>
      <c r="L518" s="186">
        <f t="shared" si="61"/>
        <v>0</v>
      </c>
      <c r="M518" s="186">
        <f t="shared" si="62"/>
        <v>0</v>
      </c>
      <c r="N518" s="186">
        <f t="shared" si="63"/>
        <v>0</v>
      </c>
      <c r="P518" s="207" t="str">
        <f t="shared" si="64"/>
        <v>PM_0</v>
      </c>
      <c r="Q518" s="273">
        <f t="shared" si="65"/>
        <v>0</v>
      </c>
      <c r="R518" s="207">
        <f t="shared" si="66"/>
        <v>0</v>
      </c>
      <c r="S518" s="207">
        <f t="shared" si="67"/>
        <v>0</v>
      </c>
    </row>
    <row r="519" spans="11:19" ht="14.1" customHeight="1" x14ac:dyDescent="0.2">
      <c r="K519" s="186" t="str">
        <f t="shared" si="60"/>
        <v>PM_0</v>
      </c>
      <c r="L519" s="186">
        <f t="shared" si="61"/>
        <v>0</v>
      </c>
      <c r="M519" s="186">
        <f t="shared" si="62"/>
        <v>0</v>
      </c>
      <c r="N519" s="186">
        <f t="shared" si="63"/>
        <v>0</v>
      </c>
      <c r="P519" s="207" t="str">
        <f t="shared" si="64"/>
        <v>PM_0</v>
      </c>
      <c r="Q519" s="273">
        <f t="shared" si="65"/>
        <v>0</v>
      </c>
      <c r="R519" s="207">
        <f t="shared" si="66"/>
        <v>0</v>
      </c>
      <c r="S519" s="207">
        <f t="shared" si="67"/>
        <v>0</v>
      </c>
    </row>
    <row r="520" spans="11:19" ht="14.1" customHeight="1" x14ac:dyDescent="0.2">
      <c r="K520" s="186" t="str">
        <f t="shared" si="60"/>
        <v>PM_0</v>
      </c>
      <c r="L520" s="186">
        <f t="shared" si="61"/>
        <v>0</v>
      </c>
      <c r="M520" s="186">
        <f t="shared" si="62"/>
        <v>0</v>
      </c>
      <c r="N520" s="186">
        <f t="shared" si="63"/>
        <v>0</v>
      </c>
      <c r="P520" s="207" t="str">
        <f t="shared" si="64"/>
        <v>PM_0</v>
      </c>
      <c r="Q520" s="273">
        <f t="shared" si="65"/>
        <v>0</v>
      </c>
      <c r="R520" s="207">
        <f t="shared" si="66"/>
        <v>0</v>
      </c>
      <c r="S520" s="207">
        <f t="shared" si="67"/>
        <v>0</v>
      </c>
    </row>
    <row r="521" spans="11:19" ht="14.1" customHeight="1" x14ac:dyDescent="0.2">
      <c r="K521" s="186" t="str">
        <f t="shared" si="60"/>
        <v>PM_0</v>
      </c>
      <c r="L521" s="186">
        <f t="shared" si="61"/>
        <v>0</v>
      </c>
      <c r="M521" s="186">
        <f t="shared" si="62"/>
        <v>0</v>
      </c>
      <c r="N521" s="186">
        <f t="shared" si="63"/>
        <v>0</v>
      </c>
      <c r="P521" s="207" t="str">
        <f t="shared" si="64"/>
        <v>PM_0</v>
      </c>
      <c r="Q521" s="273">
        <f t="shared" si="65"/>
        <v>0</v>
      </c>
      <c r="R521" s="207">
        <f t="shared" si="66"/>
        <v>0</v>
      </c>
      <c r="S521" s="207">
        <f t="shared" si="67"/>
        <v>0</v>
      </c>
    </row>
    <row r="522" spans="11:19" ht="14.1" customHeight="1" x14ac:dyDescent="0.2">
      <c r="K522" s="186" t="str">
        <f t="shared" si="60"/>
        <v>PM_0</v>
      </c>
      <c r="L522" s="186">
        <f t="shared" si="61"/>
        <v>0</v>
      </c>
      <c r="M522" s="186">
        <f t="shared" si="62"/>
        <v>0</v>
      </c>
      <c r="N522" s="186">
        <f t="shared" si="63"/>
        <v>0</v>
      </c>
      <c r="P522" s="207" t="str">
        <f t="shared" si="64"/>
        <v>PM_0</v>
      </c>
      <c r="Q522" s="273">
        <f t="shared" si="65"/>
        <v>0</v>
      </c>
      <c r="R522" s="207">
        <f t="shared" si="66"/>
        <v>0</v>
      </c>
      <c r="S522" s="207">
        <f t="shared" si="67"/>
        <v>0</v>
      </c>
    </row>
    <row r="523" spans="11:19" ht="14.1" customHeight="1" x14ac:dyDescent="0.2">
      <c r="K523" s="186" t="str">
        <f t="shared" ref="K523:K586" si="68">"PM_"&amp;ROUND(E523,2)</f>
        <v>PM_0</v>
      </c>
      <c r="L523" s="186">
        <f t="shared" ref="L523:L586" si="69">F523</f>
        <v>0</v>
      </c>
      <c r="M523" s="186">
        <f t="shared" ref="M523:M586" si="70">G523</f>
        <v>0</v>
      </c>
      <c r="N523" s="186">
        <f t="shared" ref="N523:N586" si="71">H523</f>
        <v>0</v>
      </c>
      <c r="P523" s="207" t="str">
        <f t="shared" ref="P523:P586" si="72">K523</f>
        <v>PM_0</v>
      </c>
      <c r="Q523" s="273">
        <f t="shared" ref="Q523:Q586" si="73">$S$1+E523</f>
        <v>0</v>
      </c>
      <c r="R523" s="207">
        <f t="shared" ref="R523:R586" si="74">H523</f>
        <v>0</v>
      </c>
      <c r="S523" s="207">
        <f t="shared" ref="S523:S586" si="75">$B$6</f>
        <v>0</v>
      </c>
    </row>
    <row r="524" spans="11:19" ht="14.1" customHeight="1" x14ac:dyDescent="0.2">
      <c r="K524" s="186" t="str">
        <f t="shared" si="68"/>
        <v>PM_0</v>
      </c>
      <c r="L524" s="186">
        <f t="shared" si="69"/>
        <v>0</v>
      </c>
      <c r="M524" s="186">
        <f t="shared" si="70"/>
        <v>0</v>
      </c>
      <c r="N524" s="186">
        <f t="shared" si="71"/>
        <v>0</v>
      </c>
      <c r="P524" s="207" t="str">
        <f t="shared" si="72"/>
        <v>PM_0</v>
      </c>
      <c r="Q524" s="273">
        <f t="shared" si="73"/>
        <v>0</v>
      </c>
      <c r="R524" s="207">
        <f t="shared" si="74"/>
        <v>0</v>
      </c>
      <c r="S524" s="207">
        <f t="shared" si="75"/>
        <v>0</v>
      </c>
    </row>
    <row r="525" spans="11:19" ht="14.1" customHeight="1" x14ac:dyDescent="0.2">
      <c r="K525" s="186" t="str">
        <f t="shared" si="68"/>
        <v>PM_0</v>
      </c>
      <c r="L525" s="186">
        <f t="shared" si="69"/>
        <v>0</v>
      </c>
      <c r="M525" s="186">
        <f t="shared" si="70"/>
        <v>0</v>
      </c>
      <c r="N525" s="186">
        <f t="shared" si="71"/>
        <v>0</v>
      </c>
      <c r="P525" s="207" t="str">
        <f t="shared" si="72"/>
        <v>PM_0</v>
      </c>
      <c r="Q525" s="273">
        <f t="shared" si="73"/>
        <v>0</v>
      </c>
      <c r="R525" s="207">
        <f t="shared" si="74"/>
        <v>0</v>
      </c>
      <c r="S525" s="207">
        <f t="shared" si="75"/>
        <v>0</v>
      </c>
    </row>
    <row r="526" spans="11:19" ht="14.1" customHeight="1" x14ac:dyDescent="0.2">
      <c r="K526" s="186" t="str">
        <f t="shared" si="68"/>
        <v>PM_0</v>
      </c>
      <c r="L526" s="186">
        <f t="shared" si="69"/>
        <v>0</v>
      </c>
      <c r="M526" s="186">
        <f t="shared" si="70"/>
        <v>0</v>
      </c>
      <c r="N526" s="186">
        <f t="shared" si="71"/>
        <v>0</v>
      </c>
      <c r="P526" s="207" t="str">
        <f t="shared" si="72"/>
        <v>PM_0</v>
      </c>
      <c r="Q526" s="273">
        <f t="shared" si="73"/>
        <v>0</v>
      </c>
      <c r="R526" s="207">
        <f t="shared" si="74"/>
        <v>0</v>
      </c>
      <c r="S526" s="207">
        <f t="shared" si="75"/>
        <v>0</v>
      </c>
    </row>
    <row r="527" spans="11:19" ht="14.1" customHeight="1" x14ac:dyDescent="0.2">
      <c r="K527" s="186" t="str">
        <f t="shared" si="68"/>
        <v>PM_0</v>
      </c>
      <c r="L527" s="186">
        <f t="shared" si="69"/>
        <v>0</v>
      </c>
      <c r="M527" s="186">
        <f t="shared" si="70"/>
        <v>0</v>
      </c>
      <c r="N527" s="186">
        <f t="shared" si="71"/>
        <v>0</v>
      </c>
      <c r="P527" s="207" t="str">
        <f t="shared" si="72"/>
        <v>PM_0</v>
      </c>
      <c r="Q527" s="273">
        <f t="shared" si="73"/>
        <v>0</v>
      </c>
      <c r="R527" s="207">
        <f t="shared" si="74"/>
        <v>0</v>
      </c>
      <c r="S527" s="207">
        <f t="shared" si="75"/>
        <v>0</v>
      </c>
    </row>
    <row r="528" spans="11:19" ht="14.1" customHeight="1" x14ac:dyDescent="0.2">
      <c r="K528" s="186" t="str">
        <f t="shared" si="68"/>
        <v>PM_0</v>
      </c>
      <c r="L528" s="186">
        <f t="shared" si="69"/>
        <v>0</v>
      </c>
      <c r="M528" s="186">
        <f t="shared" si="70"/>
        <v>0</v>
      </c>
      <c r="N528" s="186">
        <f t="shared" si="71"/>
        <v>0</v>
      </c>
      <c r="P528" s="207" t="str">
        <f t="shared" si="72"/>
        <v>PM_0</v>
      </c>
      <c r="Q528" s="273">
        <f t="shared" si="73"/>
        <v>0</v>
      </c>
      <c r="R528" s="207">
        <f t="shared" si="74"/>
        <v>0</v>
      </c>
      <c r="S528" s="207">
        <f t="shared" si="75"/>
        <v>0</v>
      </c>
    </row>
    <row r="529" spans="11:19" ht="14.1" customHeight="1" x14ac:dyDescent="0.2">
      <c r="K529" s="186" t="str">
        <f t="shared" si="68"/>
        <v>PM_0</v>
      </c>
      <c r="L529" s="186">
        <f t="shared" si="69"/>
        <v>0</v>
      </c>
      <c r="M529" s="186">
        <f t="shared" si="70"/>
        <v>0</v>
      </c>
      <c r="N529" s="186">
        <f t="shared" si="71"/>
        <v>0</v>
      </c>
      <c r="P529" s="207" t="str">
        <f t="shared" si="72"/>
        <v>PM_0</v>
      </c>
      <c r="Q529" s="273">
        <f t="shared" si="73"/>
        <v>0</v>
      </c>
      <c r="R529" s="207">
        <f t="shared" si="74"/>
        <v>0</v>
      </c>
      <c r="S529" s="207">
        <f t="shared" si="75"/>
        <v>0</v>
      </c>
    </row>
    <row r="530" spans="11:19" ht="14.1" customHeight="1" x14ac:dyDescent="0.2">
      <c r="K530" s="186" t="str">
        <f t="shared" si="68"/>
        <v>PM_0</v>
      </c>
      <c r="L530" s="186">
        <f t="shared" si="69"/>
        <v>0</v>
      </c>
      <c r="M530" s="186">
        <f t="shared" si="70"/>
        <v>0</v>
      </c>
      <c r="N530" s="186">
        <f t="shared" si="71"/>
        <v>0</v>
      </c>
      <c r="P530" s="207" t="str">
        <f t="shared" si="72"/>
        <v>PM_0</v>
      </c>
      <c r="Q530" s="273">
        <f t="shared" si="73"/>
        <v>0</v>
      </c>
      <c r="R530" s="207">
        <f t="shared" si="74"/>
        <v>0</v>
      </c>
      <c r="S530" s="207">
        <f t="shared" si="75"/>
        <v>0</v>
      </c>
    </row>
    <row r="531" spans="11:19" ht="14.1" customHeight="1" x14ac:dyDescent="0.2">
      <c r="K531" s="186" t="str">
        <f t="shared" si="68"/>
        <v>PM_0</v>
      </c>
      <c r="L531" s="186">
        <f t="shared" si="69"/>
        <v>0</v>
      </c>
      <c r="M531" s="186">
        <f t="shared" si="70"/>
        <v>0</v>
      </c>
      <c r="N531" s="186">
        <f t="shared" si="71"/>
        <v>0</v>
      </c>
      <c r="P531" s="207" t="str">
        <f t="shared" si="72"/>
        <v>PM_0</v>
      </c>
      <c r="Q531" s="273">
        <f t="shared" si="73"/>
        <v>0</v>
      </c>
      <c r="R531" s="207">
        <f t="shared" si="74"/>
        <v>0</v>
      </c>
      <c r="S531" s="207">
        <f t="shared" si="75"/>
        <v>0</v>
      </c>
    </row>
    <row r="532" spans="11:19" ht="14.1" customHeight="1" x14ac:dyDescent="0.2">
      <c r="K532" s="186" t="str">
        <f t="shared" si="68"/>
        <v>PM_0</v>
      </c>
      <c r="L532" s="186">
        <f t="shared" si="69"/>
        <v>0</v>
      </c>
      <c r="M532" s="186">
        <f t="shared" si="70"/>
        <v>0</v>
      </c>
      <c r="N532" s="186">
        <f t="shared" si="71"/>
        <v>0</v>
      </c>
      <c r="P532" s="207" t="str">
        <f t="shared" si="72"/>
        <v>PM_0</v>
      </c>
      <c r="Q532" s="273">
        <f t="shared" si="73"/>
        <v>0</v>
      </c>
      <c r="R532" s="207">
        <f t="shared" si="74"/>
        <v>0</v>
      </c>
      <c r="S532" s="207">
        <f t="shared" si="75"/>
        <v>0</v>
      </c>
    </row>
    <row r="533" spans="11:19" ht="14.1" customHeight="1" x14ac:dyDescent="0.2">
      <c r="K533" s="186" t="str">
        <f t="shared" si="68"/>
        <v>PM_0</v>
      </c>
      <c r="L533" s="186">
        <f t="shared" si="69"/>
        <v>0</v>
      </c>
      <c r="M533" s="186">
        <f t="shared" si="70"/>
        <v>0</v>
      </c>
      <c r="N533" s="186">
        <f t="shared" si="71"/>
        <v>0</v>
      </c>
      <c r="P533" s="207" t="str">
        <f t="shared" si="72"/>
        <v>PM_0</v>
      </c>
      <c r="Q533" s="273">
        <f t="shared" si="73"/>
        <v>0</v>
      </c>
      <c r="R533" s="207">
        <f t="shared" si="74"/>
        <v>0</v>
      </c>
      <c r="S533" s="207">
        <f t="shared" si="75"/>
        <v>0</v>
      </c>
    </row>
    <row r="534" spans="11:19" ht="14.1" customHeight="1" x14ac:dyDescent="0.2">
      <c r="K534" s="186" t="str">
        <f t="shared" si="68"/>
        <v>PM_0</v>
      </c>
      <c r="L534" s="186">
        <f t="shared" si="69"/>
        <v>0</v>
      </c>
      <c r="M534" s="186">
        <f t="shared" si="70"/>
        <v>0</v>
      </c>
      <c r="N534" s="186">
        <f t="shared" si="71"/>
        <v>0</v>
      </c>
      <c r="P534" s="207" t="str">
        <f t="shared" si="72"/>
        <v>PM_0</v>
      </c>
      <c r="Q534" s="273">
        <f t="shared" si="73"/>
        <v>0</v>
      </c>
      <c r="R534" s="207">
        <f t="shared" si="74"/>
        <v>0</v>
      </c>
      <c r="S534" s="207">
        <f t="shared" si="75"/>
        <v>0</v>
      </c>
    </row>
    <row r="535" spans="11:19" ht="14.1" customHeight="1" x14ac:dyDescent="0.2">
      <c r="K535" s="186" t="str">
        <f t="shared" si="68"/>
        <v>PM_0</v>
      </c>
      <c r="L535" s="186">
        <f t="shared" si="69"/>
        <v>0</v>
      </c>
      <c r="M535" s="186">
        <f t="shared" si="70"/>
        <v>0</v>
      </c>
      <c r="N535" s="186">
        <f t="shared" si="71"/>
        <v>0</v>
      </c>
      <c r="P535" s="207" t="str">
        <f t="shared" si="72"/>
        <v>PM_0</v>
      </c>
      <c r="Q535" s="273">
        <f t="shared" si="73"/>
        <v>0</v>
      </c>
      <c r="R535" s="207">
        <f t="shared" si="74"/>
        <v>0</v>
      </c>
      <c r="S535" s="207">
        <f t="shared" si="75"/>
        <v>0</v>
      </c>
    </row>
    <row r="536" spans="11:19" ht="14.1" customHeight="1" x14ac:dyDescent="0.2">
      <c r="K536" s="186" t="str">
        <f t="shared" si="68"/>
        <v>PM_0</v>
      </c>
      <c r="L536" s="186">
        <f t="shared" si="69"/>
        <v>0</v>
      </c>
      <c r="M536" s="186">
        <f t="shared" si="70"/>
        <v>0</v>
      </c>
      <c r="N536" s="186">
        <f t="shared" si="71"/>
        <v>0</v>
      </c>
      <c r="P536" s="207" t="str">
        <f t="shared" si="72"/>
        <v>PM_0</v>
      </c>
      <c r="Q536" s="273">
        <f t="shared" si="73"/>
        <v>0</v>
      </c>
      <c r="R536" s="207">
        <f t="shared" si="74"/>
        <v>0</v>
      </c>
      <c r="S536" s="207">
        <f t="shared" si="75"/>
        <v>0</v>
      </c>
    </row>
    <row r="537" spans="11:19" ht="14.1" customHeight="1" x14ac:dyDescent="0.2">
      <c r="K537" s="186" t="str">
        <f t="shared" si="68"/>
        <v>PM_0</v>
      </c>
      <c r="L537" s="186">
        <f t="shared" si="69"/>
        <v>0</v>
      </c>
      <c r="M537" s="186">
        <f t="shared" si="70"/>
        <v>0</v>
      </c>
      <c r="N537" s="186">
        <f t="shared" si="71"/>
        <v>0</v>
      </c>
      <c r="P537" s="207" t="str">
        <f t="shared" si="72"/>
        <v>PM_0</v>
      </c>
      <c r="Q537" s="273">
        <f t="shared" si="73"/>
        <v>0</v>
      </c>
      <c r="R537" s="207">
        <f t="shared" si="74"/>
        <v>0</v>
      </c>
      <c r="S537" s="207">
        <f t="shared" si="75"/>
        <v>0</v>
      </c>
    </row>
    <row r="538" spans="11:19" ht="14.1" customHeight="1" x14ac:dyDescent="0.2">
      <c r="K538" s="186" t="str">
        <f t="shared" si="68"/>
        <v>PM_0</v>
      </c>
      <c r="L538" s="186">
        <f t="shared" si="69"/>
        <v>0</v>
      </c>
      <c r="M538" s="186">
        <f t="shared" si="70"/>
        <v>0</v>
      </c>
      <c r="N538" s="186">
        <f t="shared" si="71"/>
        <v>0</v>
      </c>
      <c r="P538" s="207" t="str">
        <f t="shared" si="72"/>
        <v>PM_0</v>
      </c>
      <c r="Q538" s="273">
        <f t="shared" si="73"/>
        <v>0</v>
      </c>
      <c r="R538" s="207">
        <f t="shared" si="74"/>
        <v>0</v>
      </c>
      <c r="S538" s="207">
        <f t="shared" si="75"/>
        <v>0</v>
      </c>
    </row>
    <row r="539" spans="11:19" ht="14.1" customHeight="1" x14ac:dyDescent="0.2">
      <c r="K539" s="186" t="str">
        <f t="shared" si="68"/>
        <v>PM_0</v>
      </c>
      <c r="L539" s="186">
        <f t="shared" si="69"/>
        <v>0</v>
      </c>
      <c r="M539" s="186">
        <f t="shared" si="70"/>
        <v>0</v>
      </c>
      <c r="N539" s="186">
        <f t="shared" si="71"/>
        <v>0</v>
      </c>
      <c r="P539" s="207" t="str">
        <f t="shared" si="72"/>
        <v>PM_0</v>
      </c>
      <c r="Q539" s="273">
        <f t="shared" si="73"/>
        <v>0</v>
      </c>
      <c r="R539" s="207">
        <f t="shared" si="74"/>
        <v>0</v>
      </c>
      <c r="S539" s="207">
        <f t="shared" si="75"/>
        <v>0</v>
      </c>
    </row>
    <row r="540" spans="11:19" ht="14.1" customHeight="1" x14ac:dyDescent="0.2">
      <c r="K540" s="186" t="str">
        <f t="shared" si="68"/>
        <v>PM_0</v>
      </c>
      <c r="L540" s="186">
        <f t="shared" si="69"/>
        <v>0</v>
      </c>
      <c r="M540" s="186">
        <f t="shared" si="70"/>
        <v>0</v>
      </c>
      <c r="N540" s="186">
        <f t="shared" si="71"/>
        <v>0</v>
      </c>
      <c r="P540" s="207" t="str">
        <f t="shared" si="72"/>
        <v>PM_0</v>
      </c>
      <c r="Q540" s="273">
        <f t="shared" si="73"/>
        <v>0</v>
      </c>
      <c r="R540" s="207">
        <f t="shared" si="74"/>
        <v>0</v>
      </c>
      <c r="S540" s="207">
        <f t="shared" si="75"/>
        <v>0</v>
      </c>
    </row>
    <row r="541" spans="11:19" ht="14.1" customHeight="1" x14ac:dyDescent="0.2">
      <c r="K541" s="186" t="str">
        <f t="shared" si="68"/>
        <v>PM_0</v>
      </c>
      <c r="L541" s="186">
        <f t="shared" si="69"/>
        <v>0</v>
      </c>
      <c r="M541" s="186">
        <f t="shared" si="70"/>
        <v>0</v>
      </c>
      <c r="N541" s="186">
        <f t="shared" si="71"/>
        <v>0</v>
      </c>
      <c r="P541" s="207" t="str">
        <f t="shared" si="72"/>
        <v>PM_0</v>
      </c>
      <c r="Q541" s="273">
        <f t="shared" si="73"/>
        <v>0</v>
      </c>
      <c r="R541" s="207">
        <f t="shared" si="74"/>
        <v>0</v>
      </c>
      <c r="S541" s="207">
        <f t="shared" si="75"/>
        <v>0</v>
      </c>
    </row>
    <row r="542" spans="11:19" ht="14.1" customHeight="1" x14ac:dyDescent="0.2">
      <c r="K542" s="186" t="str">
        <f t="shared" si="68"/>
        <v>PM_0</v>
      </c>
      <c r="L542" s="186">
        <f t="shared" si="69"/>
        <v>0</v>
      </c>
      <c r="M542" s="186">
        <f t="shared" si="70"/>
        <v>0</v>
      </c>
      <c r="N542" s="186">
        <f t="shared" si="71"/>
        <v>0</v>
      </c>
      <c r="P542" s="207" t="str">
        <f t="shared" si="72"/>
        <v>PM_0</v>
      </c>
      <c r="Q542" s="273">
        <f t="shared" si="73"/>
        <v>0</v>
      </c>
      <c r="R542" s="207">
        <f t="shared" si="74"/>
        <v>0</v>
      </c>
      <c r="S542" s="207">
        <f t="shared" si="75"/>
        <v>0</v>
      </c>
    </row>
    <row r="543" spans="11:19" ht="14.1" customHeight="1" x14ac:dyDescent="0.2">
      <c r="K543" s="186" t="str">
        <f t="shared" si="68"/>
        <v>PM_0</v>
      </c>
      <c r="L543" s="186">
        <f t="shared" si="69"/>
        <v>0</v>
      </c>
      <c r="M543" s="186">
        <f t="shared" si="70"/>
        <v>0</v>
      </c>
      <c r="N543" s="186">
        <f t="shared" si="71"/>
        <v>0</v>
      </c>
      <c r="P543" s="207" t="str">
        <f t="shared" si="72"/>
        <v>PM_0</v>
      </c>
      <c r="Q543" s="273">
        <f t="shared" si="73"/>
        <v>0</v>
      </c>
      <c r="R543" s="207">
        <f t="shared" si="74"/>
        <v>0</v>
      </c>
      <c r="S543" s="207">
        <f t="shared" si="75"/>
        <v>0</v>
      </c>
    </row>
    <row r="544" spans="11:19" ht="14.1" customHeight="1" x14ac:dyDescent="0.2">
      <c r="K544" s="186" t="str">
        <f t="shared" si="68"/>
        <v>PM_0</v>
      </c>
      <c r="L544" s="186">
        <f t="shared" si="69"/>
        <v>0</v>
      </c>
      <c r="M544" s="186">
        <f t="shared" si="70"/>
        <v>0</v>
      </c>
      <c r="N544" s="186">
        <f t="shared" si="71"/>
        <v>0</v>
      </c>
      <c r="P544" s="207" t="str">
        <f t="shared" si="72"/>
        <v>PM_0</v>
      </c>
      <c r="Q544" s="273">
        <f t="shared" si="73"/>
        <v>0</v>
      </c>
      <c r="R544" s="207">
        <f t="shared" si="74"/>
        <v>0</v>
      </c>
      <c r="S544" s="207">
        <f t="shared" si="75"/>
        <v>0</v>
      </c>
    </row>
    <row r="545" spans="11:19" ht="14.1" customHeight="1" x14ac:dyDescent="0.2">
      <c r="K545" s="186" t="str">
        <f t="shared" si="68"/>
        <v>PM_0</v>
      </c>
      <c r="L545" s="186">
        <f t="shared" si="69"/>
        <v>0</v>
      </c>
      <c r="M545" s="186">
        <f t="shared" si="70"/>
        <v>0</v>
      </c>
      <c r="N545" s="186">
        <f t="shared" si="71"/>
        <v>0</v>
      </c>
      <c r="P545" s="207" t="str">
        <f t="shared" si="72"/>
        <v>PM_0</v>
      </c>
      <c r="Q545" s="273">
        <f t="shared" si="73"/>
        <v>0</v>
      </c>
      <c r="R545" s="207">
        <f t="shared" si="74"/>
        <v>0</v>
      </c>
      <c r="S545" s="207">
        <f t="shared" si="75"/>
        <v>0</v>
      </c>
    </row>
    <row r="546" spans="11:19" ht="14.1" customHeight="1" x14ac:dyDescent="0.2">
      <c r="K546" s="186" t="str">
        <f t="shared" si="68"/>
        <v>PM_0</v>
      </c>
      <c r="L546" s="186">
        <f t="shared" si="69"/>
        <v>0</v>
      </c>
      <c r="M546" s="186">
        <f t="shared" si="70"/>
        <v>0</v>
      </c>
      <c r="N546" s="186">
        <f t="shared" si="71"/>
        <v>0</v>
      </c>
      <c r="P546" s="207" t="str">
        <f t="shared" si="72"/>
        <v>PM_0</v>
      </c>
      <c r="Q546" s="273">
        <f t="shared" si="73"/>
        <v>0</v>
      </c>
      <c r="R546" s="207">
        <f t="shared" si="74"/>
        <v>0</v>
      </c>
      <c r="S546" s="207">
        <f t="shared" si="75"/>
        <v>0</v>
      </c>
    </row>
    <row r="547" spans="11:19" ht="14.1" customHeight="1" x14ac:dyDescent="0.2">
      <c r="K547" s="186" t="str">
        <f t="shared" si="68"/>
        <v>PM_0</v>
      </c>
      <c r="L547" s="186">
        <f t="shared" si="69"/>
        <v>0</v>
      </c>
      <c r="M547" s="186">
        <f t="shared" si="70"/>
        <v>0</v>
      </c>
      <c r="N547" s="186">
        <f t="shared" si="71"/>
        <v>0</v>
      </c>
      <c r="P547" s="207" t="str">
        <f t="shared" si="72"/>
        <v>PM_0</v>
      </c>
      <c r="Q547" s="273">
        <f t="shared" si="73"/>
        <v>0</v>
      </c>
      <c r="R547" s="207">
        <f t="shared" si="74"/>
        <v>0</v>
      </c>
      <c r="S547" s="207">
        <f t="shared" si="75"/>
        <v>0</v>
      </c>
    </row>
    <row r="548" spans="11:19" ht="14.1" customHeight="1" x14ac:dyDescent="0.2">
      <c r="K548" s="186" t="str">
        <f t="shared" si="68"/>
        <v>PM_0</v>
      </c>
      <c r="L548" s="186">
        <f t="shared" si="69"/>
        <v>0</v>
      </c>
      <c r="M548" s="186">
        <f t="shared" si="70"/>
        <v>0</v>
      </c>
      <c r="N548" s="186">
        <f t="shared" si="71"/>
        <v>0</v>
      </c>
      <c r="P548" s="207" t="str">
        <f t="shared" si="72"/>
        <v>PM_0</v>
      </c>
      <c r="Q548" s="273">
        <f t="shared" si="73"/>
        <v>0</v>
      </c>
      <c r="R548" s="207">
        <f t="shared" si="74"/>
        <v>0</v>
      </c>
      <c r="S548" s="207">
        <f t="shared" si="75"/>
        <v>0</v>
      </c>
    </row>
    <row r="549" spans="11:19" ht="14.1" customHeight="1" x14ac:dyDescent="0.2">
      <c r="K549" s="186" t="str">
        <f t="shared" si="68"/>
        <v>PM_0</v>
      </c>
      <c r="L549" s="186">
        <f t="shared" si="69"/>
        <v>0</v>
      </c>
      <c r="M549" s="186">
        <f t="shared" si="70"/>
        <v>0</v>
      </c>
      <c r="N549" s="186">
        <f t="shared" si="71"/>
        <v>0</v>
      </c>
      <c r="P549" s="207" t="str">
        <f t="shared" si="72"/>
        <v>PM_0</v>
      </c>
      <c r="Q549" s="273">
        <f t="shared" si="73"/>
        <v>0</v>
      </c>
      <c r="R549" s="207">
        <f t="shared" si="74"/>
        <v>0</v>
      </c>
      <c r="S549" s="207">
        <f t="shared" si="75"/>
        <v>0</v>
      </c>
    </row>
    <row r="550" spans="11:19" ht="14.1" customHeight="1" x14ac:dyDescent="0.2">
      <c r="K550" s="186" t="str">
        <f t="shared" si="68"/>
        <v>PM_0</v>
      </c>
      <c r="L550" s="186">
        <f t="shared" si="69"/>
        <v>0</v>
      </c>
      <c r="M550" s="186">
        <f t="shared" si="70"/>
        <v>0</v>
      </c>
      <c r="N550" s="186">
        <f t="shared" si="71"/>
        <v>0</v>
      </c>
      <c r="P550" s="207" t="str">
        <f t="shared" si="72"/>
        <v>PM_0</v>
      </c>
      <c r="Q550" s="273">
        <f t="shared" si="73"/>
        <v>0</v>
      </c>
      <c r="R550" s="207">
        <f t="shared" si="74"/>
        <v>0</v>
      </c>
      <c r="S550" s="207">
        <f t="shared" si="75"/>
        <v>0</v>
      </c>
    </row>
    <row r="551" spans="11:19" ht="14.1" customHeight="1" x14ac:dyDescent="0.2">
      <c r="K551" s="186" t="str">
        <f t="shared" si="68"/>
        <v>PM_0</v>
      </c>
      <c r="L551" s="186">
        <f t="shared" si="69"/>
        <v>0</v>
      </c>
      <c r="M551" s="186">
        <f t="shared" si="70"/>
        <v>0</v>
      </c>
      <c r="N551" s="186">
        <f t="shared" si="71"/>
        <v>0</v>
      </c>
      <c r="P551" s="207" t="str">
        <f t="shared" si="72"/>
        <v>PM_0</v>
      </c>
      <c r="Q551" s="273">
        <f t="shared" si="73"/>
        <v>0</v>
      </c>
      <c r="R551" s="207">
        <f t="shared" si="74"/>
        <v>0</v>
      </c>
      <c r="S551" s="207">
        <f t="shared" si="75"/>
        <v>0</v>
      </c>
    </row>
    <row r="552" spans="11:19" ht="14.1" customHeight="1" x14ac:dyDescent="0.2">
      <c r="K552" s="186" t="str">
        <f t="shared" si="68"/>
        <v>PM_0</v>
      </c>
      <c r="L552" s="186">
        <f t="shared" si="69"/>
        <v>0</v>
      </c>
      <c r="M552" s="186">
        <f t="shared" si="70"/>
        <v>0</v>
      </c>
      <c r="N552" s="186">
        <f t="shared" si="71"/>
        <v>0</v>
      </c>
      <c r="P552" s="207" t="str">
        <f t="shared" si="72"/>
        <v>PM_0</v>
      </c>
      <c r="Q552" s="273">
        <f t="shared" si="73"/>
        <v>0</v>
      </c>
      <c r="R552" s="207">
        <f t="shared" si="74"/>
        <v>0</v>
      </c>
      <c r="S552" s="207">
        <f t="shared" si="75"/>
        <v>0</v>
      </c>
    </row>
    <row r="553" spans="11:19" ht="14.1" customHeight="1" x14ac:dyDescent="0.2">
      <c r="K553" s="186" t="str">
        <f t="shared" si="68"/>
        <v>PM_0</v>
      </c>
      <c r="L553" s="186">
        <f t="shared" si="69"/>
        <v>0</v>
      </c>
      <c r="M553" s="186">
        <f t="shared" si="70"/>
        <v>0</v>
      </c>
      <c r="N553" s="186">
        <f t="shared" si="71"/>
        <v>0</v>
      </c>
      <c r="P553" s="207" t="str">
        <f t="shared" si="72"/>
        <v>PM_0</v>
      </c>
      <c r="Q553" s="273">
        <f t="shared" si="73"/>
        <v>0</v>
      </c>
      <c r="R553" s="207">
        <f t="shared" si="74"/>
        <v>0</v>
      </c>
      <c r="S553" s="207">
        <f t="shared" si="75"/>
        <v>0</v>
      </c>
    </row>
    <row r="554" spans="11:19" ht="14.1" customHeight="1" x14ac:dyDescent="0.2">
      <c r="K554" s="186" t="str">
        <f t="shared" si="68"/>
        <v>PM_0</v>
      </c>
      <c r="L554" s="186">
        <f t="shared" si="69"/>
        <v>0</v>
      </c>
      <c r="M554" s="186">
        <f t="shared" si="70"/>
        <v>0</v>
      </c>
      <c r="N554" s="186">
        <f t="shared" si="71"/>
        <v>0</v>
      </c>
      <c r="P554" s="207" t="str">
        <f t="shared" si="72"/>
        <v>PM_0</v>
      </c>
      <c r="Q554" s="273">
        <f t="shared" si="73"/>
        <v>0</v>
      </c>
      <c r="R554" s="207">
        <f t="shared" si="74"/>
        <v>0</v>
      </c>
      <c r="S554" s="207">
        <f t="shared" si="75"/>
        <v>0</v>
      </c>
    </row>
    <row r="555" spans="11:19" ht="14.1" customHeight="1" x14ac:dyDescent="0.2">
      <c r="K555" s="186" t="str">
        <f t="shared" si="68"/>
        <v>PM_0</v>
      </c>
      <c r="L555" s="186">
        <f t="shared" si="69"/>
        <v>0</v>
      </c>
      <c r="M555" s="186">
        <f t="shared" si="70"/>
        <v>0</v>
      </c>
      <c r="N555" s="186">
        <f t="shared" si="71"/>
        <v>0</v>
      </c>
      <c r="P555" s="207" t="str">
        <f t="shared" si="72"/>
        <v>PM_0</v>
      </c>
      <c r="Q555" s="273">
        <f t="shared" si="73"/>
        <v>0</v>
      </c>
      <c r="R555" s="207">
        <f t="shared" si="74"/>
        <v>0</v>
      </c>
      <c r="S555" s="207">
        <f t="shared" si="75"/>
        <v>0</v>
      </c>
    </row>
    <row r="556" spans="11:19" ht="14.1" customHeight="1" x14ac:dyDescent="0.2">
      <c r="K556" s="186" t="str">
        <f t="shared" si="68"/>
        <v>PM_0</v>
      </c>
      <c r="L556" s="186">
        <f t="shared" si="69"/>
        <v>0</v>
      </c>
      <c r="M556" s="186">
        <f t="shared" si="70"/>
        <v>0</v>
      </c>
      <c r="N556" s="186">
        <f t="shared" si="71"/>
        <v>0</v>
      </c>
      <c r="P556" s="207" t="str">
        <f t="shared" si="72"/>
        <v>PM_0</v>
      </c>
      <c r="Q556" s="273">
        <f t="shared" si="73"/>
        <v>0</v>
      </c>
      <c r="R556" s="207">
        <f t="shared" si="74"/>
        <v>0</v>
      </c>
      <c r="S556" s="207">
        <f t="shared" si="75"/>
        <v>0</v>
      </c>
    </row>
    <row r="557" spans="11:19" ht="14.1" customHeight="1" x14ac:dyDescent="0.2">
      <c r="K557" s="186" t="str">
        <f t="shared" si="68"/>
        <v>PM_0</v>
      </c>
      <c r="L557" s="186">
        <f t="shared" si="69"/>
        <v>0</v>
      </c>
      <c r="M557" s="186">
        <f t="shared" si="70"/>
        <v>0</v>
      </c>
      <c r="N557" s="186">
        <f t="shared" si="71"/>
        <v>0</v>
      </c>
      <c r="P557" s="207" t="str">
        <f t="shared" si="72"/>
        <v>PM_0</v>
      </c>
      <c r="Q557" s="273">
        <f t="shared" si="73"/>
        <v>0</v>
      </c>
      <c r="R557" s="207">
        <f t="shared" si="74"/>
        <v>0</v>
      </c>
      <c r="S557" s="207">
        <f t="shared" si="75"/>
        <v>0</v>
      </c>
    </row>
    <row r="558" spans="11:19" ht="14.1" customHeight="1" x14ac:dyDescent="0.2">
      <c r="K558" s="186" t="str">
        <f t="shared" si="68"/>
        <v>PM_0</v>
      </c>
      <c r="L558" s="186">
        <f t="shared" si="69"/>
        <v>0</v>
      </c>
      <c r="M558" s="186">
        <f t="shared" si="70"/>
        <v>0</v>
      </c>
      <c r="N558" s="186">
        <f t="shared" si="71"/>
        <v>0</v>
      </c>
      <c r="P558" s="207" t="str">
        <f t="shared" si="72"/>
        <v>PM_0</v>
      </c>
      <c r="Q558" s="273">
        <f t="shared" si="73"/>
        <v>0</v>
      </c>
      <c r="R558" s="207">
        <f t="shared" si="74"/>
        <v>0</v>
      </c>
      <c r="S558" s="207">
        <f t="shared" si="75"/>
        <v>0</v>
      </c>
    </row>
    <row r="559" spans="11:19" ht="14.1" customHeight="1" x14ac:dyDescent="0.2">
      <c r="K559" s="186" t="str">
        <f t="shared" si="68"/>
        <v>PM_0</v>
      </c>
      <c r="L559" s="186">
        <f t="shared" si="69"/>
        <v>0</v>
      </c>
      <c r="M559" s="186">
        <f t="shared" si="70"/>
        <v>0</v>
      </c>
      <c r="N559" s="186">
        <f t="shared" si="71"/>
        <v>0</v>
      </c>
      <c r="P559" s="207" t="str">
        <f t="shared" si="72"/>
        <v>PM_0</v>
      </c>
      <c r="Q559" s="273">
        <f t="shared" si="73"/>
        <v>0</v>
      </c>
      <c r="R559" s="207">
        <f t="shared" si="74"/>
        <v>0</v>
      </c>
      <c r="S559" s="207">
        <f t="shared" si="75"/>
        <v>0</v>
      </c>
    </row>
    <row r="560" spans="11:19" ht="14.1" customHeight="1" x14ac:dyDescent="0.2">
      <c r="K560" s="186" t="str">
        <f t="shared" si="68"/>
        <v>PM_0</v>
      </c>
      <c r="L560" s="186">
        <f t="shared" si="69"/>
        <v>0</v>
      </c>
      <c r="M560" s="186">
        <f t="shared" si="70"/>
        <v>0</v>
      </c>
      <c r="N560" s="186">
        <f t="shared" si="71"/>
        <v>0</v>
      </c>
      <c r="P560" s="207" t="str">
        <f t="shared" si="72"/>
        <v>PM_0</v>
      </c>
      <c r="Q560" s="273">
        <f t="shared" si="73"/>
        <v>0</v>
      </c>
      <c r="R560" s="207">
        <f t="shared" si="74"/>
        <v>0</v>
      </c>
      <c r="S560" s="207">
        <f t="shared" si="75"/>
        <v>0</v>
      </c>
    </row>
    <row r="561" spans="11:19" ht="14.1" customHeight="1" x14ac:dyDescent="0.2">
      <c r="K561" s="186" t="str">
        <f t="shared" si="68"/>
        <v>PM_0</v>
      </c>
      <c r="L561" s="186">
        <f t="shared" si="69"/>
        <v>0</v>
      </c>
      <c r="M561" s="186">
        <f t="shared" si="70"/>
        <v>0</v>
      </c>
      <c r="N561" s="186">
        <f t="shared" si="71"/>
        <v>0</v>
      </c>
      <c r="P561" s="207" t="str">
        <f t="shared" si="72"/>
        <v>PM_0</v>
      </c>
      <c r="Q561" s="273">
        <f t="shared" si="73"/>
        <v>0</v>
      </c>
      <c r="R561" s="207">
        <f t="shared" si="74"/>
        <v>0</v>
      </c>
      <c r="S561" s="207">
        <f t="shared" si="75"/>
        <v>0</v>
      </c>
    </row>
    <row r="562" spans="11:19" ht="14.1" customHeight="1" x14ac:dyDescent="0.2">
      <c r="K562" s="186" t="str">
        <f t="shared" si="68"/>
        <v>PM_0</v>
      </c>
      <c r="L562" s="186">
        <f t="shared" si="69"/>
        <v>0</v>
      </c>
      <c r="M562" s="186">
        <f t="shared" si="70"/>
        <v>0</v>
      </c>
      <c r="N562" s="186">
        <f t="shared" si="71"/>
        <v>0</v>
      </c>
      <c r="P562" s="207" t="str">
        <f t="shared" si="72"/>
        <v>PM_0</v>
      </c>
      <c r="Q562" s="273">
        <f t="shared" si="73"/>
        <v>0</v>
      </c>
      <c r="R562" s="207">
        <f t="shared" si="74"/>
        <v>0</v>
      </c>
      <c r="S562" s="207">
        <f t="shared" si="75"/>
        <v>0</v>
      </c>
    </row>
    <row r="563" spans="11:19" ht="14.1" customHeight="1" x14ac:dyDescent="0.2">
      <c r="K563" s="186" t="str">
        <f t="shared" si="68"/>
        <v>PM_0</v>
      </c>
      <c r="L563" s="186">
        <f t="shared" si="69"/>
        <v>0</v>
      </c>
      <c r="M563" s="186">
        <f t="shared" si="70"/>
        <v>0</v>
      </c>
      <c r="N563" s="186">
        <f t="shared" si="71"/>
        <v>0</v>
      </c>
      <c r="P563" s="207" t="str">
        <f t="shared" si="72"/>
        <v>PM_0</v>
      </c>
      <c r="Q563" s="273">
        <f t="shared" si="73"/>
        <v>0</v>
      </c>
      <c r="R563" s="207">
        <f t="shared" si="74"/>
        <v>0</v>
      </c>
      <c r="S563" s="207">
        <f t="shared" si="75"/>
        <v>0</v>
      </c>
    </row>
    <row r="564" spans="11:19" ht="14.1" customHeight="1" x14ac:dyDescent="0.2">
      <c r="K564" s="186" t="str">
        <f t="shared" si="68"/>
        <v>PM_0</v>
      </c>
      <c r="L564" s="186">
        <f t="shared" si="69"/>
        <v>0</v>
      </c>
      <c r="M564" s="186">
        <f t="shared" si="70"/>
        <v>0</v>
      </c>
      <c r="N564" s="186">
        <f t="shared" si="71"/>
        <v>0</v>
      </c>
      <c r="P564" s="207" t="str">
        <f t="shared" si="72"/>
        <v>PM_0</v>
      </c>
      <c r="Q564" s="273">
        <f t="shared" si="73"/>
        <v>0</v>
      </c>
      <c r="R564" s="207">
        <f t="shared" si="74"/>
        <v>0</v>
      </c>
      <c r="S564" s="207">
        <f t="shared" si="75"/>
        <v>0</v>
      </c>
    </row>
    <row r="565" spans="11:19" ht="14.1" customHeight="1" x14ac:dyDescent="0.2">
      <c r="K565" s="186" t="str">
        <f t="shared" si="68"/>
        <v>PM_0</v>
      </c>
      <c r="L565" s="186">
        <f t="shared" si="69"/>
        <v>0</v>
      </c>
      <c r="M565" s="186">
        <f t="shared" si="70"/>
        <v>0</v>
      </c>
      <c r="N565" s="186">
        <f t="shared" si="71"/>
        <v>0</v>
      </c>
      <c r="P565" s="207" t="str">
        <f t="shared" si="72"/>
        <v>PM_0</v>
      </c>
      <c r="Q565" s="273">
        <f t="shared" si="73"/>
        <v>0</v>
      </c>
      <c r="R565" s="207">
        <f t="shared" si="74"/>
        <v>0</v>
      </c>
      <c r="S565" s="207">
        <f t="shared" si="75"/>
        <v>0</v>
      </c>
    </row>
    <row r="566" spans="11:19" ht="14.1" customHeight="1" x14ac:dyDescent="0.2">
      <c r="K566" s="186" t="str">
        <f t="shared" si="68"/>
        <v>PM_0</v>
      </c>
      <c r="L566" s="186">
        <f t="shared" si="69"/>
        <v>0</v>
      </c>
      <c r="M566" s="186">
        <f t="shared" si="70"/>
        <v>0</v>
      </c>
      <c r="N566" s="186">
        <f t="shared" si="71"/>
        <v>0</v>
      </c>
      <c r="P566" s="207" t="str">
        <f t="shared" si="72"/>
        <v>PM_0</v>
      </c>
      <c r="Q566" s="273">
        <f t="shared" si="73"/>
        <v>0</v>
      </c>
      <c r="R566" s="207">
        <f t="shared" si="74"/>
        <v>0</v>
      </c>
      <c r="S566" s="207">
        <f t="shared" si="75"/>
        <v>0</v>
      </c>
    </row>
    <row r="567" spans="11:19" ht="14.1" customHeight="1" x14ac:dyDescent="0.2">
      <c r="K567" s="186" t="str">
        <f t="shared" si="68"/>
        <v>PM_0</v>
      </c>
      <c r="L567" s="186">
        <f t="shared" si="69"/>
        <v>0</v>
      </c>
      <c r="M567" s="186">
        <f t="shared" si="70"/>
        <v>0</v>
      </c>
      <c r="N567" s="186">
        <f t="shared" si="71"/>
        <v>0</v>
      </c>
      <c r="P567" s="207" t="str">
        <f t="shared" si="72"/>
        <v>PM_0</v>
      </c>
      <c r="Q567" s="273">
        <f t="shared" si="73"/>
        <v>0</v>
      </c>
      <c r="R567" s="207">
        <f t="shared" si="74"/>
        <v>0</v>
      </c>
      <c r="S567" s="207">
        <f t="shared" si="75"/>
        <v>0</v>
      </c>
    </row>
    <row r="568" spans="11:19" ht="14.1" customHeight="1" x14ac:dyDescent="0.2">
      <c r="K568" s="186" t="str">
        <f t="shared" si="68"/>
        <v>PM_0</v>
      </c>
      <c r="L568" s="186">
        <f t="shared" si="69"/>
        <v>0</v>
      </c>
      <c r="M568" s="186">
        <f t="shared" si="70"/>
        <v>0</v>
      </c>
      <c r="N568" s="186">
        <f t="shared" si="71"/>
        <v>0</v>
      </c>
      <c r="P568" s="207" t="str">
        <f t="shared" si="72"/>
        <v>PM_0</v>
      </c>
      <c r="Q568" s="273">
        <f t="shared" si="73"/>
        <v>0</v>
      </c>
      <c r="R568" s="207">
        <f t="shared" si="74"/>
        <v>0</v>
      </c>
      <c r="S568" s="207">
        <f t="shared" si="75"/>
        <v>0</v>
      </c>
    </row>
    <row r="569" spans="11:19" ht="14.1" customHeight="1" x14ac:dyDescent="0.2">
      <c r="K569" s="186" t="str">
        <f t="shared" si="68"/>
        <v>PM_0</v>
      </c>
      <c r="L569" s="186">
        <f t="shared" si="69"/>
        <v>0</v>
      </c>
      <c r="M569" s="186">
        <f t="shared" si="70"/>
        <v>0</v>
      </c>
      <c r="N569" s="186">
        <f t="shared" si="71"/>
        <v>0</v>
      </c>
      <c r="P569" s="207" t="str">
        <f t="shared" si="72"/>
        <v>PM_0</v>
      </c>
      <c r="Q569" s="273">
        <f t="shared" si="73"/>
        <v>0</v>
      </c>
      <c r="R569" s="207">
        <f t="shared" si="74"/>
        <v>0</v>
      </c>
      <c r="S569" s="207">
        <f t="shared" si="75"/>
        <v>0</v>
      </c>
    </row>
    <row r="570" spans="11:19" ht="14.1" customHeight="1" x14ac:dyDescent="0.2">
      <c r="K570" s="186" t="str">
        <f t="shared" si="68"/>
        <v>PM_0</v>
      </c>
      <c r="L570" s="186">
        <f t="shared" si="69"/>
        <v>0</v>
      </c>
      <c r="M570" s="186">
        <f t="shared" si="70"/>
        <v>0</v>
      </c>
      <c r="N570" s="186">
        <f t="shared" si="71"/>
        <v>0</v>
      </c>
      <c r="P570" s="207" t="str">
        <f t="shared" si="72"/>
        <v>PM_0</v>
      </c>
      <c r="Q570" s="273">
        <f t="shared" si="73"/>
        <v>0</v>
      </c>
      <c r="R570" s="207">
        <f t="shared" si="74"/>
        <v>0</v>
      </c>
      <c r="S570" s="207">
        <f t="shared" si="75"/>
        <v>0</v>
      </c>
    </row>
    <row r="571" spans="11:19" ht="14.1" customHeight="1" x14ac:dyDescent="0.2">
      <c r="K571" s="186" t="str">
        <f t="shared" si="68"/>
        <v>PM_0</v>
      </c>
      <c r="L571" s="186">
        <f t="shared" si="69"/>
        <v>0</v>
      </c>
      <c r="M571" s="186">
        <f t="shared" si="70"/>
        <v>0</v>
      </c>
      <c r="N571" s="186">
        <f t="shared" si="71"/>
        <v>0</v>
      </c>
      <c r="P571" s="207" t="str">
        <f t="shared" si="72"/>
        <v>PM_0</v>
      </c>
      <c r="Q571" s="273">
        <f t="shared" si="73"/>
        <v>0</v>
      </c>
      <c r="R571" s="207">
        <f t="shared" si="74"/>
        <v>0</v>
      </c>
      <c r="S571" s="207">
        <f t="shared" si="75"/>
        <v>0</v>
      </c>
    </row>
    <row r="572" spans="11:19" ht="14.1" customHeight="1" x14ac:dyDescent="0.2">
      <c r="K572" s="186" t="str">
        <f t="shared" si="68"/>
        <v>PM_0</v>
      </c>
      <c r="L572" s="186">
        <f t="shared" si="69"/>
        <v>0</v>
      </c>
      <c r="M572" s="186">
        <f t="shared" si="70"/>
        <v>0</v>
      </c>
      <c r="N572" s="186">
        <f t="shared" si="71"/>
        <v>0</v>
      </c>
      <c r="P572" s="207" t="str">
        <f t="shared" si="72"/>
        <v>PM_0</v>
      </c>
      <c r="Q572" s="273">
        <f t="shared" si="73"/>
        <v>0</v>
      </c>
      <c r="R572" s="207">
        <f t="shared" si="74"/>
        <v>0</v>
      </c>
      <c r="S572" s="207">
        <f t="shared" si="75"/>
        <v>0</v>
      </c>
    </row>
    <row r="573" spans="11:19" ht="14.1" customHeight="1" x14ac:dyDescent="0.2">
      <c r="K573" s="186" t="str">
        <f t="shared" si="68"/>
        <v>PM_0</v>
      </c>
      <c r="L573" s="186">
        <f t="shared" si="69"/>
        <v>0</v>
      </c>
      <c r="M573" s="186">
        <f t="shared" si="70"/>
        <v>0</v>
      </c>
      <c r="N573" s="186">
        <f t="shared" si="71"/>
        <v>0</v>
      </c>
      <c r="P573" s="207" t="str">
        <f t="shared" si="72"/>
        <v>PM_0</v>
      </c>
      <c r="Q573" s="273">
        <f t="shared" si="73"/>
        <v>0</v>
      </c>
      <c r="R573" s="207">
        <f t="shared" si="74"/>
        <v>0</v>
      </c>
      <c r="S573" s="207">
        <f t="shared" si="75"/>
        <v>0</v>
      </c>
    </row>
    <row r="574" spans="11:19" ht="14.1" customHeight="1" x14ac:dyDescent="0.2">
      <c r="K574" s="186" t="str">
        <f t="shared" si="68"/>
        <v>PM_0</v>
      </c>
      <c r="L574" s="186">
        <f t="shared" si="69"/>
        <v>0</v>
      </c>
      <c r="M574" s="186">
        <f t="shared" si="70"/>
        <v>0</v>
      </c>
      <c r="N574" s="186">
        <f t="shared" si="71"/>
        <v>0</v>
      </c>
      <c r="P574" s="207" t="str">
        <f t="shared" si="72"/>
        <v>PM_0</v>
      </c>
      <c r="Q574" s="273">
        <f t="shared" si="73"/>
        <v>0</v>
      </c>
      <c r="R574" s="207">
        <f t="shared" si="74"/>
        <v>0</v>
      </c>
      <c r="S574" s="207">
        <f t="shared" si="75"/>
        <v>0</v>
      </c>
    </row>
    <row r="575" spans="11:19" ht="14.1" customHeight="1" x14ac:dyDescent="0.2">
      <c r="K575" s="186" t="str">
        <f t="shared" si="68"/>
        <v>PM_0</v>
      </c>
      <c r="L575" s="186">
        <f t="shared" si="69"/>
        <v>0</v>
      </c>
      <c r="M575" s="186">
        <f t="shared" si="70"/>
        <v>0</v>
      </c>
      <c r="N575" s="186">
        <f t="shared" si="71"/>
        <v>0</v>
      </c>
      <c r="P575" s="207" t="str">
        <f t="shared" si="72"/>
        <v>PM_0</v>
      </c>
      <c r="Q575" s="273">
        <f t="shared" si="73"/>
        <v>0</v>
      </c>
      <c r="R575" s="207">
        <f t="shared" si="74"/>
        <v>0</v>
      </c>
      <c r="S575" s="207">
        <f t="shared" si="75"/>
        <v>0</v>
      </c>
    </row>
    <row r="576" spans="11:19" ht="14.1" customHeight="1" x14ac:dyDescent="0.2">
      <c r="K576" s="186" t="str">
        <f t="shared" si="68"/>
        <v>PM_0</v>
      </c>
      <c r="L576" s="186">
        <f t="shared" si="69"/>
        <v>0</v>
      </c>
      <c r="M576" s="186">
        <f t="shared" si="70"/>
        <v>0</v>
      </c>
      <c r="N576" s="186">
        <f t="shared" si="71"/>
        <v>0</v>
      </c>
      <c r="P576" s="207" t="str">
        <f t="shared" si="72"/>
        <v>PM_0</v>
      </c>
      <c r="Q576" s="273">
        <f t="shared" si="73"/>
        <v>0</v>
      </c>
      <c r="R576" s="207">
        <f t="shared" si="74"/>
        <v>0</v>
      </c>
      <c r="S576" s="207">
        <f t="shared" si="75"/>
        <v>0</v>
      </c>
    </row>
    <row r="577" spans="11:19" ht="14.1" customHeight="1" x14ac:dyDescent="0.2">
      <c r="K577" s="186" t="str">
        <f t="shared" si="68"/>
        <v>PM_0</v>
      </c>
      <c r="L577" s="186">
        <f t="shared" si="69"/>
        <v>0</v>
      </c>
      <c r="M577" s="186">
        <f t="shared" si="70"/>
        <v>0</v>
      </c>
      <c r="N577" s="186">
        <f t="shared" si="71"/>
        <v>0</v>
      </c>
      <c r="P577" s="207" t="str">
        <f t="shared" si="72"/>
        <v>PM_0</v>
      </c>
      <c r="Q577" s="273">
        <f t="shared" si="73"/>
        <v>0</v>
      </c>
      <c r="R577" s="207">
        <f t="shared" si="74"/>
        <v>0</v>
      </c>
      <c r="S577" s="207">
        <f t="shared" si="75"/>
        <v>0</v>
      </c>
    </row>
    <row r="578" spans="11:19" ht="14.1" customHeight="1" x14ac:dyDescent="0.2">
      <c r="K578" s="186" t="str">
        <f t="shared" si="68"/>
        <v>PM_0</v>
      </c>
      <c r="L578" s="186">
        <f t="shared" si="69"/>
        <v>0</v>
      </c>
      <c r="M578" s="186">
        <f t="shared" si="70"/>
        <v>0</v>
      </c>
      <c r="N578" s="186">
        <f t="shared" si="71"/>
        <v>0</v>
      </c>
      <c r="P578" s="207" t="str">
        <f t="shared" si="72"/>
        <v>PM_0</v>
      </c>
      <c r="Q578" s="273">
        <f t="shared" si="73"/>
        <v>0</v>
      </c>
      <c r="R578" s="207">
        <f t="shared" si="74"/>
        <v>0</v>
      </c>
      <c r="S578" s="207">
        <f t="shared" si="75"/>
        <v>0</v>
      </c>
    </row>
    <row r="579" spans="11:19" ht="14.1" customHeight="1" x14ac:dyDescent="0.2">
      <c r="K579" s="186" t="str">
        <f t="shared" si="68"/>
        <v>PM_0</v>
      </c>
      <c r="L579" s="186">
        <f t="shared" si="69"/>
        <v>0</v>
      </c>
      <c r="M579" s="186">
        <f t="shared" si="70"/>
        <v>0</v>
      </c>
      <c r="N579" s="186">
        <f t="shared" si="71"/>
        <v>0</v>
      </c>
      <c r="P579" s="207" t="str">
        <f t="shared" si="72"/>
        <v>PM_0</v>
      </c>
      <c r="Q579" s="273">
        <f t="shared" si="73"/>
        <v>0</v>
      </c>
      <c r="R579" s="207">
        <f t="shared" si="74"/>
        <v>0</v>
      </c>
      <c r="S579" s="207">
        <f t="shared" si="75"/>
        <v>0</v>
      </c>
    </row>
    <row r="580" spans="11:19" ht="14.1" customHeight="1" x14ac:dyDescent="0.2">
      <c r="K580" s="186" t="str">
        <f t="shared" si="68"/>
        <v>PM_0</v>
      </c>
      <c r="L580" s="186">
        <f t="shared" si="69"/>
        <v>0</v>
      </c>
      <c r="M580" s="186">
        <f t="shared" si="70"/>
        <v>0</v>
      </c>
      <c r="N580" s="186">
        <f t="shared" si="71"/>
        <v>0</v>
      </c>
      <c r="P580" s="207" t="str">
        <f t="shared" si="72"/>
        <v>PM_0</v>
      </c>
      <c r="Q580" s="273">
        <f t="shared" si="73"/>
        <v>0</v>
      </c>
      <c r="R580" s="207">
        <f t="shared" si="74"/>
        <v>0</v>
      </c>
      <c r="S580" s="207">
        <f t="shared" si="75"/>
        <v>0</v>
      </c>
    </row>
    <row r="581" spans="11:19" ht="14.1" customHeight="1" x14ac:dyDescent="0.2">
      <c r="K581" s="186" t="str">
        <f t="shared" si="68"/>
        <v>PM_0</v>
      </c>
      <c r="L581" s="186">
        <f t="shared" si="69"/>
        <v>0</v>
      </c>
      <c r="M581" s="186">
        <f t="shared" si="70"/>
        <v>0</v>
      </c>
      <c r="N581" s="186">
        <f t="shared" si="71"/>
        <v>0</v>
      </c>
      <c r="P581" s="207" t="str">
        <f t="shared" si="72"/>
        <v>PM_0</v>
      </c>
      <c r="Q581" s="273">
        <f t="shared" si="73"/>
        <v>0</v>
      </c>
      <c r="R581" s="207">
        <f t="shared" si="74"/>
        <v>0</v>
      </c>
      <c r="S581" s="207">
        <f t="shared" si="75"/>
        <v>0</v>
      </c>
    </row>
    <row r="582" spans="11:19" ht="14.1" customHeight="1" x14ac:dyDescent="0.2">
      <c r="K582" s="186" t="str">
        <f t="shared" si="68"/>
        <v>PM_0</v>
      </c>
      <c r="L582" s="186">
        <f t="shared" si="69"/>
        <v>0</v>
      </c>
      <c r="M582" s="186">
        <f t="shared" si="70"/>
        <v>0</v>
      </c>
      <c r="N582" s="186">
        <f t="shared" si="71"/>
        <v>0</v>
      </c>
      <c r="P582" s="207" t="str">
        <f t="shared" si="72"/>
        <v>PM_0</v>
      </c>
      <c r="Q582" s="273">
        <f t="shared" si="73"/>
        <v>0</v>
      </c>
      <c r="R582" s="207">
        <f t="shared" si="74"/>
        <v>0</v>
      </c>
      <c r="S582" s="207">
        <f t="shared" si="75"/>
        <v>0</v>
      </c>
    </row>
    <row r="583" spans="11:19" ht="14.1" customHeight="1" x14ac:dyDescent="0.2">
      <c r="K583" s="186" t="str">
        <f t="shared" si="68"/>
        <v>PM_0</v>
      </c>
      <c r="L583" s="186">
        <f t="shared" si="69"/>
        <v>0</v>
      </c>
      <c r="M583" s="186">
        <f t="shared" si="70"/>
        <v>0</v>
      </c>
      <c r="N583" s="186">
        <f t="shared" si="71"/>
        <v>0</v>
      </c>
      <c r="P583" s="207" t="str">
        <f t="shared" si="72"/>
        <v>PM_0</v>
      </c>
      <c r="Q583" s="273">
        <f t="shared" si="73"/>
        <v>0</v>
      </c>
      <c r="R583" s="207">
        <f t="shared" si="74"/>
        <v>0</v>
      </c>
      <c r="S583" s="207">
        <f t="shared" si="75"/>
        <v>0</v>
      </c>
    </row>
    <row r="584" spans="11:19" ht="14.1" customHeight="1" x14ac:dyDescent="0.2">
      <c r="K584" s="186" t="str">
        <f t="shared" si="68"/>
        <v>PM_0</v>
      </c>
      <c r="L584" s="186">
        <f t="shared" si="69"/>
        <v>0</v>
      </c>
      <c r="M584" s="186">
        <f t="shared" si="70"/>
        <v>0</v>
      </c>
      <c r="N584" s="186">
        <f t="shared" si="71"/>
        <v>0</v>
      </c>
      <c r="P584" s="207" t="str">
        <f t="shared" si="72"/>
        <v>PM_0</v>
      </c>
      <c r="Q584" s="273">
        <f t="shared" si="73"/>
        <v>0</v>
      </c>
      <c r="R584" s="207">
        <f t="shared" si="74"/>
        <v>0</v>
      </c>
      <c r="S584" s="207">
        <f t="shared" si="75"/>
        <v>0</v>
      </c>
    </row>
    <row r="585" spans="11:19" ht="14.1" customHeight="1" x14ac:dyDescent="0.2">
      <c r="K585" s="186" t="str">
        <f t="shared" si="68"/>
        <v>PM_0</v>
      </c>
      <c r="L585" s="186">
        <f t="shared" si="69"/>
        <v>0</v>
      </c>
      <c r="M585" s="186">
        <f t="shared" si="70"/>
        <v>0</v>
      </c>
      <c r="N585" s="186">
        <f t="shared" si="71"/>
        <v>0</v>
      </c>
      <c r="P585" s="207" t="str">
        <f t="shared" si="72"/>
        <v>PM_0</v>
      </c>
      <c r="Q585" s="273">
        <f t="shared" si="73"/>
        <v>0</v>
      </c>
      <c r="R585" s="207">
        <f t="shared" si="74"/>
        <v>0</v>
      </c>
      <c r="S585" s="207">
        <f t="shared" si="75"/>
        <v>0</v>
      </c>
    </row>
    <row r="586" spans="11:19" ht="14.1" customHeight="1" x14ac:dyDescent="0.2">
      <c r="K586" s="186" t="str">
        <f t="shared" si="68"/>
        <v>PM_0</v>
      </c>
      <c r="L586" s="186">
        <f t="shared" si="69"/>
        <v>0</v>
      </c>
      <c r="M586" s="186">
        <f t="shared" si="70"/>
        <v>0</v>
      </c>
      <c r="N586" s="186">
        <f t="shared" si="71"/>
        <v>0</v>
      </c>
      <c r="P586" s="207" t="str">
        <f t="shared" si="72"/>
        <v>PM_0</v>
      </c>
      <c r="Q586" s="273">
        <f t="shared" si="73"/>
        <v>0</v>
      </c>
      <c r="R586" s="207">
        <f t="shared" si="74"/>
        <v>0</v>
      </c>
      <c r="S586" s="207">
        <f t="shared" si="75"/>
        <v>0</v>
      </c>
    </row>
    <row r="587" spans="11:19" ht="14.1" customHeight="1" x14ac:dyDescent="0.2">
      <c r="K587" s="186" t="str">
        <f t="shared" ref="K587:K650" si="76">"PM_"&amp;ROUND(E587,2)</f>
        <v>PM_0</v>
      </c>
      <c r="L587" s="186">
        <f t="shared" ref="L587:L650" si="77">F587</f>
        <v>0</v>
      </c>
      <c r="M587" s="186">
        <f t="shared" ref="M587:M650" si="78">G587</f>
        <v>0</v>
      </c>
      <c r="N587" s="186">
        <f t="shared" ref="N587:N650" si="79">H587</f>
        <v>0</v>
      </c>
      <c r="P587" s="207" t="str">
        <f t="shared" ref="P587:P650" si="80">K587</f>
        <v>PM_0</v>
      </c>
      <c r="Q587" s="273">
        <f t="shared" ref="Q587:Q650" si="81">$S$1+E587</f>
        <v>0</v>
      </c>
      <c r="R587" s="207">
        <f t="shared" ref="R587:R650" si="82">H587</f>
        <v>0</v>
      </c>
      <c r="S587" s="207">
        <f t="shared" ref="S587:S650" si="83">$B$6</f>
        <v>0</v>
      </c>
    </row>
    <row r="588" spans="11:19" ht="14.1" customHeight="1" x14ac:dyDescent="0.2">
      <c r="K588" s="186" t="str">
        <f t="shared" si="76"/>
        <v>PM_0</v>
      </c>
      <c r="L588" s="186">
        <f t="shared" si="77"/>
        <v>0</v>
      </c>
      <c r="M588" s="186">
        <f t="shared" si="78"/>
        <v>0</v>
      </c>
      <c r="N588" s="186">
        <f t="shared" si="79"/>
        <v>0</v>
      </c>
      <c r="P588" s="207" t="str">
        <f t="shared" si="80"/>
        <v>PM_0</v>
      </c>
      <c r="Q588" s="273">
        <f t="shared" si="81"/>
        <v>0</v>
      </c>
      <c r="R588" s="207">
        <f t="shared" si="82"/>
        <v>0</v>
      </c>
      <c r="S588" s="207">
        <f t="shared" si="83"/>
        <v>0</v>
      </c>
    </row>
    <row r="589" spans="11:19" ht="14.1" customHeight="1" x14ac:dyDescent="0.2">
      <c r="K589" s="186" t="str">
        <f t="shared" si="76"/>
        <v>PM_0</v>
      </c>
      <c r="L589" s="186">
        <f t="shared" si="77"/>
        <v>0</v>
      </c>
      <c r="M589" s="186">
        <f t="shared" si="78"/>
        <v>0</v>
      </c>
      <c r="N589" s="186">
        <f t="shared" si="79"/>
        <v>0</v>
      </c>
      <c r="P589" s="207" t="str">
        <f t="shared" si="80"/>
        <v>PM_0</v>
      </c>
      <c r="Q589" s="273">
        <f t="shared" si="81"/>
        <v>0</v>
      </c>
      <c r="R589" s="207">
        <f t="shared" si="82"/>
        <v>0</v>
      </c>
      <c r="S589" s="207">
        <f t="shared" si="83"/>
        <v>0</v>
      </c>
    </row>
    <row r="590" spans="11:19" ht="14.1" customHeight="1" x14ac:dyDescent="0.2">
      <c r="K590" s="186" t="str">
        <f t="shared" si="76"/>
        <v>PM_0</v>
      </c>
      <c r="L590" s="186">
        <f t="shared" si="77"/>
        <v>0</v>
      </c>
      <c r="M590" s="186">
        <f t="shared" si="78"/>
        <v>0</v>
      </c>
      <c r="N590" s="186">
        <f t="shared" si="79"/>
        <v>0</v>
      </c>
      <c r="P590" s="207" t="str">
        <f t="shared" si="80"/>
        <v>PM_0</v>
      </c>
      <c r="Q590" s="273">
        <f t="shared" si="81"/>
        <v>0</v>
      </c>
      <c r="R590" s="207">
        <f t="shared" si="82"/>
        <v>0</v>
      </c>
      <c r="S590" s="207">
        <f t="shared" si="83"/>
        <v>0</v>
      </c>
    </row>
    <row r="591" spans="11:19" ht="14.1" customHeight="1" x14ac:dyDescent="0.2">
      <c r="K591" s="186" t="str">
        <f t="shared" si="76"/>
        <v>PM_0</v>
      </c>
      <c r="L591" s="186">
        <f t="shared" si="77"/>
        <v>0</v>
      </c>
      <c r="M591" s="186">
        <f t="shared" si="78"/>
        <v>0</v>
      </c>
      <c r="N591" s="186">
        <f t="shared" si="79"/>
        <v>0</v>
      </c>
      <c r="P591" s="207" t="str">
        <f t="shared" si="80"/>
        <v>PM_0</v>
      </c>
      <c r="Q591" s="273">
        <f t="shared" si="81"/>
        <v>0</v>
      </c>
      <c r="R591" s="207">
        <f t="shared" si="82"/>
        <v>0</v>
      </c>
      <c r="S591" s="207">
        <f t="shared" si="83"/>
        <v>0</v>
      </c>
    </row>
    <row r="592" spans="11:19" ht="14.1" customHeight="1" x14ac:dyDescent="0.2">
      <c r="K592" s="186" t="str">
        <f t="shared" si="76"/>
        <v>PM_0</v>
      </c>
      <c r="L592" s="186">
        <f t="shared" si="77"/>
        <v>0</v>
      </c>
      <c r="M592" s="186">
        <f t="shared" si="78"/>
        <v>0</v>
      </c>
      <c r="N592" s="186">
        <f t="shared" si="79"/>
        <v>0</v>
      </c>
      <c r="P592" s="207" t="str">
        <f t="shared" si="80"/>
        <v>PM_0</v>
      </c>
      <c r="Q592" s="273">
        <f t="shared" si="81"/>
        <v>0</v>
      </c>
      <c r="R592" s="207">
        <f t="shared" si="82"/>
        <v>0</v>
      </c>
      <c r="S592" s="207">
        <f t="shared" si="83"/>
        <v>0</v>
      </c>
    </row>
    <row r="593" spans="11:19" ht="14.1" customHeight="1" x14ac:dyDescent="0.2">
      <c r="K593" s="186" t="str">
        <f t="shared" si="76"/>
        <v>PM_0</v>
      </c>
      <c r="L593" s="186">
        <f t="shared" si="77"/>
        <v>0</v>
      </c>
      <c r="M593" s="186">
        <f t="shared" si="78"/>
        <v>0</v>
      </c>
      <c r="N593" s="186">
        <f t="shared" si="79"/>
        <v>0</v>
      </c>
      <c r="P593" s="207" t="str">
        <f t="shared" si="80"/>
        <v>PM_0</v>
      </c>
      <c r="Q593" s="273">
        <f t="shared" si="81"/>
        <v>0</v>
      </c>
      <c r="R593" s="207">
        <f t="shared" si="82"/>
        <v>0</v>
      </c>
      <c r="S593" s="207">
        <f t="shared" si="83"/>
        <v>0</v>
      </c>
    </row>
    <row r="594" spans="11:19" ht="14.1" customHeight="1" x14ac:dyDescent="0.2">
      <c r="K594" s="186" t="str">
        <f t="shared" si="76"/>
        <v>PM_0</v>
      </c>
      <c r="L594" s="186">
        <f t="shared" si="77"/>
        <v>0</v>
      </c>
      <c r="M594" s="186">
        <f t="shared" si="78"/>
        <v>0</v>
      </c>
      <c r="N594" s="186">
        <f t="shared" si="79"/>
        <v>0</v>
      </c>
      <c r="P594" s="207" t="str">
        <f t="shared" si="80"/>
        <v>PM_0</v>
      </c>
      <c r="Q594" s="273">
        <f t="shared" si="81"/>
        <v>0</v>
      </c>
      <c r="R594" s="207">
        <f t="shared" si="82"/>
        <v>0</v>
      </c>
      <c r="S594" s="207">
        <f t="shared" si="83"/>
        <v>0</v>
      </c>
    </row>
    <row r="595" spans="11:19" ht="14.1" customHeight="1" x14ac:dyDescent="0.2">
      <c r="K595" s="186" t="str">
        <f t="shared" si="76"/>
        <v>PM_0</v>
      </c>
      <c r="L595" s="186">
        <f t="shared" si="77"/>
        <v>0</v>
      </c>
      <c r="M595" s="186">
        <f t="shared" si="78"/>
        <v>0</v>
      </c>
      <c r="N595" s="186">
        <f t="shared" si="79"/>
        <v>0</v>
      </c>
      <c r="P595" s="207" t="str">
        <f t="shared" si="80"/>
        <v>PM_0</v>
      </c>
      <c r="Q595" s="273">
        <f t="shared" si="81"/>
        <v>0</v>
      </c>
      <c r="R595" s="207">
        <f t="shared" si="82"/>
        <v>0</v>
      </c>
      <c r="S595" s="207">
        <f t="shared" si="83"/>
        <v>0</v>
      </c>
    </row>
    <row r="596" spans="11:19" ht="14.1" customHeight="1" x14ac:dyDescent="0.2">
      <c r="K596" s="186" t="str">
        <f t="shared" si="76"/>
        <v>PM_0</v>
      </c>
      <c r="L596" s="186">
        <f t="shared" si="77"/>
        <v>0</v>
      </c>
      <c r="M596" s="186">
        <f t="shared" si="78"/>
        <v>0</v>
      </c>
      <c r="N596" s="186">
        <f t="shared" si="79"/>
        <v>0</v>
      </c>
      <c r="P596" s="207" t="str">
        <f t="shared" si="80"/>
        <v>PM_0</v>
      </c>
      <c r="Q596" s="273">
        <f t="shared" si="81"/>
        <v>0</v>
      </c>
      <c r="R596" s="207">
        <f t="shared" si="82"/>
        <v>0</v>
      </c>
      <c r="S596" s="207">
        <f t="shared" si="83"/>
        <v>0</v>
      </c>
    </row>
    <row r="597" spans="11:19" ht="14.1" customHeight="1" x14ac:dyDescent="0.2">
      <c r="K597" s="186" t="str">
        <f t="shared" si="76"/>
        <v>PM_0</v>
      </c>
      <c r="L597" s="186">
        <f t="shared" si="77"/>
        <v>0</v>
      </c>
      <c r="M597" s="186">
        <f t="shared" si="78"/>
        <v>0</v>
      </c>
      <c r="N597" s="186">
        <f t="shared" si="79"/>
        <v>0</v>
      </c>
      <c r="P597" s="207" t="str">
        <f t="shared" si="80"/>
        <v>PM_0</v>
      </c>
      <c r="Q597" s="273">
        <f t="shared" si="81"/>
        <v>0</v>
      </c>
      <c r="R597" s="207">
        <f t="shared" si="82"/>
        <v>0</v>
      </c>
      <c r="S597" s="207">
        <f t="shared" si="83"/>
        <v>0</v>
      </c>
    </row>
    <row r="598" spans="11:19" ht="14.1" customHeight="1" x14ac:dyDescent="0.2">
      <c r="K598" s="186" t="str">
        <f t="shared" si="76"/>
        <v>PM_0</v>
      </c>
      <c r="L598" s="186">
        <f t="shared" si="77"/>
        <v>0</v>
      </c>
      <c r="M598" s="186">
        <f t="shared" si="78"/>
        <v>0</v>
      </c>
      <c r="N598" s="186">
        <f t="shared" si="79"/>
        <v>0</v>
      </c>
      <c r="P598" s="207" t="str">
        <f t="shared" si="80"/>
        <v>PM_0</v>
      </c>
      <c r="Q598" s="273">
        <f t="shared" si="81"/>
        <v>0</v>
      </c>
      <c r="R598" s="207">
        <f t="shared" si="82"/>
        <v>0</v>
      </c>
      <c r="S598" s="207">
        <f t="shared" si="83"/>
        <v>0</v>
      </c>
    </row>
    <row r="599" spans="11:19" ht="14.1" customHeight="1" x14ac:dyDescent="0.2">
      <c r="K599" s="186" t="str">
        <f t="shared" si="76"/>
        <v>PM_0</v>
      </c>
      <c r="L599" s="186">
        <f t="shared" si="77"/>
        <v>0</v>
      </c>
      <c r="M599" s="186">
        <f t="shared" si="78"/>
        <v>0</v>
      </c>
      <c r="N599" s="186">
        <f t="shared" si="79"/>
        <v>0</v>
      </c>
      <c r="P599" s="207" t="str">
        <f t="shared" si="80"/>
        <v>PM_0</v>
      </c>
      <c r="Q599" s="273">
        <f t="shared" si="81"/>
        <v>0</v>
      </c>
      <c r="R599" s="207">
        <f t="shared" si="82"/>
        <v>0</v>
      </c>
      <c r="S599" s="207">
        <f t="shared" si="83"/>
        <v>0</v>
      </c>
    </row>
    <row r="600" spans="11:19" ht="14.1" customHeight="1" x14ac:dyDescent="0.2">
      <c r="K600" s="186" t="str">
        <f t="shared" si="76"/>
        <v>PM_0</v>
      </c>
      <c r="L600" s="186">
        <f t="shared" si="77"/>
        <v>0</v>
      </c>
      <c r="M600" s="186">
        <f t="shared" si="78"/>
        <v>0</v>
      </c>
      <c r="N600" s="186">
        <f t="shared" si="79"/>
        <v>0</v>
      </c>
      <c r="P600" s="207" t="str">
        <f t="shared" si="80"/>
        <v>PM_0</v>
      </c>
      <c r="Q600" s="273">
        <f t="shared" si="81"/>
        <v>0</v>
      </c>
      <c r="R600" s="207">
        <f t="shared" si="82"/>
        <v>0</v>
      </c>
      <c r="S600" s="207">
        <f t="shared" si="83"/>
        <v>0</v>
      </c>
    </row>
    <row r="601" spans="11:19" ht="14.1" customHeight="1" x14ac:dyDescent="0.2">
      <c r="K601" s="186" t="str">
        <f t="shared" si="76"/>
        <v>PM_0</v>
      </c>
      <c r="L601" s="186">
        <f t="shared" si="77"/>
        <v>0</v>
      </c>
      <c r="M601" s="186">
        <f t="shared" si="78"/>
        <v>0</v>
      </c>
      <c r="N601" s="186">
        <f t="shared" si="79"/>
        <v>0</v>
      </c>
      <c r="P601" s="207" t="str">
        <f t="shared" si="80"/>
        <v>PM_0</v>
      </c>
      <c r="Q601" s="273">
        <f t="shared" si="81"/>
        <v>0</v>
      </c>
      <c r="R601" s="207">
        <f t="shared" si="82"/>
        <v>0</v>
      </c>
      <c r="S601" s="207">
        <f t="shared" si="83"/>
        <v>0</v>
      </c>
    </row>
    <row r="602" spans="11:19" ht="14.1" customHeight="1" x14ac:dyDescent="0.2">
      <c r="K602" s="186" t="str">
        <f t="shared" si="76"/>
        <v>PM_0</v>
      </c>
      <c r="L602" s="186">
        <f t="shared" si="77"/>
        <v>0</v>
      </c>
      <c r="M602" s="186">
        <f t="shared" si="78"/>
        <v>0</v>
      </c>
      <c r="N602" s="186">
        <f t="shared" si="79"/>
        <v>0</v>
      </c>
      <c r="P602" s="207" t="str">
        <f t="shared" si="80"/>
        <v>PM_0</v>
      </c>
      <c r="Q602" s="273">
        <f t="shared" si="81"/>
        <v>0</v>
      </c>
      <c r="R602" s="207">
        <f t="shared" si="82"/>
        <v>0</v>
      </c>
      <c r="S602" s="207">
        <f t="shared" si="83"/>
        <v>0</v>
      </c>
    </row>
    <row r="603" spans="11:19" ht="14.1" customHeight="1" x14ac:dyDescent="0.2">
      <c r="K603" s="186" t="str">
        <f t="shared" si="76"/>
        <v>PM_0</v>
      </c>
      <c r="L603" s="186">
        <f t="shared" si="77"/>
        <v>0</v>
      </c>
      <c r="M603" s="186">
        <f t="shared" si="78"/>
        <v>0</v>
      </c>
      <c r="N603" s="186">
        <f t="shared" si="79"/>
        <v>0</v>
      </c>
      <c r="P603" s="207" t="str">
        <f t="shared" si="80"/>
        <v>PM_0</v>
      </c>
      <c r="Q603" s="273">
        <f t="shared" si="81"/>
        <v>0</v>
      </c>
      <c r="R603" s="207">
        <f t="shared" si="82"/>
        <v>0</v>
      </c>
      <c r="S603" s="207">
        <f t="shared" si="83"/>
        <v>0</v>
      </c>
    </row>
    <row r="604" spans="11:19" ht="14.1" customHeight="1" x14ac:dyDescent="0.2">
      <c r="K604" s="186" t="str">
        <f t="shared" si="76"/>
        <v>PM_0</v>
      </c>
      <c r="L604" s="186">
        <f t="shared" si="77"/>
        <v>0</v>
      </c>
      <c r="M604" s="186">
        <f t="shared" si="78"/>
        <v>0</v>
      </c>
      <c r="N604" s="186">
        <f t="shared" si="79"/>
        <v>0</v>
      </c>
      <c r="P604" s="207" t="str">
        <f t="shared" si="80"/>
        <v>PM_0</v>
      </c>
      <c r="Q604" s="273">
        <f t="shared" si="81"/>
        <v>0</v>
      </c>
      <c r="R604" s="207">
        <f t="shared" si="82"/>
        <v>0</v>
      </c>
      <c r="S604" s="207">
        <f t="shared" si="83"/>
        <v>0</v>
      </c>
    </row>
    <row r="605" spans="11:19" ht="14.1" customHeight="1" x14ac:dyDescent="0.2">
      <c r="K605" s="186" t="str">
        <f t="shared" si="76"/>
        <v>PM_0</v>
      </c>
      <c r="L605" s="186">
        <f t="shared" si="77"/>
        <v>0</v>
      </c>
      <c r="M605" s="186">
        <f t="shared" si="78"/>
        <v>0</v>
      </c>
      <c r="N605" s="186">
        <f t="shared" si="79"/>
        <v>0</v>
      </c>
      <c r="P605" s="207" t="str">
        <f t="shared" si="80"/>
        <v>PM_0</v>
      </c>
      <c r="Q605" s="273">
        <f t="shared" si="81"/>
        <v>0</v>
      </c>
      <c r="R605" s="207">
        <f t="shared" si="82"/>
        <v>0</v>
      </c>
      <c r="S605" s="207">
        <f t="shared" si="83"/>
        <v>0</v>
      </c>
    </row>
    <row r="606" spans="11:19" ht="14.1" customHeight="1" x14ac:dyDescent="0.2">
      <c r="K606" s="186" t="str">
        <f t="shared" si="76"/>
        <v>PM_0</v>
      </c>
      <c r="L606" s="186">
        <f t="shared" si="77"/>
        <v>0</v>
      </c>
      <c r="M606" s="186">
        <f t="shared" si="78"/>
        <v>0</v>
      </c>
      <c r="N606" s="186">
        <f t="shared" si="79"/>
        <v>0</v>
      </c>
      <c r="P606" s="207" t="str">
        <f t="shared" si="80"/>
        <v>PM_0</v>
      </c>
      <c r="Q606" s="273">
        <f t="shared" si="81"/>
        <v>0</v>
      </c>
      <c r="R606" s="207">
        <f t="shared" si="82"/>
        <v>0</v>
      </c>
      <c r="S606" s="207">
        <f t="shared" si="83"/>
        <v>0</v>
      </c>
    </row>
    <row r="607" spans="11:19" ht="14.1" customHeight="1" x14ac:dyDescent="0.2">
      <c r="K607" s="186" t="str">
        <f t="shared" si="76"/>
        <v>PM_0</v>
      </c>
      <c r="L607" s="186">
        <f t="shared" si="77"/>
        <v>0</v>
      </c>
      <c r="M607" s="186">
        <f t="shared" si="78"/>
        <v>0</v>
      </c>
      <c r="N607" s="186">
        <f t="shared" si="79"/>
        <v>0</v>
      </c>
      <c r="P607" s="207" t="str">
        <f t="shared" si="80"/>
        <v>PM_0</v>
      </c>
      <c r="Q607" s="273">
        <f t="shared" si="81"/>
        <v>0</v>
      </c>
      <c r="R607" s="207">
        <f t="shared" si="82"/>
        <v>0</v>
      </c>
      <c r="S607" s="207">
        <f t="shared" si="83"/>
        <v>0</v>
      </c>
    </row>
    <row r="608" spans="11:19" ht="14.1" customHeight="1" x14ac:dyDescent="0.2">
      <c r="K608" s="186" t="str">
        <f t="shared" si="76"/>
        <v>PM_0</v>
      </c>
      <c r="L608" s="186">
        <f t="shared" si="77"/>
        <v>0</v>
      </c>
      <c r="M608" s="186">
        <f t="shared" si="78"/>
        <v>0</v>
      </c>
      <c r="N608" s="186">
        <f t="shared" si="79"/>
        <v>0</v>
      </c>
      <c r="P608" s="207" t="str">
        <f t="shared" si="80"/>
        <v>PM_0</v>
      </c>
      <c r="Q608" s="273">
        <f t="shared" si="81"/>
        <v>0</v>
      </c>
      <c r="R608" s="207">
        <f t="shared" si="82"/>
        <v>0</v>
      </c>
      <c r="S608" s="207">
        <f t="shared" si="83"/>
        <v>0</v>
      </c>
    </row>
    <row r="609" spans="11:19" ht="14.1" customHeight="1" x14ac:dyDescent="0.2">
      <c r="K609" s="186" t="str">
        <f t="shared" si="76"/>
        <v>PM_0</v>
      </c>
      <c r="L609" s="186">
        <f t="shared" si="77"/>
        <v>0</v>
      </c>
      <c r="M609" s="186">
        <f t="shared" si="78"/>
        <v>0</v>
      </c>
      <c r="N609" s="186">
        <f t="shared" si="79"/>
        <v>0</v>
      </c>
      <c r="P609" s="207" t="str">
        <f t="shared" si="80"/>
        <v>PM_0</v>
      </c>
      <c r="Q609" s="273">
        <f t="shared" si="81"/>
        <v>0</v>
      </c>
      <c r="R609" s="207">
        <f t="shared" si="82"/>
        <v>0</v>
      </c>
      <c r="S609" s="207">
        <f t="shared" si="83"/>
        <v>0</v>
      </c>
    </row>
    <row r="610" spans="11:19" ht="14.1" customHeight="1" x14ac:dyDescent="0.2">
      <c r="K610" s="186" t="str">
        <f t="shared" si="76"/>
        <v>PM_0</v>
      </c>
      <c r="L610" s="186">
        <f t="shared" si="77"/>
        <v>0</v>
      </c>
      <c r="M610" s="186">
        <f t="shared" si="78"/>
        <v>0</v>
      </c>
      <c r="N610" s="186">
        <f t="shared" si="79"/>
        <v>0</v>
      </c>
      <c r="P610" s="207" t="str">
        <f t="shared" si="80"/>
        <v>PM_0</v>
      </c>
      <c r="Q610" s="273">
        <f t="shared" si="81"/>
        <v>0</v>
      </c>
      <c r="R610" s="207">
        <f t="shared" si="82"/>
        <v>0</v>
      </c>
      <c r="S610" s="207">
        <f t="shared" si="83"/>
        <v>0</v>
      </c>
    </row>
    <row r="611" spans="11:19" ht="14.1" customHeight="1" x14ac:dyDescent="0.2">
      <c r="K611" s="186" t="str">
        <f t="shared" si="76"/>
        <v>PM_0</v>
      </c>
      <c r="L611" s="186">
        <f t="shared" si="77"/>
        <v>0</v>
      </c>
      <c r="M611" s="186">
        <f t="shared" si="78"/>
        <v>0</v>
      </c>
      <c r="N611" s="186">
        <f t="shared" si="79"/>
        <v>0</v>
      </c>
      <c r="P611" s="207" t="str">
        <f t="shared" si="80"/>
        <v>PM_0</v>
      </c>
      <c r="Q611" s="273">
        <f t="shared" si="81"/>
        <v>0</v>
      </c>
      <c r="R611" s="207">
        <f t="shared" si="82"/>
        <v>0</v>
      </c>
      <c r="S611" s="207">
        <f t="shared" si="83"/>
        <v>0</v>
      </c>
    </row>
    <row r="612" spans="11:19" ht="14.1" customHeight="1" x14ac:dyDescent="0.2">
      <c r="K612" s="186" t="str">
        <f t="shared" si="76"/>
        <v>PM_0</v>
      </c>
      <c r="L612" s="186">
        <f t="shared" si="77"/>
        <v>0</v>
      </c>
      <c r="M612" s="186">
        <f t="shared" si="78"/>
        <v>0</v>
      </c>
      <c r="N612" s="186">
        <f t="shared" si="79"/>
        <v>0</v>
      </c>
      <c r="P612" s="207" t="str">
        <f t="shared" si="80"/>
        <v>PM_0</v>
      </c>
      <c r="Q612" s="273">
        <f t="shared" si="81"/>
        <v>0</v>
      </c>
      <c r="R612" s="207">
        <f t="shared" si="82"/>
        <v>0</v>
      </c>
      <c r="S612" s="207">
        <f t="shared" si="83"/>
        <v>0</v>
      </c>
    </row>
    <row r="613" spans="11:19" ht="14.1" customHeight="1" x14ac:dyDescent="0.2">
      <c r="K613" s="186" t="str">
        <f t="shared" si="76"/>
        <v>PM_0</v>
      </c>
      <c r="L613" s="186">
        <f t="shared" si="77"/>
        <v>0</v>
      </c>
      <c r="M613" s="186">
        <f t="shared" si="78"/>
        <v>0</v>
      </c>
      <c r="N613" s="186">
        <f t="shared" si="79"/>
        <v>0</v>
      </c>
      <c r="P613" s="207" t="str">
        <f t="shared" si="80"/>
        <v>PM_0</v>
      </c>
      <c r="Q613" s="273">
        <f t="shared" si="81"/>
        <v>0</v>
      </c>
      <c r="R613" s="207">
        <f t="shared" si="82"/>
        <v>0</v>
      </c>
      <c r="S613" s="207">
        <f t="shared" si="83"/>
        <v>0</v>
      </c>
    </row>
    <row r="614" spans="11:19" ht="14.1" customHeight="1" x14ac:dyDescent="0.2">
      <c r="K614" s="186" t="str">
        <f t="shared" si="76"/>
        <v>PM_0</v>
      </c>
      <c r="L614" s="186">
        <f t="shared" si="77"/>
        <v>0</v>
      </c>
      <c r="M614" s="186">
        <f t="shared" si="78"/>
        <v>0</v>
      </c>
      <c r="N614" s="186">
        <f t="shared" si="79"/>
        <v>0</v>
      </c>
      <c r="P614" s="207" t="str">
        <f t="shared" si="80"/>
        <v>PM_0</v>
      </c>
      <c r="Q614" s="273">
        <f t="shared" si="81"/>
        <v>0</v>
      </c>
      <c r="R614" s="207">
        <f t="shared" si="82"/>
        <v>0</v>
      </c>
      <c r="S614" s="207">
        <f t="shared" si="83"/>
        <v>0</v>
      </c>
    </row>
    <row r="615" spans="11:19" ht="14.1" customHeight="1" x14ac:dyDescent="0.2">
      <c r="K615" s="186" t="str">
        <f t="shared" si="76"/>
        <v>PM_0</v>
      </c>
      <c r="L615" s="186">
        <f t="shared" si="77"/>
        <v>0</v>
      </c>
      <c r="M615" s="186">
        <f t="shared" si="78"/>
        <v>0</v>
      </c>
      <c r="N615" s="186">
        <f t="shared" si="79"/>
        <v>0</v>
      </c>
      <c r="P615" s="207" t="str">
        <f t="shared" si="80"/>
        <v>PM_0</v>
      </c>
      <c r="Q615" s="273">
        <f t="shared" si="81"/>
        <v>0</v>
      </c>
      <c r="R615" s="207">
        <f t="shared" si="82"/>
        <v>0</v>
      </c>
      <c r="S615" s="207">
        <f t="shared" si="83"/>
        <v>0</v>
      </c>
    </row>
    <row r="616" spans="11:19" ht="14.1" customHeight="1" x14ac:dyDescent="0.2">
      <c r="K616" s="186" t="str">
        <f t="shared" si="76"/>
        <v>PM_0</v>
      </c>
      <c r="L616" s="186">
        <f t="shared" si="77"/>
        <v>0</v>
      </c>
      <c r="M616" s="186">
        <f t="shared" si="78"/>
        <v>0</v>
      </c>
      <c r="N616" s="186">
        <f t="shared" si="79"/>
        <v>0</v>
      </c>
      <c r="P616" s="207" t="str">
        <f t="shared" si="80"/>
        <v>PM_0</v>
      </c>
      <c r="Q616" s="273">
        <f t="shared" si="81"/>
        <v>0</v>
      </c>
      <c r="R616" s="207">
        <f t="shared" si="82"/>
        <v>0</v>
      </c>
      <c r="S616" s="207">
        <f t="shared" si="83"/>
        <v>0</v>
      </c>
    </row>
    <row r="617" spans="11:19" ht="14.1" customHeight="1" x14ac:dyDescent="0.2">
      <c r="K617" s="186" t="str">
        <f t="shared" si="76"/>
        <v>PM_0</v>
      </c>
      <c r="L617" s="186">
        <f t="shared" si="77"/>
        <v>0</v>
      </c>
      <c r="M617" s="186">
        <f t="shared" si="78"/>
        <v>0</v>
      </c>
      <c r="N617" s="186">
        <f t="shared" si="79"/>
        <v>0</v>
      </c>
      <c r="P617" s="207" t="str">
        <f t="shared" si="80"/>
        <v>PM_0</v>
      </c>
      <c r="Q617" s="273">
        <f t="shared" si="81"/>
        <v>0</v>
      </c>
      <c r="R617" s="207">
        <f t="shared" si="82"/>
        <v>0</v>
      </c>
      <c r="S617" s="207">
        <f t="shared" si="83"/>
        <v>0</v>
      </c>
    </row>
    <row r="618" spans="11:19" ht="14.1" customHeight="1" x14ac:dyDescent="0.2">
      <c r="K618" s="186" t="str">
        <f t="shared" si="76"/>
        <v>PM_0</v>
      </c>
      <c r="L618" s="186">
        <f t="shared" si="77"/>
        <v>0</v>
      </c>
      <c r="M618" s="186">
        <f t="shared" si="78"/>
        <v>0</v>
      </c>
      <c r="N618" s="186">
        <f t="shared" si="79"/>
        <v>0</v>
      </c>
      <c r="P618" s="207" t="str">
        <f t="shared" si="80"/>
        <v>PM_0</v>
      </c>
      <c r="Q618" s="273">
        <f t="shared" si="81"/>
        <v>0</v>
      </c>
      <c r="R618" s="207">
        <f t="shared" si="82"/>
        <v>0</v>
      </c>
      <c r="S618" s="207">
        <f t="shared" si="83"/>
        <v>0</v>
      </c>
    </row>
    <row r="619" spans="11:19" ht="14.1" customHeight="1" x14ac:dyDescent="0.2">
      <c r="K619" s="186" t="str">
        <f t="shared" si="76"/>
        <v>PM_0</v>
      </c>
      <c r="L619" s="186">
        <f t="shared" si="77"/>
        <v>0</v>
      </c>
      <c r="M619" s="186">
        <f t="shared" si="78"/>
        <v>0</v>
      </c>
      <c r="N619" s="186">
        <f t="shared" si="79"/>
        <v>0</v>
      </c>
      <c r="P619" s="207" t="str">
        <f t="shared" si="80"/>
        <v>PM_0</v>
      </c>
      <c r="Q619" s="273">
        <f t="shared" si="81"/>
        <v>0</v>
      </c>
      <c r="R619" s="207">
        <f t="shared" si="82"/>
        <v>0</v>
      </c>
      <c r="S619" s="207">
        <f t="shared" si="83"/>
        <v>0</v>
      </c>
    </row>
    <row r="620" spans="11:19" ht="14.1" customHeight="1" x14ac:dyDescent="0.2">
      <c r="K620" s="186" t="str">
        <f t="shared" si="76"/>
        <v>PM_0</v>
      </c>
      <c r="L620" s="186">
        <f t="shared" si="77"/>
        <v>0</v>
      </c>
      <c r="M620" s="186">
        <f t="shared" si="78"/>
        <v>0</v>
      </c>
      <c r="N620" s="186">
        <f t="shared" si="79"/>
        <v>0</v>
      </c>
      <c r="P620" s="207" t="str">
        <f t="shared" si="80"/>
        <v>PM_0</v>
      </c>
      <c r="Q620" s="273">
        <f t="shared" si="81"/>
        <v>0</v>
      </c>
      <c r="R620" s="207">
        <f t="shared" si="82"/>
        <v>0</v>
      </c>
      <c r="S620" s="207">
        <f t="shared" si="83"/>
        <v>0</v>
      </c>
    </row>
    <row r="621" spans="11:19" ht="14.1" customHeight="1" x14ac:dyDescent="0.2">
      <c r="K621" s="186" t="str">
        <f t="shared" si="76"/>
        <v>PM_0</v>
      </c>
      <c r="L621" s="186">
        <f t="shared" si="77"/>
        <v>0</v>
      </c>
      <c r="M621" s="186">
        <f t="shared" si="78"/>
        <v>0</v>
      </c>
      <c r="N621" s="186">
        <f t="shared" si="79"/>
        <v>0</v>
      </c>
      <c r="P621" s="207" t="str">
        <f t="shared" si="80"/>
        <v>PM_0</v>
      </c>
      <c r="Q621" s="273">
        <f t="shared" si="81"/>
        <v>0</v>
      </c>
      <c r="R621" s="207">
        <f t="shared" si="82"/>
        <v>0</v>
      </c>
      <c r="S621" s="207">
        <f t="shared" si="83"/>
        <v>0</v>
      </c>
    </row>
    <row r="622" spans="11:19" ht="14.1" customHeight="1" x14ac:dyDescent="0.2">
      <c r="K622" s="186" t="str">
        <f t="shared" si="76"/>
        <v>PM_0</v>
      </c>
      <c r="L622" s="186">
        <f t="shared" si="77"/>
        <v>0</v>
      </c>
      <c r="M622" s="186">
        <f t="shared" si="78"/>
        <v>0</v>
      </c>
      <c r="N622" s="186">
        <f t="shared" si="79"/>
        <v>0</v>
      </c>
      <c r="P622" s="207" t="str">
        <f t="shared" si="80"/>
        <v>PM_0</v>
      </c>
      <c r="Q622" s="273">
        <f t="shared" si="81"/>
        <v>0</v>
      </c>
      <c r="R622" s="207">
        <f t="shared" si="82"/>
        <v>0</v>
      </c>
      <c r="S622" s="207">
        <f t="shared" si="83"/>
        <v>0</v>
      </c>
    </row>
    <row r="623" spans="11:19" ht="14.1" customHeight="1" x14ac:dyDescent="0.2">
      <c r="K623" s="186" t="str">
        <f t="shared" si="76"/>
        <v>PM_0</v>
      </c>
      <c r="L623" s="186">
        <f t="shared" si="77"/>
        <v>0</v>
      </c>
      <c r="M623" s="186">
        <f t="shared" si="78"/>
        <v>0</v>
      </c>
      <c r="N623" s="186">
        <f t="shared" si="79"/>
        <v>0</v>
      </c>
      <c r="P623" s="207" t="str">
        <f t="shared" si="80"/>
        <v>PM_0</v>
      </c>
      <c r="Q623" s="273">
        <f t="shared" si="81"/>
        <v>0</v>
      </c>
      <c r="R623" s="207">
        <f t="shared" si="82"/>
        <v>0</v>
      </c>
      <c r="S623" s="207">
        <f t="shared" si="83"/>
        <v>0</v>
      </c>
    </row>
    <row r="624" spans="11:19" ht="14.1" customHeight="1" x14ac:dyDescent="0.2">
      <c r="K624" s="186" t="str">
        <f t="shared" si="76"/>
        <v>PM_0</v>
      </c>
      <c r="L624" s="186">
        <f t="shared" si="77"/>
        <v>0</v>
      </c>
      <c r="M624" s="186">
        <f t="shared" si="78"/>
        <v>0</v>
      </c>
      <c r="N624" s="186">
        <f t="shared" si="79"/>
        <v>0</v>
      </c>
      <c r="P624" s="207" t="str">
        <f t="shared" si="80"/>
        <v>PM_0</v>
      </c>
      <c r="Q624" s="273">
        <f t="shared" si="81"/>
        <v>0</v>
      </c>
      <c r="R624" s="207">
        <f t="shared" si="82"/>
        <v>0</v>
      </c>
      <c r="S624" s="207">
        <f t="shared" si="83"/>
        <v>0</v>
      </c>
    </row>
    <row r="625" spans="11:19" ht="14.1" customHeight="1" x14ac:dyDescent="0.2">
      <c r="K625" s="186" t="str">
        <f t="shared" si="76"/>
        <v>PM_0</v>
      </c>
      <c r="L625" s="186">
        <f t="shared" si="77"/>
        <v>0</v>
      </c>
      <c r="M625" s="186">
        <f t="shared" si="78"/>
        <v>0</v>
      </c>
      <c r="N625" s="186">
        <f t="shared" si="79"/>
        <v>0</v>
      </c>
      <c r="P625" s="207" t="str">
        <f t="shared" si="80"/>
        <v>PM_0</v>
      </c>
      <c r="Q625" s="273">
        <f t="shared" si="81"/>
        <v>0</v>
      </c>
      <c r="R625" s="207">
        <f t="shared" si="82"/>
        <v>0</v>
      </c>
      <c r="S625" s="207">
        <f t="shared" si="83"/>
        <v>0</v>
      </c>
    </row>
    <row r="626" spans="11:19" ht="14.1" customHeight="1" x14ac:dyDescent="0.2">
      <c r="K626" s="186" t="str">
        <f t="shared" si="76"/>
        <v>PM_0</v>
      </c>
      <c r="L626" s="186">
        <f t="shared" si="77"/>
        <v>0</v>
      </c>
      <c r="M626" s="186">
        <f t="shared" si="78"/>
        <v>0</v>
      </c>
      <c r="N626" s="186">
        <f t="shared" si="79"/>
        <v>0</v>
      </c>
      <c r="P626" s="207" t="str">
        <f t="shared" si="80"/>
        <v>PM_0</v>
      </c>
      <c r="Q626" s="273">
        <f t="shared" si="81"/>
        <v>0</v>
      </c>
      <c r="R626" s="207">
        <f t="shared" si="82"/>
        <v>0</v>
      </c>
      <c r="S626" s="207">
        <f t="shared" si="83"/>
        <v>0</v>
      </c>
    </row>
    <row r="627" spans="11:19" ht="14.1" customHeight="1" x14ac:dyDescent="0.2">
      <c r="K627" s="186" t="str">
        <f t="shared" si="76"/>
        <v>PM_0</v>
      </c>
      <c r="L627" s="186">
        <f t="shared" si="77"/>
        <v>0</v>
      </c>
      <c r="M627" s="186">
        <f t="shared" si="78"/>
        <v>0</v>
      </c>
      <c r="N627" s="186">
        <f t="shared" si="79"/>
        <v>0</v>
      </c>
      <c r="P627" s="207" t="str">
        <f t="shared" si="80"/>
        <v>PM_0</v>
      </c>
      <c r="Q627" s="273">
        <f t="shared" si="81"/>
        <v>0</v>
      </c>
      <c r="R627" s="207">
        <f t="shared" si="82"/>
        <v>0</v>
      </c>
      <c r="S627" s="207">
        <f t="shared" si="83"/>
        <v>0</v>
      </c>
    </row>
    <row r="628" spans="11:19" ht="14.1" customHeight="1" x14ac:dyDescent="0.2">
      <c r="K628" s="186" t="str">
        <f t="shared" si="76"/>
        <v>PM_0</v>
      </c>
      <c r="L628" s="186">
        <f t="shared" si="77"/>
        <v>0</v>
      </c>
      <c r="M628" s="186">
        <f t="shared" si="78"/>
        <v>0</v>
      </c>
      <c r="N628" s="186">
        <f t="shared" si="79"/>
        <v>0</v>
      </c>
      <c r="P628" s="207" t="str">
        <f t="shared" si="80"/>
        <v>PM_0</v>
      </c>
      <c r="Q628" s="273">
        <f t="shared" si="81"/>
        <v>0</v>
      </c>
      <c r="R628" s="207">
        <f t="shared" si="82"/>
        <v>0</v>
      </c>
      <c r="S628" s="207">
        <f t="shared" si="83"/>
        <v>0</v>
      </c>
    </row>
    <row r="629" spans="11:19" ht="14.1" customHeight="1" x14ac:dyDescent="0.2">
      <c r="K629" s="186" t="str">
        <f t="shared" si="76"/>
        <v>PM_0</v>
      </c>
      <c r="L629" s="186">
        <f t="shared" si="77"/>
        <v>0</v>
      </c>
      <c r="M629" s="186">
        <f t="shared" si="78"/>
        <v>0</v>
      </c>
      <c r="N629" s="186">
        <f t="shared" si="79"/>
        <v>0</v>
      </c>
      <c r="P629" s="207" t="str">
        <f t="shared" si="80"/>
        <v>PM_0</v>
      </c>
      <c r="Q629" s="273">
        <f t="shared" si="81"/>
        <v>0</v>
      </c>
      <c r="R629" s="207">
        <f t="shared" si="82"/>
        <v>0</v>
      </c>
      <c r="S629" s="207">
        <f t="shared" si="83"/>
        <v>0</v>
      </c>
    </row>
    <row r="630" spans="11:19" ht="14.1" customHeight="1" x14ac:dyDescent="0.2">
      <c r="K630" s="186" t="str">
        <f t="shared" si="76"/>
        <v>PM_0</v>
      </c>
      <c r="L630" s="186">
        <f t="shared" si="77"/>
        <v>0</v>
      </c>
      <c r="M630" s="186">
        <f t="shared" si="78"/>
        <v>0</v>
      </c>
      <c r="N630" s="186">
        <f t="shared" si="79"/>
        <v>0</v>
      </c>
      <c r="P630" s="207" t="str">
        <f t="shared" si="80"/>
        <v>PM_0</v>
      </c>
      <c r="Q630" s="273">
        <f t="shared" si="81"/>
        <v>0</v>
      </c>
      <c r="R630" s="207">
        <f t="shared" si="82"/>
        <v>0</v>
      </c>
      <c r="S630" s="207">
        <f t="shared" si="83"/>
        <v>0</v>
      </c>
    </row>
    <row r="631" spans="11:19" ht="14.1" customHeight="1" x14ac:dyDescent="0.2">
      <c r="K631" s="186" t="str">
        <f t="shared" si="76"/>
        <v>PM_0</v>
      </c>
      <c r="L631" s="186">
        <f t="shared" si="77"/>
        <v>0</v>
      </c>
      <c r="M631" s="186">
        <f t="shared" si="78"/>
        <v>0</v>
      </c>
      <c r="N631" s="186">
        <f t="shared" si="79"/>
        <v>0</v>
      </c>
      <c r="P631" s="207" t="str">
        <f t="shared" si="80"/>
        <v>PM_0</v>
      </c>
      <c r="Q631" s="273">
        <f t="shared" si="81"/>
        <v>0</v>
      </c>
      <c r="R631" s="207">
        <f t="shared" si="82"/>
        <v>0</v>
      </c>
      <c r="S631" s="207">
        <f t="shared" si="83"/>
        <v>0</v>
      </c>
    </row>
    <row r="632" spans="11:19" ht="14.1" customHeight="1" x14ac:dyDescent="0.2">
      <c r="K632" s="186" t="str">
        <f t="shared" si="76"/>
        <v>PM_0</v>
      </c>
      <c r="L632" s="186">
        <f t="shared" si="77"/>
        <v>0</v>
      </c>
      <c r="M632" s="186">
        <f t="shared" si="78"/>
        <v>0</v>
      </c>
      <c r="N632" s="186">
        <f t="shared" si="79"/>
        <v>0</v>
      </c>
      <c r="P632" s="207" t="str">
        <f t="shared" si="80"/>
        <v>PM_0</v>
      </c>
      <c r="Q632" s="273">
        <f t="shared" si="81"/>
        <v>0</v>
      </c>
      <c r="R632" s="207">
        <f t="shared" si="82"/>
        <v>0</v>
      </c>
      <c r="S632" s="207">
        <f t="shared" si="83"/>
        <v>0</v>
      </c>
    </row>
    <row r="633" spans="11:19" ht="14.1" customHeight="1" x14ac:dyDescent="0.2">
      <c r="K633" s="186" t="str">
        <f t="shared" si="76"/>
        <v>PM_0</v>
      </c>
      <c r="L633" s="186">
        <f t="shared" si="77"/>
        <v>0</v>
      </c>
      <c r="M633" s="186">
        <f t="shared" si="78"/>
        <v>0</v>
      </c>
      <c r="N633" s="186">
        <f t="shared" si="79"/>
        <v>0</v>
      </c>
      <c r="P633" s="207" t="str">
        <f t="shared" si="80"/>
        <v>PM_0</v>
      </c>
      <c r="Q633" s="273">
        <f t="shared" si="81"/>
        <v>0</v>
      </c>
      <c r="R633" s="207">
        <f t="shared" si="82"/>
        <v>0</v>
      </c>
      <c r="S633" s="207">
        <f t="shared" si="83"/>
        <v>0</v>
      </c>
    </row>
    <row r="634" spans="11:19" ht="14.1" customHeight="1" x14ac:dyDescent="0.2">
      <c r="K634" s="186" t="str">
        <f t="shared" si="76"/>
        <v>PM_0</v>
      </c>
      <c r="L634" s="186">
        <f t="shared" si="77"/>
        <v>0</v>
      </c>
      <c r="M634" s="186">
        <f t="shared" si="78"/>
        <v>0</v>
      </c>
      <c r="N634" s="186">
        <f t="shared" si="79"/>
        <v>0</v>
      </c>
      <c r="P634" s="207" t="str">
        <f t="shared" si="80"/>
        <v>PM_0</v>
      </c>
      <c r="Q634" s="273">
        <f t="shared" si="81"/>
        <v>0</v>
      </c>
      <c r="R634" s="207">
        <f t="shared" si="82"/>
        <v>0</v>
      </c>
      <c r="S634" s="207">
        <f t="shared" si="83"/>
        <v>0</v>
      </c>
    </row>
    <row r="635" spans="11:19" ht="14.1" customHeight="1" x14ac:dyDescent="0.2">
      <c r="K635" s="186" t="str">
        <f t="shared" si="76"/>
        <v>PM_0</v>
      </c>
      <c r="L635" s="186">
        <f t="shared" si="77"/>
        <v>0</v>
      </c>
      <c r="M635" s="186">
        <f t="shared" si="78"/>
        <v>0</v>
      </c>
      <c r="N635" s="186">
        <f t="shared" si="79"/>
        <v>0</v>
      </c>
      <c r="P635" s="207" t="str">
        <f t="shared" si="80"/>
        <v>PM_0</v>
      </c>
      <c r="Q635" s="273">
        <f t="shared" si="81"/>
        <v>0</v>
      </c>
      <c r="R635" s="207">
        <f t="shared" si="82"/>
        <v>0</v>
      </c>
      <c r="S635" s="207">
        <f t="shared" si="83"/>
        <v>0</v>
      </c>
    </row>
    <row r="636" spans="11:19" ht="14.1" customHeight="1" x14ac:dyDescent="0.2">
      <c r="K636" s="186" t="str">
        <f t="shared" si="76"/>
        <v>PM_0</v>
      </c>
      <c r="L636" s="186">
        <f t="shared" si="77"/>
        <v>0</v>
      </c>
      <c r="M636" s="186">
        <f t="shared" si="78"/>
        <v>0</v>
      </c>
      <c r="N636" s="186">
        <f t="shared" si="79"/>
        <v>0</v>
      </c>
      <c r="P636" s="207" t="str">
        <f t="shared" si="80"/>
        <v>PM_0</v>
      </c>
      <c r="Q636" s="273">
        <f t="shared" si="81"/>
        <v>0</v>
      </c>
      <c r="R636" s="207">
        <f t="shared" si="82"/>
        <v>0</v>
      </c>
      <c r="S636" s="207">
        <f t="shared" si="83"/>
        <v>0</v>
      </c>
    </row>
    <row r="637" spans="11:19" ht="14.1" customHeight="1" x14ac:dyDescent="0.2">
      <c r="K637" s="186" t="str">
        <f t="shared" si="76"/>
        <v>PM_0</v>
      </c>
      <c r="L637" s="186">
        <f t="shared" si="77"/>
        <v>0</v>
      </c>
      <c r="M637" s="186">
        <f t="shared" si="78"/>
        <v>0</v>
      </c>
      <c r="N637" s="186">
        <f t="shared" si="79"/>
        <v>0</v>
      </c>
      <c r="P637" s="207" t="str">
        <f t="shared" si="80"/>
        <v>PM_0</v>
      </c>
      <c r="Q637" s="273">
        <f t="shared" si="81"/>
        <v>0</v>
      </c>
      <c r="R637" s="207">
        <f t="shared" si="82"/>
        <v>0</v>
      </c>
      <c r="S637" s="207">
        <f t="shared" si="83"/>
        <v>0</v>
      </c>
    </row>
    <row r="638" spans="11:19" ht="14.1" customHeight="1" x14ac:dyDescent="0.2">
      <c r="K638" s="186" t="str">
        <f t="shared" si="76"/>
        <v>PM_0</v>
      </c>
      <c r="L638" s="186">
        <f t="shared" si="77"/>
        <v>0</v>
      </c>
      <c r="M638" s="186">
        <f t="shared" si="78"/>
        <v>0</v>
      </c>
      <c r="N638" s="186">
        <f t="shared" si="79"/>
        <v>0</v>
      </c>
      <c r="P638" s="207" t="str">
        <f t="shared" si="80"/>
        <v>PM_0</v>
      </c>
      <c r="Q638" s="273">
        <f t="shared" si="81"/>
        <v>0</v>
      </c>
      <c r="R638" s="207">
        <f t="shared" si="82"/>
        <v>0</v>
      </c>
      <c r="S638" s="207">
        <f t="shared" si="83"/>
        <v>0</v>
      </c>
    </row>
    <row r="639" spans="11:19" ht="14.1" customHeight="1" x14ac:dyDescent="0.2">
      <c r="K639" s="186" t="str">
        <f t="shared" si="76"/>
        <v>PM_0</v>
      </c>
      <c r="L639" s="186">
        <f t="shared" si="77"/>
        <v>0</v>
      </c>
      <c r="M639" s="186">
        <f t="shared" si="78"/>
        <v>0</v>
      </c>
      <c r="N639" s="186">
        <f t="shared" si="79"/>
        <v>0</v>
      </c>
      <c r="P639" s="207" t="str">
        <f t="shared" si="80"/>
        <v>PM_0</v>
      </c>
      <c r="Q639" s="273">
        <f t="shared" si="81"/>
        <v>0</v>
      </c>
      <c r="R639" s="207">
        <f t="shared" si="82"/>
        <v>0</v>
      </c>
      <c r="S639" s="207">
        <f t="shared" si="83"/>
        <v>0</v>
      </c>
    </row>
    <row r="640" spans="11:19" ht="14.1" customHeight="1" x14ac:dyDescent="0.2">
      <c r="K640" s="186" t="str">
        <f t="shared" si="76"/>
        <v>PM_0</v>
      </c>
      <c r="L640" s="186">
        <f t="shared" si="77"/>
        <v>0</v>
      </c>
      <c r="M640" s="186">
        <f t="shared" si="78"/>
        <v>0</v>
      </c>
      <c r="N640" s="186">
        <f t="shared" si="79"/>
        <v>0</v>
      </c>
      <c r="P640" s="207" t="str">
        <f t="shared" si="80"/>
        <v>PM_0</v>
      </c>
      <c r="Q640" s="273">
        <f t="shared" si="81"/>
        <v>0</v>
      </c>
      <c r="R640" s="207">
        <f t="shared" si="82"/>
        <v>0</v>
      </c>
      <c r="S640" s="207">
        <f t="shared" si="83"/>
        <v>0</v>
      </c>
    </row>
    <row r="641" spans="11:19" ht="14.1" customHeight="1" x14ac:dyDescent="0.2">
      <c r="K641" s="186" t="str">
        <f t="shared" si="76"/>
        <v>PM_0</v>
      </c>
      <c r="L641" s="186">
        <f t="shared" si="77"/>
        <v>0</v>
      </c>
      <c r="M641" s="186">
        <f t="shared" si="78"/>
        <v>0</v>
      </c>
      <c r="N641" s="186">
        <f t="shared" si="79"/>
        <v>0</v>
      </c>
      <c r="P641" s="207" t="str">
        <f t="shared" si="80"/>
        <v>PM_0</v>
      </c>
      <c r="Q641" s="273">
        <f t="shared" si="81"/>
        <v>0</v>
      </c>
      <c r="R641" s="207">
        <f t="shared" si="82"/>
        <v>0</v>
      </c>
      <c r="S641" s="207">
        <f t="shared" si="83"/>
        <v>0</v>
      </c>
    </row>
    <row r="642" spans="11:19" ht="14.1" customHeight="1" x14ac:dyDescent="0.2">
      <c r="K642" s="186" t="str">
        <f t="shared" si="76"/>
        <v>PM_0</v>
      </c>
      <c r="L642" s="186">
        <f t="shared" si="77"/>
        <v>0</v>
      </c>
      <c r="M642" s="186">
        <f t="shared" si="78"/>
        <v>0</v>
      </c>
      <c r="N642" s="186">
        <f t="shared" si="79"/>
        <v>0</v>
      </c>
      <c r="P642" s="207" t="str">
        <f t="shared" si="80"/>
        <v>PM_0</v>
      </c>
      <c r="Q642" s="273">
        <f t="shared" si="81"/>
        <v>0</v>
      </c>
      <c r="R642" s="207">
        <f t="shared" si="82"/>
        <v>0</v>
      </c>
      <c r="S642" s="207">
        <f t="shared" si="83"/>
        <v>0</v>
      </c>
    </row>
    <row r="643" spans="11:19" ht="14.1" customHeight="1" x14ac:dyDescent="0.2">
      <c r="K643" s="186" t="str">
        <f t="shared" si="76"/>
        <v>PM_0</v>
      </c>
      <c r="L643" s="186">
        <f t="shared" si="77"/>
        <v>0</v>
      </c>
      <c r="M643" s="186">
        <f t="shared" si="78"/>
        <v>0</v>
      </c>
      <c r="N643" s="186">
        <f t="shared" si="79"/>
        <v>0</v>
      </c>
      <c r="P643" s="207" t="str">
        <f t="shared" si="80"/>
        <v>PM_0</v>
      </c>
      <c r="Q643" s="273">
        <f t="shared" si="81"/>
        <v>0</v>
      </c>
      <c r="R643" s="207">
        <f t="shared" si="82"/>
        <v>0</v>
      </c>
      <c r="S643" s="207">
        <f t="shared" si="83"/>
        <v>0</v>
      </c>
    </row>
    <row r="644" spans="11:19" ht="14.1" customHeight="1" x14ac:dyDescent="0.2">
      <c r="K644" s="186" t="str">
        <f t="shared" si="76"/>
        <v>PM_0</v>
      </c>
      <c r="L644" s="186">
        <f t="shared" si="77"/>
        <v>0</v>
      </c>
      <c r="M644" s="186">
        <f t="shared" si="78"/>
        <v>0</v>
      </c>
      <c r="N644" s="186">
        <f t="shared" si="79"/>
        <v>0</v>
      </c>
      <c r="P644" s="207" t="str">
        <f t="shared" si="80"/>
        <v>PM_0</v>
      </c>
      <c r="Q644" s="273">
        <f t="shared" si="81"/>
        <v>0</v>
      </c>
      <c r="R644" s="207">
        <f t="shared" si="82"/>
        <v>0</v>
      </c>
      <c r="S644" s="207">
        <f t="shared" si="83"/>
        <v>0</v>
      </c>
    </row>
    <row r="645" spans="11:19" ht="14.1" customHeight="1" x14ac:dyDescent="0.2">
      <c r="K645" s="186" t="str">
        <f t="shared" si="76"/>
        <v>PM_0</v>
      </c>
      <c r="L645" s="186">
        <f t="shared" si="77"/>
        <v>0</v>
      </c>
      <c r="M645" s="186">
        <f t="shared" si="78"/>
        <v>0</v>
      </c>
      <c r="N645" s="186">
        <f t="shared" si="79"/>
        <v>0</v>
      </c>
      <c r="P645" s="207" t="str">
        <f t="shared" si="80"/>
        <v>PM_0</v>
      </c>
      <c r="Q645" s="273">
        <f t="shared" si="81"/>
        <v>0</v>
      </c>
      <c r="R645" s="207">
        <f t="shared" si="82"/>
        <v>0</v>
      </c>
      <c r="S645" s="207">
        <f t="shared" si="83"/>
        <v>0</v>
      </c>
    </row>
    <row r="646" spans="11:19" ht="14.1" customHeight="1" x14ac:dyDescent="0.2">
      <c r="K646" s="186" t="str">
        <f t="shared" si="76"/>
        <v>PM_0</v>
      </c>
      <c r="L646" s="186">
        <f t="shared" si="77"/>
        <v>0</v>
      </c>
      <c r="M646" s="186">
        <f t="shared" si="78"/>
        <v>0</v>
      </c>
      <c r="N646" s="186">
        <f t="shared" si="79"/>
        <v>0</v>
      </c>
      <c r="P646" s="207" t="str">
        <f t="shared" si="80"/>
        <v>PM_0</v>
      </c>
      <c r="Q646" s="273">
        <f t="shared" si="81"/>
        <v>0</v>
      </c>
      <c r="R646" s="207">
        <f t="shared" si="82"/>
        <v>0</v>
      </c>
      <c r="S646" s="207">
        <f t="shared" si="83"/>
        <v>0</v>
      </c>
    </row>
    <row r="647" spans="11:19" ht="14.1" customHeight="1" x14ac:dyDescent="0.2">
      <c r="K647" s="186" t="str">
        <f t="shared" si="76"/>
        <v>PM_0</v>
      </c>
      <c r="L647" s="186">
        <f t="shared" si="77"/>
        <v>0</v>
      </c>
      <c r="M647" s="186">
        <f t="shared" si="78"/>
        <v>0</v>
      </c>
      <c r="N647" s="186">
        <f t="shared" si="79"/>
        <v>0</v>
      </c>
      <c r="P647" s="207" t="str">
        <f t="shared" si="80"/>
        <v>PM_0</v>
      </c>
      <c r="Q647" s="273">
        <f t="shared" si="81"/>
        <v>0</v>
      </c>
      <c r="R647" s="207">
        <f t="shared" si="82"/>
        <v>0</v>
      </c>
      <c r="S647" s="207">
        <f t="shared" si="83"/>
        <v>0</v>
      </c>
    </row>
    <row r="648" spans="11:19" ht="14.1" customHeight="1" x14ac:dyDescent="0.2">
      <c r="K648" s="186" t="str">
        <f t="shared" si="76"/>
        <v>PM_0</v>
      </c>
      <c r="L648" s="186">
        <f t="shared" si="77"/>
        <v>0</v>
      </c>
      <c r="M648" s="186">
        <f t="shared" si="78"/>
        <v>0</v>
      </c>
      <c r="N648" s="186">
        <f t="shared" si="79"/>
        <v>0</v>
      </c>
      <c r="P648" s="207" t="str">
        <f t="shared" si="80"/>
        <v>PM_0</v>
      </c>
      <c r="Q648" s="273">
        <f t="shared" si="81"/>
        <v>0</v>
      </c>
      <c r="R648" s="207">
        <f t="shared" si="82"/>
        <v>0</v>
      </c>
      <c r="S648" s="207">
        <f t="shared" si="83"/>
        <v>0</v>
      </c>
    </row>
    <row r="649" spans="11:19" ht="14.1" customHeight="1" x14ac:dyDescent="0.2">
      <c r="K649" s="186" t="str">
        <f t="shared" si="76"/>
        <v>PM_0</v>
      </c>
      <c r="L649" s="186">
        <f t="shared" si="77"/>
        <v>0</v>
      </c>
      <c r="M649" s="186">
        <f t="shared" si="78"/>
        <v>0</v>
      </c>
      <c r="N649" s="186">
        <f t="shared" si="79"/>
        <v>0</v>
      </c>
      <c r="P649" s="207" t="str">
        <f t="shared" si="80"/>
        <v>PM_0</v>
      </c>
      <c r="Q649" s="273">
        <f t="shared" si="81"/>
        <v>0</v>
      </c>
      <c r="R649" s="207">
        <f t="shared" si="82"/>
        <v>0</v>
      </c>
      <c r="S649" s="207">
        <f t="shared" si="83"/>
        <v>0</v>
      </c>
    </row>
    <row r="650" spans="11:19" ht="14.1" customHeight="1" x14ac:dyDescent="0.2">
      <c r="K650" s="186" t="str">
        <f t="shared" si="76"/>
        <v>PM_0</v>
      </c>
      <c r="L650" s="186">
        <f t="shared" si="77"/>
        <v>0</v>
      </c>
      <c r="M650" s="186">
        <f t="shared" si="78"/>
        <v>0</v>
      </c>
      <c r="N650" s="186">
        <f t="shared" si="79"/>
        <v>0</v>
      </c>
      <c r="P650" s="207" t="str">
        <f t="shared" si="80"/>
        <v>PM_0</v>
      </c>
      <c r="Q650" s="273">
        <f t="shared" si="81"/>
        <v>0</v>
      </c>
      <c r="R650" s="207">
        <f t="shared" si="82"/>
        <v>0</v>
      </c>
      <c r="S650" s="207">
        <f t="shared" si="83"/>
        <v>0</v>
      </c>
    </row>
    <row r="651" spans="11:19" ht="14.1" customHeight="1" x14ac:dyDescent="0.2">
      <c r="K651" s="186" t="str">
        <f t="shared" ref="K651:K714" si="84">"PM_"&amp;ROUND(E651,2)</f>
        <v>PM_0</v>
      </c>
      <c r="L651" s="186">
        <f t="shared" ref="L651:L714" si="85">F651</f>
        <v>0</v>
      </c>
      <c r="M651" s="186">
        <f t="shared" ref="M651:M714" si="86">G651</f>
        <v>0</v>
      </c>
      <c r="N651" s="186">
        <f t="shared" ref="N651:N714" si="87">H651</f>
        <v>0</v>
      </c>
      <c r="P651" s="207" t="str">
        <f t="shared" ref="P651:P714" si="88">K651</f>
        <v>PM_0</v>
      </c>
      <c r="Q651" s="273">
        <f t="shared" ref="Q651:Q714" si="89">$S$1+E651</f>
        <v>0</v>
      </c>
      <c r="R651" s="207">
        <f t="shared" ref="R651:R714" si="90">H651</f>
        <v>0</v>
      </c>
      <c r="S651" s="207">
        <f t="shared" ref="S651:S714" si="91">$B$6</f>
        <v>0</v>
      </c>
    </row>
    <row r="652" spans="11:19" ht="14.1" customHeight="1" x14ac:dyDescent="0.2">
      <c r="K652" s="186" t="str">
        <f t="shared" si="84"/>
        <v>PM_0</v>
      </c>
      <c r="L652" s="186">
        <f t="shared" si="85"/>
        <v>0</v>
      </c>
      <c r="M652" s="186">
        <f t="shared" si="86"/>
        <v>0</v>
      </c>
      <c r="N652" s="186">
        <f t="shared" si="87"/>
        <v>0</v>
      </c>
      <c r="P652" s="207" t="str">
        <f t="shared" si="88"/>
        <v>PM_0</v>
      </c>
      <c r="Q652" s="273">
        <f t="shared" si="89"/>
        <v>0</v>
      </c>
      <c r="R652" s="207">
        <f t="shared" si="90"/>
        <v>0</v>
      </c>
      <c r="S652" s="207">
        <f t="shared" si="91"/>
        <v>0</v>
      </c>
    </row>
    <row r="653" spans="11:19" ht="14.1" customHeight="1" x14ac:dyDescent="0.2">
      <c r="K653" s="186" t="str">
        <f t="shared" si="84"/>
        <v>PM_0</v>
      </c>
      <c r="L653" s="186">
        <f t="shared" si="85"/>
        <v>0</v>
      </c>
      <c r="M653" s="186">
        <f t="shared" si="86"/>
        <v>0</v>
      </c>
      <c r="N653" s="186">
        <f t="shared" si="87"/>
        <v>0</v>
      </c>
      <c r="P653" s="207" t="str">
        <f t="shared" si="88"/>
        <v>PM_0</v>
      </c>
      <c r="Q653" s="273">
        <f t="shared" si="89"/>
        <v>0</v>
      </c>
      <c r="R653" s="207">
        <f t="shared" si="90"/>
        <v>0</v>
      </c>
      <c r="S653" s="207">
        <f t="shared" si="91"/>
        <v>0</v>
      </c>
    </row>
    <row r="654" spans="11:19" ht="14.1" customHeight="1" x14ac:dyDescent="0.2">
      <c r="K654" s="186" t="str">
        <f t="shared" si="84"/>
        <v>PM_0</v>
      </c>
      <c r="L654" s="186">
        <f t="shared" si="85"/>
        <v>0</v>
      </c>
      <c r="M654" s="186">
        <f t="shared" si="86"/>
        <v>0</v>
      </c>
      <c r="N654" s="186">
        <f t="shared" si="87"/>
        <v>0</v>
      </c>
      <c r="P654" s="207" t="str">
        <f t="shared" si="88"/>
        <v>PM_0</v>
      </c>
      <c r="Q654" s="273">
        <f t="shared" si="89"/>
        <v>0</v>
      </c>
      <c r="R654" s="207">
        <f t="shared" si="90"/>
        <v>0</v>
      </c>
      <c r="S654" s="207">
        <f t="shared" si="91"/>
        <v>0</v>
      </c>
    </row>
    <row r="655" spans="11:19" ht="14.1" customHeight="1" x14ac:dyDescent="0.2">
      <c r="K655" s="186" t="str">
        <f t="shared" si="84"/>
        <v>PM_0</v>
      </c>
      <c r="L655" s="186">
        <f t="shared" si="85"/>
        <v>0</v>
      </c>
      <c r="M655" s="186">
        <f t="shared" si="86"/>
        <v>0</v>
      </c>
      <c r="N655" s="186">
        <f t="shared" si="87"/>
        <v>0</v>
      </c>
      <c r="P655" s="207" t="str">
        <f t="shared" si="88"/>
        <v>PM_0</v>
      </c>
      <c r="Q655" s="273">
        <f t="shared" si="89"/>
        <v>0</v>
      </c>
      <c r="R655" s="207">
        <f t="shared" si="90"/>
        <v>0</v>
      </c>
      <c r="S655" s="207">
        <f t="shared" si="91"/>
        <v>0</v>
      </c>
    </row>
    <row r="656" spans="11:19" ht="14.1" customHeight="1" x14ac:dyDescent="0.2">
      <c r="K656" s="186" t="str">
        <f t="shared" si="84"/>
        <v>PM_0</v>
      </c>
      <c r="L656" s="186">
        <f t="shared" si="85"/>
        <v>0</v>
      </c>
      <c r="M656" s="186">
        <f t="shared" si="86"/>
        <v>0</v>
      </c>
      <c r="N656" s="186">
        <f t="shared" si="87"/>
        <v>0</v>
      </c>
      <c r="P656" s="207" t="str">
        <f t="shared" si="88"/>
        <v>PM_0</v>
      </c>
      <c r="Q656" s="273">
        <f t="shared" si="89"/>
        <v>0</v>
      </c>
      <c r="R656" s="207">
        <f t="shared" si="90"/>
        <v>0</v>
      </c>
      <c r="S656" s="207">
        <f t="shared" si="91"/>
        <v>0</v>
      </c>
    </row>
    <row r="657" spans="11:19" ht="14.1" customHeight="1" x14ac:dyDescent="0.2">
      <c r="K657" s="186" t="str">
        <f t="shared" si="84"/>
        <v>PM_0</v>
      </c>
      <c r="L657" s="186">
        <f t="shared" si="85"/>
        <v>0</v>
      </c>
      <c r="M657" s="186">
        <f t="shared" si="86"/>
        <v>0</v>
      </c>
      <c r="N657" s="186">
        <f t="shared" si="87"/>
        <v>0</v>
      </c>
      <c r="P657" s="207" t="str">
        <f t="shared" si="88"/>
        <v>PM_0</v>
      </c>
      <c r="Q657" s="273">
        <f t="shared" si="89"/>
        <v>0</v>
      </c>
      <c r="R657" s="207">
        <f t="shared" si="90"/>
        <v>0</v>
      </c>
      <c r="S657" s="207">
        <f t="shared" si="91"/>
        <v>0</v>
      </c>
    </row>
    <row r="658" spans="11:19" ht="14.1" customHeight="1" x14ac:dyDescent="0.2">
      <c r="K658" s="186" t="str">
        <f t="shared" si="84"/>
        <v>PM_0</v>
      </c>
      <c r="L658" s="186">
        <f t="shared" si="85"/>
        <v>0</v>
      </c>
      <c r="M658" s="186">
        <f t="shared" si="86"/>
        <v>0</v>
      </c>
      <c r="N658" s="186">
        <f t="shared" si="87"/>
        <v>0</v>
      </c>
      <c r="P658" s="207" t="str">
        <f t="shared" si="88"/>
        <v>PM_0</v>
      </c>
      <c r="Q658" s="273">
        <f t="shared" si="89"/>
        <v>0</v>
      </c>
      <c r="R658" s="207">
        <f t="shared" si="90"/>
        <v>0</v>
      </c>
      <c r="S658" s="207">
        <f t="shared" si="91"/>
        <v>0</v>
      </c>
    </row>
    <row r="659" spans="11:19" ht="14.1" customHeight="1" x14ac:dyDescent="0.2">
      <c r="K659" s="186" t="str">
        <f t="shared" si="84"/>
        <v>PM_0</v>
      </c>
      <c r="L659" s="186">
        <f t="shared" si="85"/>
        <v>0</v>
      </c>
      <c r="M659" s="186">
        <f t="shared" si="86"/>
        <v>0</v>
      </c>
      <c r="N659" s="186">
        <f t="shared" si="87"/>
        <v>0</v>
      </c>
      <c r="P659" s="207" t="str">
        <f t="shared" si="88"/>
        <v>PM_0</v>
      </c>
      <c r="Q659" s="273">
        <f t="shared" si="89"/>
        <v>0</v>
      </c>
      <c r="R659" s="207">
        <f t="shared" si="90"/>
        <v>0</v>
      </c>
      <c r="S659" s="207">
        <f t="shared" si="91"/>
        <v>0</v>
      </c>
    </row>
    <row r="660" spans="11:19" ht="14.1" customHeight="1" x14ac:dyDescent="0.2">
      <c r="K660" s="186" t="str">
        <f t="shared" si="84"/>
        <v>PM_0</v>
      </c>
      <c r="L660" s="186">
        <f t="shared" si="85"/>
        <v>0</v>
      </c>
      <c r="M660" s="186">
        <f t="shared" si="86"/>
        <v>0</v>
      </c>
      <c r="N660" s="186">
        <f t="shared" si="87"/>
        <v>0</v>
      </c>
      <c r="P660" s="207" t="str">
        <f t="shared" si="88"/>
        <v>PM_0</v>
      </c>
      <c r="Q660" s="273">
        <f t="shared" si="89"/>
        <v>0</v>
      </c>
      <c r="R660" s="207">
        <f t="shared" si="90"/>
        <v>0</v>
      </c>
      <c r="S660" s="207">
        <f t="shared" si="91"/>
        <v>0</v>
      </c>
    </row>
    <row r="661" spans="11:19" ht="14.1" customHeight="1" x14ac:dyDescent="0.2">
      <c r="K661" s="186" t="str">
        <f t="shared" si="84"/>
        <v>PM_0</v>
      </c>
      <c r="L661" s="186">
        <f t="shared" si="85"/>
        <v>0</v>
      </c>
      <c r="M661" s="186">
        <f t="shared" si="86"/>
        <v>0</v>
      </c>
      <c r="N661" s="186">
        <f t="shared" si="87"/>
        <v>0</v>
      </c>
      <c r="P661" s="207" t="str">
        <f t="shared" si="88"/>
        <v>PM_0</v>
      </c>
      <c r="Q661" s="273">
        <f t="shared" si="89"/>
        <v>0</v>
      </c>
      <c r="R661" s="207">
        <f t="shared" si="90"/>
        <v>0</v>
      </c>
      <c r="S661" s="207">
        <f t="shared" si="91"/>
        <v>0</v>
      </c>
    </row>
    <row r="662" spans="11:19" ht="14.1" customHeight="1" x14ac:dyDescent="0.2">
      <c r="K662" s="186" t="str">
        <f t="shared" si="84"/>
        <v>PM_0</v>
      </c>
      <c r="L662" s="186">
        <f t="shared" si="85"/>
        <v>0</v>
      </c>
      <c r="M662" s="186">
        <f t="shared" si="86"/>
        <v>0</v>
      </c>
      <c r="N662" s="186">
        <f t="shared" si="87"/>
        <v>0</v>
      </c>
      <c r="P662" s="207" t="str">
        <f t="shared" si="88"/>
        <v>PM_0</v>
      </c>
      <c r="Q662" s="273">
        <f t="shared" si="89"/>
        <v>0</v>
      </c>
      <c r="R662" s="207">
        <f t="shared" si="90"/>
        <v>0</v>
      </c>
      <c r="S662" s="207">
        <f t="shared" si="91"/>
        <v>0</v>
      </c>
    </row>
    <row r="663" spans="11:19" ht="14.1" customHeight="1" x14ac:dyDescent="0.2">
      <c r="K663" s="186" t="str">
        <f t="shared" si="84"/>
        <v>PM_0</v>
      </c>
      <c r="L663" s="186">
        <f t="shared" si="85"/>
        <v>0</v>
      </c>
      <c r="M663" s="186">
        <f t="shared" si="86"/>
        <v>0</v>
      </c>
      <c r="N663" s="186">
        <f t="shared" si="87"/>
        <v>0</v>
      </c>
      <c r="P663" s="207" t="str">
        <f t="shared" si="88"/>
        <v>PM_0</v>
      </c>
      <c r="Q663" s="273">
        <f t="shared" si="89"/>
        <v>0</v>
      </c>
      <c r="R663" s="207">
        <f t="shared" si="90"/>
        <v>0</v>
      </c>
      <c r="S663" s="207">
        <f t="shared" si="91"/>
        <v>0</v>
      </c>
    </row>
    <row r="664" spans="11:19" ht="14.1" customHeight="1" x14ac:dyDescent="0.2">
      <c r="K664" s="186" t="str">
        <f t="shared" si="84"/>
        <v>PM_0</v>
      </c>
      <c r="L664" s="186">
        <f t="shared" si="85"/>
        <v>0</v>
      </c>
      <c r="M664" s="186">
        <f t="shared" si="86"/>
        <v>0</v>
      </c>
      <c r="N664" s="186">
        <f t="shared" si="87"/>
        <v>0</v>
      </c>
      <c r="P664" s="207" t="str">
        <f t="shared" si="88"/>
        <v>PM_0</v>
      </c>
      <c r="Q664" s="273">
        <f t="shared" si="89"/>
        <v>0</v>
      </c>
      <c r="R664" s="207">
        <f t="shared" si="90"/>
        <v>0</v>
      </c>
      <c r="S664" s="207">
        <f t="shared" si="91"/>
        <v>0</v>
      </c>
    </row>
    <row r="665" spans="11:19" ht="14.1" customHeight="1" x14ac:dyDescent="0.2">
      <c r="K665" s="186" t="str">
        <f t="shared" si="84"/>
        <v>PM_0</v>
      </c>
      <c r="L665" s="186">
        <f t="shared" si="85"/>
        <v>0</v>
      </c>
      <c r="M665" s="186">
        <f t="shared" si="86"/>
        <v>0</v>
      </c>
      <c r="N665" s="186">
        <f t="shared" si="87"/>
        <v>0</v>
      </c>
      <c r="P665" s="207" t="str">
        <f t="shared" si="88"/>
        <v>PM_0</v>
      </c>
      <c r="Q665" s="273">
        <f t="shared" si="89"/>
        <v>0</v>
      </c>
      <c r="R665" s="207">
        <f t="shared" si="90"/>
        <v>0</v>
      </c>
      <c r="S665" s="207">
        <f t="shared" si="91"/>
        <v>0</v>
      </c>
    </row>
    <row r="666" spans="11:19" ht="14.1" customHeight="1" x14ac:dyDescent="0.2">
      <c r="K666" s="186" t="str">
        <f t="shared" si="84"/>
        <v>PM_0</v>
      </c>
      <c r="L666" s="186">
        <f t="shared" si="85"/>
        <v>0</v>
      </c>
      <c r="M666" s="186">
        <f t="shared" si="86"/>
        <v>0</v>
      </c>
      <c r="N666" s="186">
        <f t="shared" si="87"/>
        <v>0</v>
      </c>
      <c r="P666" s="207" t="str">
        <f t="shared" si="88"/>
        <v>PM_0</v>
      </c>
      <c r="Q666" s="273">
        <f t="shared" si="89"/>
        <v>0</v>
      </c>
      <c r="R666" s="207">
        <f t="shared" si="90"/>
        <v>0</v>
      </c>
      <c r="S666" s="207">
        <f t="shared" si="91"/>
        <v>0</v>
      </c>
    </row>
    <row r="667" spans="11:19" ht="14.1" customHeight="1" x14ac:dyDescent="0.2">
      <c r="K667" s="186" t="str">
        <f t="shared" si="84"/>
        <v>PM_0</v>
      </c>
      <c r="L667" s="186">
        <f t="shared" si="85"/>
        <v>0</v>
      </c>
      <c r="M667" s="186">
        <f t="shared" si="86"/>
        <v>0</v>
      </c>
      <c r="N667" s="186">
        <f t="shared" si="87"/>
        <v>0</v>
      </c>
      <c r="P667" s="207" t="str">
        <f t="shared" si="88"/>
        <v>PM_0</v>
      </c>
      <c r="Q667" s="273">
        <f t="shared" si="89"/>
        <v>0</v>
      </c>
      <c r="R667" s="207">
        <f t="shared" si="90"/>
        <v>0</v>
      </c>
      <c r="S667" s="207">
        <f t="shared" si="91"/>
        <v>0</v>
      </c>
    </row>
    <row r="668" spans="11:19" ht="14.1" customHeight="1" x14ac:dyDescent="0.2">
      <c r="K668" s="186" t="str">
        <f t="shared" si="84"/>
        <v>PM_0</v>
      </c>
      <c r="L668" s="186">
        <f t="shared" si="85"/>
        <v>0</v>
      </c>
      <c r="M668" s="186">
        <f t="shared" si="86"/>
        <v>0</v>
      </c>
      <c r="N668" s="186">
        <f t="shared" si="87"/>
        <v>0</v>
      </c>
      <c r="P668" s="207" t="str">
        <f t="shared" si="88"/>
        <v>PM_0</v>
      </c>
      <c r="Q668" s="273">
        <f t="shared" si="89"/>
        <v>0</v>
      </c>
      <c r="R668" s="207">
        <f t="shared" si="90"/>
        <v>0</v>
      </c>
      <c r="S668" s="207">
        <f t="shared" si="91"/>
        <v>0</v>
      </c>
    </row>
    <row r="669" spans="11:19" ht="14.1" customHeight="1" x14ac:dyDescent="0.2">
      <c r="K669" s="186" t="str">
        <f t="shared" si="84"/>
        <v>PM_0</v>
      </c>
      <c r="L669" s="186">
        <f t="shared" si="85"/>
        <v>0</v>
      </c>
      <c r="M669" s="186">
        <f t="shared" si="86"/>
        <v>0</v>
      </c>
      <c r="N669" s="186">
        <f t="shared" si="87"/>
        <v>0</v>
      </c>
      <c r="P669" s="207" t="str">
        <f t="shared" si="88"/>
        <v>PM_0</v>
      </c>
      <c r="Q669" s="273">
        <f t="shared" si="89"/>
        <v>0</v>
      </c>
      <c r="R669" s="207">
        <f t="shared" si="90"/>
        <v>0</v>
      </c>
      <c r="S669" s="207">
        <f t="shared" si="91"/>
        <v>0</v>
      </c>
    </row>
    <row r="670" spans="11:19" ht="14.1" customHeight="1" x14ac:dyDescent="0.2">
      <c r="K670" s="186" t="str">
        <f t="shared" si="84"/>
        <v>PM_0</v>
      </c>
      <c r="L670" s="186">
        <f t="shared" si="85"/>
        <v>0</v>
      </c>
      <c r="M670" s="186">
        <f t="shared" si="86"/>
        <v>0</v>
      </c>
      <c r="N670" s="186">
        <f t="shared" si="87"/>
        <v>0</v>
      </c>
      <c r="P670" s="207" t="str">
        <f t="shared" si="88"/>
        <v>PM_0</v>
      </c>
      <c r="Q670" s="273">
        <f t="shared" si="89"/>
        <v>0</v>
      </c>
      <c r="R670" s="207">
        <f t="shared" si="90"/>
        <v>0</v>
      </c>
      <c r="S670" s="207">
        <f t="shared" si="91"/>
        <v>0</v>
      </c>
    </row>
    <row r="671" spans="11:19" ht="14.1" customHeight="1" x14ac:dyDescent="0.2">
      <c r="K671" s="186" t="str">
        <f t="shared" si="84"/>
        <v>PM_0</v>
      </c>
      <c r="L671" s="186">
        <f t="shared" si="85"/>
        <v>0</v>
      </c>
      <c r="M671" s="186">
        <f t="shared" si="86"/>
        <v>0</v>
      </c>
      <c r="N671" s="186">
        <f t="shared" si="87"/>
        <v>0</v>
      </c>
      <c r="P671" s="207" t="str">
        <f t="shared" si="88"/>
        <v>PM_0</v>
      </c>
      <c r="Q671" s="273">
        <f t="shared" si="89"/>
        <v>0</v>
      </c>
      <c r="R671" s="207">
        <f t="shared" si="90"/>
        <v>0</v>
      </c>
      <c r="S671" s="207">
        <f t="shared" si="91"/>
        <v>0</v>
      </c>
    </row>
    <row r="672" spans="11:19" ht="14.1" customHeight="1" x14ac:dyDescent="0.2">
      <c r="K672" s="186" t="str">
        <f t="shared" si="84"/>
        <v>PM_0</v>
      </c>
      <c r="L672" s="186">
        <f t="shared" si="85"/>
        <v>0</v>
      </c>
      <c r="M672" s="186">
        <f t="shared" si="86"/>
        <v>0</v>
      </c>
      <c r="N672" s="186">
        <f t="shared" si="87"/>
        <v>0</v>
      </c>
      <c r="P672" s="207" t="str">
        <f t="shared" si="88"/>
        <v>PM_0</v>
      </c>
      <c r="Q672" s="273">
        <f t="shared" si="89"/>
        <v>0</v>
      </c>
      <c r="R672" s="207">
        <f t="shared" si="90"/>
        <v>0</v>
      </c>
      <c r="S672" s="207">
        <f t="shared" si="91"/>
        <v>0</v>
      </c>
    </row>
    <row r="673" spans="11:19" ht="14.1" customHeight="1" x14ac:dyDescent="0.2">
      <c r="K673" s="186" t="str">
        <f t="shared" si="84"/>
        <v>PM_0</v>
      </c>
      <c r="L673" s="186">
        <f t="shared" si="85"/>
        <v>0</v>
      </c>
      <c r="M673" s="186">
        <f t="shared" si="86"/>
        <v>0</v>
      </c>
      <c r="N673" s="186">
        <f t="shared" si="87"/>
        <v>0</v>
      </c>
      <c r="P673" s="207" t="str">
        <f t="shared" si="88"/>
        <v>PM_0</v>
      </c>
      <c r="Q673" s="273">
        <f t="shared" si="89"/>
        <v>0</v>
      </c>
      <c r="R673" s="207">
        <f t="shared" si="90"/>
        <v>0</v>
      </c>
      <c r="S673" s="207">
        <f t="shared" si="91"/>
        <v>0</v>
      </c>
    </row>
    <row r="674" spans="11:19" ht="14.1" customHeight="1" x14ac:dyDescent="0.2">
      <c r="K674" s="186" t="str">
        <f t="shared" si="84"/>
        <v>PM_0</v>
      </c>
      <c r="L674" s="186">
        <f t="shared" si="85"/>
        <v>0</v>
      </c>
      <c r="M674" s="186">
        <f t="shared" si="86"/>
        <v>0</v>
      </c>
      <c r="N674" s="186">
        <f t="shared" si="87"/>
        <v>0</v>
      </c>
      <c r="P674" s="207" t="str">
        <f t="shared" si="88"/>
        <v>PM_0</v>
      </c>
      <c r="Q674" s="273">
        <f t="shared" si="89"/>
        <v>0</v>
      </c>
      <c r="R674" s="207">
        <f t="shared" si="90"/>
        <v>0</v>
      </c>
      <c r="S674" s="207">
        <f t="shared" si="91"/>
        <v>0</v>
      </c>
    </row>
    <row r="675" spans="11:19" ht="14.1" customHeight="1" x14ac:dyDescent="0.2">
      <c r="K675" s="186" t="str">
        <f t="shared" si="84"/>
        <v>PM_0</v>
      </c>
      <c r="L675" s="186">
        <f t="shared" si="85"/>
        <v>0</v>
      </c>
      <c r="M675" s="186">
        <f t="shared" si="86"/>
        <v>0</v>
      </c>
      <c r="N675" s="186">
        <f t="shared" si="87"/>
        <v>0</v>
      </c>
      <c r="P675" s="207" t="str">
        <f t="shared" si="88"/>
        <v>PM_0</v>
      </c>
      <c r="Q675" s="273">
        <f t="shared" si="89"/>
        <v>0</v>
      </c>
      <c r="R675" s="207">
        <f t="shared" si="90"/>
        <v>0</v>
      </c>
      <c r="S675" s="207">
        <f t="shared" si="91"/>
        <v>0</v>
      </c>
    </row>
    <row r="676" spans="11:19" ht="14.1" customHeight="1" x14ac:dyDescent="0.2">
      <c r="K676" s="186" t="str">
        <f t="shared" si="84"/>
        <v>PM_0</v>
      </c>
      <c r="L676" s="186">
        <f t="shared" si="85"/>
        <v>0</v>
      </c>
      <c r="M676" s="186">
        <f t="shared" si="86"/>
        <v>0</v>
      </c>
      <c r="N676" s="186">
        <f t="shared" si="87"/>
        <v>0</v>
      </c>
      <c r="P676" s="207" t="str">
        <f t="shared" si="88"/>
        <v>PM_0</v>
      </c>
      <c r="Q676" s="273">
        <f t="shared" si="89"/>
        <v>0</v>
      </c>
      <c r="R676" s="207">
        <f t="shared" si="90"/>
        <v>0</v>
      </c>
      <c r="S676" s="207">
        <f t="shared" si="91"/>
        <v>0</v>
      </c>
    </row>
    <row r="677" spans="11:19" ht="14.1" customHeight="1" x14ac:dyDescent="0.2">
      <c r="K677" s="186" t="str">
        <f t="shared" si="84"/>
        <v>PM_0</v>
      </c>
      <c r="L677" s="186">
        <f t="shared" si="85"/>
        <v>0</v>
      </c>
      <c r="M677" s="186">
        <f t="shared" si="86"/>
        <v>0</v>
      </c>
      <c r="N677" s="186">
        <f t="shared" si="87"/>
        <v>0</v>
      </c>
      <c r="P677" s="207" t="str">
        <f t="shared" si="88"/>
        <v>PM_0</v>
      </c>
      <c r="Q677" s="273">
        <f t="shared" si="89"/>
        <v>0</v>
      </c>
      <c r="R677" s="207">
        <f t="shared" si="90"/>
        <v>0</v>
      </c>
      <c r="S677" s="207">
        <f t="shared" si="91"/>
        <v>0</v>
      </c>
    </row>
    <row r="678" spans="11:19" ht="14.1" customHeight="1" x14ac:dyDescent="0.2">
      <c r="K678" s="186" t="str">
        <f t="shared" si="84"/>
        <v>PM_0</v>
      </c>
      <c r="L678" s="186">
        <f t="shared" si="85"/>
        <v>0</v>
      </c>
      <c r="M678" s="186">
        <f t="shared" si="86"/>
        <v>0</v>
      </c>
      <c r="N678" s="186">
        <f t="shared" si="87"/>
        <v>0</v>
      </c>
      <c r="P678" s="207" t="str">
        <f t="shared" si="88"/>
        <v>PM_0</v>
      </c>
      <c r="Q678" s="273">
        <f t="shared" si="89"/>
        <v>0</v>
      </c>
      <c r="R678" s="207">
        <f t="shared" si="90"/>
        <v>0</v>
      </c>
      <c r="S678" s="207">
        <f t="shared" si="91"/>
        <v>0</v>
      </c>
    </row>
    <row r="679" spans="11:19" ht="14.1" customHeight="1" x14ac:dyDescent="0.2">
      <c r="K679" s="186" t="str">
        <f t="shared" si="84"/>
        <v>PM_0</v>
      </c>
      <c r="L679" s="186">
        <f t="shared" si="85"/>
        <v>0</v>
      </c>
      <c r="M679" s="186">
        <f t="shared" si="86"/>
        <v>0</v>
      </c>
      <c r="N679" s="186">
        <f t="shared" si="87"/>
        <v>0</v>
      </c>
      <c r="P679" s="207" t="str">
        <f t="shared" si="88"/>
        <v>PM_0</v>
      </c>
      <c r="Q679" s="273">
        <f t="shared" si="89"/>
        <v>0</v>
      </c>
      <c r="R679" s="207">
        <f t="shared" si="90"/>
        <v>0</v>
      </c>
      <c r="S679" s="207">
        <f t="shared" si="91"/>
        <v>0</v>
      </c>
    </row>
    <row r="680" spans="11:19" ht="14.1" customHeight="1" x14ac:dyDescent="0.2">
      <c r="K680" s="186" t="str">
        <f t="shared" si="84"/>
        <v>PM_0</v>
      </c>
      <c r="L680" s="186">
        <f t="shared" si="85"/>
        <v>0</v>
      </c>
      <c r="M680" s="186">
        <f t="shared" si="86"/>
        <v>0</v>
      </c>
      <c r="N680" s="186">
        <f t="shared" si="87"/>
        <v>0</v>
      </c>
      <c r="P680" s="207" t="str">
        <f t="shared" si="88"/>
        <v>PM_0</v>
      </c>
      <c r="Q680" s="273">
        <f t="shared" si="89"/>
        <v>0</v>
      </c>
      <c r="R680" s="207">
        <f t="shared" si="90"/>
        <v>0</v>
      </c>
      <c r="S680" s="207">
        <f t="shared" si="91"/>
        <v>0</v>
      </c>
    </row>
    <row r="681" spans="11:19" ht="14.1" customHeight="1" x14ac:dyDescent="0.2">
      <c r="K681" s="186" t="str">
        <f t="shared" si="84"/>
        <v>PM_0</v>
      </c>
      <c r="L681" s="186">
        <f t="shared" si="85"/>
        <v>0</v>
      </c>
      <c r="M681" s="186">
        <f t="shared" si="86"/>
        <v>0</v>
      </c>
      <c r="N681" s="186">
        <f t="shared" si="87"/>
        <v>0</v>
      </c>
      <c r="P681" s="207" t="str">
        <f t="shared" si="88"/>
        <v>PM_0</v>
      </c>
      <c r="Q681" s="273">
        <f t="shared" si="89"/>
        <v>0</v>
      </c>
      <c r="R681" s="207">
        <f t="shared" si="90"/>
        <v>0</v>
      </c>
      <c r="S681" s="207">
        <f t="shared" si="91"/>
        <v>0</v>
      </c>
    </row>
    <row r="682" spans="11:19" ht="14.1" customHeight="1" x14ac:dyDescent="0.2">
      <c r="K682" s="186" t="str">
        <f t="shared" si="84"/>
        <v>PM_0</v>
      </c>
      <c r="L682" s="186">
        <f t="shared" si="85"/>
        <v>0</v>
      </c>
      <c r="M682" s="186">
        <f t="shared" si="86"/>
        <v>0</v>
      </c>
      <c r="N682" s="186">
        <f t="shared" si="87"/>
        <v>0</v>
      </c>
      <c r="P682" s="207" t="str">
        <f t="shared" si="88"/>
        <v>PM_0</v>
      </c>
      <c r="Q682" s="273">
        <f t="shared" si="89"/>
        <v>0</v>
      </c>
      <c r="R682" s="207">
        <f t="shared" si="90"/>
        <v>0</v>
      </c>
      <c r="S682" s="207">
        <f t="shared" si="91"/>
        <v>0</v>
      </c>
    </row>
    <row r="683" spans="11:19" ht="14.1" customHeight="1" x14ac:dyDescent="0.2">
      <c r="K683" s="186" t="str">
        <f t="shared" si="84"/>
        <v>PM_0</v>
      </c>
      <c r="L683" s="186">
        <f t="shared" si="85"/>
        <v>0</v>
      </c>
      <c r="M683" s="186">
        <f t="shared" si="86"/>
        <v>0</v>
      </c>
      <c r="N683" s="186">
        <f t="shared" si="87"/>
        <v>0</v>
      </c>
      <c r="P683" s="207" t="str">
        <f t="shared" si="88"/>
        <v>PM_0</v>
      </c>
      <c r="Q683" s="273">
        <f t="shared" si="89"/>
        <v>0</v>
      </c>
      <c r="R683" s="207">
        <f t="shared" si="90"/>
        <v>0</v>
      </c>
      <c r="S683" s="207">
        <f t="shared" si="91"/>
        <v>0</v>
      </c>
    </row>
    <row r="684" spans="11:19" ht="14.1" customHeight="1" x14ac:dyDescent="0.2">
      <c r="K684" s="186" t="str">
        <f t="shared" si="84"/>
        <v>PM_0</v>
      </c>
      <c r="L684" s="186">
        <f t="shared" si="85"/>
        <v>0</v>
      </c>
      <c r="M684" s="186">
        <f t="shared" si="86"/>
        <v>0</v>
      </c>
      <c r="N684" s="186">
        <f t="shared" si="87"/>
        <v>0</v>
      </c>
      <c r="P684" s="207" t="str">
        <f t="shared" si="88"/>
        <v>PM_0</v>
      </c>
      <c r="Q684" s="273">
        <f t="shared" si="89"/>
        <v>0</v>
      </c>
      <c r="R684" s="207">
        <f t="shared" si="90"/>
        <v>0</v>
      </c>
      <c r="S684" s="207">
        <f t="shared" si="91"/>
        <v>0</v>
      </c>
    </row>
    <row r="685" spans="11:19" ht="14.1" customHeight="1" x14ac:dyDescent="0.2">
      <c r="K685" s="186" t="str">
        <f t="shared" si="84"/>
        <v>PM_0</v>
      </c>
      <c r="L685" s="186">
        <f t="shared" si="85"/>
        <v>0</v>
      </c>
      <c r="M685" s="186">
        <f t="shared" si="86"/>
        <v>0</v>
      </c>
      <c r="N685" s="186">
        <f t="shared" si="87"/>
        <v>0</v>
      </c>
      <c r="P685" s="207" t="str">
        <f t="shared" si="88"/>
        <v>PM_0</v>
      </c>
      <c r="Q685" s="273">
        <f t="shared" si="89"/>
        <v>0</v>
      </c>
      <c r="R685" s="207">
        <f t="shared" si="90"/>
        <v>0</v>
      </c>
      <c r="S685" s="207">
        <f t="shared" si="91"/>
        <v>0</v>
      </c>
    </row>
    <row r="686" spans="11:19" ht="14.1" customHeight="1" x14ac:dyDescent="0.2">
      <c r="K686" s="186" t="str">
        <f t="shared" si="84"/>
        <v>PM_0</v>
      </c>
      <c r="L686" s="186">
        <f t="shared" si="85"/>
        <v>0</v>
      </c>
      <c r="M686" s="186">
        <f t="shared" si="86"/>
        <v>0</v>
      </c>
      <c r="N686" s="186">
        <f t="shared" si="87"/>
        <v>0</v>
      </c>
      <c r="P686" s="207" t="str">
        <f t="shared" si="88"/>
        <v>PM_0</v>
      </c>
      <c r="Q686" s="273">
        <f t="shared" si="89"/>
        <v>0</v>
      </c>
      <c r="R686" s="207">
        <f t="shared" si="90"/>
        <v>0</v>
      </c>
      <c r="S686" s="207">
        <f t="shared" si="91"/>
        <v>0</v>
      </c>
    </row>
    <row r="687" spans="11:19" ht="14.1" customHeight="1" x14ac:dyDescent="0.2">
      <c r="K687" s="186" t="str">
        <f t="shared" si="84"/>
        <v>PM_0</v>
      </c>
      <c r="L687" s="186">
        <f t="shared" si="85"/>
        <v>0</v>
      </c>
      <c r="M687" s="186">
        <f t="shared" si="86"/>
        <v>0</v>
      </c>
      <c r="N687" s="186">
        <f t="shared" si="87"/>
        <v>0</v>
      </c>
      <c r="P687" s="207" t="str">
        <f t="shared" si="88"/>
        <v>PM_0</v>
      </c>
      <c r="Q687" s="273">
        <f t="shared" si="89"/>
        <v>0</v>
      </c>
      <c r="R687" s="207">
        <f t="shared" si="90"/>
        <v>0</v>
      </c>
      <c r="S687" s="207">
        <f t="shared" si="91"/>
        <v>0</v>
      </c>
    </row>
    <row r="688" spans="11:19" ht="14.1" customHeight="1" x14ac:dyDescent="0.2">
      <c r="K688" s="186" t="str">
        <f t="shared" si="84"/>
        <v>PM_0</v>
      </c>
      <c r="L688" s="186">
        <f t="shared" si="85"/>
        <v>0</v>
      </c>
      <c r="M688" s="186">
        <f t="shared" si="86"/>
        <v>0</v>
      </c>
      <c r="N688" s="186">
        <f t="shared" si="87"/>
        <v>0</v>
      </c>
      <c r="P688" s="207" t="str">
        <f t="shared" si="88"/>
        <v>PM_0</v>
      </c>
      <c r="Q688" s="273">
        <f t="shared" si="89"/>
        <v>0</v>
      </c>
      <c r="R688" s="207">
        <f t="shared" si="90"/>
        <v>0</v>
      </c>
      <c r="S688" s="207">
        <f t="shared" si="91"/>
        <v>0</v>
      </c>
    </row>
    <row r="689" spans="11:19" ht="14.1" customHeight="1" x14ac:dyDescent="0.2">
      <c r="K689" s="186" t="str">
        <f t="shared" si="84"/>
        <v>PM_0</v>
      </c>
      <c r="L689" s="186">
        <f t="shared" si="85"/>
        <v>0</v>
      </c>
      <c r="M689" s="186">
        <f t="shared" si="86"/>
        <v>0</v>
      </c>
      <c r="N689" s="186">
        <f t="shared" si="87"/>
        <v>0</v>
      </c>
      <c r="P689" s="207" t="str">
        <f t="shared" si="88"/>
        <v>PM_0</v>
      </c>
      <c r="Q689" s="273">
        <f t="shared" si="89"/>
        <v>0</v>
      </c>
      <c r="R689" s="207">
        <f t="shared" si="90"/>
        <v>0</v>
      </c>
      <c r="S689" s="207">
        <f t="shared" si="91"/>
        <v>0</v>
      </c>
    </row>
    <row r="690" spans="11:19" ht="14.1" customHeight="1" x14ac:dyDescent="0.2">
      <c r="K690" s="186" t="str">
        <f t="shared" si="84"/>
        <v>PM_0</v>
      </c>
      <c r="L690" s="186">
        <f t="shared" si="85"/>
        <v>0</v>
      </c>
      <c r="M690" s="186">
        <f t="shared" si="86"/>
        <v>0</v>
      </c>
      <c r="N690" s="186">
        <f t="shared" si="87"/>
        <v>0</v>
      </c>
      <c r="P690" s="207" t="str">
        <f t="shared" si="88"/>
        <v>PM_0</v>
      </c>
      <c r="Q690" s="273">
        <f t="shared" si="89"/>
        <v>0</v>
      </c>
      <c r="R690" s="207">
        <f t="shared" si="90"/>
        <v>0</v>
      </c>
      <c r="S690" s="207">
        <f t="shared" si="91"/>
        <v>0</v>
      </c>
    </row>
    <row r="691" spans="11:19" ht="14.1" customHeight="1" x14ac:dyDescent="0.2">
      <c r="K691" s="186" t="str">
        <f t="shared" si="84"/>
        <v>PM_0</v>
      </c>
      <c r="L691" s="186">
        <f t="shared" si="85"/>
        <v>0</v>
      </c>
      <c r="M691" s="186">
        <f t="shared" si="86"/>
        <v>0</v>
      </c>
      <c r="N691" s="186">
        <f t="shared" si="87"/>
        <v>0</v>
      </c>
      <c r="P691" s="207" t="str">
        <f t="shared" si="88"/>
        <v>PM_0</v>
      </c>
      <c r="Q691" s="273">
        <f t="shared" si="89"/>
        <v>0</v>
      </c>
      <c r="R691" s="207">
        <f t="shared" si="90"/>
        <v>0</v>
      </c>
      <c r="S691" s="207">
        <f t="shared" si="91"/>
        <v>0</v>
      </c>
    </row>
    <row r="692" spans="11:19" ht="14.1" customHeight="1" x14ac:dyDescent="0.2">
      <c r="K692" s="186" t="str">
        <f t="shared" si="84"/>
        <v>PM_0</v>
      </c>
      <c r="L692" s="186">
        <f t="shared" si="85"/>
        <v>0</v>
      </c>
      <c r="M692" s="186">
        <f t="shared" si="86"/>
        <v>0</v>
      </c>
      <c r="N692" s="186">
        <f t="shared" si="87"/>
        <v>0</v>
      </c>
      <c r="P692" s="207" t="str">
        <f t="shared" si="88"/>
        <v>PM_0</v>
      </c>
      <c r="Q692" s="273">
        <f t="shared" si="89"/>
        <v>0</v>
      </c>
      <c r="R692" s="207">
        <f t="shared" si="90"/>
        <v>0</v>
      </c>
      <c r="S692" s="207">
        <f t="shared" si="91"/>
        <v>0</v>
      </c>
    </row>
    <row r="693" spans="11:19" ht="14.1" customHeight="1" x14ac:dyDescent="0.2">
      <c r="K693" s="186" t="str">
        <f t="shared" si="84"/>
        <v>PM_0</v>
      </c>
      <c r="L693" s="186">
        <f t="shared" si="85"/>
        <v>0</v>
      </c>
      <c r="M693" s="186">
        <f t="shared" si="86"/>
        <v>0</v>
      </c>
      <c r="N693" s="186">
        <f t="shared" si="87"/>
        <v>0</v>
      </c>
      <c r="P693" s="207" t="str">
        <f t="shared" si="88"/>
        <v>PM_0</v>
      </c>
      <c r="Q693" s="273">
        <f t="shared" si="89"/>
        <v>0</v>
      </c>
      <c r="R693" s="207">
        <f t="shared" si="90"/>
        <v>0</v>
      </c>
      <c r="S693" s="207">
        <f t="shared" si="91"/>
        <v>0</v>
      </c>
    </row>
    <row r="694" spans="11:19" ht="14.1" customHeight="1" x14ac:dyDescent="0.2">
      <c r="K694" s="186" t="str">
        <f t="shared" si="84"/>
        <v>PM_0</v>
      </c>
      <c r="L694" s="186">
        <f t="shared" si="85"/>
        <v>0</v>
      </c>
      <c r="M694" s="186">
        <f t="shared" si="86"/>
        <v>0</v>
      </c>
      <c r="N694" s="186">
        <f t="shared" si="87"/>
        <v>0</v>
      </c>
      <c r="P694" s="207" t="str">
        <f t="shared" si="88"/>
        <v>PM_0</v>
      </c>
      <c r="Q694" s="273">
        <f t="shared" si="89"/>
        <v>0</v>
      </c>
      <c r="R694" s="207">
        <f t="shared" si="90"/>
        <v>0</v>
      </c>
      <c r="S694" s="207">
        <f t="shared" si="91"/>
        <v>0</v>
      </c>
    </row>
    <row r="695" spans="11:19" ht="14.1" customHeight="1" x14ac:dyDescent="0.2">
      <c r="K695" s="186" t="str">
        <f t="shared" si="84"/>
        <v>PM_0</v>
      </c>
      <c r="L695" s="186">
        <f t="shared" si="85"/>
        <v>0</v>
      </c>
      <c r="M695" s="186">
        <f t="shared" si="86"/>
        <v>0</v>
      </c>
      <c r="N695" s="186">
        <f t="shared" si="87"/>
        <v>0</v>
      </c>
      <c r="P695" s="207" t="str">
        <f t="shared" si="88"/>
        <v>PM_0</v>
      </c>
      <c r="Q695" s="273">
        <f t="shared" si="89"/>
        <v>0</v>
      </c>
      <c r="R695" s="207">
        <f t="shared" si="90"/>
        <v>0</v>
      </c>
      <c r="S695" s="207">
        <f t="shared" si="91"/>
        <v>0</v>
      </c>
    </row>
    <row r="696" spans="11:19" ht="14.1" customHeight="1" x14ac:dyDescent="0.2">
      <c r="K696" s="186" t="str">
        <f t="shared" si="84"/>
        <v>PM_0</v>
      </c>
      <c r="L696" s="186">
        <f t="shared" si="85"/>
        <v>0</v>
      </c>
      <c r="M696" s="186">
        <f t="shared" si="86"/>
        <v>0</v>
      </c>
      <c r="N696" s="186">
        <f t="shared" si="87"/>
        <v>0</v>
      </c>
      <c r="P696" s="207" t="str">
        <f t="shared" si="88"/>
        <v>PM_0</v>
      </c>
      <c r="Q696" s="273">
        <f t="shared" si="89"/>
        <v>0</v>
      </c>
      <c r="R696" s="207">
        <f t="shared" si="90"/>
        <v>0</v>
      </c>
      <c r="S696" s="207">
        <f t="shared" si="91"/>
        <v>0</v>
      </c>
    </row>
    <row r="697" spans="11:19" ht="14.1" customHeight="1" x14ac:dyDescent="0.2">
      <c r="K697" s="186" t="str">
        <f t="shared" si="84"/>
        <v>PM_0</v>
      </c>
      <c r="L697" s="186">
        <f t="shared" si="85"/>
        <v>0</v>
      </c>
      <c r="M697" s="186">
        <f t="shared" si="86"/>
        <v>0</v>
      </c>
      <c r="N697" s="186">
        <f t="shared" si="87"/>
        <v>0</v>
      </c>
      <c r="P697" s="207" t="str">
        <f t="shared" si="88"/>
        <v>PM_0</v>
      </c>
      <c r="Q697" s="273">
        <f t="shared" si="89"/>
        <v>0</v>
      </c>
      <c r="R697" s="207">
        <f t="shared" si="90"/>
        <v>0</v>
      </c>
      <c r="S697" s="207">
        <f t="shared" si="91"/>
        <v>0</v>
      </c>
    </row>
    <row r="698" spans="11:19" ht="14.1" customHeight="1" x14ac:dyDescent="0.2">
      <c r="K698" s="186" t="str">
        <f t="shared" si="84"/>
        <v>PM_0</v>
      </c>
      <c r="L698" s="186">
        <f t="shared" si="85"/>
        <v>0</v>
      </c>
      <c r="M698" s="186">
        <f t="shared" si="86"/>
        <v>0</v>
      </c>
      <c r="N698" s="186">
        <f t="shared" si="87"/>
        <v>0</v>
      </c>
      <c r="P698" s="207" t="str">
        <f t="shared" si="88"/>
        <v>PM_0</v>
      </c>
      <c r="Q698" s="273">
        <f t="shared" si="89"/>
        <v>0</v>
      </c>
      <c r="R698" s="207">
        <f t="shared" si="90"/>
        <v>0</v>
      </c>
      <c r="S698" s="207">
        <f t="shared" si="91"/>
        <v>0</v>
      </c>
    </row>
    <row r="699" spans="11:19" ht="14.1" customHeight="1" x14ac:dyDescent="0.2">
      <c r="K699" s="186" t="str">
        <f t="shared" si="84"/>
        <v>PM_0</v>
      </c>
      <c r="L699" s="186">
        <f t="shared" si="85"/>
        <v>0</v>
      </c>
      <c r="M699" s="186">
        <f t="shared" si="86"/>
        <v>0</v>
      </c>
      <c r="N699" s="186">
        <f t="shared" si="87"/>
        <v>0</v>
      </c>
      <c r="P699" s="207" t="str">
        <f t="shared" si="88"/>
        <v>PM_0</v>
      </c>
      <c r="Q699" s="273">
        <f t="shared" si="89"/>
        <v>0</v>
      </c>
      <c r="R699" s="207">
        <f t="shared" si="90"/>
        <v>0</v>
      </c>
      <c r="S699" s="207">
        <f t="shared" si="91"/>
        <v>0</v>
      </c>
    </row>
    <row r="700" spans="11:19" ht="14.1" customHeight="1" x14ac:dyDescent="0.2">
      <c r="K700" s="186" t="str">
        <f t="shared" si="84"/>
        <v>PM_0</v>
      </c>
      <c r="L700" s="186">
        <f t="shared" si="85"/>
        <v>0</v>
      </c>
      <c r="M700" s="186">
        <f t="shared" si="86"/>
        <v>0</v>
      </c>
      <c r="N700" s="186">
        <f t="shared" si="87"/>
        <v>0</v>
      </c>
      <c r="P700" s="207" t="str">
        <f t="shared" si="88"/>
        <v>PM_0</v>
      </c>
      <c r="Q700" s="273">
        <f t="shared" si="89"/>
        <v>0</v>
      </c>
      <c r="R700" s="207">
        <f t="shared" si="90"/>
        <v>0</v>
      </c>
      <c r="S700" s="207">
        <f t="shared" si="91"/>
        <v>0</v>
      </c>
    </row>
    <row r="701" spans="11:19" ht="14.1" customHeight="1" x14ac:dyDescent="0.2">
      <c r="K701" s="186" t="str">
        <f t="shared" si="84"/>
        <v>PM_0</v>
      </c>
      <c r="L701" s="186">
        <f t="shared" si="85"/>
        <v>0</v>
      </c>
      <c r="M701" s="186">
        <f t="shared" si="86"/>
        <v>0</v>
      </c>
      <c r="N701" s="186">
        <f t="shared" si="87"/>
        <v>0</v>
      </c>
      <c r="P701" s="207" t="str">
        <f t="shared" si="88"/>
        <v>PM_0</v>
      </c>
      <c r="Q701" s="273">
        <f t="shared" si="89"/>
        <v>0</v>
      </c>
      <c r="R701" s="207">
        <f t="shared" si="90"/>
        <v>0</v>
      </c>
      <c r="S701" s="207">
        <f t="shared" si="91"/>
        <v>0</v>
      </c>
    </row>
    <row r="702" spans="11:19" ht="14.1" customHeight="1" x14ac:dyDescent="0.2">
      <c r="K702" s="186" t="str">
        <f t="shared" si="84"/>
        <v>PM_0</v>
      </c>
      <c r="L702" s="186">
        <f t="shared" si="85"/>
        <v>0</v>
      </c>
      <c r="M702" s="186">
        <f t="shared" si="86"/>
        <v>0</v>
      </c>
      <c r="N702" s="186">
        <f t="shared" si="87"/>
        <v>0</v>
      </c>
      <c r="P702" s="207" t="str">
        <f t="shared" si="88"/>
        <v>PM_0</v>
      </c>
      <c r="Q702" s="273">
        <f t="shared" si="89"/>
        <v>0</v>
      </c>
      <c r="R702" s="207">
        <f t="shared" si="90"/>
        <v>0</v>
      </c>
      <c r="S702" s="207">
        <f t="shared" si="91"/>
        <v>0</v>
      </c>
    </row>
    <row r="703" spans="11:19" ht="14.1" customHeight="1" x14ac:dyDescent="0.2">
      <c r="K703" s="186" t="str">
        <f t="shared" si="84"/>
        <v>PM_0</v>
      </c>
      <c r="L703" s="186">
        <f t="shared" si="85"/>
        <v>0</v>
      </c>
      <c r="M703" s="186">
        <f t="shared" si="86"/>
        <v>0</v>
      </c>
      <c r="N703" s="186">
        <f t="shared" si="87"/>
        <v>0</v>
      </c>
      <c r="P703" s="207" t="str">
        <f t="shared" si="88"/>
        <v>PM_0</v>
      </c>
      <c r="Q703" s="273">
        <f t="shared" si="89"/>
        <v>0</v>
      </c>
      <c r="R703" s="207">
        <f t="shared" si="90"/>
        <v>0</v>
      </c>
      <c r="S703" s="207">
        <f t="shared" si="91"/>
        <v>0</v>
      </c>
    </row>
    <row r="704" spans="11:19" ht="14.1" customHeight="1" x14ac:dyDescent="0.2">
      <c r="K704" s="186" t="str">
        <f t="shared" si="84"/>
        <v>PM_0</v>
      </c>
      <c r="L704" s="186">
        <f t="shared" si="85"/>
        <v>0</v>
      </c>
      <c r="M704" s="186">
        <f t="shared" si="86"/>
        <v>0</v>
      </c>
      <c r="N704" s="186">
        <f t="shared" si="87"/>
        <v>0</v>
      </c>
      <c r="P704" s="207" t="str">
        <f t="shared" si="88"/>
        <v>PM_0</v>
      </c>
      <c r="Q704" s="273">
        <f t="shared" si="89"/>
        <v>0</v>
      </c>
      <c r="R704" s="207">
        <f t="shared" si="90"/>
        <v>0</v>
      </c>
      <c r="S704" s="207">
        <f t="shared" si="91"/>
        <v>0</v>
      </c>
    </row>
    <row r="705" spans="11:19" ht="14.1" customHeight="1" x14ac:dyDescent="0.2">
      <c r="K705" s="186" t="str">
        <f t="shared" si="84"/>
        <v>PM_0</v>
      </c>
      <c r="L705" s="186">
        <f t="shared" si="85"/>
        <v>0</v>
      </c>
      <c r="M705" s="186">
        <f t="shared" si="86"/>
        <v>0</v>
      </c>
      <c r="N705" s="186">
        <f t="shared" si="87"/>
        <v>0</v>
      </c>
      <c r="P705" s="207" t="str">
        <f t="shared" si="88"/>
        <v>PM_0</v>
      </c>
      <c r="Q705" s="273">
        <f t="shared" si="89"/>
        <v>0</v>
      </c>
      <c r="R705" s="207">
        <f t="shared" si="90"/>
        <v>0</v>
      </c>
      <c r="S705" s="207">
        <f t="shared" si="91"/>
        <v>0</v>
      </c>
    </row>
    <row r="706" spans="11:19" ht="14.1" customHeight="1" x14ac:dyDescent="0.2">
      <c r="K706" s="186" t="str">
        <f t="shared" si="84"/>
        <v>PM_0</v>
      </c>
      <c r="L706" s="186">
        <f t="shared" si="85"/>
        <v>0</v>
      </c>
      <c r="M706" s="186">
        <f t="shared" si="86"/>
        <v>0</v>
      </c>
      <c r="N706" s="186">
        <f t="shared" si="87"/>
        <v>0</v>
      </c>
      <c r="P706" s="207" t="str">
        <f t="shared" si="88"/>
        <v>PM_0</v>
      </c>
      <c r="Q706" s="273">
        <f t="shared" si="89"/>
        <v>0</v>
      </c>
      <c r="R706" s="207">
        <f t="shared" si="90"/>
        <v>0</v>
      </c>
      <c r="S706" s="207">
        <f t="shared" si="91"/>
        <v>0</v>
      </c>
    </row>
    <row r="707" spans="11:19" ht="14.1" customHeight="1" x14ac:dyDescent="0.2">
      <c r="K707" s="186" t="str">
        <f t="shared" si="84"/>
        <v>PM_0</v>
      </c>
      <c r="L707" s="186">
        <f t="shared" si="85"/>
        <v>0</v>
      </c>
      <c r="M707" s="186">
        <f t="shared" si="86"/>
        <v>0</v>
      </c>
      <c r="N707" s="186">
        <f t="shared" si="87"/>
        <v>0</v>
      </c>
      <c r="P707" s="207" t="str">
        <f t="shared" si="88"/>
        <v>PM_0</v>
      </c>
      <c r="Q707" s="273">
        <f t="shared" si="89"/>
        <v>0</v>
      </c>
      <c r="R707" s="207">
        <f t="shared" si="90"/>
        <v>0</v>
      </c>
      <c r="S707" s="207">
        <f t="shared" si="91"/>
        <v>0</v>
      </c>
    </row>
    <row r="708" spans="11:19" ht="14.1" customHeight="1" x14ac:dyDescent="0.2">
      <c r="K708" s="186" t="str">
        <f t="shared" si="84"/>
        <v>PM_0</v>
      </c>
      <c r="L708" s="186">
        <f t="shared" si="85"/>
        <v>0</v>
      </c>
      <c r="M708" s="186">
        <f t="shared" si="86"/>
        <v>0</v>
      </c>
      <c r="N708" s="186">
        <f t="shared" si="87"/>
        <v>0</v>
      </c>
      <c r="P708" s="207" t="str">
        <f t="shared" si="88"/>
        <v>PM_0</v>
      </c>
      <c r="Q708" s="273">
        <f t="shared" si="89"/>
        <v>0</v>
      </c>
      <c r="R708" s="207">
        <f t="shared" si="90"/>
        <v>0</v>
      </c>
      <c r="S708" s="207">
        <f t="shared" si="91"/>
        <v>0</v>
      </c>
    </row>
    <row r="709" spans="11:19" ht="14.1" customHeight="1" x14ac:dyDescent="0.2">
      <c r="K709" s="186" t="str">
        <f t="shared" si="84"/>
        <v>PM_0</v>
      </c>
      <c r="L709" s="186">
        <f t="shared" si="85"/>
        <v>0</v>
      </c>
      <c r="M709" s="186">
        <f t="shared" si="86"/>
        <v>0</v>
      </c>
      <c r="N709" s="186">
        <f t="shared" si="87"/>
        <v>0</v>
      </c>
      <c r="P709" s="207" t="str">
        <f t="shared" si="88"/>
        <v>PM_0</v>
      </c>
      <c r="Q709" s="273">
        <f t="shared" si="89"/>
        <v>0</v>
      </c>
      <c r="R709" s="207">
        <f t="shared" si="90"/>
        <v>0</v>
      </c>
      <c r="S709" s="207">
        <f t="shared" si="91"/>
        <v>0</v>
      </c>
    </row>
    <row r="710" spans="11:19" ht="14.1" customHeight="1" x14ac:dyDescent="0.2">
      <c r="K710" s="186" t="str">
        <f t="shared" si="84"/>
        <v>PM_0</v>
      </c>
      <c r="L710" s="186">
        <f t="shared" si="85"/>
        <v>0</v>
      </c>
      <c r="M710" s="186">
        <f t="shared" si="86"/>
        <v>0</v>
      </c>
      <c r="N710" s="186">
        <f t="shared" si="87"/>
        <v>0</v>
      </c>
      <c r="P710" s="207" t="str">
        <f t="shared" si="88"/>
        <v>PM_0</v>
      </c>
      <c r="Q710" s="273">
        <f t="shared" si="89"/>
        <v>0</v>
      </c>
      <c r="R710" s="207">
        <f t="shared" si="90"/>
        <v>0</v>
      </c>
      <c r="S710" s="207">
        <f t="shared" si="91"/>
        <v>0</v>
      </c>
    </row>
    <row r="711" spans="11:19" ht="14.1" customHeight="1" x14ac:dyDescent="0.2">
      <c r="K711" s="186" t="str">
        <f t="shared" si="84"/>
        <v>PM_0</v>
      </c>
      <c r="L711" s="186">
        <f t="shared" si="85"/>
        <v>0</v>
      </c>
      <c r="M711" s="186">
        <f t="shared" si="86"/>
        <v>0</v>
      </c>
      <c r="N711" s="186">
        <f t="shared" si="87"/>
        <v>0</v>
      </c>
      <c r="P711" s="207" t="str">
        <f t="shared" si="88"/>
        <v>PM_0</v>
      </c>
      <c r="Q711" s="273">
        <f t="shared" si="89"/>
        <v>0</v>
      </c>
      <c r="R711" s="207">
        <f t="shared" si="90"/>
        <v>0</v>
      </c>
      <c r="S711" s="207">
        <f t="shared" si="91"/>
        <v>0</v>
      </c>
    </row>
    <row r="712" spans="11:19" ht="14.1" customHeight="1" x14ac:dyDescent="0.2">
      <c r="K712" s="186" t="str">
        <f t="shared" si="84"/>
        <v>PM_0</v>
      </c>
      <c r="L712" s="186">
        <f t="shared" si="85"/>
        <v>0</v>
      </c>
      <c r="M712" s="186">
        <f t="shared" si="86"/>
        <v>0</v>
      </c>
      <c r="N712" s="186">
        <f t="shared" si="87"/>
        <v>0</v>
      </c>
      <c r="P712" s="207" t="str">
        <f t="shared" si="88"/>
        <v>PM_0</v>
      </c>
      <c r="Q712" s="273">
        <f t="shared" si="89"/>
        <v>0</v>
      </c>
      <c r="R712" s="207">
        <f t="shared" si="90"/>
        <v>0</v>
      </c>
      <c r="S712" s="207">
        <f t="shared" si="91"/>
        <v>0</v>
      </c>
    </row>
    <row r="713" spans="11:19" ht="14.1" customHeight="1" x14ac:dyDescent="0.2">
      <c r="K713" s="186" t="str">
        <f t="shared" si="84"/>
        <v>PM_0</v>
      </c>
      <c r="L713" s="186">
        <f t="shared" si="85"/>
        <v>0</v>
      </c>
      <c r="M713" s="186">
        <f t="shared" si="86"/>
        <v>0</v>
      </c>
      <c r="N713" s="186">
        <f t="shared" si="87"/>
        <v>0</v>
      </c>
      <c r="P713" s="207" t="str">
        <f t="shared" si="88"/>
        <v>PM_0</v>
      </c>
      <c r="Q713" s="273">
        <f t="shared" si="89"/>
        <v>0</v>
      </c>
      <c r="R713" s="207">
        <f t="shared" si="90"/>
        <v>0</v>
      </c>
      <c r="S713" s="207">
        <f t="shared" si="91"/>
        <v>0</v>
      </c>
    </row>
    <row r="714" spans="11:19" ht="14.1" customHeight="1" x14ac:dyDescent="0.2">
      <c r="K714" s="186" t="str">
        <f t="shared" si="84"/>
        <v>PM_0</v>
      </c>
      <c r="L714" s="186">
        <f t="shared" si="85"/>
        <v>0</v>
      </c>
      <c r="M714" s="186">
        <f t="shared" si="86"/>
        <v>0</v>
      </c>
      <c r="N714" s="186">
        <f t="shared" si="87"/>
        <v>0</v>
      </c>
      <c r="P714" s="207" t="str">
        <f t="shared" si="88"/>
        <v>PM_0</v>
      </c>
      <c r="Q714" s="273">
        <f t="shared" si="89"/>
        <v>0</v>
      </c>
      <c r="R714" s="207">
        <f t="shared" si="90"/>
        <v>0</v>
      </c>
      <c r="S714" s="207">
        <f t="shared" si="91"/>
        <v>0</v>
      </c>
    </row>
    <row r="715" spans="11:19" ht="14.1" customHeight="1" x14ac:dyDescent="0.2">
      <c r="K715" s="186" t="str">
        <f t="shared" ref="K715:K778" si="92">"PM_"&amp;ROUND(E715,2)</f>
        <v>PM_0</v>
      </c>
      <c r="L715" s="186">
        <f t="shared" ref="L715:L778" si="93">F715</f>
        <v>0</v>
      </c>
      <c r="M715" s="186">
        <f t="shared" ref="M715:M778" si="94">G715</f>
        <v>0</v>
      </c>
      <c r="N715" s="186">
        <f t="shared" ref="N715:N778" si="95">H715</f>
        <v>0</v>
      </c>
      <c r="P715" s="207" t="str">
        <f t="shared" ref="P715:P778" si="96">K715</f>
        <v>PM_0</v>
      </c>
      <c r="Q715" s="273">
        <f t="shared" ref="Q715:Q778" si="97">$S$1+E715</f>
        <v>0</v>
      </c>
      <c r="R715" s="207">
        <f t="shared" ref="R715:R778" si="98">H715</f>
        <v>0</v>
      </c>
      <c r="S715" s="207">
        <f t="shared" ref="S715:S778" si="99">$B$6</f>
        <v>0</v>
      </c>
    </row>
    <row r="716" spans="11:19" ht="14.1" customHeight="1" x14ac:dyDescent="0.2">
      <c r="K716" s="186" t="str">
        <f t="shared" si="92"/>
        <v>PM_0</v>
      </c>
      <c r="L716" s="186">
        <f t="shared" si="93"/>
        <v>0</v>
      </c>
      <c r="M716" s="186">
        <f t="shared" si="94"/>
        <v>0</v>
      </c>
      <c r="N716" s="186">
        <f t="shared" si="95"/>
        <v>0</v>
      </c>
      <c r="P716" s="207" t="str">
        <f t="shared" si="96"/>
        <v>PM_0</v>
      </c>
      <c r="Q716" s="273">
        <f t="shared" si="97"/>
        <v>0</v>
      </c>
      <c r="R716" s="207">
        <f t="shared" si="98"/>
        <v>0</v>
      </c>
      <c r="S716" s="207">
        <f t="shared" si="99"/>
        <v>0</v>
      </c>
    </row>
    <row r="717" spans="11:19" ht="14.1" customHeight="1" x14ac:dyDescent="0.2">
      <c r="K717" s="186" t="str">
        <f t="shared" si="92"/>
        <v>PM_0</v>
      </c>
      <c r="L717" s="186">
        <f t="shared" si="93"/>
        <v>0</v>
      </c>
      <c r="M717" s="186">
        <f t="shared" si="94"/>
        <v>0</v>
      </c>
      <c r="N717" s="186">
        <f t="shared" si="95"/>
        <v>0</v>
      </c>
      <c r="P717" s="207" t="str">
        <f t="shared" si="96"/>
        <v>PM_0</v>
      </c>
      <c r="Q717" s="273">
        <f t="shared" si="97"/>
        <v>0</v>
      </c>
      <c r="R717" s="207">
        <f t="shared" si="98"/>
        <v>0</v>
      </c>
      <c r="S717" s="207">
        <f t="shared" si="99"/>
        <v>0</v>
      </c>
    </row>
    <row r="718" spans="11:19" ht="14.1" customHeight="1" x14ac:dyDescent="0.2">
      <c r="K718" s="186" t="str">
        <f t="shared" si="92"/>
        <v>PM_0</v>
      </c>
      <c r="L718" s="186">
        <f t="shared" si="93"/>
        <v>0</v>
      </c>
      <c r="M718" s="186">
        <f t="shared" si="94"/>
        <v>0</v>
      </c>
      <c r="N718" s="186">
        <f t="shared" si="95"/>
        <v>0</v>
      </c>
      <c r="P718" s="207" t="str">
        <f t="shared" si="96"/>
        <v>PM_0</v>
      </c>
      <c r="Q718" s="273">
        <f t="shared" si="97"/>
        <v>0</v>
      </c>
      <c r="R718" s="207">
        <f t="shared" si="98"/>
        <v>0</v>
      </c>
      <c r="S718" s="207">
        <f t="shared" si="99"/>
        <v>0</v>
      </c>
    </row>
    <row r="719" spans="11:19" ht="14.1" customHeight="1" x14ac:dyDescent="0.2">
      <c r="K719" s="186" t="str">
        <f t="shared" si="92"/>
        <v>PM_0</v>
      </c>
      <c r="L719" s="186">
        <f t="shared" si="93"/>
        <v>0</v>
      </c>
      <c r="M719" s="186">
        <f t="shared" si="94"/>
        <v>0</v>
      </c>
      <c r="N719" s="186">
        <f t="shared" si="95"/>
        <v>0</v>
      </c>
      <c r="P719" s="207" t="str">
        <f t="shared" si="96"/>
        <v>PM_0</v>
      </c>
      <c r="Q719" s="273">
        <f t="shared" si="97"/>
        <v>0</v>
      </c>
      <c r="R719" s="207">
        <f t="shared" si="98"/>
        <v>0</v>
      </c>
      <c r="S719" s="207">
        <f t="shared" si="99"/>
        <v>0</v>
      </c>
    </row>
    <row r="720" spans="11:19" ht="14.1" customHeight="1" x14ac:dyDescent="0.2">
      <c r="K720" s="186" t="str">
        <f t="shared" si="92"/>
        <v>PM_0</v>
      </c>
      <c r="L720" s="186">
        <f t="shared" si="93"/>
        <v>0</v>
      </c>
      <c r="M720" s="186">
        <f t="shared" si="94"/>
        <v>0</v>
      </c>
      <c r="N720" s="186">
        <f t="shared" si="95"/>
        <v>0</v>
      </c>
      <c r="P720" s="207" t="str">
        <f t="shared" si="96"/>
        <v>PM_0</v>
      </c>
      <c r="Q720" s="273">
        <f t="shared" si="97"/>
        <v>0</v>
      </c>
      <c r="R720" s="207">
        <f t="shared" si="98"/>
        <v>0</v>
      </c>
      <c r="S720" s="207">
        <f t="shared" si="99"/>
        <v>0</v>
      </c>
    </row>
    <row r="721" spans="11:19" ht="14.1" customHeight="1" x14ac:dyDescent="0.2">
      <c r="K721" s="186" t="str">
        <f t="shared" si="92"/>
        <v>PM_0</v>
      </c>
      <c r="L721" s="186">
        <f t="shared" si="93"/>
        <v>0</v>
      </c>
      <c r="M721" s="186">
        <f t="shared" si="94"/>
        <v>0</v>
      </c>
      <c r="N721" s="186">
        <f t="shared" si="95"/>
        <v>0</v>
      </c>
      <c r="P721" s="207" t="str">
        <f t="shared" si="96"/>
        <v>PM_0</v>
      </c>
      <c r="Q721" s="273">
        <f t="shared" si="97"/>
        <v>0</v>
      </c>
      <c r="R721" s="207">
        <f t="shared" si="98"/>
        <v>0</v>
      </c>
      <c r="S721" s="207">
        <f t="shared" si="99"/>
        <v>0</v>
      </c>
    </row>
    <row r="722" spans="11:19" ht="14.1" customHeight="1" x14ac:dyDescent="0.2">
      <c r="K722" s="186" t="str">
        <f t="shared" si="92"/>
        <v>PM_0</v>
      </c>
      <c r="L722" s="186">
        <f t="shared" si="93"/>
        <v>0</v>
      </c>
      <c r="M722" s="186">
        <f t="shared" si="94"/>
        <v>0</v>
      </c>
      <c r="N722" s="186">
        <f t="shared" si="95"/>
        <v>0</v>
      </c>
      <c r="P722" s="207" t="str">
        <f t="shared" si="96"/>
        <v>PM_0</v>
      </c>
      <c r="Q722" s="273">
        <f t="shared" si="97"/>
        <v>0</v>
      </c>
      <c r="R722" s="207">
        <f t="shared" si="98"/>
        <v>0</v>
      </c>
      <c r="S722" s="207">
        <f t="shared" si="99"/>
        <v>0</v>
      </c>
    </row>
    <row r="723" spans="11:19" ht="14.1" customHeight="1" x14ac:dyDescent="0.2">
      <c r="K723" s="186" t="str">
        <f t="shared" si="92"/>
        <v>PM_0</v>
      </c>
      <c r="L723" s="186">
        <f t="shared" si="93"/>
        <v>0</v>
      </c>
      <c r="M723" s="186">
        <f t="shared" si="94"/>
        <v>0</v>
      </c>
      <c r="N723" s="186">
        <f t="shared" si="95"/>
        <v>0</v>
      </c>
      <c r="P723" s="207" t="str">
        <f t="shared" si="96"/>
        <v>PM_0</v>
      </c>
      <c r="Q723" s="273">
        <f t="shared" si="97"/>
        <v>0</v>
      </c>
      <c r="R723" s="207">
        <f t="shared" si="98"/>
        <v>0</v>
      </c>
      <c r="S723" s="207">
        <f t="shared" si="99"/>
        <v>0</v>
      </c>
    </row>
    <row r="724" spans="11:19" ht="14.1" customHeight="1" x14ac:dyDescent="0.2">
      <c r="K724" s="186" t="str">
        <f t="shared" si="92"/>
        <v>PM_0</v>
      </c>
      <c r="L724" s="186">
        <f t="shared" si="93"/>
        <v>0</v>
      </c>
      <c r="M724" s="186">
        <f t="shared" si="94"/>
        <v>0</v>
      </c>
      <c r="N724" s="186">
        <f t="shared" si="95"/>
        <v>0</v>
      </c>
      <c r="P724" s="207" t="str">
        <f t="shared" si="96"/>
        <v>PM_0</v>
      </c>
      <c r="Q724" s="273">
        <f t="shared" si="97"/>
        <v>0</v>
      </c>
      <c r="R724" s="207">
        <f t="shared" si="98"/>
        <v>0</v>
      </c>
      <c r="S724" s="207">
        <f t="shared" si="99"/>
        <v>0</v>
      </c>
    </row>
    <row r="725" spans="11:19" ht="14.1" customHeight="1" x14ac:dyDescent="0.2">
      <c r="K725" s="186" t="str">
        <f t="shared" si="92"/>
        <v>PM_0</v>
      </c>
      <c r="L725" s="186">
        <f t="shared" si="93"/>
        <v>0</v>
      </c>
      <c r="M725" s="186">
        <f t="shared" si="94"/>
        <v>0</v>
      </c>
      <c r="N725" s="186">
        <f t="shared" si="95"/>
        <v>0</v>
      </c>
      <c r="P725" s="207" t="str">
        <f t="shared" si="96"/>
        <v>PM_0</v>
      </c>
      <c r="Q725" s="273">
        <f t="shared" si="97"/>
        <v>0</v>
      </c>
      <c r="R725" s="207">
        <f t="shared" si="98"/>
        <v>0</v>
      </c>
      <c r="S725" s="207">
        <f t="shared" si="99"/>
        <v>0</v>
      </c>
    </row>
    <row r="726" spans="11:19" ht="14.1" customHeight="1" x14ac:dyDescent="0.2">
      <c r="K726" s="186" t="str">
        <f t="shared" si="92"/>
        <v>PM_0</v>
      </c>
      <c r="L726" s="186">
        <f t="shared" si="93"/>
        <v>0</v>
      </c>
      <c r="M726" s="186">
        <f t="shared" si="94"/>
        <v>0</v>
      </c>
      <c r="N726" s="186">
        <f t="shared" si="95"/>
        <v>0</v>
      </c>
      <c r="P726" s="207" t="str">
        <f t="shared" si="96"/>
        <v>PM_0</v>
      </c>
      <c r="Q726" s="273">
        <f t="shared" si="97"/>
        <v>0</v>
      </c>
      <c r="R726" s="207">
        <f t="shared" si="98"/>
        <v>0</v>
      </c>
      <c r="S726" s="207">
        <f t="shared" si="99"/>
        <v>0</v>
      </c>
    </row>
    <row r="727" spans="11:19" ht="14.1" customHeight="1" x14ac:dyDescent="0.2">
      <c r="K727" s="186" t="str">
        <f t="shared" si="92"/>
        <v>PM_0</v>
      </c>
      <c r="L727" s="186">
        <f t="shared" si="93"/>
        <v>0</v>
      </c>
      <c r="M727" s="186">
        <f t="shared" si="94"/>
        <v>0</v>
      </c>
      <c r="N727" s="186">
        <f t="shared" si="95"/>
        <v>0</v>
      </c>
      <c r="P727" s="207" t="str">
        <f t="shared" si="96"/>
        <v>PM_0</v>
      </c>
      <c r="Q727" s="273">
        <f t="shared" si="97"/>
        <v>0</v>
      </c>
      <c r="R727" s="207">
        <f t="shared" si="98"/>
        <v>0</v>
      </c>
      <c r="S727" s="207">
        <f t="shared" si="99"/>
        <v>0</v>
      </c>
    </row>
    <row r="728" spans="11:19" ht="14.1" customHeight="1" x14ac:dyDescent="0.2">
      <c r="K728" s="186" t="str">
        <f t="shared" si="92"/>
        <v>PM_0</v>
      </c>
      <c r="L728" s="186">
        <f t="shared" si="93"/>
        <v>0</v>
      </c>
      <c r="M728" s="186">
        <f t="shared" si="94"/>
        <v>0</v>
      </c>
      <c r="N728" s="186">
        <f t="shared" si="95"/>
        <v>0</v>
      </c>
      <c r="P728" s="207" t="str">
        <f t="shared" si="96"/>
        <v>PM_0</v>
      </c>
      <c r="Q728" s="273">
        <f t="shared" si="97"/>
        <v>0</v>
      </c>
      <c r="R728" s="207">
        <f t="shared" si="98"/>
        <v>0</v>
      </c>
      <c r="S728" s="207">
        <f t="shared" si="99"/>
        <v>0</v>
      </c>
    </row>
    <row r="729" spans="11:19" ht="14.1" customHeight="1" x14ac:dyDescent="0.2">
      <c r="K729" s="186" t="str">
        <f t="shared" si="92"/>
        <v>PM_0</v>
      </c>
      <c r="L729" s="186">
        <f t="shared" si="93"/>
        <v>0</v>
      </c>
      <c r="M729" s="186">
        <f t="shared" si="94"/>
        <v>0</v>
      </c>
      <c r="N729" s="186">
        <f t="shared" si="95"/>
        <v>0</v>
      </c>
      <c r="P729" s="207" t="str">
        <f t="shared" si="96"/>
        <v>PM_0</v>
      </c>
      <c r="Q729" s="273">
        <f t="shared" si="97"/>
        <v>0</v>
      </c>
      <c r="R729" s="207">
        <f t="shared" si="98"/>
        <v>0</v>
      </c>
      <c r="S729" s="207">
        <f t="shared" si="99"/>
        <v>0</v>
      </c>
    </row>
    <row r="730" spans="11:19" ht="14.1" customHeight="1" x14ac:dyDescent="0.2">
      <c r="K730" s="186" t="str">
        <f t="shared" si="92"/>
        <v>PM_0</v>
      </c>
      <c r="L730" s="186">
        <f t="shared" si="93"/>
        <v>0</v>
      </c>
      <c r="M730" s="186">
        <f t="shared" si="94"/>
        <v>0</v>
      </c>
      <c r="N730" s="186">
        <f t="shared" si="95"/>
        <v>0</v>
      </c>
      <c r="P730" s="207" t="str">
        <f t="shared" si="96"/>
        <v>PM_0</v>
      </c>
      <c r="Q730" s="273">
        <f t="shared" si="97"/>
        <v>0</v>
      </c>
      <c r="R730" s="207">
        <f t="shared" si="98"/>
        <v>0</v>
      </c>
      <c r="S730" s="207">
        <f t="shared" si="99"/>
        <v>0</v>
      </c>
    </row>
    <row r="731" spans="11:19" ht="14.1" customHeight="1" x14ac:dyDescent="0.2">
      <c r="K731" s="186" t="str">
        <f t="shared" si="92"/>
        <v>PM_0</v>
      </c>
      <c r="L731" s="186">
        <f t="shared" si="93"/>
        <v>0</v>
      </c>
      <c r="M731" s="186">
        <f t="shared" si="94"/>
        <v>0</v>
      </c>
      <c r="N731" s="186">
        <f t="shared" si="95"/>
        <v>0</v>
      </c>
      <c r="P731" s="207" t="str">
        <f t="shared" si="96"/>
        <v>PM_0</v>
      </c>
      <c r="Q731" s="273">
        <f t="shared" si="97"/>
        <v>0</v>
      </c>
      <c r="R731" s="207">
        <f t="shared" si="98"/>
        <v>0</v>
      </c>
      <c r="S731" s="207">
        <f t="shared" si="99"/>
        <v>0</v>
      </c>
    </row>
    <row r="732" spans="11:19" ht="14.1" customHeight="1" x14ac:dyDescent="0.2">
      <c r="K732" s="186" t="str">
        <f t="shared" si="92"/>
        <v>PM_0</v>
      </c>
      <c r="L732" s="186">
        <f t="shared" si="93"/>
        <v>0</v>
      </c>
      <c r="M732" s="186">
        <f t="shared" si="94"/>
        <v>0</v>
      </c>
      <c r="N732" s="186">
        <f t="shared" si="95"/>
        <v>0</v>
      </c>
      <c r="P732" s="207" t="str">
        <f t="shared" si="96"/>
        <v>PM_0</v>
      </c>
      <c r="Q732" s="273">
        <f t="shared" si="97"/>
        <v>0</v>
      </c>
      <c r="R732" s="207">
        <f t="shared" si="98"/>
        <v>0</v>
      </c>
      <c r="S732" s="207">
        <f t="shared" si="99"/>
        <v>0</v>
      </c>
    </row>
    <row r="733" spans="11:19" ht="14.1" customHeight="1" x14ac:dyDescent="0.2">
      <c r="K733" s="186" t="str">
        <f t="shared" si="92"/>
        <v>PM_0</v>
      </c>
      <c r="L733" s="186">
        <f t="shared" si="93"/>
        <v>0</v>
      </c>
      <c r="M733" s="186">
        <f t="shared" si="94"/>
        <v>0</v>
      </c>
      <c r="N733" s="186">
        <f t="shared" si="95"/>
        <v>0</v>
      </c>
      <c r="P733" s="207" t="str">
        <f t="shared" si="96"/>
        <v>PM_0</v>
      </c>
      <c r="Q733" s="273">
        <f t="shared" si="97"/>
        <v>0</v>
      </c>
      <c r="R733" s="207">
        <f t="shared" si="98"/>
        <v>0</v>
      </c>
      <c r="S733" s="207">
        <f t="shared" si="99"/>
        <v>0</v>
      </c>
    </row>
    <row r="734" spans="11:19" ht="14.1" customHeight="1" x14ac:dyDescent="0.2">
      <c r="K734" s="186" t="str">
        <f t="shared" si="92"/>
        <v>PM_0</v>
      </c>
      <c r="L734" s="186">
        <f t="shared" si="93"/>
        <v>0</v>
      </c>
      <c r="M734" s="186">
        <f t="shared" si="94"/>
        <v>0</v>
      </c>
      <c r="N734" s="186">
        <f t="shared" si="95"/>
        <v>0</v>
      </c>
      <c r="P734" s="207" t="str">
        <f t="shared" si="96"/>
        <v>PM_0</v>
      </c>
      <c r="Q734" s="273">
        <f t="shared" si="97"/>
        <v>0</v>
      </c>
      <c r="R734" s="207">
        <f t="shared" si="98"/>
        <v>0</v>
      </c>
      <c r="S734" s="207">
        <f t="shared" si="99"/>
        <v>0</v>
      </c>
    </row>
    <row r="735" spans="11:19" ht="14.1" customHeight="1" x14ac:dyDescent="0.2">
      <c r="K735" s="186" t="str">
        <f t="shared" si="92"/>
        <v>PM_0</v>
      </c>
      <c r="L735" s="186">
        <f t="shared" si="93"/>
        <v>0</v>
      </c>
      <c r="M735" s="186">
        <f t="shared" si="94"/>
        <v>0</v>
      </c>
      <c r="N735" s="186">
        <f t="shared" si="95"/>
        <v>0</v>
      </c>
      <c r="P735" s="207" t="str">
        <f t="shared" si="96"/>
        <v>PM_0</v>
      </c>
      <c r="Q735" s="273">
        <f t="shared" si="97"/>
        <v>0</v>
      </c>
      <c r="R735" s="207">
        <f t="shared" si="98"/>
        <v>0</v>
      </c>
      <c r="S735" s="207">
        <f t="shared" si="99"/>
        <v>0</v>
      </c>
    </row>
    <row r="736" spans="11:19" ht="14.1" customHeight="1" x14ac:dyDescent="0.2">
      <c r="K736" s="186" t="str">
        <f t="shared" si="92"/>
        <v>PM_0</v>
      </c>
      <c r="L736" s="186">
        <f t="shared" si="93"/>
        <v>0</v>
      </c>
      <c r="M736" s="186">
        <f t="shared" si="94"/>
        <v>0</v>
      </c>
      <c r="N736" s="186">
        <f t="shared" si="95"/>
        <v>0</v>
      </c>
      <c r="P736" s="207" t="str">
        <f t="shared" si="96"/>
        <v>PM_0</v>
      </c>
      <c r="Q736" s="273">
        <f t="shared" si="97"/>
        <v>0</v>
      </c>
      <c r="R736" s="207">
        <f t="shared" si="98"/>
        <v>0</v>
      </c>
      <c r="S736" s="207">
        <f t="shared" si="99"/>
        <v>0</v>
      </c>
    </row>
    <row r="737" spans="11:19" ht="14.1" customHeight="1" x14ac:dyDescent="0.2">
      <c r="K737" s="186" t="str">
        <f t="shared" si="92"/>
        <v>PM_0</v>
      </c>
      <c r="L737" s="186">
        <f t="shared" si="93"/>
        <v>0</v>
      </c>
      <c r="M737" s="186">
        <f t="shared" si="94"/>
        <v>0</v>
      </c>
      <c r="N737" s="186">
        <f t="shared" si="95"/>
        <v>0</v>
      </c>
      <c r="P737" s="207" t="str">
        <f t="shared" si="96"/>
        <v>PM_0</v>
      </c>
      <c r="Q737" s="273">
        <f t="shared" si="97"/>
        <v>0</v>
      </c>
      <c r="R737" s="207">
        <f t="shared" si="98"/>
        <v>0</v>
      </c>
      <c r="S737" s="207">
        <f t="shared" si="99"/>
        <v>0</v>
      </c>
    </row>
    <row r="738" spans="11:19" ht="14.1" customHeight="1" x14ac:dyDescent="0.2">
      <c r="K738" s="186" t="str">
        <f t="shared" si="92"/>
        <v>PM_0</v>
      </c>
      <c r="L738" s="186">
        <f t="shared" si="93"/>
        <v>0</v>
      </c>
      <c r="M738" s="186">
        <f t="shared" si="94"/>
        <v>0</v>
      </c>
      <c r="N738" s="186">
        <f t="shared" si="95"/>
        <v>0</v>
      </c>
      <c r="P738" s="207" t="str">
        <f t="shared" si="96"/>
        <v>PM_0</v>
      </c>
      <c r="Q738" s="273">
        <f t="shared" si="97"/>
        <v>0</v>
      </c>
      <c r="R738" s="207">
        <f t="shared" si="98"/>
        <v>0</v>
      </c>
      <c r="S738" s="207">
        <f t="shared" si="99"/>
        <v>0</v>
      </c>
    </row>
    <row r="739" spans="11:19" ht="14.1" customHeight="1" x14ac:dyDescent="0.2">
      <c r="K739" s="186" t="str">
        <f t="shared" si="92"/>
        <v>PM_0</v>
      </c>
      <c r="L739" s="186">
        <f t="shared" si="93"/>
        <v>0</v>
      </c>
      <c r="M739" s="186">
        <f t="shared" si="94"/>
        <v>0</v>
      </c>
      <c r="N739" s="186">
        <f t="shared" si="95"/>
        <v>0</v>
      </c>
      <c r="P739" s="207" t="str">
        <f t="shared" si="96"/>
        <v>PM_0</v>
      </c>
      <c r="Q739" s="273">
        <f t="shared" si="97"/>
        <v>0</v>
      </c>
      <c r="R739" s="207">
        <f t="shared" si="98"/>
        <v>0</v>
      </c>
      <c r="S739" s="207">
        <f t="shared" si="99"/>
        <v>0</v>
      </c>
    </row>
    <row r="740" spans="11:19" ht="14.1" customHeight="1" x14ac:dyDescent="0.2">
      <c r="K740" s="186" t="str">
        <f t="shared" si="92"/>
        <v>PM_0</v>
      </c>
      <c r="L740" s="186">
        <f t="shared" si="93"/>
        <v>0</v>
      </c>
      <c r="M740" s="186">
        <f t="shared" si="94"/>
        <v>0</v>
      </c>
      <c r="N740" s="186">
        <f t="shared" si="95"/>
        <v>0</v>
      </c>
      <c r="P740" s="207" t="str">
        <f t="shared" si="96"/>
        <v>PM_0</v>
      </c>
      <c r="Q740" s="273">
        <f t="shared" si="97"/>
        <v>0</v>
      </c>
      <c r="R740" s="207">
        <f t="shared" si="98"/>
        <v>0</v>
      </c>
      <c r="S740" s="207">
        <f t="shared" si="99"/>
        <v>0</v>
      </c>
    </row>
    <row r="741" spans="11:19" ht="14.1" customHeight="1" x14ac:dyDescent="0.2">
      <c r="K741" s="186" t="str">
        <f t="shared" si="92"/>
        <v>PM_0</v>
      </c>
      <c r="L741" s="186">
        <f t="shared" si="93"/>
        <v>0</v>
      </c>
      <c r="M741" s="186">
        <f t="shared" si="94"/>
        <v>0</v>
      </c>
      <c r="N741" s="186">
        <f t="shared" si="95"/>
        <v>0</v>
      </c>
      <c r="P741" s="207" t="str">
        <f t="shared" si="96"/>
        <v>PM_0</v>
      </c>
      <c r="Q741" s="273">
        <f t="shared" si="97"/>
        <v>0</v>
      </c>
      <c r="R741" s="207">
        <f t="shared" si="98"/>
        <v>0</v>
      </c>
      <c r="S741" s="207">
        <f t="shared" si="99"/>
        <v>0</v>
      </c>
    </row>
    <row r="742" spans="11:19" ht="14.1" customHeight="1" x14ac:dyDescent="0.2">
      <c r="K742" s="186" t="str">
        <f t="shared" si="92"/>
        <v>PM_0</v>
      </c>
      <c r="L742" s="186">
        <f t="shared" si="93"/>
        <v>0</v>
      </c>
      <c r="M742" s="186">
        <f t="shared" si="94"/>
        <v>0</v>
      </c>
      <c r="N742" s="186">
        <f t="shared" si="95"/>
        <v>0</v>
      </c>
      <c r="P742" s="207" t="str">
        <f t="shared" si="96"/>
        <v>PM_0</v>
      </c>
      <c r="Q742" s="273">
        <f t="shared" si="97"/>
        <v>0</v>
      </c>
      <c r="R742" s="207">
        <f t="shared" si="98"/>
        <v>0</v>
      </c>
      <c r="S742" s="207">
        <f t="shared" si="99"/>
        <v>0</v>
      </c>
    </row>
    <row r="743" spans="11:19" ht="14.1" customHeight="1" x14ac:dyDescent="0.2">
      <c r="K743" s="186" t="str">
        <f t="shared" si="92"/>
        <v>PM_0</v>
      </c>
      <c r="L743" s="186">
        <f t="shared" si="93"/>
        <v>0</v>
      </c>
      <c r="M743" s="186">
        <f t="shared" si="94"/>
        <v>0</v>
      </c>
      <c r="N743" s="186">
        <f t="shared" si="95"/>
        <v>0</v>
      </c>
      <c r="P743" s="207" t="str">
        <f t="shared" si="96"/>
        <v>PM_0</v>
      </c>
      <c r="Q743" s="273">
        <f t="shared" si="97"/>
        <v>0</v>
      </c>
      <c r="R743" s="207">
        <f t="shared" si="98"/>
        <v>0</v>
      </c>
      <c r="S743" s="207">
        <f t="shared" si="99"/>
        <v>0</v>
      </c>
    </row>
    <row r="744" spans="11:19" ht="14.1" customHeight="1" x14ac:dyDescent="0.2">
      <c r="K744" s="186" t="str">
        <f t="shared" si="92"/>
        <v>PM_0</v>
      </c>
      <c r="L744" s="186">
        <f t="shared" si="93"/>
        <v>0</v>
      </c>
      <c r="M744" s="186">
        <f t="shared" si="94"/>
        <v>0</v>
      </c>
      <c r="N744" s="186">
        <f t="shared" si="95"/>
        <v>0</v>
      </c>
      <c r="P744" s="207" t="str">
        <f t="shared" si="96"/>
        <v>PM_0</v>
      </c>
      <c r="Q744" s="273">
        <f t="shared" si="97"/>
        <v>0</v>
      </c>
      <c r="R744" s="207">
        <f t="shared" si="98"/>
        <v>0</v>
      </c>
      <c r="S744" s="207">
        <f t="shared" si="99"/>
        <v>0</v>
      </c>
    </row>
    <row r="745" spans="11:19" ht="14.1" customHeight="1" x14ac:dyDescent="0.2">
      <c r="K745" s="186" t="str">
        <f t="shared" si="92"/>
        <v>PM_0</v>
      </c>
      <c r="L745" s="186">
        <f t="shared" si="93"/>
        <v>0</v>
      </c>
      <c r="M745" s="186">
        <f t="shared" si="94"/>
        <v>0</v>
      </c>
      <c r="N745" s="186">
        <f t="shared" si="95"/>
        <v>0</v>
      </c>
      <c r="P745" s="207" t="str">
        <f t="shared" si="96"/>
        <v>PM_0</v>
      </c>
      <c r="Q745" s="273">
        <f t="shared" si="97"/>
        <v>0</v>
      </c>
      <c r="R745" s="207">
        <f t="shared" si="98"/>
        <v>0</v>
      </c>
      <c r="S745" s="207">
        <f t="shared" si="99"/>
        <v>0</v>
      </c>
    </row>
    <row r="746" spans="11:19" ht="14.1" customHeight="1" x14ac:dyDescent="0.2">
      <c r="K746" s="186" t="str">
        <f t="shared" si="92"/>
        <v>PM_0</v>
      </c>
      <c r="L746" s="186">
        <f t="shared" si="93"/>
        <v>0</v>
      </c>
      <c r="M746" s="186">
        <f t="shared" si="94"/>
        <v>0</v>
      </c>
      <c r="N746" s="186">
        <f t="shared" si="95"/>
        <v>0</v>
      </c>
      <c r="P746" s="207" t="str">
        <f t="shared" si="96"/>
        <v>PM_0</v>
      </c>
      <c r="Q746" s="273">
        <f t="shared" si="97"/>
        <v>0</v>
      </c>
      <c r="R746" s="207">
        <f t="shared" si="98"/>
        <v>0</v>
      </c>
      <c r="S746" s="207">
        <f t="shared" si="99"/>
        <v>0</v>
      </c>
    </row>
    <row r="747" spans="11:19" ht="14.1" customHeight="1" x14ac:dyDescent="0.2">
      <c r="K747" s="186" t="str">
        <f t="shared" si="92"/>
        <v>PM_0</v>
      </c>
      <c r="L747" s="186">
        <f t="shared" si="93"/>
        <v>0</v>
      </c>
      <c r="M747" s="186">
        <f t="shared" si="94"/>
        <v>0</v>
      </c>
      <c r="N747" s="186">
        <f t="shared" si="95"/>
        <v>0</v>
      </c>
      <c r="P747" s="207" t="str">
        <f t="shared" si="96"/>
        <v>PM_0</v>
      </c>
      <c r="Q747" s="273">
        <f t="shared" si="97"/>
        <v>0</v>
      </c>
      <c r="R747" s="207">
        <f t="shared" si="98"/>
        <v>0</v>
      </c>
      <c r="S747" s="207">
        <f t="shared" si="99"/>
        <v>0</v>
      </c>
    </row>
    <row r="748" spans="11:19" ht="14.1" customHeight="1" x14ac:dyDescent="0.2">
      <c r="K748" s="186" t="str">
        <f t="shared" si="92"/>
        <v>PM_0</v>
      </c>
      <c r="L748" s="186">
        <f t="shared" si="93"/>
        <v>0</v>
      </c>
      <c r="M748" s="186">
        <f t="shared" si="94"/>
        <v>0</v>
      </c>
      <c r="N748" s="186">
        <f t="shared" si="95"/>
        <v>0</v>
      </c>
      <c r="P748" s="207" t="str">
        <f t="shared" si="96"/>
        <v>PM_0</v>
      </c>
      <c r="Q748" s="273">
        <f t="shared" si="97"/>
        <v>0</v>
      </c>
      <c r="R748" s="207">
        <f t="shared" si="98"/>
        <v>0</v>
      </c>
      <c r="S748" s="207">
        <f t="shared" si="99"/>
        <v>0</v>
      </c>
    </row>
    <row r="749" spans="11:19" ht="14.1" customHeight="1" x14ac:dyDescent="0.2">
      <c r="K749" s="186" t="str">
        <f t="shared" si="92"/>
        <v>PM_0</v>
      </c>
      <c r="L749" s="186">
        <f t="shared" si="93"/>
        <v>0</v>
      </c>
      <c r="M749" s="186">
        <f t="shared" si="94"/>
        <v>0</v>
      </c>
      <c r="N749" s="186">
        <f t="shared" si="95"/>
        <v>0</v>
      </c>
      <c r="P749" s="207" t="str">
        <f t="shared" si="96"/>
        <v>PM_0</v>
      </c>
      <c r="Q749" s="273">
        <f t="shared" si="97"/>
        <v>0</v>
      </c>
      <c r="R749" s="207">
        <f t="shared" si="98"/>
        <v>0</v>
      </c>
      <c r="S749" s="207">
        <f t="shared" si="99"/>
        <v>0</v>
      </c>
    </row>
    <row r="750" spans="11:19" ht="14.1" customHeight="1" x14ac:dyDescent="0.2">
      <c r="K750" s="186" t="str">
        <f t="shared" si="92"/>
        <v>PM_0</v>
      </c>
      <c r="L750" s="186">
        <f t="shared" si="93"/>
        <v>0</v>
      </c>
      <c r="M750" s="186">
        <f t="shared" si="94"/>
        <v>0</v>
      </c>
      <c r="N750" s="186">
        <f t="shared" si="95"/>
        <v>0</v>
      </c>
      <c r="P750" s="207" t="str">
        <f t="shared" si="96"/>
        <v>PM_0</v>
      </c>
      <c r="Q750" s="273">
        <f t="shared" si="97"/>
        <v>0</v>
      </c>
      <c r="R750" s="207">
        <f t="shared" si="98"/>
        <v>0</v>
      </c>
      <c r="S750" s="207">
        <f t="shared" si="99"/>
        <v>0</v>
      </c>
    </row>
    <row r="751" spans="11:19" ht="14.1" customHeight="1" x14ac:dyDescent="0.2">
      <c r="K751" s="186" t="str">
        <f t="shared" si="92"/>
        <v>PM_0</v>
      </c>
      <c r="L751" s="186">
        <f t="shared" si="93"/>
        <v>0</v>
      </c>
      <c r="M751" s="186">
        <f t="shared" si="94"/>
        <v>0</v>
      </c>
      <c r="N751" s="186">
        <f t="shared" si="95"/>
        <v>0</v>
      </c>
      <c r="P751" s="207" t="str">
        <f t="shared" si="96"/>
        <v>PM_0</v>
      </c>
      <c r="Q751" s="273">
        <f t="shared" si="97"/>
        <v>0</v>
      </c>
      <c r="R751" s="207">
        <f t="shared" si="98"/>
        <v>0</v>
      </c>
      <c r="S751" s="207">
        <f t="shared" si="99"/>
        <v>0</v>
      </c>
    </row>
    <row r="752" spans="11:19" ht="14.1" customHeight="1" x14ac:dyDescent="0.2">
      <c r="K752" s="186" t="str">
        <f t="shared" si="92"/>
        <v>PM_0</v>
      </c>
      <c r="L752" s="186">
        <f t="shared" si="93"/>
        <v>0</v>
      </c>
      <c r="M752" s="186">
        <f t="shared" si="94"/>
        <v>0</v>
      </c>
      <c r="N752" s="186">
        <f t="shared" si="95"/>
        <v>0</v>
      </c>
      <c r="P752" s="207" t="str">
        <f t="shared" si="96"/>
        <v>PM_0</v>
      </c>
      <c r="Q752" s="273">
        <f t="shared" si="97"/>
        <v>0</v>
      </c>
      <c r="R752" s="207">
        <f t="shared" si="98"/>
        <v>0</v>
      </c>
      <c r="S752" s="207">
        <f t="shared" si="99"/>
        <v>0</v>
      </c>
    </row>
    <row r="753" spans="11:19" ht="14.1" customHeight="1" x14ac:dyDescent="0.2">
      <c r="K753" s="186" t="str">
        <f t="shared" si="92"/>
        <v>PM_0</v>
      </c>
      <c r="L753" s="186">
        <f t="shared" si="93"/>
        <v>0</v>
      </c>
      <c r="M753" s="186">
        <f t="shared" si="94"/>
        <v>0</v>
      </c>
      <c r="N753" s="186">
        <f t="shared" si="95"/>
        <v>0</v>
      </c>
      <c r="P753" s="207" t="str">
        <f t="shared" si="96"/>
        <v>PM_0</v>
      </c>
      <c r="Q753" s="273">
        <f t="shared" si="97"/>
        <v>0</v>
      </c>
      <c r="R753" s="207">
        <f t="shared" si="98"/>
        <v>0</v>
      </c>
      <c r="S753" s="207">
        <f t="shared" si="99"/>
        <v>0</v>
      </c>
    </row>
    <row r="754" spans="11:19" ht="14.1" customHeight="1" x14ac:dyDescent="0.2">
      <c r="K754" s="186" t="str">
        <f t="shared" si="92"/>
        <v>PM_0</v>
      </c>
      <c r="L754" s="186">
        <f t="shared" si="93"/>
        <v>0</v>
      </c>
      <c r="M754" s="186">
        <f t="shared" si="94"/>
        <v>0</v>
      </c>
      <c r="N754" s="186">
        <f t="shared" si="95"/>
        <v>0</v>
      </c>
      <c r="P754" s="207" t="str">
        <f t="shared" si="96"/>
        <v>PM_0</v>
      </c>
      <c r="Q754" s="273">
        <f t="shared" si="97"/>
        <v>0</v>
      </c>
      <c r="R754" s="207">
        <f t="shared" si="98"/>
        <v>0</v>
      </c>
      <c r="S754" s="207">
        <f t="shared" si="99"/>
        <v>0</v>
      </c>
    </row>
    <row r="755" spans="11:19" ht="14.1" customHeight="1" x14ac:dyDescent="0.2">
      <c r="K755" s="186" t="str">
        <f t="shared" si="92"/>
        <v>PM_0</v>
      </c>
      <c r="L755" s="186">
        <f t="shared" si="93"/>
        <v>0</v>
      </c>
      <c r="M755" s="186">
        <f t="shared" si="94"/>
        <v>0</v>
      </c>
      <c r="N755" s="186">
        <f t="shared" si="95"/>
        <v>0</v>
      </c>
      <c r="P755" s="207" t="str">
        <f t="shared" si="96"/>
        <v>PM_0</v>
      </c>
      <c r="Q755" s="273">
        <f t="shared" si="97"/>
        <v>0</v>
      </c>
      <c r="R755" s="207">
        <f t="shared" si="98"/>
        <v>0</v>
      </c>
      <c r="S755" s="207">
        <f t="shared" si="99"/>
        <v>0</v>
      </c>
    </row>
    <row r="756" spans="11:19" ht="14.1" customHeight="1" x14ac:dyDescent="0.2">
      <c r="K756" s="186" t="str">
        <f t="shared" si="92"/>
        <v>PM_0</v>
      </c>
      <c r="L756" s="186">
        <f t="shared" si="93"/>
        <v>0</v>
      </c>
      <c r="M756" s="186">
        <f t="shared" si="94"/>
        <v>0</v>
      </c>
      <c r="N756" s="186">
        <f t="shared" si="95"/>
        <v>0</v>
      </c>
      <c r="P756" s="207" t="str">
        <f t="shared" si="96"/>
        <v>PM_0</v>
      </c>
      <c r="Q756" s="273">
        <f t="shared" si="97"/>
        <v>0</v>
      </c>
      <c r="R756" s="207">
        <f t="shared" si="98"/>
        <v>0</v>
      </c>
      <c r="S756" s="207">
        <f t="shared" si="99"/>
        <v>0</v>
      </c>
    </row>
    <row r="757" spans="11:19" ht="14.1" customHeight="1" x14ac:dyDescent="0.2">
      <c r="K757" s="186" t="str">
        <f t="shared" si="92"/>
        <v>PM_0</v>
      </c>
      <c r="L757" s="186">
        <f t="shared" si="93"/>
        <v>0</v>
      </c>
      <c r="M757" s="186">
        <f t="shared" si="94"/>
        <v>0</v>
      </c>
      <c r="N757" s="186">
        <f t="shared" si="95"/>
        <v>0</v>
      </c>
      <c r="P757" s="207" t="str">
        <f t="shared" si="96"/>
        <v>PM_0</v>
      </c>
      <c r="Q757" s="273">
        <f t="shared" si="97"/>
        <v>0</v>
      </c>
      <c r="R757" s="207">
        <f t="shared" si="98"/>
        <v>0</v>
      </c>
      <c r="S757" s="207">
        <f t="shared" si="99"/>
        <v>0</v>
      </c>
    </row>
    <row r="758" spans="11:19" ht="14.1" customHeight="1" x14ac:dyDescent="0.2">
      <c r="K758" s="186" t="str">
        <f t="shared" si="92"/>
        <v>PM_0</v>
      </c>
      <c r="L758" s="186">
        <f t="shared" si="93"/>
        <v>0</v>
      </c>
      <c r="M758" s="186">
        <f t="shared" si="94"/>
        <v>0</v>
      </c>
      <c r="N758" s="186">
        <f t="shared" si="95"/>
        <v>0</v>
      </c>
      <c r="P758" s="207" t="str">
        <f t="shared" si="96"/>
        <v>PM_0</v>
      </c>
      <c r="Q758" s="273">
        <f t="shared" si="97"/>
        <v>0</v>
      </c>
      <c r="R758" s="207">
        <f t="shared" si="98"/>
        <v>0</v>
      </c>
      <c r="S758" s="207">
        <f t="shared" si="99"/>
        <v>0</v>
      </c>
    </row>
    <row r="759" spans="11:19" ht="14.1" customHeight="1" x14ac:dyDescent="0.2">
      <c r="K759" s="186" t="str">
        <f t="shared" si="92"/>
        <v>PM_0</v>
      </c>
      <c r="L759" s="186">
        <f t="shared" si="93"/>
        <v>0</v>
      </c>
      <c r="M759" s="186">
        <f t="shared" si="94"/>
        <v>0</v>
      </c>
      <c r="N759" s="186">
        <f t="shared" si="95"/>
        <v>0</v>
      </c>
      <c r="P759" s="207" t="str">
        <f t="shared" si="96"/>
        <v>PM_0</v>
      </c>
      <c r="Q759" s="273">
        <f t="shared" si="97"/>
        <v>0</v>
      </c>
      <c r="R759" s="207">
        <f t="shared" si="98"/>
        <v>0</v>
      </c>
      <c r="S759" s="207">
        <f t="shared" si="99"/>
        <v>0</v>
      </c>
    </row>
    <row r="760" spans="11:19" ht="14.1" customHeight="1" x14ac:dyDescent="0.2">
      <c r="K760" s="186" t="str">
        <f t="shared" si="92"/>
        <v>PM_0</v>
      </c>
      <c r="L760" s="186">
        <f t="shared" si="93"/>
        <v>0</v>
      </c>
      <c r="M760" s="186">
        <f t="shared" si="94"/>
        <v>0</v>
      </c>
      <c r="N760" s="186">
        <f t="shared" si="95"/>
        <v>0</v>
      </c>
      <c r="P760" s="207" t="str">
        <f t="shared" si="96"/>
        <v>PM_0</v>
      </c>
      <c r="Q760" s="273">
        <f t="shared" si="97"/>
        <v>0</v>
      </c>
      <c r="R760" s="207">
        <f t="shared" si="98"/>
        <v>0</v>
      </c>
      <c r="S760" s="207">
        <f t="shared" si="99"/>
        <v>0</v>
      </c>
    </row>
    <row r="761" spans="11:19" ht="14.1" customHeight="1" x14ac:dyDescent="0.2">
      <c r="K761" s="186" t="str">
        <f t="shared" si="92"/>
        <v>PM_0</v>
      </c>
      <c r="L761" s="186">
        <f t="shared" si="93"/>
        <v>0</v>
      </c>
      <c r="M761" s="186">
        <f t="shared" si="94"/>
        <v>0</v>
      </c>
      <c r="N761" s="186">
        <f t="shared" si="95"/>
        <v>0</v>
      </c>
      <c r="P761" s="207" t="str">
        <f t="shared" si="96"/>
        <v>PM_0</v>
      </c>
      <c r="Q761" s="273">
        <f t="shared" si="97"/>
        <v>0</v>
      </c>
      <c r="R761" s="207">
        <f t="shared" si="98"/>
        <v>0</v>
      </c>
      <c r="S761" s="207">
        <f t="shared" si="99"/>
        <v>0</v>
      </c>
    </row>
    <row r="762" spans="11:19" ht="14.1" customHeight="1" x14ac:dyDescent="0.2">
      <c r="K762" s="186" t="str">
        <f t="shared" si="92"/>
        <v>PM_0</v>
      </c>
      <c r="L762" s="186">
        <f t="shared" si="93"/>
        <v>0</v>
      </c>
      <c r="M762" s="186">
        <f t="shared" si="94"/>
        <v>0</v>
      </c>
      <c r="N762" s="186">
        <f t="shared" si="95"/>
        <v>0</v>
      </c>
      <c r="P762" s="207" t="str">
        <f t="shared" si="96"/>
        <v>PM_0</v>
      </c>
      <c r="Q762" s="273">
        <f t="shared" si="97"/>
        <v>0</v>
      </c>
      <c r="R762" s="207">
        <f t="shared" si="98"/>
        <v>0</v>
      </c>
      <c r="S762" s="207">
        <f t="shared" si="99"/>
        <v>0</v>
      </c>
    </row>
    <row r="763" spans="11:19" ht="14.1" customHeight="1" x14ac:dyDescent="0.2">
      <c r="K763" s="186" t="str">
        <f t="shared" si="92"/>
        <v>PM_0</v>
      </c>
      <c r="L763" s="186">
        <f t="shared" si="93"/>
        <v>0</v>
      </c>
      <c r="M763" s="186">
        <f t="shared" si="94"/>
        <v>0</v>
      </c>
      <c r="N763" s="186">
        <f t="shared" si="95"/>
        <v>0</v>
      </c>
      <c r="P763" s="207" t="str">
        <f t="shared" si="96"/>
        <v>PM_0</v>
      </c>
      <c r="Q763" s="273">
        <f t="shared" si="97"/>
        <v>0</v>
      </c>
      <c r="R763" s="207">
        <f t="shared" si="98"/>
        <v>0</v>
      </c>
      <c r="S763" s="207">
        <f t="shared" si="99"/>
        <v>0</v>
      </c>
    </row>
    <row r="764" spans="11:19" ht="14.1" customHeight="1" x14ac:dyDescent="0.2">
      <c r="K764" s="186" t="str">
        <f t="shared" si="92"/>
        <v>PM_0</v>
      </c>
      <c r="L764" s="186">
        <f t="shared" si="93"/>
        <v>0</v>
      </c>
      <c r="M764" s="186">
        <f t="shared" si="94"/>
        <v>0</v>
      </c>
      <c r="N764" s="186">
        <f t="shared" si="95"/>
        <v>0</v>
      </c>
      <c r="P764" s="207" t="str">
        <f t="shared" si="96"/>
        <v>PM_0</v>
      </c>
      <c r="Q764" s="273">
        <f t="shared" si="97"/>
        <v>0</v>
      </c>
      <c r="R764" s="207">
        <f t="shared" si="98"/>
        <v>0</v>
      </c>
      <c r="S764" s="207">
        <f t="shared" si="99"/>
        <v>0</v>
      </c>
    </row>
    <row r="765" spans="11:19" ht="14.1" customHeight="1" x14ac:dyDescent="0.2">
      <c r="K765" s="186" t="str">
        <f t="shared" si="92"/>
        <v>PM_0</v>
      </c>
      <c r="L765" s="186">
        <f t="shared" si="93"/>
        <v>0</v>
      </c>
      <c r="M765" s="186">
        <f t="shared" si="94"/>
        <v>0</v>
      </c>
      <c r="N765" s="186">
        <f t="shared" si="95"/>
        <v>0</v>
      </c>
      <c r="P765" s="207" t="str">
        <f t="shared" si="96"/>
        <v>PM_0</v>
      </c>
      <c r="Q765" s="273">
        <f t="shared" si="97"/>
        <v>0</v>
      </c>
      <c r="R765" s="207">
        <f t="shared" si="98"/>
        <v>0</v>
      </c>
      <c r="S765" s="207">
        <f t="shared" si="99"/>
        <v>0</v>
      </c>
    </row>
    <row r="766" spans="11:19" ht="14.1" customHeight="1" x14ac:dyDescent="0.2">
      <c r="K766" s="186" t="str">
        <f t="shared" si="92"/>
        <v>PM_0</v>
      </c>
      <c r="L766" s="186">
        <f t="shared" si="93"/>
        <v>0</v>
      </c>
      <c r="M766" s="186">
        <f t="shared" si="94"/>
        <v>0</v>
      </c>
      <c r="N766" s="186">
        <f t="shared" si="95"/>
        <v>0</v>
      </c>
      <c r="P766" s="207" t="str">
        <f t="shared" si="96"/>
        <v>PM_0</v>
      </c>
      <c r="Q766" s="273">
        <f t="shared" si="97"/>
        <v>0</v>
      </c>
      <c r="R766" s="207">
        <f t="shared" si="98"/>
        <v>0</v>
      </c>
      <c r="S766" s="207">
        <f t="shared" si="99"/>
        <v>0</v>
      </c>
    </row>
    <row r="767" spans="11:19" ht="14.1" customHeight="1" x14ac:dyDescent="0.2">
      <c r="K767" s="186" t="str">
        <f t="shared" si="92"/>
        <v>PM_0</v>
      </c>
      <c r="L767" s="186">
        <f t="shared" si="93"/>
        <v>0</v>
      </c>
      <c r="M767" s="186">
        <f t="shared" si="94"/>
        <v>0</v>
      </c>
      <c r="N767" s="186">
        <f t="shared" si="95"/>
        <v>0</v>
      </c>
      <c r="P767" s="207" t="str">
        <f t="shared" si="96"/>
        <v>PM_0</v>
      </c>
      <c r="Q767" s="273">
        <f t="shared" si="97"/>
        <v>0</v>
      </c>
      <c r="R767" s="207">
        <f t="shared" si="98"/>
        <v>0</v>
      </c>
      <c r="S767" s="207">
        <f t="shared" si="99"/>
        <v>0</v>
      </c>
    </row>
    <row r="768" spans="11:19" ht="14.1" customHeight="1" x14ac:dyDescent="0.2">
      <c r="K768" s="186" t="str">
        <f t="shared" si="92"/>
        <v>PM_0</v>
      </c>
      <c r="L768" s="186">
        <f t="shared" si="93"/>
        <v>0</v>
      </c>
      <c r="M768" s="186">
        <f t="shared" si="94"/>
        <v>0</v>
      </c>
      <c r="N768" s="186">
        <f t="shared" si="95"/>
        <v>0</v>
      </c>
      <c r="P768" s="207" t="str">
        <f t="shared" si="96"/>
        <v>PM_0</v>
      </c>
      <c r="Q768" s="273">
        <f t="shared" si="97"/>
        <v>0</v>
      </c>
      <c r="R768" s="207">
        <f t="shared" si="98"/>
        <v>0</v>
      </c>
      <c r="S768" s="207">
        <f t="shared" si="99"/>
        <v>0</v>
      </c>
    </row>
    <row r="769" spans="11:19" ht="14.1" customHeight="1" x14ac:dyDescent="0.2">
      <c r="K769" s="186" t="str">
        <f t="shared" si="92"/>
        <v>PM_0</v>
      </c>
      <c r="L769" s="186">
        <f t="shared" si="93"/>
        <v>0</v>
      </c>
      <c r="M769" s="186">
        <f t="shared" si="94"/>
        <v>0</v>
      </c>
      <c r="N769" s="186">
        <f t="shared" si="95"/>
        <v>0</v>
      </c>
      <c r="P769" s="207" t="str">
        <f t="shared" si="96"/>
        <v>PM_0</v>
      </c>
      <c r="Q769" s="273">
        <f t="shared" si="97"/>
        <v>0</v>
      </c>
      <c r="R769" s="207">
        <f t="shared" si="98"/>
        <v>0</v>
      </c>
      <c r="S769" s="207">
        <f t="shared" si="99"/>
        <v>0</v>
      </c>
    </row>
    <row r="770" spans="11:19" ht="14.1" customHeight="1" x14ac:dyDescent="0.2">
      <c r="K770" s="186" t="str">
        <f t="shared" si="92"/>
        <v>PM_0</v>
      </c>
      <c r="L770" s="186">
        <f t="shared" si="93"/>
        <v>0</v>
      </c>
      <c r="M770" s="186">
        <f t="shared" si="94"/>
        <v>0</v>
      </c>
      <c r="N770" s="186">
        <f t="shared" si="95"/>
        <v>0</v>
      </c>
      <c r="P770" s="207" t="str">
        <f t="shared" si="96"/>
        <v>PM_0</v>
      </c>
      <c r="Q770" s="273">
        <f t="shared" si="97"/>
        <v>0</v>
      </c>
      <c r="R770" s="207">
        <f t="shared" si="98"/>
        <v>0</v>
      </c>
      <c r="S770" s="207">
        <f t="shared" si="99"/>
        <v>0</v>
      </c>
    </row>
    <row r="771" spans="11:19" ht="14.1" customHeight="1" x14ac:dyDescent="0.2">
      <c r="K771" s="186" t="str">
        <f t="shared" si="92"/>
        <v>PM_0</v>
      </c>
      <c r="L771" s="186">
        <f t="shared" si="93"/>
        <v>0</v>
      </c>
      <c r="M771" s="186">
        <f t="shared" si="94"/>
        <v>0</v>
      </c>
      <c r="N771" s="186">
        <f t="shared" si="95"/>
        <v>0</v>
      </c>
      <c r="P771" s="207" t="str">
        <f t="shared" si="96"/>
        <v>PM_0</v>
      </c>
      <c r="Q771" s="273">
        <f t="shared" si="97"/>
        <v>0</v>
      </c>
      <c r="R771" s="207">
        <f t="shared" si="98"/>
        <v>0</v>
      </c>
      <c r="S771" s="207">
        <f t="shared" si="99"/>
        <v>0</v>
      </c>
    </row>
    <row r="772" spans="11:19" ht="14.1" customHeight="1" x14ac:dyDescent="0.2">
      <c r="K772" s="186" t="str">
        <f t="shared" si="92"/>
        <v>PM_0</v>
      </c>
      <c r="L772" s="186">
        <f t="shared" si="93"/>
        <v>0</v>
      </c>
      <c r="M772" s="186">
        <f t="shared" si="94"/>
        <v>0</v>
      </c>
      <c r="N772" s="186">
        <f t="shared" si="95"/>
        <v>0</v>
      </c>
      <c r="P772" s="207" t="str">
        <f t="shared" si="96"/>
        <v>PM_0</v>
      </c>
      <c r="Q772" s="273">
        <f t="shared" si="97"/>
        <v>0</v>
      </c>
      <c r="R772" s="207">
        <f t="shared" si="98"/>
        <v>0</v>
      </c>
      <c r="S772" s="207">
        <f t="shared" si="99"/>
        <v>0</v>
      </c>
    </row>
    <row r="773" spans="11:19" ht="14.1" customHeight="1" x14ac:dyDescent="0.2">
      <c r="K773" s="186" t="str">
        <f t="shared" si="92"/>
        <v>PM_0</v>
      </c>
      <c r="L773" s="186">
        <f t="shared" si="93"/>
        <v>0</v>
      </c>
      <c r="M773" s="186">
        <f t="shared" si="94"/>
        <v>0</v>
      </c>
      <c r="N773" s="186">
        <f t="shared" si="95"/>
        <v>0</v>
      </c>
      <c r="P773" s="207" t="str">
        <f t="shared" si="96"/>
        <v>PM_0</v>
      </c>
      <c r="Q773" s="273">
        <f t="shared" si="97"/>
        <v>0</v>
      </c>
      <c r="R773" s="207">
        <f t="shared" si="98"/>
        <v>0</v>
      </c>
      <c r="S773" s="207">
        <f t="shared" si="99"/>
        <v>0</v>
      </c>
    </row>
    <row r="774" spans="11:19" ht="14.1" customHeight="1" x14ac:dyDescent="0.2">
      <c r="K774" s="186" t="str">
        <f t="shared" si="92"/>
        <v>PM_0</v>
      </c>
      <c r="L774" s="186">
        <f t="shared" si="93"/>
        <v>0</v>
      </c>
      <c r="M774" s="186">
        <f t="shared" si="94"/>
        <v>0</v>
      </c>
      <c r="N774" s="186">
        <f t="shared" si="95"/>
        <v>0</v>
      </c>
      <c r="P774" s="207" t="str">
        <f t="shared" si="96"/>
        <v>PM_0</v>
      </c>
      <c r="Q774" s="273">
        <f t="shared" si="97"/>
        <v>0</v>
      </c>
      <c r="R774" s="207">
        <f t="shared" si="98"/>
        <v>0</v>
      </c>
      <c r="S774" s="207">
        <f t="shared" si="99"/>
        <v>0</v>
      </c>
    </row>
    <row r="775" spans="11:19" ht="14.1" customHeight="1" x14ac:dyDescent="0.2">
      <c r="K775" s="186" t="str">
        <f t="shared" si="92"/>
        <v>PM_0</v>
      </c>
      <c r="L775" s="186">
        <f t="shared" si="93"/>
        <v>0</v>
      </c>
      <c r="M775" s="186">
        <f t="shared" si="94"/>
        <v>0</v>
      </c>
      <c r="N775" s="186">
        <f t="shared" si="95"/>
        <v>0</v>
      </c>
      <c r="P775" s="207" t="str">
        <f t="shared" si="96"/>
        <v>PM_0</v>
      </c>
      <c r="Q775" s="273">
        <f t="shared" si="97"/>
        <v>0</v>
      </c>
      <c r="R775" s="207">
        <f t="shared" si="98"/>
        <v>0</v>
      </c>
      <c r="S775" s="207">
        <f t="shared" si="99"/>
        <v>0</v>
      </c>
    </row>
    <row r="776" spans="11:19" ht="14.1" customHeight="1" x14ac:dyDescent="0.2">
      <c r="K776" s="186" t="str">
        <f t="shared" si="92"/>
        <v>PM_0</v>
      </c>
      <c r="L776" s="186">
        <f t="shared" si="93"/>
        <v>0</v>
      </c>
      <c r="M776" s="186">
        <f t="shared" si="94"/>
        <v>0</v>
      </c>
      <c r="N776" s="186">
        <f t="shared" si="95"/>
        <v>0</v>
      </c>
      <c r="P776" s="207" t="str">
        <f t="shared" si="96"/>
        <v>PM_0</v>
      </c>
      <c r="Q776" s="273">
        <f t="shared" si="97"/>
        <v>0</v>
      </c>
      <c r="R776" s="207">
        <f t="shared" si="98"/>
        <v>0</v>
      </c>
      <c r="S776" s="207">
        <f t="shared" si="99"/>
        <v>0</v>
      </c>
    </row>
    <row r="777" spans="11:19" ht="14.1" customHeight="1" x14ac:dyDescent="0.2">
      <c r="K777" s="186" t="str">
        <f t="shared" si="92"/>
        <v>PM_0</v>
      </c>
      <c r="L777" s="186">
        <f t="shared" si="93"/>
        <v>0</v>
      </c>
      <c r="M777" s="186">
        <f t="shared" si="94"/>
        <v>0</v>
      </c>
      <c r="N777" s="186">
        <f t="shared" si="95"/>
        <v>0</v>
      </c>
      <c r="P777" s="207" t="str">
        <f t="shared" si="96"/>
        <v>PM_0</v>
      </c>
      <c r="Q777" s="273">
        <f t="shared" si="97"/>
        <v>0</v>
      </c>
      <c r="R777" s="207">
        <f t="shared" si="98"/>
        <v>0</v>
      </c>
      <c r="S777" s="207">
        <f t="shared" si="99"/>
        <v>0</v>
      </c>
    </row>
    <row r="778" spans="11:19" ht="14.1" customHeight="1" x14ac:dyDescent="0.2">
      <c r="K778" s="186" t="str">
        <f t="shared" si="92"/>
        <v>PM_0</v>
      </c>
      <c r="L778" s="186">
        <f t="shared" si="93"/>
        <v>0</v>
      </c>
      <c r="M778" s="186">
        <f t="shared" si="94"/>
        <v>0</v>
      </c>
      <c r="N778" s="186">
        <f t="shared" si="95"/>
        <v>0</v>
      </c>
      <c r="P778" s="207" t="str">
        <f t="shared" si="96"/>
        <v>PM_0</v>
      </c>
      <c r="Q778" s="273">
        <f t="shared" si="97"/>
        <v>0</v>
      </c>
      <c r="R778" s="207">
        <f t="shared" si="98"/>
        <v>0</v>
      </c>
      <c r="S778" s="207">
        <f t="shared" si="99"/>
        <v>0</v>
      </c>
    </row>
    <row r="779" spans="11:19" ht="14.1" customHeight="1" x14ac:dyDescent="0.2">
      <c r="K779" s="186" t="str">
        <f t="shared" ref="K779:K842" si="100">"PM_"&amp;ROUND(E779,2)</f>
        <v>PM_0</v>
      </c>
      <c r="L779" s="186">
        <f t="shared" ref="L779:L842" si="101">F779</f>
        <v>0</v>
      </c>
      <c r="M779" s="186">
        <f t="shared" ref="M779:M842" si="102">G779</f>
        <v>0</v>
      </c>
      <c r="N779" s="186">
        <f t="shared" ref="N779:N842" si="103">H779</f>
        <v>0</v>
      </c>
      <c r="P779" s="207" t="str">
        <f t="shared" ref="P779:P842" si="104">K779</f>
        <v>PM_0</v>
      </c>
      <c r="Q779" s="273">
        <f t="shared" ref="Q779:Q842" si="105">$S$1+E779</f>
        <v>0</v>
      </c>
      <c r="R779" s="207">
        <f t="shared" ref="R779:R842" si="106">H779</f>
        <v>0</v>
      </c>
      <c r="S779" s="207">
        <f t="shared" ref="S779:S842" si="107">$B$6</f>
        <v>0</v>
      </c>
    </row>
    <row r="780" spans="11:19" ht="14.1" customHeight="1" x14ac:dyDescent="0.2">
      <c r="K780" s="186" t="str">
        <f t="shared" si="100"/>
        <v>PM_0</v>
      </c>
      <c r="L780" s="186">
        <f t="shared" si="101"/>
        <v>0</v>
      </c>
      <c r="M780" s="186">
        <f t="shared" si="102"/>
        <v>0</v>
      </c>
      <c r="N780" s="186">
        <f t="shared" si="103"/>
        <v>0</v>
      </c>
      <c r="P780" s="207" t="str">
        <f t="shared" si="104"/>
        <v>PM_0</v>
      </c>
      <c r="Q780" s="273">
        <f t="shared" si="105"/>
        <v>0</v>
      </c>
      <c r="R780" s="207">
        <f t="shared" si="106"/>
        <v>0</v>
      </c>
      <c r="S780" s="207">
        <f t="shared" si="107"/>
        <v>0</v>
      </c>
    </row>
    <row r="781" spans="11:19" ht="14.1" customHeight="1" x14ac:dyDescent="0.2">
      <c r="K781" s="186" t="str">
        <f t="shared" si="100"/>
        <v>PM_0</v>
      </c>
      <c r="L781" s="186">
        <f t="shared" si="101"/>
        <v>0</v>
      </c>
      <c r="M781" s="186">
        <f t="shared" si="102"/>
        <v>0</v>
      </c>
      <c r="N781" s="186">
        <f t="shared" si="103"/>
        <v>0</v>
      </c>
      <c r="P781" s="207" t="str">
        <f t="shared" si="104"/>
        <v>PM_0</v>
      </c>
      <c r="Q781" s="273">
        <f t="shared" si="105"/>
        <v>0</v>
      </c>
      <c r="R781" s="207">
        <f t="shared" si="106"/>
        <v>0</v>
      </c>
      <c r="S781" s="207">
        <f t="shared" si="107"/>
        <v>0</v>
      </c>
    </row>
    <row r="782" spans="11:19" ht="14.1" customHeight="1" x14ac:dyDescent="0.2">
      <c r="K782" s="186" t="str">
        <f t="shared" si="100"/>
        <v>PM_0</v>
      </c>
      <c r="L782" s="186">
        <f t="shared" si="101"/>
        <v>0</v>
      </c>
      <c r="M782" s="186">
        <f t="shared" si="102"/>
        <v>0</v>
      </c>
      <c r="N782" s="186">
        <f t="shared" si="103"/>
        <v>0</v>
      </c>
      <c r="P782" s="207" t="str">
        <f t="shared" si="104"/>
        <v>PM_0</v>
      </c>
      <c r="Q782" s="273">
        <f t="shared" si="105"/>
        <v>0</v>
      </c>
      <c r="R782" s="207">
        <f t="shared" si="106"/>
        <v>0</v>
      </c>
      <c r="S782" s="207">
        <f t="shared" si="107"/>
        <v>0</v>
      </c>
    </row>
    <row r="783" spans="11:19" ht="14.1" customHeight="1" x14ac:dyDescent="0.2">
      <c r="K783" s="186" t="str">
        <f t="shared" si="100"/>
        <v>PM_0</v>
      </c>
      <c r="L783" s="186">
        <f t="shared" si="101"/>
        <v>0</v>
      </c>
      <c r="M783" s="186">
        <f t="shared" si="102"/>
        <v>0</v>
      </c>
      <c r="N783" s="186">
        <f t="shared" si="103"/>
        <v>0</v>
      </c>
      <c r="P783" s="207" t="str">
        <f t="shared" si="104"/>
        <v>PM_0</v>
      </c>
      <c r="Q783" s="273">
        <f t="shared" si="105"/>
        <v>0</v>
      </c>
      <c r="R783" s="207">
        <f t="shared" si="106"/>
        <v>0</v>
      </c>
      <c r="S783" s="207">
        <f t="shared" si="107"/>
        <v>0</v>
      </c>
    </row>
    <row r="784" spans="11:19" ht="14.1" customHeight="1" x14ac:dyDescent="0.2">
      <c r="K784" s="186" t="str">
        <f t="shared" si="100"/>
        <v>PM_0</v>
      </c>
      <c r="L784" s="186">
        <f t="shared" si="101"/>
        <v>0</v>
      </c>
      <c r="M784" s="186">
        <f t="shared" si="102"/>
        <v>0</v>
      </c>
      <c r="N784" s="186">
        <f t="shared" si="103"/>
        <v>0</v>
      </c>
      <c r="P784" s="207" t="str">
        <f t="shared" si="104"/>
        <v>PM_0</v>
      </c>
      <c r="Q784" s="273">
        <f t="shared" si="105"/>
        <v>0</v>
      </c>
      <c r="R784" s="207">
        <f t="shared" si="106"/>
        <v>0</v>
      </c>
      <c r="S784" s="207">
        <f t="shared" si="107"/>
        <v>0</v>
      </c>
    </row>
    <row r="785" spans="11:19" ht="14.1" customHeight="1" x14ac:dyDescent="0.2">
      <c r="K785" s="186" t="str">
        <f t="shared" si="100"/>
        <v>PM_0</v>
      </c>
      <c r="L785" s="186">
        <f t="shared" si="101"/>
        <v>0</v>
      </c>
      <c r="M785" s="186">
        <f t="shared" si="102"/>
        <v>0</v>
      </c>
      <c r="N785" s="186">
        <f t="shared" si="103"/>
        <v>0</v>
      </c>
      <c r="P785" s="207" t="str">
        <f t="shared" si="104"/>
        <v>PM_0</v>
      </c>
      <c r="Q785" s="273">
        <f t="shared" si="105"/>
        <v>0</v>
      </c>
      <c r="R785" s="207">
        <f t="shared" si="106"/>
        <v>0</v>
      </c>
      <c r="S785" s="207">
        <f t="shared" si="107"/>
        <v>0</v>
      </c>
    </row>
    <row r="786" spans="11:19" ht="14.1" customHeight="1" x14ac:dyDescent="0.2">
      <c r="K786" s="186" t="str">
        <f t="shared" si="100"/>
        <v>PM_0</v>
      </c>
      <c r="L786" s="186">
        <f t="shared" si="101"/>
        <v>0</v>
      </c>
      <c r="M786" s="186">
        <f t="shared" si="102"/>
        <v>0</v>
      </c>
      <c r="N786" s="186">
        <f t="shared" si="103"/>
        <v>0</v>
      </c>
      <c r="P786" s="207" t="str">
        <f t="shared" si="104"/>
        <v>PM_0</v>
      </c>
      <c r="Q786" s="273">
        <f t="shared" si="105"/>
        <v>0</v>
      </c>
      <c r="R786" s="207">
        <f t="shared" si="106"/>
        <v>0</v>
      </c>
      <c r="S786" s="207">
        <f t="shared" si="107"/>
        <v>0</v>
      </c>
    </row>
    <row r="787" spans="11:19" ht="14.1" customHeight="1" x14ac:dyDescent="0.2">
      <c r="K787" s="186" t="str">
        <f t="shared" si="100"/>
        <v>PM_0</v>
      </c>
      <c r="L787" s="186">
        <f t="shared" si="101"/>
        <v>0</v>
      </c>
      <c r="M787" s="186">
        <f t="shared" si="102"/>
        <v>0</v>
      </c>
      <c r="N787" s="186">
        <f t="shared" si="103"/>
        <v>0</v>
      </c>
      <c r="P787" s="207" t="str">
        <f t="shared" si="104"/>
        <v>PM_0</v>
      </c>
      <c r="Q787" s="273">
        <f t="shared" si="105"/>
        <v>0</v>
      </c>
      <c r="R787" s="207">
        <f t="shared" si="106"/>
        <v>0</v>
      </c>
      <c r="S787" s="207">
        <f t="shared" si="107"/>
        <v>0</v>
      </c>
    </row>
    <row r="788" spans="11:19" ht="14.1" customHeight="1" x14ac:dyDescent="0.2">
      <c r="K788" s="186" t="str">
        <f t="shared" si="100"/>
        <v>PM_0</v>
      </c>
      <c r="L788" s="186">
        <f t="shared" si="101"/>
        <v>0</v>
      </c>
      <c r="M788" s="186">
        <f t="shared" si="102"/>
        <v>0</v>
      </c>
      <c r="N788" s="186">
        <f t="shared" si="103"/>
        <v>0</v>
      </c>
      <c r="P788" s="207" t="str">
        <f t="shared" si="104"/>
        <v>PM_0</v>
      </c>
      <c r="Q788" s="273">
        <f t="shared" si="105"/>
        <v>0</v>
      </c>
      <c r="R788" s="207">
        <f t="shared" si="106"/>
        <v>0</v>
      </c>
      <c r="S788" s="207">
        <f t="shared" si="107"/>
        <v>0</v>
      </c>
    </row>
    <row r="789" spans="11:19" ht="14.1" customHeight="1" x14ac:dyDescent="0.2">
      <c r="K789" s="186" t="str">
        <f t="shared" si="100"/>
        <v>PM_0</v>
      </c>
      <c r="L789" s="186">
        <f t="shared" si="101"/>
        <v>0</v>
      </c>
      <c r="M789" s="186">
        <f t="shared" si="102"/>
        <v>0</v>
      </c>
      <c r="N789" s="186">
        <f t="shared" si="103"/>
        <v>0</v>
      </c>
      <c r="P789" s="207" t="str">
        <f t="shared" si="104"/>
        <v>PM_0</v>
      </c>
      <c r="Q789" s="273">
        <f t="shared" si="105"/>
        <v>0</v>
      </c>
      <c r="R789" s="207">
        <f t="shared" si="106"/>
        <v>0</v>
      </c>
      <c r="S789" s="207">
        <f t="shared" si="107"/>
        <v>0</v>
      </c>
    </row>
    <row r="790" spans="11:19" ht="14.1" customHeight="1" x14ac:dyDescent="0.2">
      <c r="K790" s="186" t="str">
        <f t="shared" si="100"/>
        <v>PM_0</v>
      </c>
      <c r="L790" s="186">
        <f t="shared" si="101"/>
        <v>0</v>
      </c>
      <c r="M790" s="186">
        <f t="shared" si="102"/>
        <v>0</v>
      </c>
      <c r="N790" s="186">
        <f t="shared" si="103"/>
        <v>0</v>
      </c>
      <c r="P790" s="207" t="str">
        <f t="shared" si="104"/>
        <v>PM_0</v>
      </c>
      <c r="Q790" s="273">
        <f t="shared" si="105"/>
        <v>0</v>
      </c>
      <c r="R790" s="207">
        <f t="shared" si="106"/>
        <v>0</v>
      </c>
      <c r="S790" s="207">
        <f t="shared" si="107"/>
        <v>0</v>
      </c>
    </row>
    <row r="791" spans="11:19" ht="14.1" customHeight="1" x14ac:dyDescent="0.2">
      <c r="K791" s="186" t="str">
        <f t="shared" si="100"/>
        <v>PM_0</v>
      </c>
      <c r="L791" s="186">
        <f t="shared" si="101"/>
        <v>0</v>
      </c>
      <c r="M791" s="186">
        <f t="shared" si="102"/>
        <v>0</v>
      </c>
      <c r="N791" s="186">
        <f t="shared" si="103"/>
        <v>0</v>
      </c>
      <c r="P791" s="207" t="str">
        <f t="shared" si="104"/>
        <v>PM_0</v>
      </c>
      <c r="Q791" s="273">
        <f t="shared" si="105"/>
        <v>0</v>
      </c>
      <c r="R791" s="207">
        <f t="shared" si="106"/>
        <v>0</v>
      </c>
      <c r="S791" s="207">
        <f t="shared" si="107"/>
        <v>0</v>
      </c>
    </row>
    <row r="792" spans="11:19" ht="14.1" customHeight="1" x14ac:dyDescent="0.2">
      <c r="K792" s="186" t="str">
        <f t="shared" si="100"/>
        <v>PM_0</v>
      </c>
      <c r="L792" s="186">
        <f t="shared" si="101"/>
        <v>0</v>
      </c>
      <c r="M792" s="186">
        <f t="shared" si="102"/>
        <v>0</v>
      </c>
      <c r="N792" s="186">
        <f t="shared" si="103"/>
        <v>0</v>
      </c>
      <c r="P792" s="207" t="str">
        <f t="shared" si="104"/>
        <v>PM_0</v>
      </c>
      <c r="Q792" s="273">
        <f t="shared" si="105"/>
        <v>0</v>
      </c>
      <c r="R792" s="207">
        <f t="shared" si="106"/>
        <v>0</v>
      </c>
      <c r="S792" s="207">
        <f t="shared" si="107"/>
        <v>0</v>
      </c>
    </row>
    <row r="793" spans="11:19" ht="14.1" customHeight="1" x14ac:dyDescent="0.2">
      <c r="K793" s="186" t="str">
        <f t="shared" si="100"/>
        <v>PM_0</v>
      </c>
      <c r="L793" s="186">
        <f t="shared" si="101"/>
        <v>0</v>
      </c>
      <c r="M793" s="186">
        <f t="shared" si="102"/>
        <v>0</v>
      </c>
      <c r="N793" s="186">
        <f t="shared" si="103"/>
        <v>0</v>
      </c>
      <c r="P793" s="207" t="str">
        <f t="shared" si="104"/>
        <v>PM_0</v>
      </c>
      <c r="Q793" s="273">
        <f t="shared" si="105"/>
        <v>0</v>
      </c>
      <c r="R793" s="207">
        <f t="shared" si="106"/>
        <v>0</v>
      </c>
      <c r="S793" s="207">
        <f t="shared" si="107"/>
        <v>0</v>
      </c>
    </row>
    <row r="794" spans="11:19" ht="14.1" customHeight="1" x14ac:dyDescent="0.2">
      <c r="K794" s="186" t="str">
        <f t="shared" si="100"/>
        <v>PM_0</v>
      </c>
      <c r="L794" s="186">
        <f t="shared" si="101"/>
        <v>0</v>
      </c>
      <c r="M794" s="186">
        <f t="shared" si="102"/>
        <v>0</v>
      </c>
      <c r="N794" s="186">
        <f t="shared" si="103"/>
        <v>0</v>
      </c>
      <c r="P794" s="207" t="str">
        <f t="shared" si="104"/>
        <v>PM_0</v>
      </c>
      <c r="Q794" s="273">
        <f t="shared" si="105"/>
        <v>0</v>
      </c>
      <c r="R794" s="207">
        <f t="shared" si="106"/>
        <v>0</v>
      </c>
      <c r="S794" s="207">
        <f t="shared" si="107"/>
        <v>0</v>
      </c>
    </row>
    <row r="795" spans="11:19" ht="14.1" customHeight="1" x14ac:dyDescent="0.2">
      <c r="K795" s="186" t="str">
        <f t="shared" si="100"/>
        <v>PM_0</v>
      </c>
      <c r="L795" s="186">
        <f t="shared" si="101"/>
        <v>0</v>
      </c>
      <c r="M795" s="186">
        <f t="shared" si="102"/>
        <v>0</v>
      </c>
      <c r="N795" s="186">
        <f t="shared" si="103"/>
        <v>0</v>
      </c>
      <c r="P795" s="207" t="str">
        <f t="shared" si="104"/>
        <v>PM_0</v>
      </c>
      <c r="Q795" s="273">
        <f t="shared" si="105"/>
        <v>0</v>
      </c>
      <c r="R795" s="207">
        <f t="shared" si="106"/>
        <v>0</v>
      </c>
      <c r="S795" s="207">
        <f t="shared" si="107"/>
        <v>0</v>
      </c>
    </row>
    <row r="796" spans="11:19" ht="14.1" customHeight="1" x14ac:dyDescent="0.2">
      <c r="K796" s="186" t="str">
        <f t="shared" si="100"/>
        <v>PM_0</v>
      </c>
      <c r="L796" s="186">
        <f t="shared" si="101"/>
        <v>0</v>
      </c>
      <c r="M796" s="186">
        <f t="shared" si="102"/>
        <v>0</v>
      </c>
      <c r="N796" s="186">
        <f t="shared" si="103"/>
        <v>0</v>
      </c>
      <c r="P796" s="207" t="str">
        <f t="shared" si="104"/>
        <v>PM_0</v>
      </c>
      <c r="Q796" s="273">
        <f t="shared" si="105"/>
        <v>0</v>
      </c>
      <c r="R796" s="207">
        <f t="shared" si="106"/>
        <v>0</v>
      </c>
      <c r="S796" s="207">
        <f t="shared" si="107"/>
        <v>0</v>
      </c>
    </row>
    <row r="797" spans="11:19" ht="14.1" customHeight="1" x14ac:dyDescent="0.2">
      <c r="K797" s="186" t="str">
        <f t="shared" si="100"/>
        <v>PM_0</v>
      </c>
      <c r="L797" s="186">
        <f t="shared" si="101"/>
        <v>0</v>
      </c>
      <c r="M797" s="186">
        <f t="shared" si="102"/>
        <v>0</v>
      </c>
      <c r="N797" s="186">
        <f t="shared" si="103"/>
        <v>0</v>
      </c>
      <c r="P797" s="207" t="str">
        <f t="shared" si="104"/>
        <v>PM_0</v>
      </c>
      <c r="Q797" s="273">
        <f t="shared" si="105"/>
        <v>0</v>
      </c>
      <c r="R797" s="207">
        <f t="shared" si="106"/>
        <v>0</v>
      </c>
      <c r="S797" s="207">
        <f t="shared" si="107"/>
        <v>0</v>
      </c>
    </row>
    <row r="798" spans="11:19" ht="14.1" customHeight="1" x14ac:dyDescent="0.2">
      <c r="K798" s="186" t="str">
        <f t="shared" si="100"/>
        <v>PM_0</v>
      </c>
      <c r="L798" s="186">
        <f t="shared" si="101"/>
        <v>0</v>
      </c>
      <c r="M798" s="186">
        <f t="shared" si="102"/>
        <v>0</v>
      </c>
      <c r="N798" s="186">
        <f t="shared" si="103"/>
        <v>0</v>
      </c>
      <c r="P798" s="207" t="str">
        <f t="shared" si="104"/>
        <v>PM_0</v>
      </c>
      <c r="Q798" s="273">
        <f t="shared" si="105"/>
        <v>0</v>
      </c>
      <c r="R798" s="207">
        <f t="shared" si="106"/>
        <v>0</v>
      </c>
      <c r="S798" s="207">
        <f t="shared" si="107"/>
        <v>0</v>
      </c>
    </row>
    <row r="799" spans="11:19" ht="14.1" customHeight="1" x14ac:dyDescent="0.2">
      <c r="K799" s="186" t="str">
        <f t="shared" si="100"/>
        <v>PM_0</v>
      </c>
      <c r="L799" s="186">
        <f t="shared" si="101"/>
        <v>0</v>
      </c>
      <c r="M799" s="186">
        <f t="shared" si="102"/>
        <v>0</v>
      </c>
      <c r="N799" s="186">
        <f t="shared" si="103"/>
        <v>0</v>
      </c>
      <c r="P799" s="207" t="str">
        <f t="shared" si="104"/>
        <v>PM_0</v>
      </c>
      <c r="Q799" s="273">
        <f t="shared" si="105"/>
        <v>0</v>
      </c>
      <c r="R799" s="207">
        <f t="shared" si="106"/>
        <v>0</v>
      </c>
      <c r="S799" s="207">
        <f t="shared" si="107"/>
        <v>0</v>
      </c>
    </row>
    <row r="800" spans="11:19" ht="14.1" customHeight="1" x14ac:dyDescent="0.2">
      <c r="K800" s="186" t="str">
        <f t="shared" si="100"/>
        <v>PM_0</v>
      </c>
      <c r="L800" s="186">
        <f t="shared" si="101"/>
        <v>0</v>
      </c>
      <c r="M800" s="186">
        <f t="shared" si="102"/>
        <v>0</v>
      </c>
      <c r="N800" s="186">
        <f t="shared" si="103"/>
        <v>0</v>
      </c>
      <c r="P800" s="207" t="str">
        <f t="shared" si="104"/>
        <v>PM_0</v>
      </c>
      <c r="Q800" s="273">
        <f t="shared" si="105"/>
        <v>0</v>
      </c>
      <c r="R800" s="207">
        <f t="shared" si="106"/>
        <v>0</v>
      </c>
      <c r="S800" s="207">
        <f t="shared" si="107"/>
        <v>0</v>
      </c>
    </row>
    <row r="801" spans="11:19" ht="14.1" customHeight="1" x14ac:dyDescent="0.2">
      <c r="K801" s="186" t="str">
        <f t="shared" si="100"/>
        <v>PM_0</v>
      </c>
      <c r="L801" s="186">
        <f t="shared" si="101"/>
        <v>0</v>
      </c>
      <c r="M801" s="186">
        <f t="shared" si="102"/>
        <v>0</v>
      </c>
      <c r="N801" s="186">
        <f t="shared" si="103"/>
        <v>0</v>
      </c>
      <c r="P801" s="207" t="str">
        <f t="shared" si="104"/>
        <v>PM_0</v>
      </c>
      <c r="Q801" s="273">
        <f t="shared" si="105"/>
        <v>0</v>
      </c>
      <c r="R801" s="207">
        <f t="shared" si="106"/>
        <v>0</v>
      </c>
      <c r="S801" s="207">
        <f t="shared" si="107"/>
        <v>0</v>
      </c>
    </row>
    <row r="802" spans="11:19" ht="14.1" customHeight="1" x14ac:dyDescent="0.2">
      <c r="K802" s="186" t="str">
        <f t="shared" si="100"/>
        <v>PM_0</v>
      </c>
      <c r="L802" s="186">
        <f t="shared" si="101"/>
        <v>0</v>
      </c>
      <c r="M802" s="186">
        <f t="shared" si="102"/>
        <v>0</v>
      </c>
      <c r="N802" s="186">
        <f t="shared" si="103"/>
        <v>0</v>
      </c>
      <c r="P802" s="207" t="str">
        <f t="shared" si="104"/>
        <v>PM_0</v>
      </c>
      <c r="Q802" s="273">
        <f t="shared" si="105"/>
        <v>0</v>
      </c>
      <c r="R802" s="207">
        <f t="shared" si="106"/>
        <v>0</v>
      </c>
      <c r="S802" s="207">
        <f t="shared" si="107"/>
        <v>0</v>
      </c>
    </row>
    <row r="803" spans="11:19" ht="14.1" customHeight="1" x14ac:dyDescent="0.2">
      <c r="K803" s="186" t="str">
        <f t="shared" si="100"/>
        <v>PM_0</v>
      </c>
      <c r="L803" s="186">
        <f t="shared" si="101"/>
        <v>0</v>
      </c>
      <c r="M803" s="186">
        <f t="shared" si="102"/>
        <v>0</v>
      </c>
      <c r="N803" s="186">
        <f t="shared" si="103"/>
        <v>0</v>
      </c>
      <c r="P803" s="207" t="str">
        <f t="shared" si="104"/>
        <v>PM_0</v>
      </c>
      <c r="Q803" s="273">
        <f t="shared" si="105"/>
        <v>0</v>
      </c>
      <c r="R803" s="207">
        <f t="shared" si="106"/>
        <v>0</v>
      </c>
      <c r="S803" s="207">
        <f t="shared" si="107"/>
        <v>0</v>
      </c>
    </row>
    <row r="804" spans="11:19" ht="14.1" customHeight="1" x14ac:dyDescent="0.2">
      <c r="K804" s="186" t="str">
        <f t="shared" si="100"/>
        <v>PM_0</v>
      </c>
      <c r="L804" s="186">
        <f t="shared" si="101"/>
        <v>0</v>
      </c>
      <c r="M804" s="186">
        <f t="shared" si="102"/>
        <v>0</v>
      </c>
      <c r="N804" s="186">
        <f t="shared" si="103"/>
        <v>0</v>
      </c>
      <c r="P804" s="207" t="str">
        <f t="shared" si="104"/>
        <v>PM_0</v>
      </c>
      <c r="Q804" s="273">
        <f t="shared" si="105"/>
        <v>0</v>
      </c>
      <c r="R804" s="207">
        <f t="shared" si="106"/>
        <v>0</v>
      </c>
      <c r="S804" s="207">
        <f t="shared" si="107"/>
        <v>0</v>
      </c>
    </row>
    <row r="805" spans="11:19" ht="14.1" customHeight="1" x14ac:dyDescent="0.2">
      <c r="K805" s="186" t="str">
        <f t="shared" si="100"/>
        <v>PM_0</v>
      </c>
      <c r="L805" s="186">
        <f t="shared" si="101"/>
        <v>0</v>
      </c>
      <c r="M805" s="186">
        <f t="shared" si="102"/>
        <v>0</v>
      </c>
      <c r="N805" s="186">
        <f t="shared" si="103"/>
        <v>0</v>
      </c>
      <c r="P805" s="207" t="str">
        <f t="shared" si="104"/>
        <v>PM_0</v>
      </c>
      <c r="Q805" s="273">
        <f t="shared" si="105"/>
        <v>0</v>
      </c>
      <c r="R805" s="207">
        <f t="shared" si="106"/>
        <v>0</v>
      </c>
      <c r="S805" s="207">
        <f t="shared" si="107"/>
        <v>0</v>
      </c>
    </row>
    <row r="806" spans="11:19" ht="14.1" customHeight="1" x14ac:dyDescent="0.2">
      <c r="K806" s="186" t="str">
        <f t="shared" si="100"/>
        <v>PM_0</v>
      </c>
      <c r="L806" s="186">
        <f t="shared" si="101"/>
        <v>0</v>
      </c>
      <c r="M806" s="186">
        <f t="shared" si="102"/>
        <v>0</v>
      </c>
      <c r="N806" s="186">
        <f t="shared" si="103"/>
        <v>0</v>
      </c>
      <c r="P806" s="207" t="str">
        <f t="shared" si="104"/>
        <v>PM_0</v>
      </c>
      <c r="Q806" s="273">
        <f t="shared" si="105"/>
        <v>0</v>
      </c>
      <c r="R806" s="207">
        <f t="shared" si="106"/>
        <v>0</v>
      </c>
      <c r="S806" s="207">
        <f t="shared" si="107"/>
        <v>0</v>
      </c>
    </row>
    <row r="807" spans="11:19" ht="14.1" customHeight="1" x14ac:dyDescent="0.2">
      <c r="K807" s="186" t="str">
        <f t="shared" si="100"/>
        <v>PM_0</v>
      </c>
      <c r="L807" s="186">
        <f t="shared" si="101"/>
        <v>0</v>
      </c>
      <c r="M807" s="186">
        <f t="shared" si="102"/>
        <v>0</v>
      </c>
      <c r="N807" s="186">
        <f t="shared" si="103"/>
        <v>0</v>
      </c>
      <c r="P807" s="207" t="str">
        <f t="shared" si="104"/>
        <v>PM_0</v>
      </c>
      <c r="Q807" s="273">
        <f t="shared" si="105"/>
        <v>0</v>
      </c>
      <c r="R807" s="207">
        <f t="shared" si="106"/>
        <v>0</v>
      </c>
      <c r="S807" s="207">
        <f t="shared" si="107"/>
        <v>0</v>
      </c>
    </row>
    <row r="808" spans="11:19" ht="14.1" customHeight="1" x14ac:dyDescent="0.2">
      <c r="K808" s="186" t="str">
        <f t="shared" si="100"/>
        <v>PM_0</v>
      </c>
      <c r="L808" s="186">
        <f t="shared" si="101"/>
        <v>0</v>
      </c>
      <c r="M808" s="186">
        <f t="shared" si="102"/>
        <v>0</v>
      </c>
      <c r="N808" s="186">
        <f t="shared" si="103"/>
        <v>0</v>
      </c>
      <c r="P808" s="207" t="str">
        <f t="shared" si="104"/>
        <v>PM_0</v>
      </c>
      <c r="Q808" s="273">
        <f t="shared" si="105"/>
        <v>0</v>
      </c>
      <c r="R808" s="207">
        <f t="shared" si="106"/>
        <v>0</v>
      </c>
      <c r="S808" s="207">
        <f t="shared" si="107"/>
        <v>0</v>
      </c>
    </row>
    <row r="809" spans="11:19" ht="14.1" customHeight="1" x14ac:dyDescent="0.2">
      <c r="K809" s="186" t="str">
        <f t="shared" si="100"/>
        <v>PM_0</v>
      </c>
      <c r="L809" s="186">
        <f t="shared" si="101"/>
        <v>0</v>
      </c>
      <c r="M809" s="186">
        <f t="shared" si="102"/>
        <v>0</v>
      </c>
      <c r="N809" s="186">
        <f t="shared" si="103"/>
        <v>0</v>
      </c>
      <c r="P809" s="207" t="str">
        <f t="shared" si="104"/>
        <v>PM_0</v>
      </c>
      <c r="Q809" s="273">
        <f t="shared" si="105"/>
        <v>0</v>
      </c>
      <c r="R809" s="207">
        <f t="shared" si="106"/>
        <v>0</v>
      </c>
      <c r="S809" s="207">
        <f t="shared" si="107"/>
        <v>0</v>
      </c>
    </row>
    <row r="810" spans="11:19" ht="14.1" customHeight="1" x14ac:dyDescent="0.2">
      <c r="K810" s="186" t="str">
        <f t="shared" si="100"/>
        <v>PM_0</v>
      </c>
      <c r="L810" s="186">
        <f t="shared" si="101"/>
        <v>0</v>
      </c>
      <c r="M810" s="186">
        <f t="shared" si="102"/>
        <v>0</v>
      </c>
      <c r="N810" s="186">
        <f t="shared" si="103"/>
        <v>0</v>
      </c>
      <c r="P810" s="207" t="str">
        <f t="shared" si="104"/>
        <v>PM_0</v>
      </c>
      <c r="Q810" s="273">
        <f t="shared" si="105"/>
        <v>0</v>
      </c>
      <c r="R810" s="207">
        <f t="shared" si="106"/>
        <v>0</v>
      </c>
      <c r="S810" s="207">
        <f t="shared" si="107"/>
        <v>0</v>
      </c>
    </row>
    <row r="811" spans="11:19" ht="14.1" customHeight="1" x14ac:dyDescent="0.2">
      <c r="K811" s="186" t="str">
        <f t="shared" si="100"/>
        <v>PM_0</v>
      </c>
      <c r="L811" s="186">
        <f t="shared" si="101"/>
        <v>0</v>
      </c>
      <c r="M811" s="186">
        <f t="shared" si="102"/>
        <v>0</v>
      </c>
      <c r="N811" s="186">
        <f t="shared" si="103"/>
        <v>0</v>
      </c>
      <c r="P811" s="207" t="str">
        <f t="shared" si="104"/>
        <v>PM_0</v>
      </c>
      <c r="Q811" s="273">
        <f t="shared" si="105"/>
        <v>0</v>
      </c>
      <c r="R811" s="207">
        <f t="shared" si="106"/>
        <v>0</v>
      </c>
      <c r="S811" s="207">
        <f t="shared" si="107"/>
        <v>0</v>
      </c>
    </row>
    <row r="812" spans="11:19" ht="14.1" customHeight="1" x14ac:dyDescent="0.2">
      <c r="K812" s="186" t="str">
        <f t="shared" si="100"/>
        <v>PM_0</v>
      </c>
      <c r="L812" s="186">
        <f t="shared" si="101"/>
        <v>0</v>
      </c>
      <c r="M812" s="186">
        <f t="shared" si="102"/>
        <v>0</v>
      </c>
      <c r="N812" s="186">
        <f t="shared" si="103"/>
        <v>0</v>
      </c>
      <c r="P812" s="207" t="str">
        <f t="shared" si="104"/>
        <v>PM_0</v>
      </c>
      <c r="Q812" s="273">
        <f t="shared" si="105"/>
        <v>0</v>
      </c>
      <c r="R812" s="207">
        <f t="shared" si="106"/>
        <v>0</v>
      </c>
      <c r="S812" s="207">
        <f t="shared" si="107"/>
        <v>0</v>
      </c>
    </row>
    <row r="813" spans="11:19" ht="14.1" customHeight="1" x14ac:dyDescent="0.2">
      <c r="K813" s="186" t="str">
        <f t="shared" si="100"/>
        <v>PM_0</v>
      </c>
      <c r="L813" s="186">
        <f t="shared" si="101"/>
        <v>0</v>
      </c>
      <c r="M813" s="186">
        <f t="shared" si="102"/>
        <v>0</v>
      </c>
      <c r="N813" s="186">
        <f t="shared" si="103"/>
        <v>0</v>
      </c>
      <c r="P813" s="207" t="str">
        <f t="shared" si="104"/>
        <v>PM_0</v>
      </c>
      <c r="Q813" s="273">
        <f t="shared" si="105"/>
        <v>0</v>
      </c>
      <c r="R813" s="207">
        <f t="shared" si="106"/>
        <v>0</v>
      </c>
      <c r="S813" s="207">
        <f t="shared" si="107"/>
        <v>0</v>
      </c>
    </row>
    <row r="814" spans="11:19" ht="14.1" customHeight="1" x14ac:dyDescent="0.2">
      <c r="K814" s="186" t="str">
        <f t="shared" si="100"/>
        <v>PM_0</v>
      </c>
      <c r="L814" s="186">
        <f t="shared" si="101"/>
        <v>0</v>
      </c>
      <c r="M814" s="186">
        <f t="shared" si="102"/>
        <v>0</v>
      </c>
      <c r="N814" s="186">
        <f t="shared" si="103"/>
        <v>0</v>
      </c>
      <c r="P814" s="207" t="str">
        <f t="shared" si="104"/>
        <v>PM_0</v>
      </c>
      <c r="Q814" s="273">
        <f t="shared" si="105"/>
        <v>0</v>
      </c>
      <c r="R814" s="207">
        <f t="shared" si="106"/>
        <v>0</v>
      </c>
      <c r="S814" s="207">
        <f t="shared" si="107"/>
        <v>0</v>
      </c>
    </row>
    <row r="815" spans="11:19" ht="14.1" customHeight="1" x14ac:dyDescent="0.2">
      <c r="K815" s="186" t="str">
        <f t="shared" si="100"/>
        <v>PM_0</v>
      </c>
      <c r="L815" s="186">
        <f t="shared" si="101"/>
        <v>0</v>
      </c>
      <c r="M815" s="186">
        <f t="shared" si="102"/>
        <v>0</v>
      </c>
      <c r="N815" s="186">
        <f t="shared" si="103"/>
        <v>0</v>
      </c>
      <c r="P815" s="207" t="str">
        <f t="shared" si="104"/>
        <v>PM_0</v>
      </c>
      <c r="Q815" s="273">
        <f t="shared" si="105"/>
        <v>0</v>
      </c>
      <c r="R815" s="207">
        <f t="shared" si="106"/>
        <v>0</v>
      </c>
      <c r="S815" s="207">
        <f t="shared" si="107"/>
        <v>0</v>
      </c>
    </row>
    <row r="816" spans="11:19" ht="14.1" customHeight="1" x14ac:dyDescent="0.2">
      <c r="K816" s="186" t="str">
        <f t="shared" si="100"/>
        <v>PM_0</v>
      </c>
      <c r="L816" s="186">
        <f t="shared" si="101"/>
        <v>0</v>
      </c>
      <c r="M816" s="186">
        <f t="shared" si="102"/>
        <v>0</v>
      </c>
      <c r="N816" s="186">
        <f t="shared" si="103"/>
        <v>0</v>
      </c>
      <c r="P816" s="207" t="str">
        <f t="shared" si="104"/>
        <v>PM_0</v>
      </c>
      <c r="Q816" s="273">
        <f t="shared" si="105"/>
        <v>0</v>
      </c>
      <c r="R816" s="207">
        <f t="shared" si="106"/>
        <v>0</v>
      </c>
      <c r="S816" s="207">
        <f t="shared" si="107"/>
        <v>0</v>
      </c>
    </row>
    <row r="817" spans="11:19" ht="14.1" customHeight="1" x14ac:dyDescent="0.2">
      <c r="K817" s="186" t="str">
        <f t="shared" si="100"/>
        <v>PM_0</v>
      </c>
      <c r="L817" s="186">
        <f t="shared" si="101"/>
        <v>0</v>
      </c>
      <c r="M817" s="186">
        <f t="shared" si="102"/>
        <v>0</v>
      </c>
      <c r="N817" s="186">
        <f t="shared" si="103"/>
        <v>0</v>
      </c>
      <c r="P817" s="207" t="str">
        <f t="shared" si="104"/>
        <v>PM_0</v>
      </c>
      <c r="Q817" s="273">
        <f t="shared" si="105"/>
        <v>0</v>
      </c>
      <c r="R817" s="207">
        <f t="shared" si="106"/>
        <v>0</v>
      </c>
      <c r="S817" s="207">
        <f t="shared" si="107"/>
        <v>0</v>
      </c>
    </row>
    <row r="818" spans="11:19" ht="14.1" customHeight="1" x14ac:dyDescent="0.2">
      <c r="K818" s="186" t="str">
        <f t="shared" si="100"/>
        <v>PM_0</v>
      </c>
      <c r="L818" s="186">
        <f t="shared" si="101"/>
        <v>0</v>
      </c>
      <c r="M818" s="186">
        <f t="shared" si="102"/>
        <v>0</v>
      </c>
      <c r="N818" s="186">
        <f t="shared" si="103"/>
        <v>0</v>
      </c>
      <c r="P818" s="207" t="str">
        <f t="shared" si="104"/>
        <v>PM_0</v>
      </c>
      <c r="Q818" s="273">
        <f t="shared" si="105"/>
        <v>0</v>
      </c>
      <c r="R818" s="207">
        <f t="shared" si="106"/>
        <v>0</v>
      </c>
      <c r="S818" s="207">
        <f t="shared" si="107"/>
        <v>0</v>
      </c>
    </row>
    <row r="819" spans="11:19" ht="14.1" customHeight="1" x14ac:dyDescent="0.2">
      <c r="K819" s="186" t="str">
        <f t="shared" si="100"/>
        <v>PM_0</v>
      </c>
      <c r="L819" s="186">
        <f t="shared" si="101"/>
        <v>0</v>
      </c>
      <c r="M819" s="186">
        <f t="shared" si="102"/>
        <v>0</v>
      </c>
      <c r="N819" s="186">
        <f t="shared" si="103"/>
        <v>0</v>
      </c>
      <c r="P819" s="207" t="str">
        <f t="shared" si="104"/>
        <v>PM_0</v>
      </c>
      <c r="Q819" s="273">
        <f t="shared" si="105"/>
        <v>0</v>
      </c>
      <c r="R819" s="207">
        <f t="shared" si="106"/>
        <v>0</v>
      </c>
      <c r="S819" s="207">
        <f t="shared" si="107"/>
        <v>0</v>
      </c>
    </row>
    <row r="820" spans="11:19" ht="14.1" customHeight="1" x14ac:dyDescent="0.2">
      <c r="K820" s="186" t="str">
        <f t="shared" si="100"/>
        <v>PM_0</v>
      </c>
      <c r="L820" s="186">
        <f t="shared" si="101"/>
        <v>0</v>
      </c>
      <c r="M820" s="186">
        <f t="shared" si="102"/>
        <v>0</v>
      </c>
      <c r="N820" s="186">
        <f t="shared" si="103"/>
        <v>0</v>
      </c>
      <c r="P820" s="207" t="str">
        <f t="shared" si="104"/>
        <v>PM_0</v>
      </c>
      <c r="Q820" s="273">
        <f t="shared" si="105"/>
        <v>0</v>
      </c>
      <c r="R820" s="207">
        <f t="shared" si="106"/>
        <v>0</v>
      </c>
      <c r="S820" s="207">
        <f t="shared" si="107"/>
        <v>0</v>
      </c>
    </row>
    <row r="821" spans="11:19" ht="14.1" customHeight="1" x14ac:dyDescent="0.2">
      <c r="K821" s="186" t="str">
        <f t="shared" si="100"/>
        <v>PM_0</v>
      </c>
      <c r="L821" s="186">
        <f t="shared" si="101"/>
        <v>0</v>
      </c>
      <c r="M821" s="186">
        <f t="shared" si="102"/>
        <v>0</v>
      </c>
      <c r="N821" s="186">
        <f t="shared" si="103"/>
        <v>0</v>
      </c>
      <c r="P821" s="207" t="str">
        <f t="shared" si="104"/>
        <v>PM_0</v>
      </c>
      <c r="Q821" s="273">
        <f t="shared" si="105"/>
        <v>0</v>
      </c>
      <c r="R821" s="207">
        <f t="shared" si="106"/>
        <v>0</v>
      </c>
      <c r="S821" s="207">
        <f t="shared" si="107"/>
        <v>0</v>
      </c>
    </row>
    <row r="822" spans="11:19" ht="14.1" customHeight="1" x14ac:dyDescent="0.2">
      <c r="K822" s="186" t="str">
        <f t="shared" si="100"/>
        <v>PM_0</v>
      </c>
      <c r="L822" s="186">
        <f t="shared" si="101"/>
        <v>0</v>
      </c>
      <c r="M822" s="186">
        <f t="shared" si="102"/>
        <v>0</v>
      </c>
      <c r="N822" s="186">
        <f t="shared" si="103"/>
        <v>0</v>
      </c>
      <c r="P822" s="207" t="str">
        <f t="shared" si="104"/>
        <v>PM_0</v>
      </c>
      <c r="Q822" s="273">
        <f t="shared" si="105"/>
        <v>0</v>
      </c>
      <c r="R822" s="207">
        <f t="shared" si="106"/>
        <v>0</v>
      </c>
      <c r="S822" s="207">
        <f t="shared" si="107"/>
        <v>0</v>
      </c>
    </row>
    <row r="823" spans="11:19" ht="14.1" customHeight="1" x14ac:dyDescent="0.2">
      <c r="K823" s="186" t="str">
        <f t="shared" si="100"/>
        <v>PM_0</v>
      </c>
      <c r="L823" s="186">
        <f t="shared" si="101"/>
        <v>0</v>
      </c>
      <c r="M823" s="186">
        <f t="shared" si="102"/>
        <v>0</v>
      </c>
      <c r="N823" s="186">
        <f t="shared" si="103"/>
        <v>0</v>
      </c>
      <c r="P823" s="207" t="str">
        <f t="shared" si="104"/>
        <v>PM_0</v>
      </c>
      <c r="Q823" s="273">
        <f t="shared" si="105"/>
        <v>0</v>
      </c>
      <c r="R823" s="207">
        <f t="shared" si="106"/>
        <v>0</v>
      </c>
      <c r="S823" s="207">
        <f t="shared" si="107"/>
        <v>0</v>
      </c>
    </row>
    <row r="824" spans="11:19" ht="14.1" customHeight="1" x14ac:dyDescent="0.2">
      <c r="K824" s="186" t="str">
        <f t="shared" si="100"/>
        <v>PM_0</v>
      </c>
      <c r="L824" s="186">
        <f t="shared" si="101"/>
        <v>0</v>
      </c>
      <c r="M824" s="186">
        <f t="shared" si="102"/>
        <v>0</v>
      </c>
      <c r="N824" s="186">
        <f t="shared" si="103"/>
        <v>0</v>
      </c>
      <c r="P824" s="207" t="str">
        <f t="shared" si="104"/>
        <v>PM_0</v>
      </c>
      <c r="Q824" s="273">
        <f t="shared" si="105"/>
        <v>0</v>
      </c>
      <c r="R824" s="207">
        <f t="shared" si="106"/>
        <v>0</v>
      </c>
      <c r="S824" s="207">
        <f t="shared" si="107"/>
        <v>0</v>
      </c>
    </row>
    <row r="825" spans="11:19" ht="14.1" customHeight="1" x14ac:dyDescent="0.2">
      <c r="K825" s="186" t="str">
        <f t="shared" si="100"/>
        <v>PM_0</v>
      </c>
      <c r="L825" s="186">
        <f t="shared" si="101"/>
        <v>0</v>
      </c>
      <c r="M825" s="186">
        <f t="shared" si="102"/>
        <v>0</v>
      </c>
      <c r="N825" s="186">
        <f t="shared" si="103"/>
        <v>0</v>
      </c>
      <c r="P825" s="207" t="str">
        <f t="shared" si="104"/>
        <v>PM_0</v>
      </c>
      <c r="Q825" s="273">
        <f t="shared" si="105"/>
        <v>0</v>
      </c>
      <c r="R825" s="207">
        <f t="shared" si="106"/>
        <v>0</v>
      </c>
      <c r="S825" s="207">
        <f t="shared" si="107"/>
        <v>0</v>
      </c>
    </row>
    <row r="826" spans="11:19" ht="14.1" customHeight="1" x14ac:dyDescent="0.2">
      <c r="K826" s="186" t="str">
        <f t="shared" si="100"/>
        <v>PM_0</v>
      </c>
      <c r="L826" s="186">
        <f t="shared" si="101"/>
        <v>0</v>
      </c>
      <c r="M826" s="186">
        <f t="shared" si="102"/>
        <v>0</v>
      </c>
      <c r="N826" s="186">
        <f t="shared" si="103"/>
        <v>0</v>
      </c>
      <c r="P826" s="207" t="str">
        <f t="shared" si="104"/>
        <v>PM_0</v>
      </c>
      <c r="Q826" s="273">
        <f t="shared" si="105"/>
        <v>0</v>
      </c>
      <c r="R826" s="207">
        <f t="shared" si="106"/>
        <v>0</v>
      </c>
      <c r="S826" s="207">
        <f t="shared" si="107"/>
        <v>0</v>
      </c>
    </row>
    <row r="827" spans="11:19" ht="14.1" customHeight="1" x14ac:dyDescent="0.2">
      <c r="K827" s="186" t="str">
        <f t="shared" si="100"/>
        <v>PM_0</v>
      </c>
      <c r="L827" s="186">
        <f t="shared" si="101"/>
        <v>0</v>
      </c>
      <c r="M827" s="186">
        <f t="shared" si="102"/>
        <v>0</v>
      </c>
      <c r="N827" s="186">
        <f t="shared" si="103"/>
        <v>0</v>
      </c>
      <c r="P827" s="207" t="str">
        <f t="shared" si="104"/>
        <v>PM_0</v>
      </c>
      <c r="Q827" s="273">
        <f t="shared" si="105"/>
        <v>0</v>
      </c>
      <c r="R827" s="207">
        <f t="shared" si="106"/>
        <v>0</v>
      </c>
      <c r="S827" s="207">
        <f t="shared" si="107"/>
        <v>0</v>
      </c>
    </row>
    <row r="828" spans="11:19" ht="14.1" customHeight="1" x14ac:dyDescent="0.2">
      <c r="K828" s="186" t="str">
        <f t="shared" si="100"/>
        <v>PM_0</v>
      </c>
      <c r="L828" s="186">
        <f t="shared" si="101"/>
        <v>0</v>
      </c>
      <c r="M828" s="186">
        <f t="shared" si="102"/>
        <v>0</v>
      </c>
      <c r="N828" s="186">
        <f t="shared" si="103"/>
        <v>0</v>
      </c>
      <c r="P828" s="207" t="str">
        <f t="shared" si="104"/>
        <v>PM_0</v>
      </c>
      <c r="Q828" s="273">
        <f t="shared" si="105"/>
        <v>0</v>
      </c>
      <c r="R828" s="207">
        <f t="shared" si="106"/>
        <v>0</v>
      </c>
      <c r="S828" s="207">
        <f t="shared" si="107"/>
        <v>0</v>
      </c>
    </row>
    <row r="829" spans="11:19" ht="14.1" customHeight="1" x14ac:dyDescent="0.2">
      <c r="K829" s="186" t="str">
        <f t="shared" si="100"/>
        <v>PM_0</v>
      </c>
      <c r="L829" s="186">
        <f t="shared" si="101"/>
        <v>0</v>
      </c>
      <c r="M829" s="186">
        <f t="shared" si="102"/>
        <v>0</v>
      </c>
      <c r="N829" s="186">
        <f t="shared" si="103"/>
        <v>0</v>
      </c>
      <c r="P829" s="207" t="str">
        <f t="shared" si="104"/>
        <v>PM_0</v>
      </c>
      <c r="Q829" s="273">
        <f t="shared" si="105"/>
        <v>0</v>
      </c>
      <c r="R829" s="207">
        <f t="shared" si="106"/>
        <v>0</v>
      </c>
      <c r="S829" s="207">
        <f t="shared" si="107"/>
        <v>0</v>
      </c>
    </row>
    <row r="830" spans="11:19" ht="14.1" customHeight="1" x14ac:dyDescent="0.2">
      <c r="K830" s="186" t="str">
        <f t="shared" si="100"/>
        <v>PM_0</v>
      </c>
      <c r="L830" s="186">
        <f t="shared" si="101"/>
        <v>0</v>
      </c>
      <c r="M830" s="186">
        <f t="shared" si="102"/>
        <v>0</v>
      </c>
      <c r="N830" s="186">
        <f t="shared" si="103"/>
        <v>0</v>
      </c>
      <c r="P830" s="207" t="str">
        <f t="shared" si="104"/>
        <v>PM_0</v>
      </c>
      <c r="Q830" s="273">
        <f t="shared" si="105"/>
        <v>0</v>
      </c>
      <c r="R830" s="207">
        <f t="shared" si="106"/>
        <v>0</v>
      </c>
      <c r="S830" s="207">
        <f t="shared" si="107"/>
        <v>0</v>
      </c>
    </row>
    <row r="831" spans="11:19" ht="14.1" customHeight="1" x14ac:dyDescent="0.2">
      <c r="K831" s="186" t="str">
        <f t="shared" si="100"/>
        <v>PM_0</v>
      </c>
      <c r="L831" s="186">
        <f t="shared" si="101"/>
        <v>0</v>
      </c>
      <c r="M831" s="186">
        <f t="shared" si="102"/>
        <v>0</v>
      </c>
      <c r="N831" s="186">
        <f t="shared" si="103"/>
        <v>0</v>
      </c>
      <c r="P831" s="207" t="str">
        <f t="shared" si="104"/>
        <v>PM_0</v>
      </c>
      <c r="Q831" s="273">
        <f t="shared" si="105"/>
        <v>0</v>
      </c>
      <c r="R831" s="207">
        <f t="shared" si="106"/>
        <v>0</v>
      </c>
      <c r="S831" s="207">
        <f t="shared" si="107"/>
        <v>0</v>
      </c>
    </row>
    <row r="832" spans="11:19" ht="14.1" customHeight="1" x14ac:dyDescent="0.2">
      <c r="K832" s="186" t="str">
        <f t="shared" si="100"/>
        <v>PM_0</v>
      </c>
      <c r="L832" s="186">
        <f t="shared" si="101"/>
        <v>0</v>
      </c>
      <c r="M832" s="186">
        <f t="shared" si="102"/>
        <v>0</v>
      </c>
      <c r="N832" s="186">
        <f t="shared" si="103"/>
        <v>0</v>
      </c>
      <c r="P832" s="207" t="str">
        <f t="shared" si="104"/>
        <v>PM_0</v>
      </c>
      <c r="Q832" s="273">
        <f t="shared" si="105"/>
        <v>0</v>
      </c>
      <c r="R832" s="207">
        <f t="shared" si="106"/>
        <v>0</v>
      </c>
      <c r="S832" s="207">
        <f t="shared" si="107"/>
        <v>0</v>
      </c>
    </row>
    <row r="833" spans="11:19" ht="14.1" customHeight="1" x14ac:dyDescent="0.2">
      <c r="K833" s="186" t="str">
        <f t="shared" si="100"/>
        <v>PM_0</v>
      </c>
      <c r="L833" s="186">
        <f t="shared" si="101"/>
        <v>0</v>
      </c>
      <c r="M833" s="186">
        <f t="shared" si="102"/>
        <v>0</v>
      </c>
      <c r="N833" s="186">
        <f t="shared" si="103"/>
        <v>0</v>
      </c>
      <c r="P833" s="207" t="str">
        <f t="shared" si="104"/>
        <v>PM_0</v>
      </c>
      <c r="Q833" s="273">
        <f t="shared" si="105"/>
        <v>0</v>
      </c>
      <c r="R833" s="207">
        <f t="shared" si="106"/>
        <v>0</v>
      </c>
      <c r="S833" s="207">
        <f t="shared" si="107"/>
        <v>0</v>
      </c>
    </row>
    <row r="834" spans="11:19" ht="14.1" customHeight="1" x14ac:dyDescent="0.2">
      <c r="K834" s="186" t="str">
        <f t="shared" si="100"/>
        <v>PM_0</v>
      </c>
      <c r="L834" s="186">
        <f t="shared" si="101"/>
        <v>0</v>
      </c>
      <c r="M834" s="186">
        <f t="shared" si="102"/>
        <v>0</v>
      </c>
      <c r="N834" s="186">
        <f t="shared" si="103"/>
        <v>0</v>
      </c>
      <c r="P834" s="207" t="str">
        <f t="shared" si="104"/>
        <v>PM_0</v>
      </c>
      <c r="Q834" s="273">
        <f t="shared" si="105"/>
        <v>0</v>
      </c>
      <c r="R834" s="207">
        <f t="shared" si="106"/>
        <v>0</v>
      </c>
      <c r="S834" s="207">
        <f t="shared" si="107"/>
        <v>0</v>
      </c>
    </row>
    <row r="835" spans="11:19" ht="14.1" customHeight="1" x14ac:dyDescent="0.2">
      <c r="K835" s="186" t="str">
        <f t="shared" si="100"/>
        <v>PM_0</v>
      </c>
      <c r="L835" s="186">
        <f t="shared" si="101"/>
        <v>0</v>
      </c>
      <c r="M835" s="186">
        <f t="shared" si="102"/>
        <v>0</v>
      </c>
      <c r="N835" s="186">
        <f t="shared" si="103"/>
        <v>0</v>
      </c>
      <c r="P835" s="207" t="str">
        <f t="shared" si="104"/>
        <v>PM_0</v>
      </c>
      <c r="Q835" s="273">
        <f t="shared" si="105"/>
        <v>0</v>
      </c>
      <c r="R835" s="207">
        <f t="shared" si="106"/>
        <v>0</v>
      </c>
      <c r="S835" s="207">
        <f t="shared" si="107"/>
        <v>0</v>
      </c>
    </row>
    <row r="836" spans="11:19" ht="14.1" customHeight="1" x14ac:dyDescent="0.2">
      <c r="K836" s="186" t="str">
        <f t="shared" si="100"/>
        <v>PM_0</v>
      </c>
      <c r="L836" s="186">
        <f t="shared" si="101"/>
        <v>0</v>
      </c>
      <c r="M836" s="186">
        <f t="shared" si="102"/>
        <v>0</v>
      </c>
      <c r="N836" s="186">
        <f t="shared" si="103"/>
        <v>0</v>
      </c>
      <c r="P836" s="207" t="str">
        <f t="shared" si="104"/>
        <v>PM_0</v>
      </c>
      <c r="Q836" s="273">
        <f t="shared" si="105"/>
        <v>0</v>
      </c>
      <c r="R836" s="207">
        <f t="shared" si="106"/>
        <v>0</v>
      </c>
      <c r="S836" s="207">
        <f t="shared" si="107"/>
        <v>0</v>
      </c>
    </row>
    <row r="837" spans="11:19" ht="14.1" customHeight="1" x14ac:dyDescent="0.2">
      <c r="K837" s="186" t="str">
        <f t="shared" si="100"/>
        <v>PM_0</v>
      </c>
      <c r="L837" s="186">
        <f t="shared" si="101"/>
        <v>0</v>
      </c>
      <c r="M837" s="186">
        <f t="shared" si="102"/>
        <v>0</v>
      </c>
      <c r="N837" s="186">
        <f t="shared" si="103"/>
        <v>0</v>
      </c>
      <c r="P837" s="207" t="str">
        <f t="shared" si="104"/>
        <v>PM_0</v>
      </c>
      <c r="Q837" s="273">
        <f t="shared" si="105"/>
        <v>0</v>
      </c>
      <c r="R837" s="207">
        <f t="shared" si="106"/>
        <v>0</v>
      </c>
      <c r="S837" s="207">
        <f t="shared" si="107"/>
        <v>0</v>
      </c>
    </row>
    <row r="838" spans="11:19" ht="14.1" customHeight="1" x14ac:dyDescent="0.2">
      <c r="K838" s="186" t="str">
        <f t="shared" si="100"/>
        <v>PM_0</v>
      </c>
      <c r="L838" s="186">
        <f t="shared" si="101"/>
        <v>0</v>
      </c>
      <c r="M838" s="186">
        <f t="shared" si="102"/>
        <v>0</v>
      </c>
      <c r="N838" s="186">
        <f t="shared" si="103"/>
        <v>0</v>
      </c>
      <c r="P838" s="207" t="str">
        <f t="shared" si="104"/>
        <v>PM_0</v>
      </c>
      <c r="Q838" s="273">
        <f t="shared" si="105"/>
        <v>0</v>
      </c>
      <c r="R838" s="207">
        <f t="shared" si="106"/>
        <v>0</v>
      </c>
      <c r="S838" s="207">
        <f t="shared" si="107"/>
        <v>0</v>
      </c>
    </row>
    <row r="839" spans="11:19" ht="14.1" customHeight="1" x14ac:dyDescent="0.2">
      <c r="K839" s="186" t="str">
        <f t="shared" si="100"/>
        <v>PM_0</v>
      </c>
      <c r="L839" s="186">
        <f t="shared" si="101"/>
        <v>0</v>
      </c>
      <c r="M839" s="186">
        <f t="shared" si="102"/>
        <v>0</v>
      </c>
      <c r="N839" s="186">
        <f t="shared" si="103"/>
        <v>0</v>
      </c>
      <c r="P839" s="207" t="str">
        <f t="shared" si="104"/>
        <v>PM_0</v>
      </c>
      <c r="Q839" s="273">
        <f t="shared" si="105"/>
        <v>0</v>
      </c>
      <c r="R839" s="207">
        <f t="shared" si="106"/>
        <v>0</v>
      </c>
      <c r="S839" s="207">
        <f t="shared" si="107"/>
        <v>0</v>
      </c>
    </row>
    <row r="840" spans="11:19" ht="14.1" customHeight="1" x14ac:dyDescent="0.2">
      <c r="K840" s="186" t="str">
        <f t="shared" si="100"/>
        <v>PM_0</v>
      </c>
      <c r="L840" s="186">
        <f t="shared" si="101"/>
        <v>0</v>
      </c>
      <c r="M840" s="186">
        <f t="shared" si="102"/>
        <v>0</v>
      </c>
      <c r="N840" s="186">
        <f t="shared" si="103"/>
        <v>0</v>
      </c>
      <c r="P840" s="207" t="str">
        <f t="shared" si="104"/>
        <v>PM_0</v>
      </c>
      <c r="Q840" s="273">
        <f t="shared" si="105"/>
        <v>0</v>
      </c>
      <c r="R840" s="207">
        <f t="shared" si="106"/>
        <v>0</v>
      </c>
      <c r="S840" s="207">
        <f t="shared" si="107"/>
        <v>0</v>
      </c>
    </row>
    <row r="841" spans="11:19" ht="14.1" customHeight="1" x14ac:dyDescent="0.2">
      <c r="K841" s="186" t="str">
        <f t="shared" si="100"/>
        <v>PM_0</v>
      </c>
      <c r="L841" s="186">
        <f t="shared" si="101"/>
        <v>0</v>
      </c>
      <c r="M841" s="186">
        <f t="shared" si="102"/>
        <v>0</v>
      </c>
      <c r="N841" s="186">
        <f t="shared" si="103"/>
        <v>0</v>
      </c>
      <c r="P841" s="207" t="str">
        <f t="shared" si="104"/>
        <v>PM_0</v>
      </c>
      <c r="Q841" s="273">
        <f t="shared" si="105"/>
        <v>0</v>
      </c>
      <c r="R841" s="207">
        <f t="shared" si="106"/>
        <v>0</v>
      </c>
      <c r="S841" s="207">
        <f t="shared" si="107"/>
        <v>0</v>
      </c>
    </row>
    <row r="842" spans="11:19" ht="14.1" customHeight="1" x14ac:dyDescent="0.2">
      <c r="K842" s="186" t="str">
        <f t="shared" si="100"/>
        <v>PM_0</v>
      </c>
      <c r="L842" s="186">
        <f t="shared" si="101"/>
        <v>0</v>
      </c>
      <c r="M842" s="186">
        <f t="shared" si="102"/>
        <v>0</v>
      </c>
      <c r="N842" s="186">
        <f t="shared" si="103"/>
        <v>0</v>
      </c>
      <c r="P842" s="207" t="str">
        <f t="shared" si="104"/>
        <v>PM_0</v>
      </c>
      <c r="Q842" s="273">
        <f t="shared" si="105"/>
        <v>0</v>
      </c>
      <c r="R842" s="207">
        <f t="shared" si="106"/>
        <v>0</v>
      </c>
      <c r="S842" s="207">
        <f t="shared" si="107"/>
        <v>0</v>
      </c>
    </row>
    <row r="843" spans="11:19" ht="14.1" customHeight="1" x14ac:dyDescent="0.2">
      <c r="K843" s="186" t="str">
        <f t="shared" ref="K843:K906" si="108">"PM_"&amp;ROUND(E843,2)</f>
        <v>PM_0</v>
      </c>
      <c r="L843" s="186">
        <f t="shared" ref="L843:L906" si="109">F843</f>
        <v>0</v>
      </c>
      <c r="M843" s="186">
        <f t="shared" ref="M843:M906" si="110">G843</f>
        <v>0</v>
      </c>
      <c r="N843" s="186">
        <f t="shared" ref="N843:N906" si="111">H843</f>
        <v>0</v>
      </c>
      <c r="P843" s="207" t="str">
        <f t="shared" ref="P843:P906" si="112">K843</f>
        <v>PM_0</v>
      </c>
      <c r="Q843" s="273">
        <f t="shared" ref="Q843:Q906" si="113">$S$1+E843</f>
        <v>0</v>
      </c>
      <c r="R843" s="207">
        <f t="shared" ref="R843:R906" si="114">H843</f>
        <v>0</v>
      </c>
      <c r="S843" s="207">
        <f t="shared" ref="S843:S906" si="115">$B$6</f>
        <v>0</v>
      </c>
    </row>
    <row r="844" spans="11:19" ht="14.1" customHeight="1" x14ac:dyDescent="0.2">
      <c r="K844" s="186" t="str">
        <f t="shared" si="108"/>
        <v>PM_0</v>
      </c>
      <c r="L844" s="186">
        <f t="shared" si="109"/>
        <v>0</v>
      </c>
      <c r="M844" s="186">
        <f t="shared" si="110"/>
        <v>0</v>
      </c>
      <c r="N844" s="186">
        <f t="shared" si="111"/>
        <v>0</v>
      </c>
      <c r="P844" s="207" t="str">
        <f t="shared" si="112"/>
        <v>PM_0</v>
      </c>
      <c r="Q844" s="273">
        <f t="shared" si="113"/>
        <v>0</v>
      </c>
      <c r="R844" s="207">
        <f t="shared" si="114"/>
        <v>0</v>
      </c>
      <c r="S844" s="207">
        <f t="shared" si="115"/>
        <v>0</v>
      </c>
    </row>
    <row r="845" spans="11:19" ht="14.1" customHeight="1" x14ac:dyDescent="0.2">
      <c r="K845" s="186" t="str">
        <f t="shared" si="108"/>
        <v>PM_0</v>
      </c>
      <c r="L845" s="186">
        <f t="shared" si="109"/>
        <v>0</v>
      </c>
      <c r="M845" s="186">
        <f t="shared" si="110"/>
        <v>0</v>
      </c>
      <c r="N845" s="186">
        <f t="shared" si="111"/>
        <v>0</v>
      </c>
      <c r="P845" s="207" t="str">
        <f t="shared" si="112"/>
        <v>PM_0</v>
      </c>
      <c r="Q845" s="273">
        <f t="shared" si="113"/>
        <v>0</v>
      </c>
      <c r="R845" s="207">
        <f t="shared" si="114"/>
        <v>0</v>
      </c>
      <c r="S845" s="207">
        <f t="shared" si="115"/>
        <v>0</v>
      </c>
    </row>
    <row r="846" spans="11:19" ht="14.1" customHeight="1" x14ac:dyDescent="0.2">
      <c r="K846" s="186" t="str">
        <f t="shared" si="108"/>
        <v>PM_0</v>
      </c>
      <c r="L846" s="186">
        <f t="shared" si="109"/>
        <v>0</v>
      </c>
      <c r="M846" s="186">
        <f t="shared" si="110"/>
        <v>0</v>
      </c>
      <c r="N846" s="186">
        <f t="shared" si="111"/>
        <v>0</v>
      </c>
      <c r="P846" s="207" t="str">
        <f t="shared" si="112"/>
        <v>PM_0</v>
      </c>
      <c r="Q846" s="273">
        <f t="shared" si="113"/>
        <v>0</v>
      </c>
      <c r="R846" s="207">
        <f t="shared" si="114"/>
        <v>0</v>
      </c>
      <c r="S846" s="207">
        <f t="shared" si="115"/>
        <v>0</v>
      </c>
    </row>
    <row r="847" spans="11:19" ht="14.1" customHeight="1" x14ac:dyDescent="0.2">
      <c r="K847" s="186" t="str">
        <f t="shared" si="108"/>
        <v>PM_0</v>
      </c>
      <c r="L847" s="186">
        <f t="shared" si="109"/>
        <v>0</v>
      </c>
      <c r="M847" s="186">
        <f t="shared" si="110"/>
        <v>0</v>
      </c>
      <c r="N847" s="186">
        <f t="shared" si="111"/>
        <v>0</v>
      </c>
      <c r="P847" s="207" t="str">
        <f t="shared" si="112"/>
        <v>PM_0</v>
      </c>
      <c r="Q847" s="273">
        <f t="shared" si="113"/>
        <v>0</v>
      </c>
      <c r="R847" s="207">
        <f t="shared" si="114"/>
        <v>0</v>
      </c>
      <c r="S847" s="207">
        <f t="shared" si="115"/>
        <v>0</v>
      </c>
    </row>
    <row r="848" spans="11:19" ht="14.1" customHeight="1" x14ac:dyDescent="0.2">
      <c r="K848" s="186" t="str">
        <f t="shared" si="108"/>
        <v>PM_0</v>
      </c>
      <c r="L848" s="186">
        <f t="shared" si="109"/>
        <v>0</v>
      </c>
      <c r="M848" s="186">
        <f t="shared" si="110"/>
        <v>0</v>
      </c>
      <c r="N848" s="186">
        <f t="shared" si="111"/>
        <v>0</v>
      </c>
      <c r="P848" s="207" t="str">
        <f t="shared" si="112"/>
        <v>PM_0</v>
      </c>
      <c r="Q848" s="273">
        <f t="shared" si="113"/>
        <v>0</v>
      </c>
      <c r="R848" s="207">
        <f t="shared" si="114"/>
        <v>0</v>
      </c>
      <c r="S848" s="207">
        <f t="shared" si="115"/>
        <v>0</v>
      </c>
    </row>
    <row r="849" spans="11:19" ht="14.1" customHeight="1" x14ac:dyDescent="0.2">
      <c r="K849" s="186" t="str">
        <f t="shared" si="108"/>
        <v>PM_0</v>
      </c>
      <c r="L849" s="186">
        <f t="shared" si="109"/>
        <v>0</v>
      </c>
      <c r="M849" s="186">
        <f t="shared" si="110"/>
        <v>0</v>
      </c>
      <c r="N849" s="186">
        <f t="shared" si="111"/>
        <v>0</v>
      </c>
      <c r="P849" s="207" t="str">
        <f t="shared" si="112"/>
        <v>PM_0</v>
      </c>
      <c r="Q849" s="273">
        <f t="shared" si="113"/>
        <v>0</v>
      </c>
      <c r="R849" s="207">
        <f t="shared" si="114"/>
        <v>0</v>
      </c>
      <c r="S849" s="207">
        <f t="shared" si="115"/>
        <v>0</v>
      </c>
    </row>
    <row r="850" spans="11:19" ht="14.1" customHeight="1" x14ac:dyDescent="0.2">
      <c r="K850" s="186" t="str">
        <f t="shared" si="108"/>
        <v>PM_0</v>
      </c>
      <c r="L850" s="186">
        <f t="shared" si="109"/>
        <v>0</v>
      </c>
      <c r="M850" s="186">
        <f t="shared" si="110"/>
        <v>0</v>
      </c>
      <c r="N850" s="186">
        <f t="shared" si="111"/>
        <v>0</v>
      </c>
      <c r="P850" s="207" t="str">
        <f t="shared" si="112"/>
        <v>PM_0</v>
      </c>
      <c r="Q850" s="273">
        <f t="shared" si="113"/>
        <v>0</v>
      </c>
      <c r="R850" s="207">
        <f t="shared" si="114"/>
        <v>0</v>
      </c>
      <c r="S850" s="207">
        <f t="shared" si="115"/>
        <v>0</v>
      </c>
    </row>
    <row r="851" spans="11:19" ht="14.1" customHeight="1" x14ac:dyDescent="0.2">
      <c r="K851" s="186" t="str">
        <f t="shared" si="108"/>
        <v>PM_0</v>
      </c>
      <c r="L851" s="186">
        <f t="shared" si="109"/>
        <v>0</v>
      </c>
      <c r="M851" s="186">
        <f t="shared" si="110"/>
        <v>0</v>
      </c>
      <c r="N851" s="186">
        <f t="shared" si="111"/>
        <v>0</v>
      </c>
      <c r="P851" s="207" t="str">
        <f t="shared" si="112"/>
        <v>PM_0</v>
      </c>
      <c r="Q851" s="273">
        <f t="shared" si="113"/>
        <v>0</v>
      </c>
      <c r="R851" s="207">
        <f t="shared" si="114"/>
        <v>0</v>
      </c>
      <c r="S851" s="207">
        <f t="shared" si="115"/>
        <v>0</v>
      </c>
    </row>
    <row r="852" spans="11:19" ht="14.1" customHeight="1" x14ac:dyDescent="0.2">
      <c r="K852" s="186" t="str">
        <f t="shared" si="108"/>
        <v>PM_0</v>
      </c>
      <c r="L852" s="186">
        <f t="shared" si="109"/>
        <v>0</v>
      </c>
      <c r="M852" s="186">
        <f t="shared" si="110"/>
        <v>0</v>
      </c>
      <c r="N852" s="186">
        <f t="shared" si="111"/>
        <v>0</v>
      </c>
      <c r="P852" s="207" t="str">
        <f t="shared" si="112"/>
        <v>PM_0</v>
      </c>
      <c r="Q852" s="273">
        <f t="shared" si="113"/>
        <v>0</v>
      </c>
      <c r="R852" s="207">
        <f t="shared" si="114"/>
        <v>0</v>
      </c>
      <c r="S852" s="207">
        <f t="shared" si="115"/>
        <v>0</v>
      </c>
    </row>
    <row r="853" spans="11:19" ht="14.1" customHeight="1" x14ac:dyDescent="0.2">
      <c r="K853" s="186" t="str">
        <f t="shared" si="108"/>
        <v>PM_0</v>
      </c>
      <c r="L853" s="186">
        <f t="shared" si="109"/>
        <v>0</v>
      </c>
      <c r="M853" s="186">
        <f t="shared" si="110"/>
        <v>0</v>
      </c>
      <c r="N853" s="186">
        <f t="shared" si="111"/>
        <v>0</v>
      </c>
      <c r="P853" s="207" t="str">
        <f t="shared" si="112"/>
        <v>PM_0</v>
      </c>
      <c r="Q853" s="273">
        <f t="shared" si="113"/>
        <v>0</v>
      </c>
      <c r="R853" s="207">
        <f t="shared" si="114"/>
        <v>0</v>
      </c>
      <c r="S853" s="207">
        <f t="shared" si="115"/>
        <v>0</v>
      </c>
    </row>
    <row r="854" spans="11:19" ht="14.1" customHeight="1" x14ac:dyDescent="0.2">
      <c r="K854" s="186" t="str">
        <f t="shared" si="108"/>
        <v>PM_0</v>
      </c>
      <c r="L854" s="186">
        <f t="shared" si="109"/>
        <v>0</v>
      </c>
      <c r="M854" s="186">
        <f t="shared" si="110"/>
        <v>0</v>
      </c>
      <c r="N854" s="186">
        <f t="shared" si="111"/>
        <v>0</v>
      </c>
      <c r="P854" s="207" t="str">
        <f t="shared" si="112"/>
        <v>PM_0</v>
      </c>
      <c r="Q854" s="273">
        <f t="shared" si="113"/>
        <v>0</v>
      </c>
      <c r="R854" s="207">
        <f t="shared" si="114"/>
        <v>0</v>
      </c>
      <c r="S854" s="207">
        <f t="shared" si="115"/>
        <v>0</v>
      </c>
    </row>
    <row r="855" spans="11:19" ht="14.1" customHeight="1" x14ac:dyDescent="0.2">
      <c r="K855" s="186" t="str">
        <f t="shared" si="108"/>
        <v>PM_0</v>
      </c>
      <c r="L855" s="186">
        <f t="shared" si="109"/>
        <v>0</v>
      </c>
      <c r="M855" s="186">
        <f t="shared" si="110"/>
        <v>0</v>
      </c>
      <c r="N855" s="186">
        <f t="shared" si="111"/>
        <v>0</v>
      </c>
      <c r="P855" s="207" t="str">
        <f t="shared" si="112"/>
        <v>PM_0</v>
      </c>
      <c r="Q855" s="273">
        <f t="shared" si="113"/>
        <v>0</v>
      </c>
      <c r="R855" s="207">
        <f t="shared" si="114"/>
        <v>0</v>
      </c>
      <c r="S855" s="207">
        <f t="shared" si="115"/>
        <v>0</v>
      </c>
    </row>
    <row r="856" spans="11:19" ht="14.1" customHeight="1" x14ac:dyDescent="0.2">
      <c r="K856" s="186" t="str">
        <f t="shared" si="108"/>
        <v>PM_0</v>
      </c>
      <c r="L856" s="186">
        <f t="shared" si="109"/>
        <v>0</v>
      </c>
      <c r="M856" s="186">
        <f t="shared" si="110"/>
        <v>0</v>
      </c>
      <c r="N856" s="186">
        <f t="shared" si="111"/>
        <v>0</v>
      </c>
      <c r="P856" s="207" t="str">
        <f t="shared" si="112"/>
        <v>PM_0</v>
      </c>
      <c r="Q856" s="273">
        <f t="shared" si="113"/>
        <v>0</v>
      </c>
      <c r="R856" s="207">
        <f t="shared" si="114"/>
        <v>0</v>
      </c>
      <c r="S856" s="207">
        <f t="shared" si="115"/>
        <v>0</v>
      </c>
    </row>
    <row r="857" spans="11:19" ht="14.1" customHeight="1" x14ac:dyDescent="0.2">
      <c r="K857" s="186" t="str">
        <f t="shared" si="108"/>
        <v>PM_0</v>
      </c>
      <c r="L857" s="186">
        <f t="shared" si="109"/>
        <v>0</v>
      </c>
      <c r="M857" s="186">
        <f t="shared" si="110"/>
        <v>0</v>
      </c>
      <c r="N857" s="186">
        <f t="shared" si="111"/>
        <v>0</v>
      </c>
      <c r="P857" s="207" t="str">
        <f t="shared" si="112"/>
        <v>PM_0</v>
      </c>
      <c r="Q857" s="273">
        <f t="shared" si="113"/>
        <v>0</v>
      </c>
      <c r="R857" s="207">
        <f t="shared" si="114"/>
        <v>0</v>
      </c>
      <c r="S857" s="207">
        <f t="shared" si="115"/>
        <v>0</v>
      </c>
    </row>
    <row r="858" spans="11:19" ht="14.1" customHeight="1" x14ac:dyDescent="0.2">
      <c r="K858" s="186" t="str">
        <f t="shared" si="108"/>
        <v>PM_0</v>
      </c>
      <c r="L858" s="186">
        <f t="shared" si="109"/>
        <v>0</v>
      </c>
      <c r="M858" s="186">
        <f t="shared" si="110"/>
        <v>0</v>
      </c>
      <c r="N858" s="186">
        <f t="shared" si="111"/>
        <v>0</v>
      </c>
      <c r="P858" s="207" t="str">
        <f t="shared" si="112"/>
        <v>PM_0</v>
      </c>
      <c r="Q858" s="273">
        <f t="shared" si="113"/>
        <v>0</v>
      </c>
      <c r="R858" s="207">
        <f t="shared" si="114"/>
        <v>0</v>
      </c>
      <c r="S858" s="207">
        <f t="shared" si="115"/>
        <v>0</v>
      </c>
    </row>
    <row r="859" spans="11:19" ht="14.1" customHeight="1" x14ac:dyDescent="0.2">
      <c r="K859" s="186" t="str">
        <f t="shared" si="108"/>
        <v>PM_0</v>
      </c>
      <c r="L859" s="186">
        <f t="shared" si="109"/>
        <v>0</v>
      </c>
      <c r="M859" s="186">
        <f t="shared" si="110"/>
        <v>0</v>
      </c>
      <c r="N859" s="186">
        <f t="shared" si="111"/>
        <v>0</v>
      </c>
      <c r="P859" s="207" t="str">
        <f t="shared" si="112"/>
        <v>PM_0</v>
      </c>
      <c r="Q859" s="273">
        <f t="shared" si="113"/>
        <v>0</v>
      </c>
      <c r="R859" s="207">
        <f t="shared" si="114"/>
        <v>0</v>
      </c>
      <c r="S859" s="207">
        <f t="shared" si="115"/>
        <v>0</v>
      </c>
    </row>
    <row r="860" spans="11:19" ht="14.1" customHeight="1" x14ac:dyDescent="0.2">
      <c r="K860" s="186" t="str">
        <f t="shared" si="108"/>
        <v>PM_0</v>
      </c>
      <c r="L860" s="186">
        <f t="shared" si="109"/>
        <v>0</v>
      </c>
      <c r="M860" s="186">
        <f t="shared" si="110"/>
        <v>0</v>
      </c>
      <c r="N860" s="186">
        <f t="shared" si="111"/>
        <v>0</v>
      </c>
      <c r="P860" s="207" t="str">
        <f t="shared" si="112"/>
        <v>PM_0</v>
      </c>
      <c r="Q860" s="273">
        <f t="shared" si="113"/>
        <v>0</v>
      </c>
      <c r="R860" s="207">
        <f t="shared" si="114"/>
        <v>0</v>
      </c>
      <c r="S860" s="207">
        <f t="shared" si="115"/>
        <v>0</v>
      </c>
    </row>
    <row r="861" spans="11:19" ht="14.1" customHeight="1" x14ac:dyDescent="0.2">
      <c r="K861" s="186" t="str">
        <f t="shared" si="108"/>
        <v>PM_0</v>
      </c>
      <c r="L861" s="186">
        <f t="shared" si="109"/>
        <v>0</v>
      </c>
      <c r="M861" s="186">
        <f t="shared" si="110"/>
        <v>0</v>
      </c>
      <c r="N861" s="186">
        <f t="shared" si="111"/>
        <v>0</v>
      </c>
      <c r="P861" s="207" t="str">
        <f t="shared" si="112"/>
        <v>PM_0</v>
      </c>
      <c r="Q861" s="273">
        <f t="shared" si="113"/>
        <v>0</v>
      </c>
      <c r="R861" s="207">
        <f t="shared" si="114"/>
        <v>0</v>
      </c>
      <c r="S861" s="207">
        <f t="shared" si="115"/>
        <v>0</v>
      </c>
    </row>
    <row r="862" spans="11:19" ht="14.1" customHeight="1" x14ac:dyDescent="0.2">
      <c r="K862" s="186" t="str">
        <f t="shared" si="108"/>
        <v>PM_0</v>
      </c>
      <c r="L862" s="186">
        <f t="shared" si="109"/>
        <v>0</v>
      </c>
      <c r="M862" s="186">
        <f t="shared" si="110"/>
        <v>0</v>
      </c>
      <c r="N862" s="186">
        <f t="shared" si="111"/>
        <v>0</v>
      </c>
      <c r="P862" s="207" t="str">
        <f t="shared" si="112"/>
        <v>PM_0</v>
      </c>
      <c r="Q862" s="273">
        <f t="shared" si="113"/>
        <v>0</v>
      </c>
      <c r="R862" s="207">
        <f t="shared" si="114"/>
        <v>0</v>
      </c>
      <c r="S862" s="207">
        <f t="shared" si="115"/>
        <v>0</v>
      </c>
    </row>
    <row r="863" spans="11:19" ht="14.1" customHeight="1" x14ac:dyDescent="0.2">
      <c r="K863" s="186" t="str">
        <f t="shared" si="108"/>
        <v>PM_0</v>
      </c>
      <c r="L863" s="186">
        <f t="shared" si="109"/>
        <v>0</v>
      </c>
      <c r="M863" s="186">
        <f t="shared" si="110"/>
        <v>0</v>
      </c>
      <c r="N863" s="186">
        <f t="shared" si="111"/>
        <v>0</v>
      </c>
      <c r="P863" s="207" t="str">
        <f t="shared" si="112"/>
        <v>PM_0</v>
      </c>
      <c r="Q863" s="273">
        <f t="shared" si="113"/>
        <v>0</v>
      </c>
      <c r="R863" s="207">
        <f t="shared" si="114"/>
        <v>0</v>
      </c>
      <c r="S863" s="207">
        <f t="shared" si="115"/>
        <v>0</v>
      </c>
    </row>
    <row r="864" spans="11:19" ht="14.1" customHeight="1" x14ac:dyDescent="0.2">
      <c r="K864" s="186" t="str">
        <f t="shared" si="108"/>
        <v>PM_0</v>
      </c>
      <c r="L864" s="186">
        <f t="shared" si="109"/>
        <v>0</v>
      </c>
      <c r="M864" s="186">
        <f t="shared" si="110"/>
        <v>0</v>
      </c>
      <c r="N864" s="186">
        <f t="shared" si="111"/>
        <v>0</v>
      </c>
      <c r="P864" s="207" t="str">
        <f t="shared" si="112"/>
        <v>PM_0</v>
      </c>
      <c r="Q864" s="273">
        <f t="shared" si="113"/>
        <v>0</v>
      </c>
      <c r="R864" s="207">
        <f t="shared" si="114"/>
        <v>0</v>
      </c>
      <c r="S864" s="207">
        <f t="shared" si="115"/>
        <v>0</v>
      </c>
    </row>
    <row r="865" spans="11:19" ht="14.1" customHeight="1" x14ac:dyDescent="0.2">
      <c r="K865" s="186" t="str">
        <f t="shared" si="108"/>
        <v>PM_0</v>
      </c>
      <c r="L865" s="186">
        <f t="shared" si="109"/>
        <v>0</v>
      </c>
      <c r="M865" s="186">
        <f t="shared" si="110"/>
        <v>0</v>
      </c>
      <c r="N865" s="186">
        <f t="shared" si="111"/>
        <v>0</v>
      </c>
      <c r="P865" s="207" t="str">
        <f t="shared" si="112"/>
        <v>PM_0</v>
      </c>
      <c r="Q865" s="273">
        <f t="shared" si="113"/>
        <v>0</v>
      </c>
      <c r="R865" s="207">
        <f t="shared" si="114"/>
        <v>0</v>
      </c>
      <c r="S865" s="207">
        <f t="shared" si="115"/>
        <v>0</v>
      </c>
    </row>
    <row r="866" spans="11:19" ht="14.1" customHeight="1" x14ac:dyDescent="0.2">
      <c r="K866" s="186" t="str">
        <f t="shared" si="108"/>
        <v>PM_0</v>
      </c>
      <c r="L866" s="186">
        <f t="shared" si="109"/>
        <v>0</v>
      </c>
      <c r="M866" s="186">
        <f t="shared" si="110"/>
        <v>0</v>
      </c>
      <c r="N866" s="186">
        <f t="shared" si="111"/>
        <v>0</v>
      </c>
      <c r="P866" s="207" t="str">
        <f t="shared" si="112"/>
        <v>PM_0</v>
      </c>
      <c r="Q866" s="273">
        <f t="shared" si="113"/>
        <v>0</v>
      </c>
      <c r="R866" s="207">
        <f t="shared" si="114"/>
        <v>0</v>
      </c>
      <c r="S866" s="207">
        <f t="shared" si="115"/>
        <v>0</v>
      </c>
    </row>
    <row r="867" spans="11:19" ht="14.1" customHeight="1" x14ac:dyDescent="0.2">
      <c r="K867" s="186" t="str">
        <f t="shared" si="108"/>
        <v>PM_0</v>
      </c>
      <c r="L867" s="186">
        <f t="shared" si="109"/>
        <v>0</v>
      </c>
      <c r="M867" s="186">
        <f t="shared" si="110"/>
        <v>0</v>
      </c>
      <c r="N867" s="186">
        <f t="shared" si="111"/>
        <v>0</v>
      </c>
      <c r="P867" s="207" t="str">
        <f t="shared" si="112"/>
        <v>PM_0</v>
      </c>
      <c r="Q867" s="273">
        <f t="shared" si="113"/>
        <v>0</v>
      </c>
      <c r="R867" s="207">
        <f t="shared" si="114"/>
        <v>0</v>
      </c>
      <c r="S867" s="207">
        <f t="shared" si="115"/>
        <v>0</v>
      </c>
    </row>
    <row r="868" spans="11:19" ht="14.1" customHeight="1" x14ac:dyDescent="0.2">
      <c r="K868" s="186" t="str">
        <f t="shared" si="108"/>
        <v>PM_0</v>
      </c>
      <c r="L868" s="186">
        <f t="shared" si="109"/>
        <v>0</v>
      </c>
      <c r="M868" s="186">
        <f t="shared" si="110"/>
        <v>0</v>
      </c>
      <c r="N868" s="186">
        <f t="shared" si="111"/>
        <v>0</v>
      </c>
      <c r="P868" s="207" t="str">
        <f t="shared" si="112"/>
        <v>PM_0</v>
      </c>
      <c r="Q868" s="273">
        <f t="shared" si="113"/>
        <v>0</v>
      </c>
      <c r="R868" s="207">
        <f t="shared" si="114"/>
        <v>0</v>
      </c>
      <c r="S868" s="207">
        <f t="shared" si="115"/>
        <v>0</v>
      </c>
    </row>
    <row r="869" spans="11:19" ht="14.1" customHeight="1" x14ac:dyDescent="0.2">
      <c r="K869" s="186" t="str">
        <f t="shared" si="108"/>
        <v>PM_0</v>
      </c>
      <c r="L869" s="186">
        <f t="shared" si="109"/>
        <v>0</v>
      </c>
      <c r="M869" s="186">
        <f t="shared" si="110"/>
        <v>0</v>
      </c>
      <c r="N869" s="186">
        <f t="shared" si="111"/>
        <v>0</v>
      </c>
      <c r="P869" s="207" t="str">
        <f t="shared" si="112"/>
        <v>PM_0</v>
      </c>
      <c r="Q869" s="273">
        <f t="shared" si="113"/>
        <v>0</v>
      </c>
      <c r="R869" s="207">
        <f t="shared" si="114"/>
        <v>0</v>
      </c>
      <c r="S869" s="207">
        <f t="shared" si="115"/>
        <v>0</v>
      </c>
    </row>
    <row r="870" spans="11:19" ht="14.1" customHeight="1" x14ac:dyDescent="0.2">
      <c r="K870" s="186" t="str">
        <f t="shared" si="108"/>
        <v>PM_0</v>
      </c>
      <c r="L870" s="186">
        <f t="shared" si="109"/>
        <v>0</v>
      </c>
      <c r="M870" s="186">
        <f t="shared" si="110"/>
        <v>0</v>
      </c>
      <c r="N870" s="186">
        <f t="shared" si="111"/>
        <v>0</v>
      </c>
      <c r="P870" s="207" t="str">
        <f t="shared" si="112"/>
        <v>PM_0</v>
      </c>
      <c r="Q870" s="273">
        <f t="shared" si="113"/>
        <v>0</v>
      </c>
      <c r="R870" s="207">
        <f t="shared" si="114"/>
        <v>0</v>
      </c>
      <c r="S870" s="207">
        <f t="shared" si="115"/>
        <v>0</v>
      </c>
    </row>
    <row r="871" spans="11:19" ht="14.1" customHeight="1" x14ac:dyDescent="0.2">
      <c r="K871" s="186" t="str">
        <f t="shared" si="108"/>
        <v>PM_0</v>
      </c>
      <c r="L871" s="186">
        <f t="shared" si="109"/>
        <v>0</v>
      </c>
      <c r="M871" s="186">
        <f t="shared" si="110"/>
        <v>0</v>
      </c>
      <c r="N871" s="186">
        <f t="shared" si="111"/>
        <v>0</v>
      </c>
      <c r="P871" s="207" t="str">
        <f t="shared" si="112"/>
        <v>PM_0</v>
      </c>
      <c r="Q871" s="273">
        <f t="shared" si="113"/>
        <v>0</v>
      </c>
      <c r="R871" s="207">
        <f t="shared" si="114"/>
        <v>0</v>
      </c>
      <c r="S871" s="207">
        <f t="shared" si="115"/>
        <v>0</v>
      </c>
    </row>
    <row r="872" spans="11:19" ht="14.1" customHeight="1" x14ac:dyDescent="0.2">
      <c r="K872" s="186" t="str">
        <f t="shared" si="108"/>
        <v>PM_0</v>
      </c>
      <c r="L872" s="186">
        <f t="shared" si="109"/>
        <v>0</v>
      </c>
      <c r="M872" s="186">
        <f t="shared" si="110"/>
        <v>0</v>
      </c>
      <c r="N872" s="186">
        <f t="shared" si="111"/>
        <v>0</v>
      </c>
      <c r="P872" s="207" t="str">
        <f t="shared" si="112"/>
        <v>PM_0</v>
      </c>
      <c r="Q872" s="273">
        <f t="shared" si="113"/>
        <v>0</v>
      </c>
      <c r="R872" s="207">
        <f t="shared" si="114"/>
        <v>0</v>
      </c>
      <c r="S872" s="207">
        <f t="shared" si="115"/>
        <v>0</v>
      </c>
    </row>
    <row r="873" spans="11:19" ht="14.1" customHeight="1" x14ac:dyDescent="0.2">
      <c r="K873" s="186" t="str">
        <f t="shared" si="108"/>
        <v>PM_0</v>
      </c>
      <c r="L873" s="186">
        <f t="shared" si="109"/>
        <v>0</v>
      </c>
      <c r="M873" s="186">
        <f t="shared" si="110"/>
        <v>0</v>
      </c>
      <c r="N873" s="186">
        <f t="shared" si="111"/>
        <v>0</v>
      </c>
      <c r="P873" s="207" t="str">
        <f t="shared" si="112"/>
        <v>PM_0</v>
      </c>
      <c r="Q873" s="273">
        <f t="shared" si="113"/>
        <v>0</v>
      </c>
      <c r="R873" s="207">
        <f t="shared" si="114"/>
        <v>0</v>
      </c>
      <c r="S873" s="207">
        <f t="shared" si="115"/>
        <v>0</v>
      </c>
    </row>
    <row r="874" spans="11:19" ht="14.1" customHeight="1" x14ac:dyDescent="0.2">
      <c r="K874" s="186" t="str">
        <f t="shared" si="108"/>
        <v>PM_0</v>
      </c>
      <c r="L874" s="186">
        <f t="shared" si="109"/>
        <v>0</v>
      </c>
      <c r="M874" s="186">
        <f t="shared" si="110"/>
        <v>0</v>
      </c>
      <c r="N874" s="186">
        <f t="shared" si="111"/>
        <v>0</v>
      </c>
      <c r="P874" s="207" t="str">
        <f t="shared" si="112"/>
        <v>PM_0</v>
      </c>
      <c r="Q874" s="273">
        <f t="shared" si="113"/>
        <v>0</v>
      </c>
      <c r="R874" s="207">
        <f t="shared" si="114"/>
        <v>0</v>
      </c>
      <c r="S874" s="207">
        <f t="shared" si="115"/>
        <v>0</v>
      </c>
    </row>
    <row r="875" spans="11:19" ht="14.1" customHeight="1" x14ac:dyDescent="0.2">
      <c r="K875" s="186" t="str">
        <f t="shared" si="108"/>
        <v>PM_0</v>
      </c>
      <c r="L875" s="186">
        <f t="shared" si="109"/>
        <v>0</v>
      </c>
      <c r="M875" s="186">
        <f t="shared" si="110"/>
        <v>0</v>
      </c>
      <c r="N875" s="186">
        <f t="shared" si="111"/>
        <v>0</v>
      </c>
      <c r="P875" s="207" t="str">
        <f t="shared" si="112"/>
        <v>PM_0</v>
      </c>
      <c r="Q875" s="273">
        <f t="shared" si="113"/>
        <v>0</v>
      </c>
      <c r="R875" s="207">
        <f t="shared" si="114"/>
        <v>0</v>
      </c>
      <c r="S875" s="207">
        <f t="shared" si="115"/>
        <v>0</v>
      </c>
    </row>
    <row r="876" spans="11:19" ht="14.1" customHeight="1" x14ac:dyDescent="0.2">
      <c r="K876" s="186" t="str">
        <f t="shared" si="108"/>
        <v>PM_0</v>
      </c>
      <c r="L876" s="186">
        <f t="shared" si="109"/>
        <v>0</v>
      </c>
      <c r="M876" s="186">
        <f t="shared" si="110"/>
        <v>0</v>
      </c>
      <c r="N876" s="186">
        <f t="shared" si="111"/>
        <v>0</v>
      </c>
      <c r="P876" s="207" t="str">
        <f t="shared" si="112"/>
        <v>PM_0</v>
      </c>
      <c r="Q876" s="273">
        <f t="shared" si="113"/>
        <v>0</v>
      </c>
      <c r="R876" s="207">
        <f t="shared" si="114"/>
        <v>0</v>
      </c>
      <c r="S876" s="207">
        <f t="shared" si="115"/>
        <v>0</v>
      </c>
    </row>
    <row r="877" spans="11:19" ht="14.1" customHeight="1" x14ac:dyDescent="0.2">
      <c r="K877" s="186" t="str">
        <f t="shared" si="108"/>
        <v>PM_0</v>
      </c>
      <c r="L877" s="186">
        <f t="shared" si="109"/>
        <v>0</v>
      </c>
      <c r="M877" s="186">
        <f t="shared" si="110"/>
        <v>0</v>
      </c>
      <c r="N877" s="186">
        <f t="shared" si="111"/>
        <v>0</v>
      </c>
      <c r="P877" s="207" t="str">
        <f t="shared" si="112"/>
        <v>PM_0</v>
      </c>
      <c r="Q877" s="273">
        <f t="shared" si="113"/>
        <v>0</v>
      </c>
      <c r="R877" s="207">
        <f t="shared" si="114"/>
        <v>0</v>
      </c>
      <c r="S877" s="207">
        <f t="shared" si="115"/>
        <v>0</v>
      </c>
    </row>
    <row r="878" spans="11:19" ht="14.1" customHeight="1" x14ac:dyDescent="0.2">
      <c r="K878" s="186" t="str">
        <f t="shared" si="108"/>
        <v>PM_0</v>
      </c>
      <c r="L878" s="186">
        <f t="shared" si="109"/>
        <v>0</v>
      </c>
      <c r="M878" s="186">
        <f t="shared" si="110"/>
        <v>0</v>
      </c>
      <c r="N878" s="186">
        <f t="shared" si="111"/>
        <v>0</v>
      </c>
      <c r="P878" s="207" t="str">
        <f t="shared" si="112"/>
        <v>PM_0</v>
      </c>
      <c r="Q878" s="273">
        <f t="shared" si="113"/>
        <v>0</v>
      </c>
      <c r="R878" s="207">
        <f t="shared" si="114"/>
        <v>0</v>
      </c>
      <c r="S878" s="207">
        <f t="shared" si="115"/>
        <v>0</v>
      </c>
    </row>
    <row r="879" spans="11:19" ht="14.1" customHeight="1" x14ac:dyDescent="0.2">
      <c r="K879" s="186" t="str">
        <f t="shared" si="108"/>
        <v>PM_0</v>
      </c>
      <c r="L879" s="186">
        <f t="shared" si="109"/>
        <v>0</v>
      </c>
      <c r="M879" s="186">
        <f t="shared" si="110"/>
        <v>0</v>
      </c>
      <c r="N879" s="186">
        <f t="shared" si="111"/>
        <v>0</v>
      </c>
      <c r="P879" s="207" t="str">
        <f t="shared" si="112"/>
        <v>PM_0</v>
      </c>
      <c r="Q879" s="273">
        <f t="shared" si="113"/>
        <v>0</v>
      </c>
      <c r="R879" s="207">
        <f t="shared" si="114"/>
        <v>0</v>
      </c>
      <c r="S879" s="207">
        <f t="shared" si="115"/>
        <v>0</v>
      </c>
    </row>
    <row r="880" spans="11:19" ht="14.1" customHeight="1" x14ac:dyDescent="0.2">
      <c r="K880" s="186" t="str">
        <f t="shared" si="108"/>
        <v>PM_0</v>
      </c>
      <c r="L880" s="186">
        <f t="shared" si="109"/>
        <v>0</v>
      </c>
      <c r="M880" s="186">
        <f t="shared" si="110"/>
        <v>0</v>
      </c>
      <c r="N880" s="186">
        <f t="shared" si="111"/>
        <v>0</v>
      </c>
      <c r="P880" s="207" t="str">
        <f t="shared" si="112"/>
        <v>PM_0</v>
      </c>
      <c r="Q880" s="273">
        <f t="shared" si="113"/>
        <v>0</v>
      </c>
      <c r="R880" s="207">
        <f t="shared" si="114"/>
        <v>0</v>
      </c>
      <c r="S880" s="207">
        <f t="shared" si="115"/>
        <v>0</v>
      </c>
    </row>
    <row r="881" spans="11:19" ht="14.1" customHeight="1" x14ac:dyDescent="0.2">
      <c r="K881" s="186" t="str">
        <f t="shared" si="108"/>
        <v>PM_0</v>
      </c>
      <c r="L881" s="186">
        <f t="shared" si="109"/>
        <v>0</v>
      </c>
      <c r="M881" s="186">
        <f t="shared" si="110"/>
        <v>0</v>
      </c>
      <c r="N881" s="186">
        <f t="shared" si="111"/>
        <v>0</v>
      </c>
      <c r="P881" s="207" t="str">
        <f t="shared" si="112"/>
        <v>PM_0</v>
      </c>
      <c r="Q881" s="273">
        <f t="shared" si="113"/>
        <v>0</v>
      </c>
      <c r="R881" s="207">
        <f t="shared" si="114"/>
        <v>0</v>
      </c>
      <c r="S881" s="207">
        <f t="shared" si="115"/>
        <v>0</v>
      </c>
    </row>
    <row r="882" spans="11:19" ht="14.1" customHeight="1" x14ac:dyDescent="0.2">
      <c r="K882" s="186" t="str">
        <f t="shared" si="108"/>
        <v>PM_0</v>
      </c>
      <c r="L882" s="186">
        <f t="shared" si="109"/>
        <v>0</v>
      </c>
      <c r="M882" s="186">
        <f t="shared" si="110"/>
        <v>0</v>
      </c>
      <c r="N882" s="186">
        <f t="shared" si="111"/>
        <v>0</v>
      </c>
      <c r="P882" s="207" t="str">
        <f t="shared" si="112"/>
        <v>PM_0</v>
      </c>
      <c r="Q882" s="273">
        <f t="shared" si="113"/>
        <v>0</v>
      </c>
      <c r="R882" s="207">
        <f t="shared" si="114"/>
        <v>0</v>
      </c>
      <c r="S882" s="207">
        <f t="shared" si="115"/>
        <v>0</v>
      </c>
    </row>
    <row r="883" spans="11:19" ht="14.1" customHeight="1" x14ac:dyDescent="0.2">
      <c r="K883" s="186" t="str">
        <f t="shared" si="108"/>
        <v>PM_0</v>
      </c>
      <c r="L883" s="186">
        <f t="shared" si="109"/>
        <v>0</v>
      </c>
      <c r="M883" s="186">
        <f t="shared" si="110"/>
        <v>0</v>
      </c>
      <c r="N883" s="186">
        <f t="shared" si="111"/>
        <v>0</v>
      </c>
      <c r="P883" s="207" t="str">
        <f t="shared" si="112"/>
        <v>PM_0</v>
      </c>
      <c r="Q883" s="273">
        <f t="shared" si="113"/>
        <v>0</v>
      </c>
      <c r="R883" s="207">
        <f t="shared" si="114"/>
        <v>0</v>
      </c>
      <c r="S883" s="207">
        <f t="shared" si="115"/>
        <v>0</v>
      </c>
    </row>
    <row r="884" spans="11:19" ht="14.1" customHeight="1" x14ac:dyDescent="0.2">
      <c r="K884" s="186" t="str">
        <f t="shared" si="108"/>
        <v>PM_0</v>
      </c>
      <c r="L884" s="186">
        <f t="shared" si="109"/>
        <v>0</v>
      </c>
      <c r="M884" s="186">
        <f t="shared" si="110"/>
        <v>0</v>
      </c>
      <c r="N884" s="186">
        <f t="shared" si="111"/>
        <v>0</v>
      </c>
      <c r="P884" s="207" t="str">
        <f t="shared" si="112"/>
        <v>PM_0</v>
      </c>
      <c r="Q884" s="273">
        <f t="shared" si="113"/>
        <v>0</v>
      </c>
      <c r="R884" s="207">
        <f t="shared" si="114"/>
        <v>0</v>
      </c>
      <c r="S884" s="207">
        <f t="shared" si="115"/>
        <v>0</v>
      </c>
    </row>
    <row r="885" spans="11:19" ht="14.1" customHeight="1" x14ac:dyDescent="0.2">
      <c r="K885" s="186" t="str">
        <f t="shared" si="108"/>
        <v>PM_0</v>
      </c>
      <c r="L885" s="186">
        <f t="shared" si="109"/>
        <v>0</v>
      </c>
      <c r="M885" s="186">
        <f t="shared" si="110"/>
        <v>0</v>
      </c>
      <c r="N885" s="186">
        <f t="shared" si="111"/>
        <v>0</v>
      </c>
      <c r="P885" s="207" t="str">
        <f t="shared" si="112"/>
        <v>PM_0</v>
      </c>
      <c r="Q885" s="273">
        <f t="shared" si="113"/>
        <v>0</v>
      </c>
      <c r="R885" s="207">
        <f t="shared" si="114"/>
        <v>0</v>
      </c>
      <c r="S885" s="207">
        <f t="shared" si="115"/>
        <v>0</v>
      </c>
    </row>
    <row r="886" spans="11:19" ht="14.1" customHeight="1" x14ac:dyDescent="0.2">
      <c r="K886" s="186" t="str">
        <f t="shared" si="108"/>
        <v>PM_0</v>
      </c>
      <c r="L886" s="186">
        <f t="shared" si="109"/>
        <v>0</v>
      </c>
      <c r="M886" s="186">
        <f t="shared" si="110"/>
        <v>0</v>
      </c>
      <c r="N886" s="186">
        <f t="shared" si="111"/>
        <v>0</v>
      </c>
      <c r="P886" s="207" t="str">
        <f t="shared" si="112"/>
        <v>PM_0</v>
      </c>
      <c r="Q886" s="273">
        <f t="shared" si="113"/>
        <v>0</v>
      </c>
      <c r="R886" s="207">
        <f t="shared" si="114"/>
        <v>0</v>
      </c>
      <c r="S886" s="207">
        <f t="shared" si="115"/>
        <v>0</v>
      </c>
    </row>
    <row r="887" spans="11:19" ht="14.1" customHeight="1" x14ac:dyDescent="0.2">
      <c r="K887" s="186" t="str">
        <f t="shared" si="108"/>
        <v>PM_0</v>
      </c>
      <c r="L887" s="186">
        <f t="shared" si="109"/>
        <v>0</v>
      </c>
      <c r="M887" s="186">
        <f t="shared" si="110"/>
        <v>0</v>
      </c>
      <c r="N887" s="186">
        <f t="shared" si="111"/>
        <v>0</v>
      </c>
      <c r="P887" s="207" t="str">
        <f t="shared" si="112"/>
        <v>PM_0</v>
      </c>
      <c r="Q887" s="273">
        <f t="shared" si="113"/>
        <v>0</v>
      </c>
      <c r="R887" s="207">
        <f t="shared" si="114"/>
        <v>0</v>
      </c>
      <c r="S887" s="207">
        <f t="shared" si="115"/>
        <v>0</v>
      </c>
    </row>
    <row r="888" spans="11:19" ht="14.1" customHeight="1" x14ac:dyDescent="0.2">
      <c r="K888" s="186" t="str">
        <f t="shared" si="108"/>
        <v>PM_0</v>
      </c>
      <c r="L888" s="186">
        <f t="shared" si="109"/>
        <v>0</v>
      </c>
      <c r="M888" s="186">
        <f t="shared" si="110"/>
        <v>0</v>
      </c>
      <c r="N888" s="186">
        <f t="shared" si="111"/>
        <v>0</v>
      </c>
      <c r="P888" s="207" t="str">
        <f t="shared" si="112"/>
        <v>PM_0</v>
      </c>
      <c r="Q888" s="273">
        <f t="shared" si="113"/>
        <v>0</v>
      </c>
      <c r="R888" s="207">
        <f t="shared" si="114"/>
        <v>0</v>
      </c>
      <c r="S888" s="207">
        <f t="shared" si="115"/>
        <v>0</v>
      </c>
    </row>
    <row r="889" spans="11:19" ht="14.1" customHeight="1" x14ac:dyDescent="0.2">
      <c r="K889" s="186" t="str">
        <f t="shared" si="108"/>
        <v>PM_0</v>
      </c>
      <c r="L889" s="186">
        <f t="shared" si="109"/>
        <v>0</v>
      </c>
      <c r="M889" s="186">
        <f t="shared" si="110"/>
        <v>0</v>
      </c>
      <c r="N889" s="186">
        <f t="shared" si="111"/>
        <v>0</v>
      </c>
      <c r="P889" s="207" t="str">
        <f t="shared" si="112"/>
        <v>PM_0</v>
      </c>
      <c r="Q889" s="273">
        <f t="shared" si="113"/>
        <v>0</v>
      </c>
      <c r="R889" s="207">
        <f t="shared" si="114"/>
        <v>0</v>
      </c>
      <c r="S889" s="207">
        <f t="shared" si="115"/>
        <v>0</v>
      </c>
    </row>
    <row r="890" spans="11:19" ht="14.1" customHeight="1" x14ac:dyDescent="0.2">
      <c r="K890" s="186" t="str">
        <f t="shared" si="108"/>
        <v>PM_0</v>
      </c>
      <c r="L890" s="186">
        <f t="shared" si="109"/>
        <v>0</v>
      </c>
      <c r="M890" s="186">
        <f t="shared" si="110"/>
        <v>0</v>
      </c>
      <c r="N890" s="186">
        <f t="shared" si="111"/>
        <v>0</v>
      </c>
      <c r="P890" s="207" t="str">
        <f t="shared" si="112"/>
        <v>PM_0</v>
      </c>
      <c r="Q890" s="273">
        <f t="shared" si="113"/>
        <v>0</v>
      </c>
      <c r="R890" s="207">
        <f t="shared" si="114"/>
        <v>0</v>
      </c>
      <c r="S890" s="207">
        <f t="shared" si="115"/>
        <v>0</v>
      </c>
    </row>
    <row r="891" spans="11:19" ht="14.1" customHeight="1" x14ac:dyDescent="0.2">
      <c r="K891" s="186" t="str">
        <f t="shared" si="108"/>
        <v>PM_0</v>
      </c>
      <c r="L891" s="186">
        <f t="shared" si="109"/>
        <v>0</v>
      </c>
      <c r="M891" s="186">
        <f t="shared" si="110"/>
        <v>0</v>
      </c>
      <c r="N891" s="186">
        <f t="shared" si="111"/>
        <v>0</v>
      </c>
      <c r="P891" s="207" t="str">
        <f t="shared" si="112"/>
        <v>PM_0</v>
      </c>
      <c r="Q891" s="273">
        <f t="shared" si="113"/>
        <v>0</v>
      </c>
      <c r="R891" s="207">
        <f t="shared" si="114"/>
        <v>0</v>
      </c>
      <c r="S891" s="207">
        <f t="shared" si="115"/>
        <v>0</v>
      </c>
    </row>
    <row r="892" spans="11:19" ht="14.1" customHeight="1" x14ac:dyDescent="0.2">
      <c r="K892" s="186" t="str">
        <f t="shared" si="108"/>
        <v>PM_0</v>
      </c>
      <c r="L892" s="186">
        <f t="shared" si="109"/>
        <v>0</v>
      </c>
      <c r="M892" s="186">
        <f t="shared" si="110"/>
        <v>0</v>
      </c>
      <c r="N892" s="186">
        <f t="shared" si="111"/>
        <v>0</v>
      </c>
      <c r="P892" s="207" t="str">
        <f t="shared" si="112"/>
        <v>PM_0</v>
      </c>
      <c r="Q892" s="273">
        <f t="shared" si="113"/>
        <v>0</v>
      </c>
      <c r="R892" s="207">
        <f t="shared" si="114"/>
        <v>0</v>
      </c>
      <c r="S892" s="207">
        <f t="shared" si="115"/>
        <v>0</v>
      </c>
    </row>
    <row r="893" spans="11:19" ht="14.1" customHeight="1" x14ac:dyDescent="0.2">
      <c r="K893" s="186" t="str">
        <f t="shared" si="108"/>
        <v>PM_0</v>
      </c>
      <c r="L893" s="186">
        <f t="shared" si="109"/>
        <v>0</v>
      </c>
      <c r="M893" s="186">
        <f t="shared" si="110"/>
        <v>0</v>
      </c>
      <c r="N893" s="186">
        <f t="shared" si="111"/>
        <v>0</v>
      </c>
      <c r="P893" s="207" t="str">
        <f t="shared" si="112"/>
        <v>PM_0</v>
      </c>
      <c r="Q893" s="273">
        <f t="shared" si="113"/>
        <v>0</v>
      </c>
      <c r="R893" s="207">
        <f t="shared" si="114"/>
        <v>0</v>
      </c>
      <c r="S893" s="207">
        <f t="shared" si="115"/>
        <v>0</v>
      </c>
    </row>
    <row r="894" spans="11:19" ht="14.1" customHeight="1" x14ac:dyDescent="0.2">
      <c r="K894" s="186" t="str">
        <f t="shared" si="108"/>
        <v>PM_0</v>
      </c>
      <c r="L894" s="186">
        <f t="shared" si="109"/>
        <v>0</v>
      </c>
      <c r="M894" s="186">
        <f t="shared" si="110"/>
        <v>0</v>
      </c>
      <c r="N894" s="186">
        <f t="shared" si="111"/>
        <v>0</v>
      </c>
      <c r="P894" s="207" t="str">
        <f t="shared" si="112"/>
        <v>PM_0</v>
      </c>
      <c r="Q894" s="273">
        <f t="shared" si="113"/>
        <v>0</v>
      </c>
      <c r="R894" s="207">
        <f t="shared" si="114"/>
        <v>0</v>
      </c>
      <c r="S894" s="207">
        <f t="shared" si="115"/>
        <v>0</v>
      </c>
    </row>
    <row r="895" spans="11:19" ht="14.1" customHeight="1" x14ac:dyDescent="0.2">
      <c r="K895" s="186" t="str">
        <f t="shared" si="108"/>
        <v>PM_0</v>
      </c>
      <c r="L895" s="186">
        <f t="shared" si="109"/>
        <v>0</v>
      </c>
      <c r="M895" s="186">
        <f t="shared" si="110"/>
        <v>0</v>
      </c>
      <c r="N895" s="186">
        <f t="shared" si="111"/>
        <v>0</v>
      </c>
      <c r="P895" s="207" t="str">
        <f t="shared" si="112"/>
        <v>PM_0</v>
      </c>
      <c r="Q895" s="273">
        <f t="shared" si="113"/>
        <v>0</v>
      </c>
      <c r="R895" s="207">
        <f t="shared" si="114"/>
        <v>0</v>
      </c>
      <c r="S895" s="207">
        <f t="shared" si="115"/>
        <v>0</v>
      </c>
    </row>
    <row r="896" spans="11:19" ht="14.1" customHeight="1" x14ac:dyDescent="0.2">
      <c r="K896" s="186" t="str">
        <f t="shared" si="108"/>
        <v>PM_0</v>
      </c>
      <c r="L896" s="186">
        <f t="shared" si="109"/>
        <v>0</v>
      </c>
      <c r="M896" s="186">
        <f t="shared" si="110"/>
        <v>0</v>
      </c>
      <c r="N896" s="186">
        <f t="shared" si="111"/>
        <v>0</v>
      </c>
      <c r="P896" s="207" t="str">
        <f t="shared" si="112"/>
        <v>PM_0</v>
      </c>
      <c r="Q896" s="273">
        <f t="shared" si="113"/>
        <v>0</v>
      </c>
      <c r="R896" s="207">
        <f t="shared" si="114"/>
        <v>0</v>
      </c>
      <c r="S896" s="207">
        <f t="shared" si="115"/>
        <v>0</v>
      </c>
    </row>
    <row r="897" spans="11:19" ht="14.1" customHeight="1" x14ac:dyDescent="0.2">
      <c r="K897" s="186" t="str">
        <f t="shared" si="108"/>
        <v>PM_0</v>
      </c>
      <c r="L897" s="186">
        <f t="shared" si="109"/>
        <v>0</v>
      </c>
      <c r="M897" s="186">
        <f t="shared" si="110"/>
        <v>0</v>
      </c>
      <c r="N897" s="186">
        <f t="shared" si="111"/>
        <v>0</v>
      </c>
      <c r="P897" s="207" t="str">
        <f t="shared" si="112"/>
        <v>PM_0</v>
      </c>
      <c r="Q897" s="273">
        <f t="shared" si="113"/>
        <v>0</v>
      </c>
      <c r="R897" s="207">
        <f t="shared" si="114"/>
        <v>0</v>
      </c>
      <c r="S897" s="207">
        <f t="shared" si="115"/>
        <v>0</v>
      </c>
    </row>
    <row r="898" spans="11:19" ht="14.1" customHeight="1" x14ac:dyDescent="0.2">
      <c r="K898" s="186" t="str">
        <f t="shared" si="108"/>
        <v>PM_0</v>
      </c>
      <c r="L898" s="186">
        <f t="shared" si="109"/>
        <v>0</v>
      </c>
      <c r="M898" s="186">
        <f t="shared" si="110"/>
        <v>0</v>
      </c>
      <c r="N898" s="186">
        <f t="shared" si="111"/>
        <v>0</v>
      </c>
      <c r="P898" s="207" t="str">
        <f t="shared" si="112"/>
        <v>PM_0</v>
      </c>
      <c r="Q898" s="273">
        <f t="shared" si="113"/>
        <v>0</v>
      </c>
      <c r="R898" s="207">
        <f t="shared" si="114"/>
        <v>0</v>
      </c>
      <c r="S898" s="207">
        <f t="shared" si="115"/>
        <v>0</v>
      </c>
    </row>
    <row r="899" spans="11:19" ht="14.1" customHeight="1" x14ac:dyDescent="0.2">
      <c r="K899" s="186" t="str">
        <f t="shared" si="108"/>
        <v>PM_0</v>
      </c>
      <c r="L899" s="186">
        <f t="shared" si="109"/>
        <v>0</v>
      </c>
      <c r="M899" s="186">
        <f t="shared" si="110"/>
        <v>0</v>
      </c>
      <c r="N899" s="186">
        <f t="shared" si="111"/>
        <v>0</v>
      </c>
      <c r="P899" s="207" t="str">
        <f t="shared" si="112"/>
        <v>PM_0</v>
      </c>
      <c r="Q899" s="273">
        <f t="shared" si="113"/>
        <v>0</v>
      </c>
      <c r="R899" s="207">
        <f t="shared" si="114"/>
        <v>0</v>
      </c>
      <c r="S899" s="207">
        <f t="shared" si="115"/>
        <v>0</v>
      </c>
    </row>
    <row r="900" spans="11:19" ht="14.1" customHeight="1" x14ac:dyDescent="0.2">
      <c r="K900" s="186" t="str">
        <f t="shared" si="108"/>
        <v>PM_0</v>
      </c>
      <c r="L900" s="186">
        <f t="shared" si="109"/>
        <v>0</v>
      </c>
      <c r="M900" s="186">
        <f t="shared" si="110"/>
        <v>0</v>
      </c>
      <c r="N900" s="186">
        <f t="shared" si="111"/>
        <v>0</v>
      </c>
      <c r="P900" s="207" t="str">
        <f t="shared" si="112"/>
        <v>PM_0</v>
      </c>
      <c r="Q900" s="273">
        <f t="shared" si="113"/>
        <v>0</v>
      </c>
      <c r="R900" s="207">
        <f t="shared" si="114"/>
        <v>0</v>
      </c>
      <c r="S900" s="207">
        <f t="shared" si="115"/>
        <v>0</v>
      </c>
    </row>
    <row r="901" spans="11:19" ht="14.1" customHeight="1" x14ac:dyDescent="0.2">
      <c r="K901" s="186" t="str">
        <f t="shared" si="108"/>
        <v>PM_0</v>
      </c>
      <c r="L901" s="186">
        <f t="shared" si="109"/>
        <v>0</v>
      </c>
      <c r="M901" s="186">
        <f t="shared" si="110"/>
        <v>0</v>
      </c>
      <c r="N901" s="186">
        <f t="shared" si="111"/>
        <v>0</v>
      </c>
      <c r="P901" s="207" t="str">
        <f t="shared" si="112"/>
        <v>PM_0</v>
      </c>
      <c r="Q901" s="273">
        <f t="shared" si="113"/>
        <v>0</v>
      </c>
      <c r="R901" s="207">
        <f t="shared" si="114"/>
        <v>0</v>
      </c>
      <c r="S901" s="207">
        <f t="shared" si="115"/>
        <v>0</v>
      </c>
    </row>
    <row r="902" spans="11:19" ht="14.1" customHeight="1" x14ac:dyDescent="0.2">
      <c r="K902" s="186" t="str">
        <f t="shared" si="108"/>
        <v>PM_0</v>
      </c>
      <c r="L902" s="186">
        <f t="shared" si="109"/>
        <v>0</v>
      </c>
      <c r="M902" s="186">
        <f t="shared" si="110"/>
        <v>0</v>
      </c>
      <c r="N902" s="186">
        <f t="shared" si="111"/>
        <v>0</v>
      </c>
      <c r="P902" s="207" t="str">
        <f t="shared" si="112"/>
        <v>PM_0</v>
      </c>
      <c r="Q902" s="273">
        <f t="shared" si="113"/>
        <v>0</v>
      </c>
      <c r="R902" s="207">
        <f t="shared" si="114"/>
        <v>0</v>
      </c>
      <c r="S902" s="207">
        <f t="shared" si="115"/>
        <v>0</v>
      </c>
    </row>
    <row r="903" spans="11:19" ht="14.1" customHeight="1" x14ac:dyDescent="0.2">
      <c r="K903" s="186" t="str">
        <f t="shared" si="108"/>
        <v>PM_0</v>
      </c>
      <c r="L903" s="186">
        <f t="shared" si="109"/>
        <v>0</v>
      </c>
      <c r="M903" s="186">
        <f t="shared" si="110"/>
        <v>0</v>
      </c>
      <c r="N903" s="186">
        <f t="shared" si="111"/>
        <v>0</v>
      </c>
      <c r="P903" s="207" t="str">
        <f t="shared" si="112"/>
        <v>PM_0</v>
      </c>
      <c r="Q903" s="273">
        <f t="shared" si="113"/>
        <v>0</v>
      </c>
      <c r="R903" s="207">
        <f t="shared" si="114"/>
        <v>0</v>
      </c>
      <c r="S903" s="207">
        <f t="shared" si="115"/>
        <v>0</v>
      </c>
    </row>
    <row r="904" spans="11:19" ht="14.1" customHeight="1" x14ac:dyDescent="0.2">
      <c r="K904" s="186" t="str">
        <f t="shared" si="108"/>
        <v>PM_0</v>
      </c>
      <c r="L904" s="186">
        <f t="shared" si="109"/>
        <v>0</v>
      </c>
      <c r="M904" s="186">
        <f t="shared" si="110"/>
        <v>0</v>
      </c>
      <c r="N904" s="186">
        <f t="shared" si="111"/>
        <v>0</v>
      </c>
      <c r="P904" s="207" t="str">
        <f t="shared" si="112"/>
        <v>PM_0</v>
      </c>
      <c r="Q904" s="273">
        <f t="shared" si="113"/>
        <v>0</v>
      </c>
      <c r="R904" s="207">
        <f t="shared" si="114"/>
        <v>0</v>
      </c>
      <c r="S904" s="207">
        <f t="shared" si="115"/>
        <v>0</v>
      </c>
    </row>
    <row r="905" spans="11:19" ht="14.1" customHeight="1" x14ac:dyDescent="0.2">
      <c r="K905" s="186" t="str">
        <f t="shared" si="108"/>
        <v>PM_0</v>
      </c>
      <c r="L905" s="186">
        <f t="shared" si="109"/>
        <v>0</v>
      </c>
      <c r="M905" s="186">
        <f t="shared" si="110"/>
        <v>0</v>
      </c>
      <c r="N905" s="186">
        <f t="shared" si="111"/>
        <v>0</v>
      </c>
      <c r="P905" s="207" t="str">
        <f t="shared" si="112"/>
        <v>PM_0</v>
      </c>
      <c r="Q905" s="273">
        <f t="shared" si="113"/>
        <v>0</v>
      </c>
      <c r="R905" s="207">
        <f t="shared" si="114"/>
        <v>0</v>
      </c>
      <c r="S905" s="207">
        <f t="shared" si="115"/>
        <v>0</v>
      </c>
    </row>
    <row r="906" spans="11:19" ht="14.1" customHeight="1" x14ac:dyDescent="0.2">
      <c r="K906" s="186" t="str">
        <f t="shared" si="108"/>
        <v>PM_0</v>
      </c>
      <c r="L906" s="186">
        <f t="shared" si="109"/>
        <v>0</v>
      </c>
      <c r="M906" s="186">
        <f t="shared" si="110"/>
        <v>0</v>
      </c>
      <c r="N906" s="186">
        <f t="shared" si="111"/>
        <v>0</v>
      </c>
      <c r="P906" s="207" t="str">
        <f t="shared" si="112"/>
        <v>PM_0</v>
      </c>
      <c r="Q906" s="273">
        <f t="shared" si="113"/>
        <v>0</v>
      </c>
      <c r="R906" s="207">
        <f t="shared" si="114"/>
        <v>0</v>
      </c>
      <c r="S906" s="207">
        <f t="shared" si="115"/>
        <v>0</v>
      </c>
    </row>
    <row r="907" spans="11:19" ht="14.1" customHeight="1" x14ac:dyDescent="0.2">
      <c r="K907" s="186" t="str">
        <f t="shared" ref="K907:K970" si="116">"PM_"&amp;ROUND(E907,2)</f>
        <v>PM_0</v>
      </c>
      <c r="L907" s="186">
        <f t="shared" ref="L907:L970" si="117">F907</f>
        <v>0</v>
      </c>
      <c r="M907" s="186">
        <f t="shared" ref="M907:M970" si="118">G907</f>
        <v>0</v>
      </c>
      <c r="N907" s="186">
        <f t="shared" ref="N907:N970" si="119">H907</f>
        <v>0</v>
      </c>
      <c r="P907" s="207" t="str">
        <f t="shared" ref="P907:P970" si="120">K907</f>
        <v>PM_0</v>
      </c>
      <c r="Q907" s="273">
        <f t="shared" ref="Q907:Q970" si="121">$S$1+E907</f>
        <v>0</v>
      </c>
      <c r="R907" s="207">
        <f t="shared" ref="R907:R970" si="122">H907</f>
        <v>0</v>
      </c>
      <c r="S907" s="207">
        <f t="shared" ref="S907:S970" si="123">$B$6</f>
        <v>0</v>
      </c>
    </row>
    <row r="908" spans="11:19" ht="14.1" customHeight="1" x14ac:dyDescent="0.2">
      <c r="K908" s="186" t="str">
        <f t="shared" si="116"/>
        <v>PM_0</v>
      </c>
      <c r="L908" s="186">
        <f t="shared" si="117"/>
        <v>0</v>
      </c>
      <c r="M908" s="186">
        <f t="shared" si="118"/>
        <v>0</v>
      </c>
      <c r="N908" s="186">
        <f t="shared" si="119"/>
        <v>0</v>
      </c>
      <c r="P908" s="207" t="str">
        <f t="shared" si="120"/>
        <v>PM_0</v>
      </c>
      <c r="Q908" s="273">
        <f t="shared" si="121"/>
        <v>0</v>
      </c>
      <c r="R908" s="207">
        <f t="shared" si="122"/>
        <v>0</v>
      </c>
      <c r="S908" s="207">
        <f t="shared" si="123"/>
        <v>0</v>
      </c>
    </row>
    <row r="909" spans="11:19" ht="14.1" customHeight="1" x14ac:dyDescent="0.2">
      <c r="K909" s="186" t="str">
        <f t="shared" si="116"/>
        <v>PM_0</v>
      </c>
      <c r="L909" s="186">
        <f t="shared" si="117"/>
        <v>0</v>
      </c>
      <c r="M909" s="186">
        <f t="shared" si="118"/>
        <v>0</v>
      </c>
      <c r="N909" s="186">
        <f t="shared" si="119"/>
        <v>0</v>
      </c>
      <c r="P909" s="207" t="str">
        <f t="shared" si="120"/>
        <v>PM_0</v>
      </c>
      <c r="Q909" s="273">
        <f t="shared" si="121"/>
        <v>0</v>
      </c>
      <c r="R909" s="207">
        <f t="shared" si="122"/>
        <v>0</v>
      </c>
      <c r="S909" s="207">
        <f t="shared" si="123"/>
        <v>0</v>
      </c>
    </row>
    <row r="910" spans="11:19" ht="14.1" customHeight="1" x14ac:dyDescent="0.2">
      <c r="K910" s="186" t="str">
        <f t="shared" si="116"/>
        <v>PM_0</v>
      </c>
      <c r="L910" s="186">
        <f t="shared" si="117"/>
        <v>0</v>
      </c>
      <c r="M910" s="186">
        <f t="shared" si="118"/>
        <v>0</v>
      </c>
      <c r="N910" s="186">
        <f t="shared" si="119"/>
        <v>0</v>
      </c>
      <c r="P910" s="207" t="str">
        <f t="shared" si="120"/>
        <v>PM_0</v>
      </c>
      <c r="Q910" s="273">
        <f t="shared" si="121"/>
        <v>0</v>
      </c>
      <c r="R910" s="207">
        <f t="shared" si="122"/>
        <v>0</v>
      </c>
      <c r="S910" s="207">
        <f t="shared" si="123"/>
        <v>0</v>
      </c>
    </row>
    <row r="911" spans="11:19" ht="14.1" customHeight="1" x14ac:dyDescent="0.2">
      <c r="K911" s="186" t="str">
        <f t="shared" si="116"/>
        <v>PM_0</v>
      </c>
      <c r="L911" s="186">
        <f t="shared" si="117"/>
        <v>0</v>
      </c>
      <c r="M911" s="186">
        <f t="shared" si="118"/>
        <v>0</v>
      </c>
      <c r="N911" s="186">
        <f t="shared" si="119"/>
        <v>0</v>
      </c>
      <c r="P911" s="207" t="str">
        <f t="shared" si="120"/>
        <v>PM_0</v>
      </c>
      <c r="Q911" s="273">
        <f t="shared" si="121"/>
        <v>0</v>
      </c>
      <c r="R911" s="207">
        <f t="shared" si="122"/>
        <v>0</v>
      </c>
      <c r="S911" s="207">
        <f t="shared" si="123"/>
        <v>0</v>
      </c>
    </row>
    <row r="912" spans="11:19" ht="14.1" customHeight="1" x14ac:dyDescent="0.2">
      <c r="K912" s="186" t="str">
        <f t="shared" si="116"/>
        <v>PM_0</v>
      </c>
      <c r="L912" s="186">
        <f t="shared" si="117"/>
        <v>0</v>
      </c>
      <c r="M912" s="186">
        <f t="shared" si="118"/>
        <v>0</v>
      </c>
      <c r="N912" s="186">
        <f t="shared" si="119"/>
        <v>0</v>
      </c>
      <c r="P912" s="207" t="str">
        <f t="shared" si="120"/>
        <v>PM_0</v>
      </c>
      <c r="Q912" s="273">
        <f t="shared" si="121"/>
        <v>0</v>
      </c>
      <c r="R912" s="207">
        <f t="shared" si="122"/>
        <v>0</v>
      </c>
      <c r="S912" s="207">
        <f t="shared" si="123"/>
        <v>0</v>
      </c>
    </row>
    <row r="913" spans="11:19" ht="14.1" customHeight="1" x14ac:dyDescent="0.2">
      <c r="K913" s="186" t="str">
        <f t="shared" si="116"/>
        <v>PM_0</v>
      </c>
      <c r="L913" s="186">
        <f t="shared" si="117"/>
        <v>0</v>
      </c>
      <c r="M913" s="186">
        <f t="shared" si="118"/>
        <v>0</v>
      </c>
      <c r="N913" s="186">
        <f t="shared" si="119"/>
        <v>0</v>
      </c>
      <c r="P913" s="207" t="str">
        <f t="shared" si="120"/>
        <v>PM_0</v>
      </c>
      <c r="Q913" s="273">
        <f t="shared" si="121"/>
        <v>0</v>
      </c>
      <c r="R913" s="207">
        <f t="shared" si="122"/>
        <v>0</v>
      </c>
      <c r="S913" s="207">
        <f t="shared" si="123"/>
        <v>0</v>
      </c>
    </row>
    <row r="914" spans="11:19" ht="14.1" customHeight="1" x14ac:dyDescent="0.2">
      <c r="K914" s="186" t="str">
        <f t="shared" si="116"/>
        <v>PM_0</v>
      </c>
      <c r="L914" s="186">
        <f t="shared" si="117"/>
        <v>0</v>
      </c>
      <c r="M914" s="186">
        <f t="shared" si="118"/>
        <v>0</v>
      </c>
      <c r="N914" s="186">
        <f t="shared" si="119"/>
        <v>0</v>
      </c>
      <c r="P914" s="207" t="str">
        <f t="shared" si="120"/>
        <v>PM_0</v>
      </c>
      <c r="Q914" s="273">
        <f t="shared" si="121"/>
        <v>0</v>
      </c>
      <c r="R914" s="207">
        <f t="shared" si="122"/>
        <v>0</v>
      </c>
      <c r="S914" s="207">
        <f t="shared" si="123"/>
        <v>0</v>
      </c>
    </row>
    <row r="915" spans="11:19" ht="14.1" customHeight="1" x14ac:dyDescent="0.2">
      <c r="K915" s="186" t="str">
        <f t="shared" si="116"/>
        <v>PM_0</v>
      </c>
      <c r="L915" s="186">
        <f t="shared" si="117"/>
        <v>0</v>
      </c>
      <c r="M915" s="186">
        <f t="shared" si="118"/>
        <v>0</v>
      </c>
      <c r="N915" s="186">
        <f t="shared" si="119"/>
        <v>0</v>
      </c>
      <c r="P915" s="207" t="str">
        <f t="shared" si="120"/>
        <v>PM_0</v>
      </c>
      <c r="Q915" s="273">
        <f t="shared" si="121"/>
        <v>0</v>
      </c>
      <c r="R915" s="207">
        <f t="shared" si="122"/>
        <v>0</v>
      </c>
      <c r="S915" s="207">
        <f t="shared" si="123"/>
        <v>0</v>
      </c>
    </row>
    <row r="916" spans="11:19" ht="14.1" customHeight="1" x14ac:dyDescent="0.2">
      <c r="K916" s="186" t="str">
        <f t="shared" si="116"/>
        <v>PM_0</v>
      </c>
      <c r="L916" s="186">
        <f t="shared" si="117"/>
        <v>0</v>
      </c>
      <c r="M916" s="186">
        <f t="shared" si="118"/>
        <v>0</v>
      </c>
      <c r="N916" s="186">
        <f t="shared" si="119"/>
        <v>0</v>
      </c>
      <c r="P916" s="207" t="str">
        <f t="shared" si="120"/>
        <v>PM_0</v>
      </c>
      <c r="Q916" s="273">
        <f t="shared" si="121"/>
        <v>0</v>
      </c>
      <c r="R916" s="207">
        <f t="shared" si="122"/>
        <v>0</v>
      </c>
      <c r="S916" s="207">
        <f t="shared" si="123"/>
        <v>0</v>
      </c>
    </row>
    <row r="917" spans="11:19" ht="14.1" customHeight="1" x14ac:dyDescent="0.2">
      <c r="K917" s="186" t="str">
        <f t="shared" si="116"/>
        <v>PM_0</v>
      </c>
      <c r="L917" s="186">
        <f t="shared" si="117"/>
        <v>0</v>
      </c>
      <c r="M917" s="186">
        <f t="shared" si="118"/>
        <v>0</v>
      </c>
      <c r="N917" s="186">
        <f t="shared" si="119"/>
        <v>0</v>
      </c>
      <c r="P917" s="207" t="str">
        <f t="shared" si="120"/>
        <v>PM_0</v>
      </c>
      <c r="Q917" s="273">
        <f t="shared" si="121"/>
        <v>0</v>
      </c>
      <c r="R917" s="207">
        <f t="shared" si="122"/>
        <v>0</v>
      </c>
      <c r="S917" s="207">
        <f t="shared" si="123"/>
        <v>0</v>
      </c>
    </row>
    <row r="918" spans="11:19" ht="14.1" customHeight="1" x14ac:dyDescent="0.2">
      <c r="K918" s="186" t="str">
        <f t="shared" si="116"/>
        <v>PM_0</v>
      </c>
      <c r="L918" s="186">
        <f t="shared" si="117"/>
        <v>0</v>
      </c>
      <c r="M918" s="186">
        <f t="shared" si="118"/>
        <v>0</v>
      </c>
      <c r="N918" s="186">
        <f t="shared" si="119"/>
        <v>0</v>
      </c>
      <c r="P918" s="207" t="str">
        <f t="shared" si="120"/>
        <v>PM_0</v>
      </c>
      <c r="Q918" s="273">
        <f t="shared" si="121"/>
        <v>0</v>
      </c>
      <c r="R918" s="207">
        <f t="shared" si="122"/>
        <v>0</v>
      </c>
      <c r="S918" s="207">
        <f t="shared" si="123"/>
        <v>0</v>
      </c>
    </row>
    <row r="919" spans="11:19" ht="14.1" customHeight="1" x14ac:dyDescent="0.2">
      <c r="K919" s="186" t="str">
        <f t="shared" si="116"/>
        <v>PM_0</v>
      </c>
      <c r="L919" s="186">
        <f t="shared" si="117"/>
        <v>0</v>
      </c>
      <c r="M919" s="186">
        <f t="shared" si="118"/>
        <v>0</v>
      </c>
      <c r="N919" s="186">
        <f t="shared" si="119"/>
        <v>0</v>
      </c>
      <c r="P919" s="207" t="str">
        <f t="shared" si="120"/>
        <v>PM_0</v>
      </c>
      <c r="Q919" s="273">
        <f t="shared" si="121"/>
        <v>0</v>
      </c>
      <c r="R919" s="207">
        <f t="shared" si="122"/>
        <v>0</v>
      </c>
      <c r="S919" s="207">
        <f t="shared" si="123"/>
        <v>0</v>
      </c>
    </row>
    <row r="920" spans="11:19" ht="14.1" customHeight="1" x14ac:dyDescent="0.2">
      <c r="K920" s="186" t="str">
        <f t="shared" si="116"/>
        <v>PM_0</v>
      </c>
      <c r="L920" s="186">
        <f t="shared" si="117"/>
        <v>0</v>
      </c>
      <c r="M920" s="186">
        <f t="shared" si="118"/>
        <v>0</v>
      </c>
      <c r="N920" s="186">
        <f t="shared" si="119"/>
        <v>0</v>
      </c>
      <c r="P920" s="207" t="str">
        <f t="shared" si="120"/>
        <v>PM_0</v>
      </c>
      <c r="Q920" s="273">
        <f t="shared" si="121"/>
        <v>0</v>
      </c>
      <c r="R920" s="207">
        <f t="shared" si="122"/>
        <v>0</v>
      </c>
      <c r="S920" s="207">
        <f t="shared" si="123"/>
        <v>0</v>
      </c>
    </row>
    <row r="921" spans="11:19" ht="14.1" customHeight="1" x14ac:dyDescent="0.2">
      <c r="K921" s="186" t="str">
        <f t="shared" si="116"/>
        <v>PM_0</v>
      </c>
      <c r="L921" s="186">
        <f t="shared" si="117"/>
        <v>0</v>
      </c>
      <c r="M921" s="186">
        <f t="shared" si="118"/>
        <v>0</v>
      </c>
      <c r="N921" s="186">
        <f t="shared" si="119"/>
        <v>0</v>
      </c>
      <c r="P921" s="207" t="str">
        <f t="shared" si="120"/>
        <v>PM_0</v>
      </c>
      <c r="Q921" s="273">
        <f t="shared" si="121"/>
        <v>0</v>
      </c>
      <c r="R921" s="207">
        <f t="shared" si="122"/>
        <v>0</v>
      </c>
      <c r="S921" s="207">
        <f t="shared" si="123"/>
        <v>0</v>
      </c>
    </row>
    <row r="922" spans="11:19" ht="14.1" customHeight="1" x14ac:dyDescent="0.2">
      <c r="K922" s="186" t="str">
        <f t="shared" si="116"/>
        <v>PM_0</v>
      </c>
      <c r="L922" s="186">
        <f t="shared" si="117"/>
        <v>0</v>
      </c>
      <c r="M922" s="186">
        <f t="shared" si="118"/>
        <v>0</v>
      </c>
      <c r="N922" s="186">
        <f t="shared" si="119"/>
        <v>0</v>
      </c>
      <c r="P922" s="207" t="str">
        <f t="shared" si="120"/>
        <v>PM_0</v>
      </c>
      <c r="Q922" s="273">
        <f t="shared" si="121"/>
        <v>0</v>
      </c>
      <c r="R922" s="207">
        <f t="shared" si="122"/>
        <v>0</v>
      </c>
      <c r="S922" s="207">
        <f t="shared" si="123"/>
        <v>0</v>
      </c>
    </row>
    <row r="923" spans="11:19" ht="14.1" customHeight="1" x14ac:dyDescent="0.2">
      <c r="K923" s="186" t="str">
        <f t="shared" si="116"/>
        <v>PM_0</v>
      </c>
      <c r="L923" s="186">
        <f t="shared" si="117"/>
        <v>0</v>
      </c>
      <c r="M923" s="186">
        <f t="shared" si="118"/>
        <v>0</v>
      </c>
      <c r="N923" s="186">
        <f t="shared" si="119"/>
        <v>0</v>
      </c>
      <c r="P923" s="207" t="str">
        <f t="shared" si="120"/>
        <v>PM_0</v>
      </c>
      <c r="Q923" s="273">
        <f t="shared" si="121"/>
        <v>0</v>
      </c>
      <c r="R923" s="207">
        <f t="shared" si="122"/>
        <v>0</v>
      </c>
      <c r="S923" s="207">
        <f t="shared" si="123"/>
        <v>0</v>
      </c>
    </row>
    <row r="924" spans="11:19" ht="14.1" customHeight="1" x14ac:dyDescent="0.2">
      <c r="K924" s="186" t="str">
        <f t="shared" si="116"/>
        <v>PM_0</v>
      </c>
      <c r="L924" s="186">
        <f t="shared" si="117"/>
        <v>0</v>
      </c>
      <c r="M924" s="186">
        <f t="shared" si="118"/>
        <v>0</v>
      </c>
      <c r="N924" s="186">
        <f t="shared" si="119"/>
        <v>0</v>
      </c>
      <c r="P924" s="207" t="str">
        <f t="shared" si="120"/>
        <v>PM_0</v>
      </c>
      <c r="Q924" s="273">
        <f t="shared" si="121"/>
        <v>0</v>
      </c>
      <c r="R924" s="207">
        <f t="shared" si="122"/>
        <v>0</v>
      </c>
      <c r="S924" s="207">
        <f t="shared" si="123"/>
        <v>0</v>
      </c>
    </row>
    <row r="925" spans="11:19" ht="14.1" customHeight="1" x14ac:dyDescent="0.2">
      <c r="K925" s="186" t="str">
        <f t="shared" si="116"/>
        <v>PM_0</v>
      </c>
      <c r="L925" s="186">
        <f t="shared" si="117"/>
        <v>0</v>
      </c>
      <c r="M925" s="186">
        <f t="shared" si="118"/>
        <v>0</v>
      </c>
      <c r="N925" s="186">
        <f t="shared" si="119"/>
        <v>0</v>
      </c>
      <c r="P925" s="207" t="str">
        <f t="shared" si="120"/>
        <v>PM_0</v>
      </c>
      <c r="Q925" s="273">
        <f t="shared" si="121"/>
        <v>0</v>
      </c>
      <c r="R925" s="207">
        <f t="shared" si="122"/>
        <v>0</v>
      </c>
      <c r="S925" s="207">
        <f t="shared" si="123"/>
        <v>0</v>
      </c>
    </row>
    <row r="926" spans="11:19" ht="14.1" customHeight="1" x14ac:dyDescent="0.2">
      <c r="K926" s="186" t="str">
        <f t="shared" si="116"/>
        <v>PM_0</v>
      </c>
      <c r="L926" s="186">
        <f t="shared" si="117"/>
        <v>0</v>
      </c>
      <c r="M926" s="186">
        <f t="shared" si="118"/>
        <v>0</v>
      </c>
      <c r="N926" s="186">
        <f t="shared" si="119"/>
        <v>0</v>
      </c>
      <c r="P926" s="207" t="str">
        <f t="shared" si="120"/>
        <v>PM_0</v>
      </c>
      <c r="Q926" s="273">
        <f t="shared" si="121"/>
        <v>0</v>
      </c>
      <c r="R926" s="207">
        <f t="shared" si="122"/>
        <v>0</v>
      </c>
      <c r="S926" s="207">
        <f t="shared" si="123"/>
        <v>0</v>
      </c>
    </row>
    <row r="927" spans="11:19" ht="14.1" customHeight="1" x14ac:dyDescent="0.2">
      <c r="K927" s="186" t="str">
        <f t="shared" si="116"/>
        <v>PM_0</v>
      </c>
      <c r="L927" s="186">
        <f t="shared" si="117"/>
        <v>0</v>
      </c>
      <c r="M927" s="186">
        <f t="shared" si="118"/>
        <v>0</v>
      </c>
      <c r="N927" s="186">
        <f t="shared" si="119"/>
        <v>0</v>
      </c>
      <c r="P927" s="207" t="str">
        <f t="shared" si="120"/>
        <v>PM_0</v>
      </c>
      <c r="Q927" s="273">
        <f t="shared" si="121"/>
        <v>0</v>
      </c>
      <c r="R927" s="207">
        <f t="shared" si="122"/>
        <v>0</v>
      </c>
      <c r="S927" s="207">
        <f t="shared" si="123"/>
        <v>0</v>
      </c>
    </row>
    <row r="928" spans="11:19" ht="14.1" customHeight="1" x14ac:dyDescent="0.2">
      <c r="K928" s="186" t="str">
        <f t="shared" si="116"/>
        <v>PM_0</v>
      </c>
      <c r="L928" s="186">
        <f t="shared" si="117"/>
        <v>0</v>
      </c>
      <c r="M928" s="186">
        <f t="shared" si="118"/>
        <v>0</v>
      </c>
      <c r="N928" s="186">
        <f t="shared" si="119"/>
        <v>0</v>
      </c>
      <c r="P928" s="207" t="str">
        <f t="shared" si="120"/>
        <v>PM_0</v>
      </c>
      <c r="Q928" s="273">
        <f t="shared" si="121"/>
        <v>0</v>
      </c>
      <c r="R928" s="207">
        <f t="shared" si="122"/>
        <v>0</v>
      </c>
      <c r="S928" s="207">
        <f t="shared" si="123"/>
        <v>0</v>
      </c>
    </row>
    <row r="929" spans="11:19" ht="14.1" customHeight="1" x14ac:dyDescent="0.2">
      <c r="K929" s="186" t="str">
        <f t="shared" si="116"/>
        <v>PM_0</v>
      </c>
      <c r="L929" s="186">
        <f t="shared" si="117"/>
        <v>0</v>
      </c>
      <c r="M929" s="186">
        <f t="shared" si="118"/>
        <v>0</v>
      </c>
      <c r="N929" s="186">
        <f t="shared" si="119"/>
        <v>0</v>
      </c>
      <c r="P929" s="207" t="str">
        <f t="shared" si="120"/>
        <v>PM_0</v>
      </c>
      <c r="Q929" s="273">
        <f t="shared" si="121"/>
        <v>0</v>
      </c>
      <c r="R929" s="207">
        <f t="shared" si="122"/>
        <v>0</v>
      </c>
      <c r="S929" s="207">
        <f t="shared" si="123"/>
        <v>0</v>
      </c>
    </row>
    <row r="930" spans="11:19" ht="14.1" customHeight="1" x14ac:dyDescent="0.2">
      <c r="K930" s="186" t="str">
        <f t="shared" si="116"/>
        <v>PM_0</v>
      </c>
      <c r="L930" s="186">
        <f t="shared" si="117"/>
        <v>0</v>
      </c>
      <c r="M930" s="186">
        <f t="shared" si="118"/>
        <v>0</v>
      </c>
      <c r="N930" s="186">
        <f t="shared" si="119"/>
        <v>0</v>
      </c>
      <c r="P930" s="207" t="str">
        <f t="shared" si="120"/>
        <v>PM_0</v>
      </c>
      <c r="Q930" s="273">
        <f t="shared" si="121"/>
        <v>0</v>
      </c>
      <c r="R930" s="207">
        <f t="shared" si="122"/>
        <v>0</v>
      </c>
      <c r="S930" s="207">
        <f t="shared" si="123"/>
        <v>0</v>
      </c>
    </row>
    <row r="931" spans="11:19" ht="14.1" customHeight="1" x14ac:dyDescent="0.2">
      <c r="K931" s="186" t="str">
        <f t="shared" si="116"/>
        <v>PM_0</v>
      </c>
      <c r="L931" s="186">
        <f t="shared" si="117"/>
        <v>0</v>
      </c>
      <c r="M931" s="186">
        <f t="shared" si="118"/>
        <v>0</v>
      </c>
      <c r="N931" s="186">
        <f t="shared" si="119"/>
        <v>0</v>
      </c>
      <c r="P931" s="207" t="str">
        <f t="shared" si="120"/>
        <v>PM_0</v>
      </c>
      <c r="Q931" s="273">
        <f t="shared" si="121"/>
        <v>0</v>
      </c>
      <c r="R931" s="207">
        <f t="shared" si="122"/>
        <v>0</v>
      </c>
      <c r="S931" s="207">
        <f t="shared" si="123"/>
        <v>0</v>
      </c>
    </row>
    <row r="932" spans="11:19" ht="14.1" customHeight="1" x14ac:dyDescent="0.2">
      <c r="K932" s="186" t="str">
        <f t="shared" si="116"/>
        <v>PM_0</v>
      </c>
      <c r="L932" s="186">
        <f t="shared" si="117"/>
        <v>0</v>
      </c>
      <c r="M932" s="186">
        <f t="shared" si="118"/>
        <v>0</v>
      </c>
      <c r="N932" s="186">
        <f t="shared" si="119"/>
        <v>0</v>
      </c>
      <c r="P932" s="207" t="str">
        <f t="shared" si="120"/>
        <v>PM_0</v>
      </c>
      <c r="Q932" s="273">
        <f t="shared" si="121"/>
        <v>0</v>
      </c>
      <c r="R932" s="207">
        <f t="shared" si="122"/>
        <v>0</v>
      </c>
      <c r="S932" s="207">
        <f t="shared" si="123"/>
        <v>0</v>
      </c>
    </row>
    <row r="933" spans="11:19" ht="14.1" customHeight="1" x14ac:dyDescent="0.2">
      <c r="K933" s="186" t="str">
        <f t="shared" si="116"/>
        <v>PM_0</v>
      </c>
      <c r="L933" s="186">
        <f t="shared" si="117"/>
        <v>0</v>
      </c>
      <c r="M933" s="186">
        <f t="shared" si="118"/>
        <v>0</v>
      </c>
      <c r="N933" s="186">
        <f t="shared" si="119"/>
        <v>0</v>
      </c>
      <c r="P933" s="207" t="str">
        <f t="shared" si="120"/>
        <v>PM_0</v>
      </c>
      <c r="Q933" s="273">
        <f t="shared" si="121"/>
        <v>0</v>
      </c>
      <c r="R933" s="207">
        <f t="shared" si="122"/>
        <v>0</v>
      </c>
      <c r="S933" s="207">
        <f t="shared" si="123"/>
        <v>0</v>
      </c>
    </row>
    <row r="934" spans="11:19" ht="14.1" customHeight="1" x14ac:dyDescent="0.2">
      <c r="K934" s="186" t="str">
        <f t="shared" si="116"/>
        <v>PM_0</v>
      </c>
      <c r="L934" s="186">
        <f t="shared" si="117"/>
        <v>0</v>
      </c>
      <c r="M934" s="186">
        <f t="shared" si="118"/>
        <v>0</v>
      </c>
      <c r="N934" s="186">
        <f t="shared" si="119"/>
        <v>0</v>
      </c>
      <c r="P934" s="207" t="str">
        <f t="shared" si="120"/>
        <v>PM_0</v>
      </c>
      <c r="Q934" s="273">
        <f t="shared" si="121"/>
        <v>0</v>
      </c>
      <c r="R934" s="207">
        <f t="shared" si="122"/>
        <v>0</v>
      </c>
      <c r="S934" s="207">
        <f t="shared" si="123"/>
        <v>0</v>
      </c>
    </row>
    <row r="935" spans="11:19" ht="14.1" customHeight="1" x14ac:dyDescent="0.2">
      <c r="K935" s="186" t="str">
        <f t="shared" si="116"/>
        <v>PM_0</v>
      </c>
      <c r="L935" s="186">
        <f t="shared" si="117"/>
        <v>0</v>
      </c>
      <c r="M935" s="186">
        <f t="shared" si="118"/>
        <v>0</v>
      </c>
      <c r="N935" s="186">
        <f t="shared" si="119"/>
        <v>0</v>
      </c>
      <c r="P935" s="207" t="str">
        <f t="shared" si="120"/>
        <v>PM_0</v>
      </c>
      <c r="Q935" s="273">
        <f t="shared" si="121"/>
        <v>0</v>
      </c>
      <c r="R935" s="207">
        <f t="shared" si="122"/>
        <v>0</v>
      </c>
      <c r="S935" s="207">
        <f t="shared" si="123"/>
        <v>0</v>
      </c>
    </row>
    <row r="936" spans="11:19" ht="14.1" customHeight="1" x14ac:dyDescent="0.2">
      <c r="K936" s="186" t="str">
        <f t="shared" si="116"/>
        <v>PM_0</v>
      </c>
      <c r="L936" s="186">
        <f t="shared" si="117"/>
        <v>0</v>
      </c>
      <c r="M936" s="186">
        <f t="shared" si="118"/>
        <v>0</v>
      </c>
      <c r="N936" s="186">
        <f t="shared" si="119"/>
        <v>0</v>
      </c>
      <c r="P936" s="207" t="str">
        <f t="shared" si="120"/>
        <v>PM_0</v>
      </c>
      <c r="Q936" s="273">
        <f t="shared" si="121"/>
        <v>0</v>
      </c>
      <c r="R936" s="207">
        <f t="shared" si="122"/>
        <v>0</v>
      </c>
      <c r="S936" s="207">
        <f t="shared" si="123"/>
        <v>0</v>
      </c>
    </row>
    <row r="937" spans="11:19" ht="14.1" customHeight="1" x14ac:dyDescent="0.2">
      <c r="K937" s="186" t="str">
        <f t="shared" si="116"/>
        <v>PM_0</v>
      </c>
      <c r="L937" s="186">
        <f t="shared" si="117"/>
        <v>0</v>
      </c>
      <c r="M937" s="186">
        <f t="shared" si="118"/>
        <v>0</v>
      </c>
      <c r="N937" s="186">
        <f t="shared" si="119"/>
        <v>0</v>
      </c>
      <c r="P937" s="207" t="str">
        <f t="shared" si="120"/>
        <v>PM_0</v>
      </c>
      <c r="Q937" s="273">
        <f t="shared" si="121"/>
        <v>0</v>
      </c>
      <c r="R937" s="207">
        <f t="shared" si="122"/>
        <v>0</v>
      </c>
      <c r="S937" s="207">
        <f t="shared" si="123"/>
        <v>0</v>
      </c>
    </row>
    <row r="938" spans="11:19" ht="14.1" customHeight="1" x14ac:dyDescent="0.2">
      <c r="K938" s="186" t="str">
        <f t="shared" si="116"/>
        <v>PM_0</v>
      </c>
      <c r="L938" s="186">
        <f t="shared" si="117"/>
        <v>0</v>
      </c>
      <c r="M938" s="186">
        <f t="shared" si="118"/>
        <v>0</v>
      </c>
      <c r="N938" s="186">
        <f t="shared" si="119"/>
        <v>0</v>
      </c>
      <c r="P938" s="207" t="str">
        <f t="shared" si="120"/>
        <v>PM_0</v>
      </c>
      <c r="Q938" s="273">
        <f t="shared" si="121"/>
        <v>0</v>
      </c>
      <c r="R938" s="207">
        <f t="shared" si="122"/>
        <v>0</v>
      </c>
      <c r="S938" s="207">
        <f t="shared" si="123"/>
        <v>0</v>
      </c>
    </row>
    <row r="939" spans="11:19" ht="14.1" customHeight="1" x14ac:dyDescent="0.2">
      <c r="K939" s="186" t="str">
        <f t="shared" si="116"/>
        <v>PM_0</v>
      </c>
      <c r="L939" s="186">
        <f t="shared" si="117"/>
        <v>0</v>
      </c>
      <c r="M939" s="186">
        <f t="shared" si="118"/>
        <v>0</v>
      </c>
      <c r="N939" s="186">
        <f t="shared" si="119"/>
        <v>0</v>
      </c>
      <c r="P939" s="207" t="str">
        <f t="shared" si="120"/>
        <v>PM_0</v>
      </c>
      <c r="Q939" s="273">
        <f t="shared" si="121"/>
        <v>0</v>
      </c>
      <c r="R939" s="207">
        <f t="shared" si="122"/>
        <v>0</v>
      </c>
      <c r="S939" s="207">
        <f t="shared" si="123"/>
        <v>0</v>
      </c>
    </row>
    <row r="940" spans="11:19" ht="14.1" customHeight="1" x14ac:dyDescent="0.2">
      <c r="K940" s="186" t="str">
        <f t="shared" si="116"/>
        <v>PM_0</v>
      </c>
      <c r="L940" s="186">
        <f t="shared" si="117"/>
        <v>0</v>
      </c>
      <c r="M940" s="186">
        <f t="shared" si="118"/>
        <v>0</v>
      </c>
      <c r="N940" s="186">
        <f t="shared" si="119"/>
        <v>0</v>
      </c>
      <c r="P940" s="207" t="str">
        <f t="shared" si="120"/>
        <v>PM_0</v>
      </c>
      <c r="Q940" s="273">
        <f t="shared" si="121"/>
        <v>0</v>
      </c>
      <c r="R940" s="207">
        <f t="shared" si="122"/>
        <v>0</v>
      </c>
      <c r="S940" s="207">
        <f t="shared" si="123"/>
        <v>0</v>
      </c>
    </row>
    <row r="941" spans="11:19" ht="14.1" customHeight="1" x14ac:dyDescent="0.2">
      <c r="K941" s="186" t="str">
        <f t="shared" si="116"/>
        <v>PM_0</v>
      </c>
      <c r="L941" s="186">
        <f t="shared" si="117"/>
        <v>0</v>
      </c>
      <c r="M941" s="186">
        <f t="shared" si="118"/>
        <v>0</v>
      </c>
      <c r="N941" s="186">
        <f t="shared" si="119"/>
        <v>0</v>
      </c>
      <c r="P941" s="207" t="str">
        <f t="shared" si="120"/>
        <v>PM_0</v>
      </c>
      <c r="Q941" s="273">
        <f t="shared" si="121"/>
        <v>0</v>
      </c>
      <c r="R941" s="207">
        <f t="shared" si="122"/>
        <v>0</v>
      </c>
      <c r="S941" s="207">
        <f t="shared" si="123"/>
        <v>0</v>
      </c>
    </row>
    <row r="942" spans="11:19" ht="14.1" customHeight="1" x14ac:dyDescent="0.2">
      <c r="K942" s="186" t="str">
        <f t="shared" si="116"/>
        <v>PM_0</v>
      </c>
      <c r="L942" s="186">
        <f t="shared" si="117"/>
        <v>0</v>
      </c>
      <c r="M942" s="186">
        <f t="shared" si="118"/>
        <v>0</v>
      </c>
      <c r="N942" s="186">
        <f t="shared" si="119"/>
        <v>0</v>
      </c>
      <c r="P942" s="207" t="str">
        <f t="shared" si="120"/>
        <v>PM_0</v>
      </c>
      <c r="Q942" s="273">
        <f t="shared" si="121"/>
        <v>0</v>
      </c>
      <c r="R942" s="207">
        <f t="shared" si="122"/>
        <v>0</v>
      </c>
      <c r="S942" s="207">
        <f t="shared" si="123"/>
        <v>0</v>
      </c>
    </row>
    <row r="943" spans="11:19" ht="14.1" customHeight="1" x14ac:dyDescent="0.2">
      <c r="K943" s="186" t="str">
        <f t="shared" si="116"/>
        <v>PM_0</v>
      </c>
      <c r="L943" s="186">
        <f t="shared" si="117"/>
        <v>0</v>
      </c>
      <c r="M943" s="186">
        <f t="shared" si="118"/>
        <v>0</v>
      </c>
      <c r="N943" s="186">
        <f t="shared" si="119"/>
        <v>0</v>
      </c>
      <c r="P943" s="207" t="str">
        <f t="shared" si="120"/>
        <v>PM_0</v>
      </c>
      <c r="Q943" s="273">
        <f t="shared" si="121"/>
        <v>0</v>
      </c>
      <c r="R943" s="207">
        <f t="shared" si="122"/>
        <v>0</v>
      </c>
      <c r="S943" s="207">
        <f t="shared" si="123"/>
        <v>0</v>
      </c>
    </row>
    <row r="944" spans="11:19" ht="14.1" customHeight="1" x14ac:dyDescent="0.2">
      <c r="K944" s="186" t="str">
        <f t="shared" si="116"/>
        <v>PM_0</v>
      </c>
      <c r="L944" s="186">
        <f t="shared" si="117"/>
        <v>0</v>
      </c>
      <c r="M944" s="186">
        <f t="shared" si="118"/>
        <v>0</v>
      </c>
      <c r="N944" s="186">
        <f t="shared" si="119"/>
        <v>0</v>
      </c>
      <c r="P944" s="207" t="str">
        <f t="shared" si="120"/>
        <v>PM_0</v>
      </c>
      <c r="Q944" s="273">
        <f t="shared" si="121"/>
        <v>0</v>
      </c>
      <c r="R944" s="207">
        <f t="shared" si="122"/>
        <v>0</v>
      </c>
      <c r="S944" s="207">
        <f t="shared" si="123"/>
        <v>0</v>
      </c>
    </row>
    <row r="945" spans="11:19" ht="14.1" customHeight="1" x14ac:dyDescent="0.2">
      <c r="K945" s="186" t="str">
        <f t="shared" si="116"/>
        <v>PM_0</v>
      </c>
      <c r="L945" s="186">
        <f t="shared" si="117"/>
        <v>0</v>
      </c>
      <c r="M945" s="186">
        <f t="shared" si="118"/>
        <v>0</v>
      </c>
      <c r="N945" s="186">
        <f t="shared" si="119"/>
        <v>0</v>
      </c>
      <c r="P945" s="207" t="str">
        <f t="shared" si="120"/>
        <v>PM_0</v>
      </c>
      <c r="Q945" s="273">
        <f t="shared" si="121"/>
        <v>0</v>
      </c>
      <c r="R945" s="207">
        <f t="shared" si="122"/>
        <v>0</v>
      </c>
      <c r="S945" s="207">
        <f t="shared" si="123"/>
        <v>0</v>
      </c>
    </row>
    <row r="946" spans="11:19" ht="14.1" customHeight="1" x14ac:dyDescent="0.2">
      <c r="K946" s="186" t="str">
        <f t="shared" si="116"/>
        <v>PM_0</v>
      </c>
      <c r="L946" s="186">
        <f t="shared" si="117"/>
        <v>0</v>
      </c>
      <c r="M946" s="186">
        <f t="shared" si="118"/>
        <v>0</v>
      </c>
      <c r="N946" s="186">
        <f t="shared" si="119"/>
        <v>0</v>
      </c>
      <c r="P946" s="207" t="str">
        <f t="shared" si="120"/>
        <v>PM_0</v>
      </c>
      <c r="Q946" s="273">
        <f t="shared" si="121"/>
        <v>0</v>
      </c>
      <c r="R946" s="207">
        <f t="shared" si="122"/>
        <v>0</v>
      </c>
      <c r="S946" s="207">
        <f t="shared" si="123"/>
        <v>0</v>
      </c>
    </row>
    <row r="947" spans="11:19" ht="14.1" customHeight="1" x14ac:dyDescent="0.2">
      <c r="K947" s="186" t="str">
        <f t="shared" si="116"/>
        <v>PM_0</v>
      </c>
      <c r="L947" s="186">
        <f t="shared" si="117"/>
        <v>0</v>
      </c>
      <c r="M947" s="186">
        <f t="shared" si="118"/>
        <v>0</v>
      </c>
      <c r="N947" s="186">
        <f t="shared" si="119"/>
        <v>0</v>
      </c>
      <c r="P947" s="207" t="str">
        <f t="shared" si="120"/>
        <v>PM_0</v>
      </c>
      <c r="Q947" s="273">
        <f t="shared" si="121"/>
        <v>0</v>
      </c>
      <c r="R947" s="207">
        <f t="shared" si="122"/>
        <v>0</v>
      </c>
      <c r="S947" s="207">
        <f t="shared" si="123"/>
        <v>0</v>
      </c>
    </row>
    <row r="948" spans="11:19" ht="14.1" customHeight="1" x14ac:dyDescent="0.2">
      <c r="K948" s="186" t="str">
        <f t="shared" si="116"/>
        <v>PM_0</v>
      </c>
      <c r="L948" s="186">
        <f t="shared" si="117"/>
        <v>0</v>
      </c>
      <c r="M948" s="186">
        <f t="shared" si="118"/>
        <v>0</v>
      </c>
      <c r="N948" s="186">
        <f t="shared" si="119"/>
        <v>0</v>
      </c>
      <c r="P948" s="207" t="str">
        <f t="shared" si="120"/>
        <v>PM_0</v>
      </c>
      <c r="Q948" s="273">
        <f t="shared" si="121"/>
        <v>0</v>
      </c>
      <c r="R948" s="207">
        <f t="shared" si="122"/>
        <v>0</v>
      </c>
      <c r="S948" s="207">
        <f t="shared" si="123"/>
        <v>0</v>
      </c>
    </row>
    <row r="949" spans="11:19" ht="14.1" customHeight="1" x14ac:dyDescent="0.2">
      <c r="K949" s="186" t="str">
        <f t="shared" si="116"/>
        <v>PM_0</v>
      </c>
      <c r="L949" s="186">
        <f t="shared" si="117"/>
        <v>0</v>
      </c>
      <c r="M949" s="186">
        <f t="shared" si="118"/>
        <v>0</v>
      </c>
      <c r="N949" s="186">
        <f t="shared" si="119"/>
        <v>0</v>
      </c>
      <c r="P949" s="207" t="str">
        <f t="shared" si="120"/>
        <v>PM_0</v>
      </c>
      <c r="Q949" s="273">
        <f t="shared" si="121"/>
        <v>0</v>
      </c>
      <c r="R949" s="207">
        <f t="shared" si="122"/>
        <v>0</v>
      </c>
      <c r="S949" s="207">
        <f t="shared" si="123"/>
        <v>0</v>
      </c>
    </row>
    <row r="950" spans="11:19" ht="14.1" customHeight="1" x14ac:dyDescent="0.2">
      <c r="K950" s="186" t="str">
        <f t="shared" si="116"/>
        <v>PM_0</v>
      </c>
      <c r="L950" s="186">
        <f t="shared" si="117"/>
        <v>0</v>
      </c>
      <c r="M950" s="186">
        <f t="shared" si="118"/>
        <v>0</v>
      </c>
      <c r="N950" s="186">
        <f t="shared" si="119"/>
        <v>0</v>
      </c>
      <c r="P950" s="207" t="str">
        <f t="shared" si="120"/>
        <v>PM_0</v>
      </c>
      <c r="Q950" s="273">
        <f t="shared" si="121"/>
        <v>0</v>
      </c>
      <c r="R950" s="207">
        <f t="shared" si="122"/>
        <v>0</v>
      </c>
      <c r="S950" s="207">
        <f t="shared" si="123"/>
        <v>0</v>
      </c>
    </row>
    <row r="951" spans="11:19" ht="14.1" customHeight="1" x14ac:dyDescent="0.2">
      <c r="K951" s="186" t="str">
        <f t="shared" si="116"/>
        <v>PM_0</v>
      </c>
      <c r="L951" s="186">
        <f t="shared" si="117"/>
        <v>0</v>
      </c>
      <c r="M951" s="186">
        <f t="shared" si="118"/>
        <v>0</v>
      </c>
      <c r="N951" s="186">
        <f t="shared" si="119"/>
        <v>0</v>
      </c>
      <c r="P951" s="207" t="str">
        <f t="shared" si="120"/>
        <v>PM_0</v>
      </c>
      <c r="Q951" s="273">
        <f t="shared" si="121"/>
        <v>0</v>
      </c>
      <c r="R951" s="207">
        <f t="shared" si="122"/>
        <v>0</v>
      </c>
      <c r="S951" s="207">
        <f t="shared" si="123"/>
        <v>0</v>
      </c>
    </row>
    <row r="952" spans="11:19" ht="14.1" customHeight="1" x14ac:dyDescent="0.2">
      <c r="K952" s="186" t="str">
        <f t="shared" si="116"/>
        <v>PM_0</v>
      </c>
      <c r="L952" s="186">
        <f t="shared" si="117"/>
        <v>0</v>
      </c>
      <c r="M952" s="186">
        <f t="shared" si="118"/>
        <v>0</v>
      </c>
      <c r="N952" s="186">
        <f t="shared" si="119"/>
        <v>0</v>
      </c>
      <c r="P952" s="207" t="str">
        <f t="shared" si="120"/>
        <v>PM_0</v>
      </c>
      <c r="Q952" s="273">
        <f t="shared" si="121"/>
        <v>0</v>
      </c>
      <c r="R952" s="207">
        <f t="shared" si="122"/>
        <v>0</v>
      </c>
      <c r="S952" s="207">
        <f t="shared" si="123"/>
        <v>0</v>
      </c>
    </row>
    <row r="953" spans="11:19" ht="14.1" customHeight="1" x14ac:dyDescent="0.2">
      <c r="K953" s="186" t="str">
        <f t="shared" si="116"/>
        <v>PM_0</v>
      </c>
      <c r="L953" s="186">
        <f t="shared" si="117"/>
        <v>0</v>
      </c>
      <c r="M953" s="186">
        <f t="shared" si="118"/>
        <v>0</v>
      </c>
      <c r="N953" s="186">
        <f t="shared" si="119"/>
        <v>0</v>
      </c>
      <c r="P953" s="207" t="str">
        <f t="shared" si="120"/>
        <v>PM_0</v>
      </c>
      <c r="Q953" s="273">
        <f t="shared" si="121"/>
        <v>0</v>
      </c>
      <c r="R953" s="207">
        <f t="shared" si="122"/>
        <v>0</v>
      </c>
      <c r="S953" s="207">
        <f t="shared" si="123"/>
        <v>0</v>
      </c>
    </row>
    <row r="954" spans="11:19" ht="14.1" customHeight="1" x14ac:dyDescent="0.2">
      <c r="K954" s="186" t="str">
        <f t="shared" si="116"/>
        <v>PM_0</v>
      </c>
      <c r="L954" s="186">
        <f t="shared" si="117"/>
        <v>0</v>
      </c>
      <c r="M954" s="186">
        <f t="shared" si="118"/>
        <v>0</v>
      </c>
      <c r="N954" s="186">
        <f t="shared" si="119"/>
        <v>0</v>
      </c>
      <c r="P954" s="207" t="str">
        <f t="shared" si="120"/>
        <v>PM_0</v>
      </c>
      <c r="Q954" s="273">
        <f t="shared" si="121"/>
        <v>0</v>
      </c>
      <c r="R954" s="207">
        <f t="shared" si="122"/>
        <v>0</v>
      </c>
      <c r="S954" s="207">
        <f t="shared" si="123"/>
        <v>0</v>
      </c>
    </row>
    <row r="955" spans="11:19" ht="14.1" customHeight="1" x14ac:dyDescent="0.2">
      <c r="K955" s="186" t="str">
        <f t="shared" si="116"/>
        <v>PM_0</v>
      </c>
      <c r="L955" s="186">
        <f t="shared" si="117"/>
        <v>0</v>
      </c>
      <c r="M955" s="186">
        <f t="shared" si="118"/>
        <v>0</v>
      </c>
      <c r="N955" s="186">
        <f t="shared" si="119"/>
        <v>0</v>
      </c>
      <c r="P955" s="207" t="str">
        <f t="shared" si="120"/>
        <v>PM_0</v>
      </c>
      <c r="Q955" s="273">
        <f t="shared" si="121"/>
        <v>0</v>
      </c>
      <c r="R955" s="207">
        <f t="shared" si="122"/>
        <v>0</v>
      </c>
      <c r="S955" s="207">
        <f t="shared" si="123"/>
        <v>0</v>
      </c>
    </row>
    <row r="956" spans="11:19" ht="14.1" customHeight="1" x14ac:dyDescent="0.2">
      <c r="K956" s="186" t="str">
        <f t="shared" si="116"/>
        <v>PM_0</v>
      </c>
      <c r="L956" s="186">
        <f t="shared" si="117"/>
        <v>0</v>
      </c>
      <c r="M956" s="186">
        <f t="shared" si="118"/>
        <v>0</v>
      </c>
      <c r="N956" s="186">
        <f t="shared" si="119"/>
        <v>0</v>
      </c>
      <c r="P956" s="207" t="str">
        <f t="shared" si="120"/>
        <v>PM_0</v>
      </c>
      <c r="Q956" s="273">
        <f t="shared" si="121"/>
        <v>0</v>
      </c>
      <c r="R956" s="207">
        <f t="shared" si="122"/>
        <v>0</v>
      </c>
      <c r="S956" s="207">
        <f t="shared" si="123"/>
        <v>0</v>
      </c>
    </row>
    <row r="957" spans="11:19" ht="14.1" customHeight="1" x14ac:dyDescent="0.2">
      <c r="K957" s="186" t="str">
        <f t="shared" si="116"/>
        <v>PM_0</v>
      </c>
      <c r="L957" s="186">
        <f t="shared" si="117"/>
        <v>0</v>
      </c>
      <c r="M957" s="186">
        <f t="shared" si="118"/>
        <v>0</v>
      </c>
      <c r="N957" s="186">
        <f t="shared" si="119"/>
        <v>0</v>
      </c>
      <c r="P957" s="207" t="str">
        <f t="shared" si="120"/>
        <v>PM_0</v>
      </c>
      <c r="Q957" s="273">
        <f t="shared" si="121"/>
        <v>0</v>
      </c>
      <c r="R957" s="207">
        <f t="shared" si="122"/>
        <v>0</v>
      </c>
      <c r="S957" s="207">
        <f t="shared" si="123"/>
        <v>0</v>
      </c>
    </row>
    <row r="958" spans="11:19" ht="14.1" customHeight="1" x14ac:dyDescent="0.2">
      <c r="K958" s="186" t="str">
        <f t="shared" si="116"/>
        <v>PM_0</v>
      </c>
      <c r="L958" s="186">
        <f t="shared" si="117"/>
        <v>0</v>
      </c>
      <c r="M958" s="186">
        <f t="shared" si="118"/>
        <v>0</v>
      </c>
      <c r="N958" s="186">
        <f t="shared" si="119"/>
        <v>0</v>
      </c>
      <c r="P958" s="207" t="str">
        <f t="shared" si="120"/>
        <v>PM_0</v>
      </c>
      <c r="Q958" s="273">
        <f t="shared" si="121"/>
        <v>0</v>
      </c>
      <c r="R958" s="207">
        <f t="shared" si="122"/>
        <v>0</v>
      </c>
      <c r="S958" s="207">
        <f t="shared" si="123"/>
        <v>0</v>
      </c>
    </row>
    <row r="959" spans="11:19" ht="14.1" customHeight="1" x14ac:dyDescent="0.2">
      <c r="K959" s="186" t="str">
        <f t="shared" si="116"/>
        <v>PM_0</v>
      </c>
      <c r="L959" s="186">
        <f t="shared" si="117"/>
        <v>0</v>
      </c>
      <c r="M959" s="186">
        <f t="shared" si="118"/>
        <v>0</v>
      </c>
      <c r="N959" s="186">
        <f t="shared" si="119"/>
        <v>0</v>
      </c>
      <c r="P959" s="207" t="str">
        <f t="shared" si="120"/>
        <v>PM_0</v>
      </c>
      <c r="Q959" s="273">
        <f t="shared" si="121"/>
        <v>0</v>
      </c>
      <c r="R959" s="207">
        <f t="shared" si="122"/>
        <v>0</v>
      </c>
      <c r="S959" s="207">
        <f t="shared" si="123"/>
        <v>0</v>
      </c>
    </row>
    <row r="960" spans="11:19" ht="14.1" customHeight="1" x14ac:dyDescent="0.2">
      <c r="K960" s="186" t="str">
        <f t="shared" si="116"/>
        <v>PM_0</v>
      </c>
      <c r="L960" s="186">
        <f t="shared" si="117"/>
        <v>0</v>
      </c>
      <c r="M960" s="186">
        <f t="shared" si="118"/>
        <v>0</v>
      </c>
      <c r="N960" s="186">
        <f t="shared" si="119"/>
        <v>0</v>
      </c>
      <c r="P960" s="207" t="str">
        <f t="shared" si="120"/>
        <v>PM_0</v>
      </c>
      <c r="Q960" s="273">
        <f t="shared" si="121"/>
        <v>0</v>
      </c>
      <c r="R960" s="207">
        <f t="shared" si="122"/>
        <v>0</v>
      </c>
      <c r="S960" s="207">
        <f t="shared" si="123"/>
        <v>0</v>
      </c>
    </row>
    <row r="961" spans="11:19" ht="14.1" customHeight="1" x14ac:dyDescent="0.2">
      <c r="K961" s="186" t="str">
        <f t="shared" si="116"/>
        <v>PM_0</v>
      </c>
      <c r="L961" s="186">
        <f t="shared" si="117"/>
        <v>0</v>
      </c>
      <c r="M961" s="186">
        <f t="shared" si="118"/>
        <v>0</v>
      </c>
      <c r="N961" s="186">
        <f t="shared" si="119"/>
        <v>0</v>
      </c>
      <c r="P961" s="207" t="str">
        <f t="shared" si="120"/>
        <v>PM_0</v>
      </c>
      <c r="Q961" s="273">
        <f t="shared" si="121"/>
        <v>0</v>
      </c>
      <c r="R961" s="207">
        <f t="shared" si="122"/>
        <v>0</v>
      </c>
      <c r="S961" s="207">
        <f t="shared" si="123"/>
        <v>0</v>
      </c>
    </row>
    <row r="962" spans="11:19" ht="14.1" customHeight="1" x14ac:dyDescent="0.2">
      <c r="K962" s="186" t="str">
        <f t="shared" si="116"/>
        <v>PM_0</v>
      </c>
      <c r="L962" s="186">
        <f t="shared" si="117"/>
        <v>0</v>
      </c>
      <c r="M962" s="186">
        <f t="shared" si="118"/>
        <v>0</v>
      </c>
      <c r="N962" s="186">
        <f t="shared" si="119"/>
        <v>0</v>
      </c>
      <c r="P962" s="207" t="str">
        <f t="shared" si="120"/>
        <v>PM_0</v>
      </c>
      <c r="Q962" s="273">
        <f t="shared" si="121"/>
        <v>0</v>
      </c>
      <c r="R962" s="207">
        <f t="shared" si="122"/>
        <v>0</v>
      </c>
      <c r="S962" s="207">
        <f t="shared" si="123"/>
        <v>0</v>
      </c>
    </row>
    <row r="963" spans="11:19" ht="14.1" customHeight="1" x14ac:dyDescent="0.2">
      <c r="K963" s="186" t="str">
        <f t="shared" si="116"/>
        <v>PM_0</v>
      </c>
      <c r="L963" s="186">
        <f t="shared" si="117"/>
        <v>0</v>
      </c>
      <c r="M963" s="186">
        <f t="shared" si="118"/>
        <v>0</v>
      </c>
      <c r="N963" s="186">
        <f t="shared" si="119"/>
        <v>0</v>
      </c>
      <c r="P963" s="207" t="str">
        <f t="shared" si="120"/>
        <v>PM_0</v>
      </c>
      <c r="Q963" s="273">
        <f t="shared" si="121"/>
        <v>0</v>
      </c>
      <c r="R963" s="207">
        <f t="shared" si="122"/>
        <v>0</v>
      </c>
      <c r="S963" s="207">
        <f t="shared" si="123"/>
        <v>0</v>
      </c>
    </row>
    <row r="964" spans="11:19" ht="14.1" customHeight="1" x14ac:dyDescent="0.2">
      <c r="K964" s="186" t="str">
        <f t="shared" si="116"/>
        <v>PM_0</v>
      </c>
      <c r="L964" s="186">
        <f t="shared" si="117"/>
        <v>0</v>
      </c>
      <c r="M964" s="186">
        <f t="shared" si="118"/>
        <v>0</v>
      </c>
      <c r="N964" s="186">
        <f t="shared" si="119"/>
        <v>0</v>
      </c>
      <c r="P964" s="207" t="str">
        <f t="shared" si="120"/>
        <v>PM_0</v>
      </c>
      <c r="Q964" s="273">
        <f t="shared" si="121"/>
        <v>0</v>
      </c>
      <c r="R964" s="207">
        <f t="shared" si="122"/>
        <v>0</v>
      </c>
      <c r="S964" s="207">
        <f t="shared" si="123"/>
        <v>0</v>
      </c>
    </row>
    <row r="965" spans="11:19" ht="14.1" customHeight="1" x14ac:dyDescent="0.2">
      <c r="K965" s="186" t="str">
        <f t="shared" si="116"/>
        <v>PM_0</v>
      </c>
      <c r="L965" s="186">
        <f t="shared" si="117"/>
        <v>0</v>
      </c>
      <c r="M965" s="186">
        <f t="shared" si="118"/>
        <v>0</v>
      </c>
      <c r="N965" s="186">
        <f t="shared" si="119"/>
        <v>0</v>
      </c>
      <c r="P965" s="207" t="str">
        <f t="shared" si="120"/>
        <v>PM_0</v>
      </c>
      <c r="Q965" s="273">
        <f t="shared" si="121"/>
        <v>0</v>
      </c>
      <c r="R965" s="207">
        <f t="shared" si="122"/>
        <v>0</v>
      </c>
      <c r="S965" s="207">
        <f t="shared" si="123"/>
        <v>0</v>
      </c>
    </row>
    <row r="966" spans="11:19" ht="14.1" customHeight="1" x14ac:dyDescent="0.2">
      <c r="K966" s="186" t="str">
        <f t="shared" si="116"/>
        <v>PM_0</v>
      </c>
      <c r="L966" s="186">
        <f t="shared" si="117"/>
        <v>0</v>
      </c>
      <c r="M966" s="186">
        <f t="shared" si="118"/>
        <v>0</v>
      </c>
      <c r="N966" s="186">
        <f t="shared" si="119"/>
        <v>0</v>
      </c>
      <c r="P966" s="207" t="str">
        <f t="shared" si="120"/>
        <v>PM_0</v>
      </c>
      <c r="Q966" s="273">
        <f t="shared" si="121"/>
        <v>0</v>
      </c>
      <c r="R966" s="207">
        <f t="shared" si="122"/>
        <v>0</v>
      </c>
      <c r="S966" s="207">
        <f t="shared" si="123"/>
        <v>0</v>
      </c>
    </row>
    <row r="967" spans="11:19" ht="14.1" customHeight="1" x14ac:dyDescent="0.2">
      <c r="K967" s="186" t="str">
        <f t="shared" si="116"/>
        <v>PM_0</v>
      </c>
      <c r="L967" s="186">
        <f t="shared" si="117"/>
        <v>0</v>
      </c>
      <c r="M967" s="186">
        <f t="shared" si="118"/>
        <v>0</v>
      </c>
      <c r="N967" s="186">
        <f t="shared" si="119"/>
        <v>0</v>
      </c>
      <c r="P967" s="207" t="str">
        <f t="shared" si="120"/>
        <v>PM_0</v>
      </c>
      <c r="Q967" s="273">
        <f t="shared" si="121"/>
        <v>0</v>
      </c>
      <c r="R967" s="207">
        <f t="shared" si="122"/>
        <v>0</v>
      </c>
      <c r="S967" s="207">
        <f t="shared" si="123"/>
        <v>0</v>
      </c>
    </row>
    <row r="968" spans="11:19" ht="14.1" customHeight="1" x14ac:dyDescent="0.2">
      <c r="K968" s="186" t="str">
        <f t="shared" si="116"/>
        <v>PM_0</v>
      </c>
      <c r="L968" s="186">
        <f t="shared" si="117"/>
        <v>0</v>
      </c>
      <c r="M968" s="186">
        <f t="shared" si="118"/>
        <v>0</v>
      </c>
      <c r="N968" s="186">
        <f t="shared" si="119"/>
        <v>0</v>
      </c>
      <c r="P968" s="207" t="str">
        <f t="shared" si="120"/>
        <v>PM_0</v>
      </c>
      <c r="Q968" s="273">
        <f t="shared" si="121"/>
        <v>0</v>
      </c>
      <c r="R968" s="207">
        <f t="shared" si="122"/>
        <v>0</v>
      </c>
      <c r="S968" s="207">
        <f t="shared" si="123"/>
        <v>0</v>
      </c>
    </row>
    <row r="969" spans="11:19" ht="14.1" customHeight="1" x14ac:dyDescent="0.2">
      <c r="K969" s="186" t="str">
        <f t="shared" si="116"/>
        <v>PM_0</v>
      </c>
      <c r="L969" s="186">
        <f t="shared" si="117"/>
        <v>0</v>
      </c>
      <c r="M969" s="186">
        <f t="shared" si="118"/>
        <v>0</v>
      </c>
      <c r="N969" s="186">
        <f t="shared" si="119"/>
        <v>0</v>
      </c>
      <c r="P969" s="207" t="str">
        <f t="shared" si="120"/>
        <v>PM_0</v>
      </c>
      <c r="Q969" s="273">
        <f t="shared" si="121"/>
        <v>0</v>
      </c>
      <c r="R969" s="207">
        <f t="shared" si="122"/>
        <v>0</v>
      </c>
      <c r="S969" s="207">
        <f t="shared" si="123"/>
        <v>0</v>
      </c>
    </row>
    <row r="970" spans="11:19" ht="14.1" customHeight="1" x14ac:dyDescent="0.2">
      <c r="K970" s="186" t="str">
        <f t="shared" si="116"/>
        <v>PM_0</v>
      </c>
      <c r="L970" s="186">
        <f t="shared" si="117"/>
        <v>0</v>
      </c>
      <c r="M970" s="186">
        <f t="shared" si="118"/>
        <v>0</v>
      </c>
      <c r="N970" s="186">
        <f t="shared" si="119"/>
        <v>0</v>
      </c>
      <c r="P970" s="207" t="str">
        <f t="shared" si="120"/>
        <v>PM_0</v>
      </c>
      <c r="Q970" s="273">
        <f t="shared" si="121"/>
        <v>0</v>
      </c>
      <c r="R970" s="207">
        <f t="shared" si="122"/>
        <v>0</v>
      </c>
      <c r="S970" s="207">
        <f t="shared" si="123"/>
        <v>0</v>
      </c>
    </row>
    <row r="971" spans="11:19" ht="14.1" customHeight="1" x14ac:dyDescent="0.2">
      <c r="K971" s="186" t="str">
        <f t="shared" ref="K971:K1034" si="124">"PM_"&amp;ROUND(E971,2)</f>
        <v>PM_0</v>
      </c>
      <c r="L971" s="186">
        <f t="shared" ref="L971:L1034" si="125">F971</f>
        <v>0</v>
      </c>
      <c r="M971" s="186">
        <f t="shared" ref="M971:M1034" si="126">G971</f>
        <v>0</v>
      </c>
      <c r="N971" s="186">
        <f t="shared" ref="N971:N1034" si="127">H971</f>
        <v>0</v>
      </c>
      <c r="P971" s="207" t="str">
        <f t="shared" ref="P971:P1034" si="128">K971</f>
        <v>PM_0</v>
      </c>
      <c r="Q971" s="273">
        <f t="shared" ref="Q971:Q1034" si="129">$S$1+E971</f>
        <v>0</v>
      </c>
      <c r="R971" s="207">
        <f t="shared" ref="R971:R1034" si="130">H971</f>
        <v>0</v>
      </c>
      <c r="S971" s="207">
        <f t="shared" ref="S971:S1034" si="131">$B$6</f>
        <v>0</v>
      </c>
    </row>
    <row r="972" spans="11:19" ht="14.1" customHeight="1" x14ac:dyDescent="0.2">
      <c r="K972" s="186" t="str">
        <f t="shared" si="124"/>
        <v>PM_0</v>
      </c>
      <c r="L972" s="186">
        <f t="shared" si="125"/>
        <v>0</v>
      </c>
      <c r="M972" s="186">
        <f t="shared" si="126"/>
        <v>0</v>
      </c>
      <c r="N972" s="186">
        <f t="shared" si="127"/>
        <v>0</v>
      </c>
      <c r="P972" s="207" t="str">
        <f t="shared" si="128"/>
        <v>PM_0</v>
      </c>
      <c r="Q972" s="273">
        <f t="shared" si="129"/>
        <v>0</v>
      </c>
      <c r="R972" s="207">
        <f t="shared" si="130"/>
        <v>0</v>
      </c>
      <c r="S972" s="207">
        <f t="shared" si="131"/>
        <v>0</v>
      </c>
    </row>
    <row r="973" spans="11:19" ht="14.1" customHeight="1" x14ac:dyDescent="0.2">
      <c r="K973" s="186" t="str">
        <f t="shared" si="124"/>
        <v>PM_0</v>
      </c>
      <c r="L973" s="186">
        <f t="shared" si="125"/>
        <v>0</v>
      </c>
      <c r="M973" s="186">
        <f t="shared" si="126"/>
        <v>0</v>
      </c>
      <c r="N973" s="186">
        <f t="shared" si="127"/>
        <v>0</v>
      </c>
      <c r="P973" s="207" t="str">
        <f t="shared" si="128"/>
        <v>PM_0</v>
      </c>
      <c r="Q973" s="273">
        <f t="shared" si="129"/>
        <v>0</v>
      </c>
      <c r="R973" s="207">
        <f t="shared" si="130"/>
        <v>0</v>
      </c>
      <c r="S973" s="207">
        <f t="shared" si="131"/>
        <v>0</v>
      </c>
    </row>
    <row r="974" spans="11:19" ht="14.1" customHeight="1" x14ac:dyDescent="0.2">
      <c r="K974" s="186" t="str">
        <f t="shared" si="124"/>
        <v>PM_0</v>
      </c>
      <c r="L974" s="186">
        <f t="shared" si="125"/>
        <v>0</v>
      </c>
      <c r="M974" s="186">
        <f t="shared" si="126"/>
        <v>0</v>
      </c>
      <c r="N974" s="186">
        <f t="shared" si="127"/>
        <v>0</v>
      </c>
      <c r="P974" s="207" t="str">
        <f t="shared" si="128"/>
        <v>PM_0</v>
      </c>
      <c r="Q974" s="273">
        <f t="shared" si="129"/>
        <v>0</v>
      </c>
      <c r="R974" s="207">
        <f t="shared" si="130"/>
        <v>0</v>
      </c>
      <c r="S974" s="207">
        <f t="shared" si="131"/>
        <v>0</v>
      </c>
    </row>
    <row r="975" spans="11:19" ht="14.1" customHeight="1" x14ac:dyDescent="0.2">
      <c r="K975" s="186" t="str">
        <f t="shared" si="124"/>
        <v>PM_0</v>
      </c>
      <c r="L975" s="186">
        <f t="shared" si="125"/>
        <v>0</v>
      </c>
      <c r="M975" s="186">
        <f t="shared" si="126"/>
        <v>0</v>
      </c>
      <c r="N975" s="186">
        <f t="shared" si="127"/>
        <v>0</v>
      </c>
      <c r="P975" s="207" t="str">
        <f t="shared" si="128"/>
        <v>PM_0</v>
      </c>
      <c r="Q975" s="273">
        <f t="shared" si="129"/>
        <v>0</v>
      </c>
      <c r="R975" s="207">
        <f t="shared" si="130"/>
        <v>0</v>
      </c>
      <c r="S975" s="207">
        <f t="shared" si="131"/>
        <v>0</v>
      </c>
    </row>
    <row r="976" spans="11:19" ht="14.1" customHeight="1" x14ac:dyDescent="0.2">
      <c r="K976" s="186" t="str">
        <f t="shared" si="124"/>
        <v>PM_0</v>
      </c>
      <c r="L976" s="186">
        <f t="shared" si="125"/>
        <v>0</v>
      </c>
      <c r="M976" s="186">
        <f t="shared" si="126"/>
        <v>0</v>
      </c>
      <c r="N976" s="186">
        <f t="shared" si="127"/>
        <v>0</v>
      </c>
      <c r="P976" s="207" t="str">
        <f t="shared" si="128"/>
        <v>PM_0</v>
      </c>
      <c r="Q976" s="273">
        <f t="shared" si="129"/>
        <v>0</v>
      </c>
      <c r="R976" s="207">
        <f t="shared" si="130"/>
        <v>0</v>
      </c>
      <c r="S976" s="207">
        <f t="shared" si="131"/>
        <v>0</v>
      </c>
    </row>
    <row r="977" spans="11:19" ht="14.1" customHeight="1" x14ac:dyDescent="0.2">
      <c r="K977" s="186" t="str">
        <f t="shared" si="124"/>
        <v>PM_0</v>
      </c>
      <c r="L977" s="186">
        <f t="shared" si="125"/>
        <v>0</v>
      </c>
      <c r="M977" s="186">
        <f t="shared" si="126"/>
        <v>0</v>
      </c>
      <c r="N977" s="186">
        <f t="shared" si="127"/>
        <v>0</v>
      </c>
      <c r="P977" s="207" t="str">
        <f t="shared" si="128"/>
        <v>PM_0</v>
      </c>
      <c r="Q977" s="273">
        <f t="shared" si="129"/>
        <v>0</v>
      </c>
      <c r="R977" s="207">
        <f t="shared" si="130"/>
        <v>0</v>
      </c>
      <c r="S977" s="207">
        <f t="shared" si="131"/>
        <v>0</v>
      </c>
    </row>
    <row r="978" spans="11:19" ht="14.1" customHeight="1" x14ac:dyDescent="0.2">
      <c r="K978" s="186" t="str">
        <f t="shared" si="124"/>
        <v>PM_0</v>
      </c>
      <c r="L978" s="186">
        <f t="shared" si="125"/>
        <v>0</v>
      </c>
      <c r="M978" s="186">
        <f t="shared" si="126"/>
        <v>0</v>
      </c>
      <c r="N978" s="186">
        <f t="shared" si="127"/>
        <v>0</v>
      </c>
      <c r="P978" s="207" t="str">
        <f t="shared" si="128"/>
        <v>PM_0</v>
      </c>
      <c r="Q978" s="273">
        <f t="shared" si="129"/>
        <v>0</v>
      </c>
      <c r="R978" s="207">
        <f t="shared" si="130"/>
        <v>0</v>
      </c>
      <c r="S978" s="207">
        <f t="shared" si="131"/>
        <v>0</v>
      </c>
    </row>
    <row r="979" spans="11:19" ht="14.1" customHeight="1" x14ac:dyDescent="0.2">
      <c r="K979" s="186" t="str">
        <f t="shared" si="124"/>
        <v>PM_0</v>
      </c>
      <c r="L979" s="186">
        <f t="shared" si="125"/>
        <v>0</v>
      </c>
      <c r="M979" s="186">
        <f t="shared" si="126"/>
        <v>0</v>
      </c>
      <c r="N979" s="186">
        <f t="shared" si="127"/>
        <v>0</v>
      </c>
      <c r="P979" s="207" t="str">
        <f t="shared" si="128"/>
        <v>PM_0</v>
      </c>
      <c r="Q979" s="273">
        <f t="shared" si="129"/>
        <v>0</v>
      </c>
      <c r="R979" s="207">
        <f t="shared" si="130"/>
        <v>0</v>
      </c>
      <c r="S979" s="207">
        <f t="shared" si="131"/>
        <v>0</v>
      </c>
    </row>
    <row r="980" spans="11:19" ht="14.1" customHeight="1" x14ac:dyDescent="0.2">
      <c r="K980" s="186" t="str">
        <f t="shared" si="124"/>
        <v>PM_0</v>
      </c>
      <c r="L980" s="186">
        <f t="shared" si="125"/>
        <v>0</v>
      </c>
      <c r="M980" s="186">
        <f t="shared" si="126"/>
        <v>0</v>
      </c>
      <c r="N980" s="186">
        <f t="shared" si="127"/>
        <v>0</v>
      </c>
      <c r="P980" s="207" t="str">
        <f t="shared" si="128"/>
        <v>PM_0</v>
      </c>
      <c r="Q980" s="273">
        <f t="shared" si="129"/>
        <v>0</v>
      </c>
      <c r="R980" s="207">
        <f t="shared" si="130"/>
        <v>0</v>
      </c>
      <c r="S980" s="207">
        <f t="shared" si="131"/>
        <v>0</v>
      </c>
    </row>
    <row r="981" spans="11:19" ht="14.1" customHeight="1" x14ac:dyDescent="0.2">
      <c r="K981" s="186" t="str">
        <f t="shared" si="124"/>
        <v>PM_0</v>
      </c>
      <c r="L981" s="186">
        <f t="shared" si="125"/>
        <v>0</v>
      </c>
      <c r="M981" s="186">
        <f t="shared" si="126"/>
        <v>0</v>
      </c>
      <c r="N981" s="186">
        <f t="shared" si="127"/>
        <v>0</v>
      </c>
      <c r="P981" s="207" t="str">
        <f t="shared" si="128"/>
        <v>PM_0</v>
      </c>
      <c r="Q981" s="273">
        <f t="shared" si="129"/>
        <v>0</v>
      </c>
      <c r="R981" s="207">
        <f t="shared" si="130"/>
        <v>0</v>
      </c>
      <c r="S981" s="207">
        <f t="shared" si="131"/>
        <v>0</v>
      </c>
    </row>
    <row r="982" spans="11:19" ht="14.1" customHeight="1" x14ac:dyDescent="0.2">
      <c r="K982" s="186" t="str">
        <f t="shared" si="124"/>
        <v>PM_0</v>
      </c>
      <c r="L982" s="186">
        <f t="shared" si="125"/>
        <v>0</v>
      </c>
      <c r="M982" s="186">
        <f t="shared" si="126"/>
        <v>0</v>
      </c>
      <c r="N982" s="186">
        <f t="shared" si="127"/>
        <v>0</v>
      </c>
      <c r="P982" s="207" t="str">
        <f t="shared" si="128"/>
        <v>PM_0</v>
      </c>
      <c r="Q982" s="273">
        <f t="shared" si="129"/>
        <v>0</v>
      </c>
      <c r="R982" s="207">
        <f t="shared" si="130"/>
        <v>0</v>
      </c>
      <c r="S982" s="207">
        <f t="shared" si="131"/>
        <v>0</v>
      </c>
    </row>
    <row r="983" spans="11:19" ht="14.1" customHeight="1" x14ac:dyDescent="0.2">
      <c r="K983" s="186" t="str">
        <f t="shared" si="124"/>
        <v>PM_0</v>
      </c>
      <c r="L983" s="186">
        <f t="shared" si="125"/>
        <v>0</v>
      </c>
      <c r="M983" s="186">
        <f t="shared" si="126"/>
        <v>0</v>
      </c>
      <c r="N983" s="186">
        <f t="shared" si="127"/>
        <v>0</v>
      </c>
      <c r="P983" s="207" t="str">
        <f t="shared" si="128"/>
        <v>PM_0</v>
      </c>
      <c r="Q983" s="273">
        <f t="shared" si="129"/>
        <v>0</v>
      </c>
      <c r="R983" s="207">
        <f t="shared" si="130"/>
        <v>0</v>
      </c>
      <c r="S983" s="207">
        <f t="shared" si="131"/>
        <v>0</v>
      </c>
    </row>
    <row r="984" spans="11:19" ht="14.1" customHeight="1" x14ac:dyDescent="0.2">
      <c r="K984" s="186" t="str">
        <f t="shared" si="124"/>
        <v>PM_0</v>
      </c>
      <c r="L984" s="186">
        <f t="shared" si="125"/>
        <v>0</v>
      </c>
      <c r="M984" s="186">
        <f t="shared" si="126"/>
        <v>0</v>
      </c>
      <c r="N984" s="186">
        <f t="shared" si="127"/>
        <v>0</v>
      </c>
      <c r="P984" s="207" t="str">
        <f t="shared" si="128"/>
        <v>PM_0</v>
      </c>
      <c r="Q984" s="273">
        <f t="shared" si="129"/>
        <v>0</v>
      </c>
      <c r="R984" s="207">
        <f t="shared" si="130"/>
        <v>0</v>
      </c>
      <c r="S984" s="207">
        <f t="shared" si="131"/>
        <v>0</v>
      </c>
    </row>
    <row r="985" spans="11:19" ht="14.1" customHeight="1" x14ac:dyDescent="0.2">
      <c r="K985" s="186" t="str">
        <f t="shared" si="124"/>
        <v>PM_0</v>
      </c>
      <c r="L985" s="186">
        <f t="shared" si="125"/>
        <v>0</v>
      </c>
      <c r="M985" s="186">
        <f t="shared" si="126"/>
        <v>0</v>
      </c>
      <c r="N985" s="186">
        <f t="shared" si="127"/>
        <v>0</v>
      </c>
      <c r="P985" s="207" t="str">
        <f t="shared" si="128"/>
        <v>PM_0</v>
      </c>
      <c r="Q985" s="273">
        <f t="shared" si="129"/>
        <v>0</v>
      </c>
      <c r="R985" s="207">
        <f t="shared" si="130"/>
        <v>0</v>
      </c>
      <c r="S985" s="207">
        <f t="shared" si="131"/>
        <v>0</v>
      </c>
    </row>
    <row r="986" spans="11:19" ht="14.1" customHeight="1" x14ac:dyDescent="0.2">
      <c r="K986" s="186" t="str">
        <f t="shared" si="124"/>
        <v>PM_0</v>
      </c>
      <c r="L986" s="186">
        <f t="shared" si="125"/>
        <v>0</v>
      </c>
      <c r="M986" s="186">
        <f t="shared" si="126"/>
        <v>0</v>
      </c>
      <c r="N986" s="186">
        <f t="shared" si="127"/>
        <v>0</v>
      </c>
      <c r="P986" s="207" t="str">
        <f t="shared" si="128"/>
        <v>PM_0</v>
      </c>
      <c r="Q986" s="273">
        <f t="shared" si="129"/>
        <v>0</v>
      </c>
      <c r="R986" s="207">
        <f t="shared" si="130"/>
        <v>0</v>
      </c>
      <c r="S986" s="207">
        <f t="shared" si="131"/>
        <v>0</v>
      </c>
    </row>
    <row r="987" spans="11:19" ht="14.1" customHeight="1" x14ac:dyDescent="0.2">
      <c r="K987" s="186" t="str">
        <f t="shared" si="124"/>
        <v>PM_0</v>
      </c>
      <c r="L987" s="186">
        <f t="shared" si="125"/>
        <v>0</v>
      </c>
      <c r="M987" s="186">
        <f t="shared" si="126"/>
        <v>0</v>
      </c>
      <c r="N987" s="186">
        <f t="shared" si="127"/>
        <v>0</v>
      </c>
      <c r="P987" s="207" t="str">
        <f t="shared" si="128"/>
        <v>PM_0</v>
      </c>
      <c r="Q987" s="273">
        <f t="shared" si="129"/>
        <v>0</v>
      </c>
      <c r="R987" s="207">
        <f t="shared" si="130"/>
        <v>0</v>
      </c>
      <c r="S987" s="207">
        <f t="shared" si="131"/>
        <v>0</v>
      </c>
    </row>
    <row r="988" spans="11:19" ht="14.1" customHeight="1" x14ac:dyDescent="0.2">
      <c r="K988" s="186" t="str">
        <f t="shared" si="124"/>
        <v>PM_0</v>
      </c>
      <c r="L988" s="186">
        <f t="shared" si="125"/>
        <v>0</v>
      </c>
      <c r="M988" s="186">
        <f t="shared" si="126"/>
        <v>0</v>
      </c>
      <c r="N988" s="186">
        <f t="shared" si="127"/>
        <v>0</v>
      </c>
      <c r="P988" s="207" t="str">
        <f t="shared" si="128"/>
        <v>PM_0</v>
      </c>
      <c r="Q988" s="273">
        <f t="shared" si="129"/>
        <v>0</v>
      </c>
      <c r="R988" s="207">
        <f t="shared" si="130"/>
        <v>0</v>
      </c>
      <c r="S988" s="207">
        <f t="shared" si="131"/>
        <v>0</v>
      </c>
    </row>
    <row r="989" spans="11:19" ht="14.1" customHeight="1" x14ac:dyDescent="0.2">
      <c r="K989" s="186" t="str">
        <f t="shared" si="124"/>
        <v>PM_0</v>
      </c>
      <c r="L989" s="186">
        <f t="shared" si="125"/>
        <v>0</v>
      </c>
      <c r="M989" s="186">
        <f t="shared" si="126"/>
        <v>0</v>
      </c>
      <c r="N989" s="186">
        <f t="shared" si="127"/>
        <v>0</v>
      </c>
      <c r="P989" s="207" t="str">
        <f t="shared" si="128"/>
        <v>PM_0</v>
      </c>
      <c r="Q989" s="273">
        <f t="shared" si="129"/>
        <v>0</v>
      </c>
      <c r="R989" s="207">
        <f t="shared" si="130"/>
        <v>0</v>
      </c>
      <c r="S989" s="207">
        <f t="shared" si="131"/>
        <v>0</v>
      </c>
    </row>
    <row r="990" spans="11:19" ht="14.1" customHeight="1" x14ac:dyDescent="0.2">
      <c r="K990" s="186" t="str">
        <f t="shared" si="124"/>
        <v>PM_0</v>
      </c>
      <c r="L990" s="186">
        <f t="shared" si="125"/>
        <v>0</v>
      </c>
      <c r="M990" s="186">
        <f t="shared" si="126"/>
        <v>0</v>
      </c>
      <c r="N990" s="186">
        <f t="shared" si="127"/>
        <v>0</v>
      </c>
      <c r="P990" s="207" t="str">
        <f t="shared" si="128"/>
        <v>PM_0</v>
      </c>
      <c r="Q990" s="273">
        <f t="shared" si="129"/>
        <v>0</v>
      </c>
      <c r="R990" s="207">
        <f t="shared" si="130"/>
        <v>0</v>
      </c>
      <c r="S990" s="207">
        <f t="shared" si="131"/>
        <v>0</v>
      </c>
    </row>
    <row r="991" spans="11:19" ht="14.1" customHeight="1" x14ac:dyDescent="0.2">
      <c r="K991" s="186" t="str">
        <f t="shared" si="124"/>
        <v>PM_0</v>
      </c>
      <c r="L991" s="186">
        <f t="shared" si="125"/>
        <v>0</v>
      </c>
      <c r="M991" s="186">
        <f t="shared" si="126"/>
        <v>0</v>
      </c>
      <c r="N991" s="186">
        <f t="shared" si="127"/>
        <v>0</v>
      </c>
      <c r="P991" s="207" t="str">
        <f t="shared" si="128"/>
        <v>PM_0</v>
      </c>
      <c r="Q991" s="273">
        <f t="shared" si="129"/>
        <v>0</v>
      </c>
      <c r="R991" s="207">
        <f t="shared" si="130"/>
        <v>0</v>
      </c>
      <c r="S991" s="207">
        <f t="shared" si="131"/>
        <v>0</v>
      </c>
    </row>
    <row r="992" spans="11:19" ht="14.1" customHeight="1" x14ac:dyDescent="0.2">
      <c r="K992" s="186" t="str">
        <f t="shared" si="124"/>
        <v>PM_0</v>
      </c>
      <c r="L992" s="186">
        <f t="shared" si="125"/>
        <v>0</v>
      </c>
      <c r="M992" s="186">
        <f t="shared" si="126"/>
        <v>0</v>
      </c>
      <c r="N992" s="186">
        <f t="shared" si="127"/>
        <v>0</v>
      </c>
      <c r="P992" s="207" t="str">
        <f t="shared" si="128"/>
        <v>PM_0</v>
      </c>
      <c r="Q992" s="273">
        <f t="shared" si="129"/>
        <v>0</v>
      </c>
      <c r="R992" s="207">
        <f t="shared" si="130"/>
        <v>0</v>
      </c>
      <c r="S992" s="207">
        <f t="shared" si="131"/>
        <v>0</v>
      </c>
    </row>
    <row r="993" spans="11:19" ht="14.1" customHeight="1" x14ac:dyDescent="0.2">
      <c r="K993" s="186" t="str">
        <f t="shared" si="124"/>
        <v>PM_0</v>
      </c>
      <c r="L993" s="186">
        <f t="shared" si="125"/>
        <v>0</v>
      </c>
      <c r="M993" s="186">
        <f t="shared" si="126"/>
        <v>0</v>
      </c>
      <c r="N993" s="186">
        <f t="shared" si="127"/>
        <v>0</v>
      </c>
      <c r="P993" s="207" t="str">
        <f t="shared" si="128"/>
        <v>PM_0</v>
      </c>
      <c r="Q993" s="273">
        <f t="shared" si="129"/>
        <v>0</v>
      </c>
      <c r="R993" s="207">
        <f t="shared" si="130"/>
        <v>0</v>
      </c>
      <c r="S993" s="207">
        <f t="shared" si="131"/>
        <v>0</v>
      </c>
    </row>
    <row r="994" spans="11:19" ht="14.1" customHeight="1" x14ac:dyDescent="0.2">
      <c r="K994" s="186" t="str">
        <f t="shared" si="124"/>
        <v>PM_0</v>
      </c>
      <c r="L994" s="186">
        <f t="shared" si="125"/>
        <v>0</v>
      </c>
      <c r="M994" s="186">
        <f t="shared" si="126"/>
        <v>0</v>
      </c>
      <c r="N994" s="186">
        <f t="shared" si="127"/>
        <v>0</v>
      </c>
      <c r="P994" s="207" t="str">
        <f t="shared" si="128"/>
        <v>PM_0</v>
      </c>
      <c r="Q994" s="273">
        <f t="shared" si="129"/>
        <v>0</v>
      </c>
      <c r="R994" s="207">
        <f t="shared" si="130"/>
        <v>0</v>
      </c>
      <c r="S994" s="207">
        <f t="shared" si="131"/>
        <v>0</v>
      </c>
    </row>
    <row r="995" spans="11:19" ht="14.1" customHeight="1" x14ac:dyDescent="0.2">
      <c r="K995" s="186" t="str">
        <f t="shared" si="124"/>
        <v>PM_0</v>
      </c>
      <c r="L995" s="186">
        <f t="shared" si="125"/>
        <v>0</v>
      </c>
      <c r="M995" s="186">
        <f t="shared" si="126"/>
        <v>0</v>
      </c>
      <c r="N995" s="186">
        <f t="shared" si="127"/>
        <v>0</v>
      </c>
      <c r="P995" s="207" t="str">
        <f t="shared" si="128"/>
        <v>PM_0</v>
      </c>
      <c r="Q995" s="273">
        <f t="shared" si="129"/>
        <v>0</v>
      </c>
      <c r="R995" s="207">
        <f t="shared" si="130"/>
        <v>0</v>
      </c>
      <c r="S995" s="207">
        <f t="shared" si="131"/>
        <v>0</v>
      </c>
    </row>
    <row r="996" spans="11:19" ht="14.1" customHeight="1" x14ac:dyDescent="0.2">
      <c r="K996" s="186" t="str">
        <f t="shared" si="124"/>
        <v>PM_0</v>
      </c>
      <c r="L996" s="186">
        <f t="shared" si="125"/>
        <v>0</v>
      </c>
      <c r="M996" s="186">
        <f t="shared" si="126"/>
        <v>0</v>
      </c>
      <c r="N996" s="186">
        <f t="shared" si="127"/>
        <v>0</v>
      </c>
      <c r="P996" s="207" t="str">
        <f t="shared" si="128"/>
        <v>PM_0</v>
      </c>
      <c r="Q996" s="273">
        <f t="shared" si="129"/>
        <v>0</v>
      </c>
      <c r="R996" s="207">
        <f t="shared" si="130"/>
        <v>0</v>
      </c>
      <c r="S996" s="207">
        <f t="shared" si="131"/>
        <v>0</v>
      </c>
    </row>
    <row r="997" spans="11:19" ht="14.1" customHeight="1" x14ac:dyDescent="0.2">
      <c r="K997" s="186" t="str">
        <f t="shared" si="124"/>
        <v>PM_0</v>
      </c>
      <c r="L997" s="186">
        <f t="shared" si="125"/>
        <v>0</v>
      </c>
      <c r="M997" s="186">
        <f t="shared" si="126"/>
        <v>0</v>
      </c>
      <c r="N997" s="186">
        <f t="shared" si="127"/>
        <v>0</v>
      </c>
      <c r="P997" s="207" t="str">
        <f t="shared" si="128"/>
        <v>PM_0</v>
      </c>
      <c r="Q997" s="273">
        <f t="shared" si="129"/>
        <v>0</v>
      </c>
      <c r="R997" s="207">
        <f t="shared" si="130"/>
        <v>0</v>
      </c>
      <c r="S997" s="207">
        <f t="shared" si="131"/>
        <v>0</v>
      </c>
    </row>
    <row r="998" spans="11:19" ht="14.1" customHeight="1" x14ac:dyDescent="0.2">
      <c r="K998" s="186" t="str">
        <f t="shared" si="124"/>
        <v>PM_0</v>
      </c>
      <c r="L998" s="186">
        <f t="shared" si="125"/>
        <v>0</v>
      </c>
      <c r="M998" s="186">
        <f t="shared" si="126"/>
        <v>0</v>
      </c>
      <c r="N998" s="186">
        <f t="shared" si="127"/>
        <v>0</v>
      </c>
      <c r="P998" s="207" t="str">
        <f t="shared" si="128"/>
        <v>PM_0</v>
      </c>
      <c r="Q998" s="273">
        <f t="shared" si="129"/>
        <v>0</v>
      </c>
      <c r="R998" s="207">
        <f t="shared" si="130"/>
        <v>0</v>
      </c>
      <c r="S998" s="207">
        <f t="shared" si="131"/>
        <v>0</v>
      </c>
    </row>
    <row r="999" spans="11:19" ht="14.1" customHeight="1" x14ac:dyDescent="0.2">
      <c r="K999" s="186" t="str">
        <f t="shared" si="124"/>
        <v>PM_0</v>
      </c>
      <c r="L999" s="186">
        <f t="shared" si="125"/>
        <v>0</v>
      </c>
      <c r="M999" s="186">
        <f t="shared" si="126"/>
        <v>0</v>
      </c>
      <c r="N999" s="186">
        <f t="shared" si="127"/>
        <v>0</v>
      </c>
      <c r="P999" s="207" t="str">
        <f t="shared" si="128"/>
        <v>PM_0</v>
      </c>
      <c r="Q999" s="273">
        <f t="shared" si="129"/>
        <v>0</v>
      </c>
      <c r="R999" s="207">
        <f t="shared" si="130"/>
        <v>0</v>
      </c>
      <c r="S999" s="207">
        <f t="shared" si="131"/>
        <v>0</v>
      </c>
    </row>
    <row r="1000" spans="11:19" ht="14.1" customHeight="1" x14ac:dyDescent="0.2">
      <c r="K1000" s="186" t="str">
        <f t="shared" si="124"/>
        <v>PM_0</v>
      </c>
      <c r="L1000" s="186">
        <f t="shared" si="125"/>
        <v>0</v>
      </c>
      <c r="M1000" s="186">
        <f t="shared" si="126"/>
        <v>0</v>
      </c>
      <c r="N1000" s="186">
        <f t="shared" si="127"/>
        <v>0</v>
      </c>
      <c r="P1000" s="207" t="str">
        <f t="shared" si="128"/>
        <v>PM_0</v>
      </c>
      <c r="Q1000" s="273">
        <f t="shared" si="129"/>
        <v>0</v>
      </c>
      <c r="R1000" s="207">
        <f t="shared" si="130"/>
        <v>0</v>
      </c>
      <c r="S1000" s="207">
        <f t="shared" si="131"/>
        <v>0</v>
      </c>
    </row>
    <row r="1001" spans="11:19" ht="14.1" customHeight="1" x14ac:dyDescent="0.2">
      <c r="K1001" s="186" t="str">
        <f t="shared" si="124"/>
        <v>PM_0</v>
      </c>
      <c r="L1001" s="186">
        <f t="shared" si="125"/>
        <v>0</v>
      </c>
      <c r="M1001" s="186">
        <f t="shared" si="126"/>
        <v>0</v>
      </c>
      <c r="N1001" s="186">
        <f t="shared" si="127"/>
        <v>0</v>
      </c>
      <c r="P1001" s="207" t="str">
        <f t="shared" si="128"/>
        <v>PM_0</v>
      </c>
      <c r="Q1001" s="273">
        <f t="shared" si="129"/>
        <v>0</v>
      </c>
      <c r="R1001" s="207">
        <f t="shared" si="130"/>
        <v>0</v>
      </c>
      <c r="S1001" s="207">
        <f t="shared" si="131"/>
        <v>0</v>
      </c>
    </row>
    <row r="1002" spans="11:19" ht="14.1" customHeight="1" x14ac:dyDescent="0.2">
      <c r="K1002" s="186" t="str">
        <f t="shared" si="124"/>
        <v>PM_0</v>
      </c>
      <c r="L1002" s="186">
        <f t="shared" si="125"/>
        <v>0</v>
      </c>
      <c r="M1002" s="186">
        <f t="shared" si="126"/>
        <v>0</v>
      </c>
      <c r="N1002" s="186">
        <f t="shared" si="127"/>
        <v>0</v>
      </c>
      <c r="P1002" s="207" t="str">
        <f t="shared" si="128"/>
        <v>PM_0</v>
      </c>
      <c r="Q1002" s="273">
        <f t="shared" si="129"/>
        <v>0</v>
      </c>
      <c r="R1002" s="207">
        <f t="shared" si="130"/>
        <v>0</v>
      </c>
      <c r="S1002" s="207">
        <f t="shared" si="131"/>
        <v>0</v>
      </c>
    </row>
    <row r="1003" spans="11:19" ht="14.1" customHeight="1" x14ac:dyDescent="0.2">
      <c r="K1003" s="186" t="str">
        <f t="shared" si="124"/>
        <v>PM_0</v>
      </c>
      <c r="L1003" s="186">
        <f t="shared" si="125"/>
        <v>0</v>
      </c>
      <c r="M1003" s="186">
        <f t="shared" si="126"/>
        <v>0</v>
      </c>
      <c r="N1003" s="186">
        <f t="shared" si="127"/>
        <v>0</v>
      </c>
      <c r="P1003" s="207" t="str">
        <f t="shared" si="128"/>
        <v>PM_0</v>
      </c>
      <c r="Q1003" s="273">
        <f t="shared" si="129"/>
        <v>0</v>
      </c>
      <c r="R1003" s="207">
        <f t="shared" si="130"/>
        <v>0</v>
      </c>
      <c r="S1003" s="207">
        <f t="shared" si="131"/>
        <v>0</v>
      </c>
    </row>
    <row r="1004" spans="11:19" ht="14.1" customHeight="1" x14ac:dyDescent="0.2">
      <c r="K1004" s="186" t="str">
        <f t="shared" si="124"/>
        <v>PM_0</v>
      </c>
      <c r="L1004" s="186">
        <f t="shared" si="125"/>
        <v>0</v>
      </c>
      <c r="M1004" s="186">
        <f t="shared" si="126"/>
        <v>0</v>
      </c>
      <c r="N1004" s="186">
        <f t="shared" si="127"/>
        <v>0</v>
      </c>
      <c r="P1004" s="207" t="str">
        <f t="shared" si="128"/>
        <v>PM_0</v>
      </c>
      <c r="Q1004" s="273">
        <f t="shared" si="129"/>
        <v>0</v>
      </c>
      <c r="R1004" s="207">
        <f t="shared" si="130"/>
        <v>0</v>
      </c>
      <c r="S1004" s="207">
        <f t="shared" si="131"/>
        <v>0</v>
      </c>
    </row>
    <row r="1005" spans="11:19" ht="14.1" customHeight="1" x14ac:dyDescent="0.2">
      <c r="K1005" s="186" t="str">
        <f t="shared" si="124"/>
        <v>PM_0</v>
      </c>
      <c r="L1005" s="186">
        <f t="shared" si="125"/>
        <v>0</v>
      </c>
      <c r="M1005" s="186">
        <f t="shared" si="126"/>
        <v>0</v>
      </c>
      <c r="N1005" s="186">
        <f t="shared" si="127"/>
        <v>0</v>
      </c>
      <c r="P1005" s="207" t="str">
        <f t="shared" si="128"/>
        <v>PM_0</v>
      </c>
      <c r="Q1005" s="273">
        <f t="shared" si="129"/>
        <v>0</v>
      </c>
      <c r="R1005" s="207">
        <f t="shared" si="130"/>
        <v>0</v>
      </c>
      <c r="S1005" s="207">
        <f t="shared" si="131"/>
        <v>0</v>
      </c>
    </row>
    <row r="1006" spans="11:19" ht="14.1" customHeight="1" x14ac:dyDescent="0.2">
      <c r="K1006" s="186" t="str">
        <f t="shared" si="124"/>
        <v>PM_0</v>
      </c>
      <c r="L1006" s="186">
        <f t="shared" si="125"/>
        <v>0</v>
      </c>
      <c r="M1006" s="186">
        <f t="shared" si="126"/>
        <v>0</v>
      </c>
      <c r="N1006" s="186">
        <f t="shared" si="127"/>
        <v>0</v>
      </c>
      <c r="P1006" s="207" t="str">
        <f t="shared" si="128"/>
        <v>PM_0</v>
      </c>
      <c r="Q1006" s="273">
        <f t="shared" si="129"/>
        <v>0</v>
      </c>
      <c r="R1006" s="207">
        <f t="shared" si="130"/>
        <v>0</v>
      </c>
      <c r="S1006" s="207">
        <f t="shared" si="131"/>
        <v>0</v>
      </c>
    </row>
    <row r="1007" spans="11:19" ht="14.1" customHeight="1" x14ac:dyDescent="0.2">
      <c r="K1007" s="186" t="str">
        <f t="shared" si="124"/>
        <v>PM_0</v>
      </c>
      <c r="L1007" s="186">
        <f t="shared" si="125"/>
        <v>0</v>
      </c>
      <c r="M1007" s="186">
        <f t="shared" si="126"/>
        <v>0</v>
      </c>
      <c r="N1007" s="186">
        <f t="shared" si="127"/>
        <v>0</v>
      </c>
      <c r="P1007" s="207" t="str">
        <f t="shared" si="128"/>
        <v>PM_0</v>
      </c>
      <c r="Q1007" s="273">
        <f t="shared" si="129"/>
        <v>0</v>
      </c>
      <c r="R1007" s="207">
        <f t="shared" si="130"/>
        <v>0</v>
      </c>
      <c r="S1007" s="207">
        <f t="shared" si="131"/>
        <v>0</v>
      </c>
    </row>
    <row r="1008" spans="11:19" ht="14.1" customHeight="1" x14ac:dyDescent="0.2">
      <c r="K1008" s="186" t="str">
        <f t="shared" si="124"/>
        <v>PM_0</v>
      </c>
      <c r="L1008" s="186">
        <f t="shared" si="125"/>
        <v>0</v>
      </c>
      <c r="M1008" s="186">
        <f t="shared" si="126"/>
        <v>0</v>
      </c>
      <c r="N1008" s="186">
        <f t="shared" si="127"/>
        <v>0</v>
      </c>
      <c r="P1008" s="207" t="str">
        <f t="shared" si="128"/>
        <v>PM_0</v>
      </c>
      <c r="Q1008" s="273">
        <f t="shared" si="129"/>
        <v>0</v>
      </c>
      <c r="R1008" s="207">
        <f t="shared" si="130"/>
        <v>0</v>
      </c>
      <c r="S1008" s="207">
        <f t="shared" si="131"/>
        <v>0</v>
      </c>
    </row>
    <row r="1009" spans="11:19" ht="14.1" customHeight="1" x14ac:dyDescent="0.2">
      <c r="K1009" s="186" t="str">
        <f t="shared" si="124"/>
        <v>PM_0</v>
      </c>
      <c r="L1009" s="186">
        <f t="shared" si="125"/>
        <v>0</v>
      </c>
      <c r="M1009" s="186">
        <f t="shared" si="126"/>
        <v>0</v>
      </c>
      <c r="N1009" s="186">
        <f t="shared" si="127"/>
        <v>0</v>
      </c>
      <c r="P1009" s="207" t="str">
        <f t="shared" si="128"/>
        <v>PM_0</v>
      </c>
      <c r="Q1009" s="273">
        <f t="shared" si="129"/>
        <v>0</v>
      </c>
      <c r="R1009" s="207">
        <f t="shared" si="130"/>
        <v>0</v>
      </c>
      <c r="S1009" s="207">
        <f t="shared" si="131"/>
        <v>0</v>
      </c>
    </row>
    <row r="1010" spans="11:19" ht="14.1" customHeight="1" x14ac:dyDescent="0.2">
      <c r="K1010" s="186" t="str">
        <f t="shared" si="124"/>
        <v>PM_0</v>
      </c>
      <c r="L1010" s="186">
        <f t="shared" si="125"/>
        <v>0</v>
      </c>
      <c r="M1010" s="186">
        <f t="shared" si="126"/>
        <v>0</v>
      </c>
      <c r="N1010" s="186">
        <f t="shared" si="127"/>
        <v>0</v>
      </c>
      <c r="P1010" s="207" t="str">
        <f t="shared" si="128"/>
        <v>PM_0</v>
      </c>
      <c r="Q1010" s="273">
        <f t="shared" si="129"/>
        <v>0</v>
      </c>
      <c r="R1010" s="207">
        <f t="shared" si="130"/>
        <v>0</v>
      </c>
      <c r="S1010" s="207">
        <f t="shared" si="131"/>
        <v>0</v>
      </c>
    </row>
    <row r="1011" spans="11:19" ht="14.1" customHeight="1" x14ac:dyDescent="0.2">
      <c r="K1011" s="186" t="str">
        <f t="shared" si="124"/>
        <v>PM_0</v>
      </c>
      <c r="L1011" s="186">
        <f t="shared" si="125"/>
        <v>0</v>
      </c>
      <c r="M1011" s="186">
        <f t="shared" si="126"/>
        <v>0</v>
      </c>
      <c r="N1011" s="186">
        <f t="shared" si="127"/>
        <v>0</v>
      </c>
      <c r="P1011" s="207" t="str">
        <f t="shared" si="128"/>
        <v>PM_0</v>
      </c>
      <c r="Q1011" s="273">
        <f t="shared" si="129"/>
        <v>0</v>
      </c>
      <c r="R1011" s="207">
        <f t="shared" si="130"/>
        <v>0</v>
      </c>
      <c r="S1011" s="207">
        <f t="shared" si="131"/>
        <v>0</v>
      </c>
    </row>
    <row r="1012" spans="11:19" ht="14.1" customHeight="1" x14ac:dyDescent="0.2">
      <c r="K1012" s="186" t="str">
        <f t="shared" si="124"/>
        <v>PM_0</v>
      </c>
      <c r="L1012" s="186">
        <f t="shared" si="125"/>
        <v>0</v>
      </c>
      <c r="M1012" s="186">
        <f t="shared" si="126"/>
        <v>0</v>
      </c>
      <c r="N1012" s="186">
        <f t="shared" si="127"/>
        <v>0</v>
      </c>
      <c r="P1012" s="207" t="str">
        <f t="shared" si="128"/>
        <v>PM_0</v>
      </c>
      <c r="Q1012" s="273">
        <f t="shared" si="129"/>
        <v>0</v>
      </c>
      <c r="R1012" s="207">
        <f t="shared" si="130"/>
        <v>0</v>
      </c>
      <c r="S1012" s="207">
        <f t="shared" si="131"/>
        <v>0</v>
      </c>
    </row>
    <row r="1013" spans="11:19" ht="14.1" customHeight="1" x14ac:dyDescent="0.2">
      <c r="K1013" s="186" t="str">
        <f t="shared" si="124"/>
        <v>PM_0</v>
      </c>
      <c r="L1013" s="186">
        <f t="shared" si="125"/>
        <v>0</v>
      </c>
      <c r="M1013" s="186">
        <f t="shared" si="126"/>
        <v>0</v>
      </c>
      <c r="N1013" s="186">
        <f t="shared" si="127"/>
        <v>0</v>
      </c>
      <c r="P1013" s="207" t="str">
        <f t="shared" si="128"/>
        <v>PM_0</v>
      </c>
      <c r="Q1013" s="273">
        <f t="shared" si="129"/>
        <v>0</v>
      </c>
      <c r="R1013" s="207">
        <f t="shared" si="130"/>
        <v>0</v>
      </c>
      <c r="S1013" s="207">
        <f t="shared" si="131"/>
        <v>0</v>
      </c>
    </row>
    <row r="1014" spans="11:19" ht="14.1" customHeight="1" x14ac:dyDescent="0.2">
      <c r="K1014" s="186" t="str">
        <f t="shared" si="124"/>
        <v>PM_0</v>
      </c>
      <c r="L1014" s="186">
        <f t="shared" si="125"/>
        <v>0</v>
      </c>
      <c r="M1014" s="186">
        <f t="shared" si="126"/>
        <v>0</v>
      </c>
      <c r="N1014" s="186">
        <f t="shared" si="127"/>
        <v>0</v>
      </c>
      <c r="P1014" s="207" t="str">
        <f t="shared" si="128"/>
        <v>PM_0</v>
      </c>
      <c r="Q1014" s="273">
        <f t="shared" si="129"/>
        <v>0</v>
      </c>
      <c r="R1014" s="207">
        <f t="shared" si="130"/>
        <v>0</v>
      </c>
      <c r="S1014" s="207">
        <f t="shared" si="131"/>
        <v>0</v>
      </c>
    </row>
    <row r="1015" spans="11:19" ht="14.1" customHeight="1" x14ac:dyDescent="0.2">
      <c r="K1015" s="186" t="str">
        <f t="shared" si="124"/>
        <v>PM_0</v>
      </c>
      <c r="L1015" s="186">
        <f t="shared" si="125"/>
        <v>0</v>
      </c>
      <c r="M1015" s="186">
        <f t="shared" si="126"/>
        <v>0</v>
      </c>
      <c r="N1015" s="186">
        <f t="shared" si="127"/>
        <v>0</v>
      </c>
      <c r="P1015" s="207" t="str">
        <f t="shared" si="128"/>
        <v>PM_0</v>
      </c>
      <c r="Q1015" s="273">
        <f t="shared" si="129"/>
        <v>0</v>
      </c>
      <c r="R1015" s="207">
        <f t="shared" si="130"/>
        <v>0</v>
      </c>
      <c r="S1015" s="207">
        <f t="shared" si="131"/>
        <v>0</v>
      </c>
    </row>
    <row r="1016" spans="11:19" ht="14.1" customHeight="1" x14ac:dyDescent="0.2">
      <c r="K1016" s="186" t="str">
        <f t="shared" si="124"/>
        <v>PM_0</v>
      </c>
      <c r="L1016" s="186">
        <f t="shared" si="125"/>
        <v>0</v>
      </c>
      <c r="M1016" s="186">
        <f t="shared" si="126"/>
        <v>0</v>
      </c>
      <c r="N1016" s="186">
        <f t="shared" si="127"/>
        <v>0</v>
      </c>
      <c r="P1016" s="207" t="str">
        <f t="shared" si="128"/>
        <v>PM_0</v>
      </c>
      <c r="Q1016" s="273">
        <f t="shared" si="129"/>
        <v>0</v>
      </c>
      <c r="R1016" s="207">
        <f t="shared" si="130"/>
        <v>0</v>
      </c>
      <c r="S1016" s="207">
        <f t="shared" si="131"/>
        <v>0</v>
      </c>
    </row>
    <row r="1017" spans="11:19" ht="14.1" customHeight="1" x14ac:dyDescent="0.2">
      <c r="K1017" s="186" t="str">
        <f t="shared" si="124"/>
        <v>PM_0</v>
      </c>
      <c r="L1017" s="186">
        <f t="shared" si="125"/>
        <v>0</v>
      </c>
      <c r="M1017" s="186">
        <f t="shared" si="126"/>
        <v>0</v>
      </c>
      <c r="N1017" s="186">
        <f t="shared" si="127"/>
        <v>0</v>
      </c>
      <c r="P1017" s="207" t="str">
        <f t="shared" si="128"/>
        <v>PM_0</v>
      </c>
      <c r="Q1017" s="273">
        <f t="shared" si="129"/>
        <v>0</v>
      </c>
      <c r="R1017" s="207">
        <f t="shared" si="130"/>
        <v>0</v>
      </c>
      <c r="S1017" s="207">
        <f t="shared" si="131"/>
        <v>0</v>
      </c>
    </row>
    <row r="1018" spans="11:19" ht="14.1" customHeight="1" x14ac:dyDescent="0.2">
      <c r="K1018" s="186" t="str">
        <f t="shared" si="124"/>
        <v>PM_0</v>
      </c>
      <c r="L1018" s="186">
        <f t="shared" si="125"/>
        <v>0</v>
      </c>
      <c r="M1018" s="186">
        <f t="shared" si="126"/>
        <v>0</v>
      </c>
      <c r="N1018" s="186">
        <f t="shared" si="127"/>
        <v>0</v>
      </c>
      <c r="P1018" s="207" t="str">
        <f t="shared" si="128"/>
        <v>PM_0</v>
      </c>
      <c r="Q1018" s="273">
        <f t="shared" si="129"/>
        <v>0</v>
      </c>
      <c r="R1018" s="207">
        <f t="shared" si="130"/>
        <v>0</v>
      </c>
      <c r="S1018" s="207">
        <f t="shared" si="131"/>
        <v>0</v>
      </c>
    </row>
    <row r="1019" spans="11:19" ht="14.1" customHeight="1" x14ac:dyDescent="0.2">
      <c r="K1019" s="186" t="str">
        <f t="shared" si="124"/>
        <v>PM_0</v>
      </c>
      <c r="L1019" s="186">
        <f t="shared" si="125"/>
        <v>0</v>
      </c>
      <c r="M1019" s="186">
        <f t="shared" si="126"/>
        <v>0</v>
      </c>
      <c r="N1019" s="186">
        <f t="shared" si="127"/>
        <v>0</v>
      </c>
      <c r="P1019" s="207" t="str">
        <f t="shared" si="128"/>
        <v>PM_0</v>
      </c>
      <c r="Q1019" s="273">
        <f t="shared" si="129"/>
        <v>0</v>
      </c>
      <c r="R1019" s="207">
        <f t="shared" si="130"/>
        <v>0</v>
      </c>
      <c r="S1019" s="207">
        <f t="shared" si="131"/>
        <v>0</v>
      </c>
    </row>
    <row r="1020" spans="11:19" ht="14.1" customHeight="1" x14ac:dyDescent="0.2">
      <c r="K1020" s="186" t="str">
        <f t="shared" si="124"/>
        <v>PM_0</v>
      </c>
      <c r="L1020" s="186">
        <f t="shared" si="125"/>
        <v>0</v>
      </c>
      <c r="M1020" s="186">
        <f t="shared" si="126"/>
        <v>0</v>
      </c>
      <c r="N1020" s="186">
        <f t="shared" si="127"/>
        <v>0</v>
      </c>
      <c r="P1020" s="207" t="str">
        <f t="shared" si="128"/>
        <v>PM_0</v>
      </c>
      <c r="Q1020" s="273">
        <f t="shared" si="129"/>
        <v>0</v>
      </c>
      <c r="R1020" s="207">
        <f t="shared" si="130"/>
        <v>0</v>
      </c>
      <c r="S1020" s="207">
        <f t="shared" si="131"/>
        <v>0</v>
      </c>
    </row>
    <row r="1021" spans="11:19" ht="14.1" customHeight="1" x14ac:dyDescent="0.2">
      <c r="K1021" s="186" t="str">
        <f t="shared" si="124"/>
        <v>PM_0</v>
      </c>
      <c r="L1021" s="186">
        <f t="shared" si="125"/>
        <v>0</v>
      </c>
      <c r="M1021" s="186">
        <f t="shared" si="126"/>
        <v>0</v>
      </c>
      <c r="N1021" s="186">
        <f t="shared" si="127"/>
        <v>0</v>
      </c>
      <c r="P1021" s="207" t="str">
        <f t="shared" si="128"/>
        <v>PM_0</v>
      </c>
      <c r="Q1021" s="273">
        <f t="shared" si="129"/>
        <v>0</v>
      </c>
      <c r="R1021" s="207">
        <f t="shared" si="130"/>
        <v>0</v>
      </c>
      <c r="S1021" s="207">
        <f t="shared" si="131"/>
        <v>0</v>
      </c>
    </row>
    <row r="1022" spans="11:19" ht="14.1" customHeight="1" x14ac:dyDescent="0.2">
      <c r="K1022" s="186" t="str">
        <f t="shared" si="124"/>
        <v>PM_0</v>
      </c>
      <c r="L1022" s="186">
        <f t="shared" si="125"/>
        <v>0</v>
      </c>
      <c r="M1022" s="186">
        <f t="shared" si="126"/>
        <v>0</v>
      </c>
      <c r="N1022" s="186">
        <f t="shared" si="127"/>
        <v>0</v>
      </c>
      <c r="P1022" s="207" t="str">
        <f t="shared" si="128"/>
        <v>PM_0</v>
      </c>
      <c r="Q1022" s="273">
        <f t="shared" si="129"/>
        <v>0</v>
      </c>
      <c r="R1022" s="207">
        <f t="shared" si="130"/>
        <v>0</v>
      </c>
      <c r="S1022" s="207">
        <f t="shared" si="131"/>
        <v>0</v>
      </c>
    </row>
    <row r="1023" spans="11:19" ht="14.1" customHeight="1" x14ac:dyDescent="0.2">
      <c r="K1023" s="186" t="str">
        <f t="shared" si="124"/>
        <v>PM_0</v>
      </c>
      <c r="L1023" s="186">
        <f t="shared" si="125"/>
        <v>0</v>
      </c>
      <c r="M1023" s="186">
        <f t="shared" si="126"/>
        <v>0</v>
      </c>
      <c r="N1023" s="186">
        <f t="shared" si="127"/>
        <v>0</v>
      </c>
      <c r="P1023" s="207" t="str">
        <f t="shared" si="128"/>
        <v>PM_0</v>
      </c>
      <c r="Q1023" s="273">
        <f t="shared" si="129"/>
        <v>0</v>
      </c>
      <c r="R1023" s="207">
        <f t="shared" si="130"/>
        <v>0</v>
      </c>
      <c r="S1023" s="207">
        <f t="shared" si="131"/>
        <v>0</v>
      </c>
    </row>
    <row r="1024" spans="11:19" ht="14.1" customHeight="1" x14ac:dyDescent="0.2">
      <c r="K1024" s="186" t="str">
        <f t="shared" si="124"/>
        <v>PM_0</v>
      </c>
      <c r="L1024" s="186">
        <f t="shared" si="125"/>
        <v>0</v>
      </c>
      <c r="M1024" s="186">
        <f t="shared" si="126"/>
        <v>0</v>
      </c>
      <c r="N1024" s="186">
        <f t="shared" si="127"/>
        <v>0</v>
      </c>
      <c r="P1024" s="207" t="str">
        <f t="shared" si="128"/>
        <v>PM_0</v>
      </c>
      <c r="Q1024" s="273">
        <f t="shared" si="129"/>
        <v>0</v>
      </c>
      <c r="R1024" s="207">
        <f t="shared" si="130"/>
        <v>0</v>
      </c>
      <c r="S1024" s="207">
        <f t="shared" si="131"/>
        <v>0</v>
      </c>
    </row>
    <row r="1025" spans="11:19" ht="14.1" customHeight="1" x14ac:dyDescent="0.2">
      <c r="K1025" s="186" t="str">
        <f t="shared" si="124"/>
        <v>PM_0</v>
      </c>
      <c r="L1025" s="186">
        <f t="shared" si="125"/>
        <v>0</v>
      </c>
      <c r="M1025" s="186">
        <f t="shared" si="126"/>
        <v>0</v>
      </c>
      <c r="N1025" s="186">
        <f t="shared" si="127"/>
        <v>0</v>
      </c>
      <c r="P1025" s="207" t="str">
        <f t="shared" si="128"/>
        <v>PM_0</v>
      </c>
      <c r="Q1025" s="273">
        <f t="shared" si="129"/>
        <v>0</v>
      </c>
      <c r="R1025" s="207">
        <f t="shared" si="130"/>
        <v>0</v>
      </c>
      <c r="S1025" s="207">
        <f t="shared" si="131"/>
        <v>0</v>
      </c>
    </row>
    <row r="1026" spans="11:19" ht="14.1" customHeight="1" x14ac:dyDescent="0.2">
      <c r="K1026" s="186" t="str">
        <f t="shared" si="124"/>
        <v>PM_0</v>
      </c>
      <c r="L1026" s="186">
        <f t="shared" si="125"/>
        <v>0</v>
      </c>
      <c r="M1026" s="186">
        <f t="shared" si="126"/>
        <v>0</v>
      </c>
      <c r="N1026" s="186">
        <f t="shared" si="127"/>
        <v>0</v>
      </c>
      <c r="P1026" s="207" t="str">
        <f t="shared" si="128"/>
        <v>PM_0</v>
      </c>
      <c r="Q1026" s="273">
        <f t="shared" si="129"/>
        <v>0</v>
      </c>
      <c r="R1026" s="207">
        <f t="shared" si="130"/>
        <v>0</v>
      </c>
      <c r="S1026" s="207">
        <f t="shared" si="131"/>
        <v>0</v>
      </c>
    </row>
    <row r="1027" spans="11:19" ht="14.1" customHeight="1" x14ac:dyDescent="0.2">
      <c r="K1027" s="186" t="str">
        <f t="shared" si="124"/>
        <v>PM_0</v>
      </c>
      <c r="L1027" s="186">
        <f t="shared" si="125"/>
        <v>0</v>
      </c>
      <c r="M1027" s="186">
        <f t="shared" si="126"/>
        <v>0</v>
      </c>
      <c r="N1027" s="186">
        <f t="shared" si="127"/>
        <v>0</v>
      </c>
      <c r="P1027" s="207" t="str">
        <f t="shared" si="128"/>
        <v>PM_0</v>
      </c>
      <c r="Q1027" s="273">
        <f t="shared" si="129"/>
        <v>0</v>
      </c>
      <c r="R1027" s="207">
        <f t="shared" si="130"/>
        <v>0</v>
      </c>
      <c r="S1027" s="207">
        <f t="shared" si="131"/>
        <v>0</v>
      </c>
    </row>
    <row r="1028" spans="11:19" ht="14.1" customHeight="1" x14ac:dyDescent="0.2">
      <c r="K1028" s="186" t="str">
        <f t="shared" si="124"/>
        <v>PM_0</v>
      </c>
      <c r="L1028" s="186">
        <f t="shared" si="125"/>
        <v>0</v>
      </c>
      <c r="M1028" s="186">
        <f t="shared" si="126"/>
        <v>0</v>
      </c>
      <c r="N1028" s="186">
        <f t="shared" si="127"/>
        <v>0</v>
      </c>
      <c r="P1028" s="207" t="str">
        <f t="shared" si="128"/>
        <v>PM_0</v>
      </c>
      <c r="Q1028" s="273">
        <f t="shared" si="129"/>
        <v>0</v>
      </c>
      <c r="R1028" s="207">
        <f t="shared" si="130"/>
        <v>0</v>
      </c>
      <c r="S1028" s="207">
        <f t="shared" si="131"/>
        <v>0</v>
      </c>
    </row>
    <row r="1029" spans="11:19" ht="14.1" customHeight="1" x14ac:dyDescent="0.2">
      <c r="K1029" s="186" t="str">
        <f t="shared" si="124"/>
        <v>PM_0</v>
      </c>
      <c r="L1029" s="186">
        <f t="shared" si="125"/>
        <v>0</v>
      </c>
      <c r="M1029" s="186">
        <f t="shared" si="126"/>
        <v>0</v>
      </c>
      <c r="N1029" s="186">
        <f t="shared" si="127"/>
        <v>0</v>
      </c>
      <c r="P1029" s="207" t="str">
        <f t="shared" si="128"/>
        <v>PM_0</v>
      </c>
      <c r="Q1029" s="273">
        <f t="shared" si="129"/>
        <v>0</v>
      </c>
      <c r="R1029" s="207">
        <f t="shared" si="130"/>
        <v>0</v>
      </c>
      <c r="S1029" s="207">
        <f t="shared" si="131"/>
        <v>0</v>
      </c>
    </row>
    <row r="1030" spans="11:19" ht="14.1" customHeight="1" x14ac:dyDescent="0.2">
      <c r="K1030" s="186" t="str">
        <f t="shared" si="124"/>
        <v>PM_0</v>
      </c>
      <c r="L1030" s="186">
        <f t="shared" si="125"/>
        <v>0</v>
      </c>
      <c r="M1030" s="186">
        <f t="shared" si="126"/>
        <v>0</v>
      </c>
      <c r="N1030" s="186">
        <f t="shared" si="127"/>
        <v>0</v>
      </c>
      <c r="P1030" s="207" t="str">
        <f t="shared" si="128"/>
        <v>PM_0</v>
      </c>
      <c r="Q1030" s="273">
        <f t="shared" si="129"/>
        <v>0</v>
      </c>
      <c r="R1030" s="207">
        <f t="shared" si="130"/>
        <v>0</v>
      </c>
      <c r="S1030" s="207">
        <f t="shared" si="131"/>
        <v>0</v>
      </c>
    </row>
    <row r="1031" spans="11:19" ht="14.1" customHeight="1" x14ac:dyDescent="0.2">
      <c r="K1031" s="186" t="str">
        <f t="shared" si="124"/>
        <v>PM_0</v>
      </c>
      <c r="L1031" s="186">
        <f t="shared" si="125"/>
        <v>0</v>
      </c>
      <c r="M1031" s="186">
        <f t="shared" si="126"/>
        <v>0</v>
      </c>
      <c r="N1031" s="186">
        <f t="shared" si="127"/>
        <v>0</v>
      </c>
      <c r="P1031" s="207" t="str">
        <f t="shared" si="128"/>
        <v>PM_0</v>
      </c>
      <c r="Q1031" s="273">
        <f t="shared" si="129"/>
        <v>0</v>
      </c>
      <c r="R1031" s="207">
        <f t="shared" si="130"/>
        <v>0</v>
      </c>
      <c r="S1031" s="207">
        <f t="shared" si="131"/>
        <v>0</v>
      </c>
    </row>
    <row r="1032" spans="11:19" ht="14.1" customHeight="1" x14ac:dyDescent="0.2">
      <c r="K1032" s="186" t="str">
        <f t="shared" si="124"/>
        <v>PM_0</v>
      </c>
      <c r="L1032" s="186">
        <f t="shared" si="125"/>
        <v>0</v>
      </c>
      <c r="M1032" s="186">
        <f t="shared" si="126"/>
        <v>0</v>
      </c>
      <c r="N1032" s="186">
        <f t="shared" si="127"/>
        <v>0</v>
      </c>
      <c r="P1032" s="207" t="str">
        <f t="shared" si="128"/>
        <v>PM_0</v>
      </c>
      <c r="Q1032" s="273">
        <f t="shared" si="129"/>
        <v>0</v>
      </c>
      <c r="R1032" s="207">
        <f t="shared" si="130"/>
        <v>0</v>
      </c>
      <c r="S1032" s="207">
        <f t="shared" si="131"/>
        <v>0</v>
      </c>
    </row>
    <row r="1033" spans="11:19" ht="14.1" customHeight="1" x14ac:dyDescent="0.2">
      <c r="K1033" s="186" t="str">
        <f t="shared" si="124"/>
        <v>PM_0</v>
      </c>
      <c r="L1033" s="186">
        <f t="shared" si="125"/>
        <v>0</v>
      </c>
      <c r="M1033" s="186">
        <f t="shared" si="126"/>
        <v>0</v>
      </c>
      <c r="N1033" s="186">
        <f t="shared" si="127"/>
        <v>0</v>
      </c>
      <c r="P1033" s="207" t="str">
        <f t="shared" si="128"/>
        <v>PM_0</v>
      </c>
      <c r="Q1033" s="273">
        <f t="shared" si="129"/>
        <v>0</v>
      </c>
      <c r="R1033" s="207">
        <f t="shared" si="130"/>
        <v>0</v>
      </c>
      <c r="S1033" s="207">
        <f t="shared" si="131"/>
        <v>0</v>
      </c>
    </row>
    <row r="1034" spans="11:19" ht="14.1" customHeight="1" x14ac:dyDescent="0.2">
      <c r="K1034" s="186" t="str">
        <f t="shared" si="124"/>
        <v>PM_0</v>
      </c>
      <c r="L1034" s="186">
        <f t="shared" si="125"/>
        <v>0</v>
      </c>
      <c r="M1034" s="186">
        <f t="shared" si="126"/>
        <v>0</v>
      </c>
      <c r="N1034" s="186">
        <f t="shared" si="127"/>
        <v>0</v>
      </c>
      <c r="P1034" s="207" t="str">
        <f t="shared" si="128"/>
        <v>PM_0</v>
      </c>
      <c r="Q1034" s="273">
        <f t="shared" si="129"/>
        <v>0</v>
      </c>
      <c r="R1034" s="207">
        <f t="shared" si="130"/>
        <v>0</v>
      </c>
      <c r="S1034" s="207">
        <f t="shared" si="131"/>
        <v>0</v>
      </c>
    </row>
    <row r="1035" spans="11:19" ht="14.1" customHeight="1" x14ac:dyDescent="0.2">
      <c r="K1035" s="186" t="str">
        <f t="shared" ref="K1035:K1098" si="132">"PM_"&amp;ROUND(E1035,2)</f>
        <v>PM_0</v>
      </c>
      <c r="L1035" s="186">
        <f t="shared" ref="L1035:L1098" si="133">F1035</f>
        <v>0</v>
      </c>
      <c r="M1035" s="186">
        <f t="shared" ref="M1035:M1098" si="134">G1035</f>
        <v>0</v>
      </c>
      <c r="N1035" s="186">
        <f t="shared" ref="N1035:N1098" si="135">H1035</f>
        <v>0</v>
      </c>
      <c r="P1035" s="207" t="str">
        <f t="shared" ref="P1035:P1098" si="136">K1035</f>
        <v>PM_0</v>
      </c>
      <c r="Q1035" s="273">
        <f t="shared" ref="Q1035:Q1098" si="137">$S$1+E1035</f>
        <v>0</v>
      </c>
      <c r="R1035" s="207">
        <f t="shared" ref="R1035:R1098" si="138">H1035</f>
        <v>0</v>
      </c>
      <c r="S1035" s="207">
        <f t="shared" ref="S1035:S1098" si="139">$B$6</f>
        <v>0</v>
      </c>
    </row>
    <row r="1036" spans="11:19" ht="14.1" customHeight="1" x14ac:dyDescent="0.2">
      <c r="K1036" s="186" t="str">
        <f t="shared" si="132"/>
        <v>PM_0</v>
      </c>
      <c r="L1036" s="186">
        <f t="shared" si="133"/>
        <v>0</v>
      </c>
      <c r="M1036" s="186">
        <f t="shared" si="134"/>
        <v>0</v>
      </c>
      <c r="N1036" s="186">
        <f t="shared" si="135"/>
        <v>0</v>
      </c>
      <c r="P1036" s="207" t="str">
        <f t="shared" si="136"/>
        <v>PM_0</v>
      </c>
      <c r="Q1036" s="273">
        <f t="shared" si="137"/>
        <v>0</v>
      </c>
      <c r="R1036" s="207">
        <f t="shared" si="138"/>
        <v>0</v>
      </c>
      <c r="S1036" s="207">
        <f t="shared" si="139"/>
        <v>0</v>
      </c>
    </row>
    <row r="1037" spans="11:19" ht="14.1" customHeight="1" x14ac:dyDescent="0.2">
      <c r="K1037" s="186" t="str">
        <f t="shared" si="132"/>
        <v>PM_0</v>
      </c>
      <c r="L1037" s="186">
        <f t="shared" si="133"/>
        <v>0</v>
      </c>
      <c r="M1037" s="186">
        <f t="shared" si="134"/>
        <v>0</v>
      </c>
      <c r="N1037" s="186">
        <f t="shared" si="135"/>
        <v>0</v>
      </c>
      <c r="P1037" s="207" t="str">
        <f t="shared" si="136"/>
        <v>PM_0</v>
      </c>
      <c r="Q1037" s="273">
        <f t="shared" si="137"/>
        <v>0</v>
      </c>
      <c r="R1037" s="207">
        <f t="shared" si="138"/>
        <v>0</v>
      </c>
      <c r="S1037" s="207">
        <f t="shared" si="139"/>
        <v>0</v>
      </c>
    </row>
    <row r="1038" spans="11:19" ht="14.1" customHeight="1" x14ac:dyDescent="0.2">
      <c r="K1038" s="186" t="str">
        <f t="shared" si="132"/>
        <v>PM_0</v>
      </c>
      <c r="L1038" s="186">
        <f t="shared" si="133"/>
        <v>0</v>
      </c>
      <c r="M1038" s="186">
        <f t="shared" si="134"/>
        <v>0</v>
      </c>
      <c r="N1038" s="186">
        <f t="shared" si="135"/>
        <v>0</v>
      </c>
      <c r="P1038" s="207" t="str">
        <f t="shared" si="136"/>
        <v>PM_0</v>
      </c>
      <c r="Q1038" s="273">
        <f t="shared" si="137"/>
        <v>0</v>
      </c>
      <c r="R1038" s="207">
        <f t="shared" si="138"/>
        <v>0</v>
      </c>
      <c r="S1038" s="207">
        <f t="shared" si="139"/>
        <v>0</v>
      </c>
    </row>
    <row r="1039" spans="11:19" ht="14.1" customHeight="1" x14ac:dyDescent="0.2">
      <c r="K1039" s="186" t="str">
        <f t="shared" si="132"/>
        <v>PM_0</v>
      </c>
      <c r="L1039" s="186">
        <f t="shared" si="133"/>
        <v>0</v>
      </c>
      <c r="M1039" s="186">
        <f t="shared" si="134"/>
        <v>0</v>
      </c>
      <c r="N1039" s="186">
        <f t="shared" si="135"/>
        <v>0</v>
      </c>
      <c r="P1039" s="207" t="str">
        <f t="shared" si="136"/>
        <v>PM_0</v>
      </c>
      <c r="Q1039" s="273">
        <f t="shared" si="137"/>
        <v>0</v>
      </c>
      <c r="R1039" s="207">
        <f t="shared" si="138"/>
        <v>0</v>
      </c>
      <c r="S1039" s="207">
        <f t="shared" si="139"/>
        <v>0</v>
      </c>
    </row>
    <row r="1040" spans="11:19" ht="14.1" customHeight="1" x14ac:dyDescent="0.2">
      <c r="K1040" s="186" t="str">
        <f t="shared" si="132"/>
        <v>PM_0</v>
      </c>
      <c r="L1040" s="186">
        <f t="shared" si="133"/>
        <v>0</v>
      </c>
      <c r="M1040" s="186">
        <f t="shared" si="134"/>
        <v>0</v>
      </c>
      <c r="N1040" s="186">
        <f t="shared" si="135"/>
        <v>0</v>
      </c>
      <c r="P1040" s="207" t="str">
        <f t="shared" si="136"/>
        <v>PM_0</v>
      </c>
      <c r="Q1040" s="273">
        <f t="shared" si="137"/>
        <v>0</v>
      </c>
      <c r="R1040" s="207">
        <f t="shared" si="138"/>
        <v>0</v>
      </c>
      <c r="S1040" s="207">
        <f t="shared" si="139"/>
        <v>0</v>
      </c>
    </row>
    <row r="1041" spans="11:19" ht="14.1" customHeight="1" x14ac:dyDescent="0.2">
      <c r="K1041" s="186" t="str">
        <f t="shared" si="132"/>
        <v>PM_0</v>
      </c>
      <c r="L1041" s="186">
        <f t="shared" si="133"/>
        <v>0</v>
      </c>
      <c r="M1041" s="186">
        <f t="shared" si="134"/>
        <v>0</v>
      </c>
      <c r="N1041" s="186">
        <f t="shared" si="135"/>
        <v>0</v>
      </c>
      <c r="P1041" s="207" t="str">
        <f t="shared" si="136"/>
        <v>PM_0</v>
      </c>
      <c r="Q1041" s="273">
        <f t="shared" si="137"/>
        <v>0</v>
      </c>
      <c r="R1041" s="207">
        <f t="shared" si="138"/>
        <v>0</v>
      </c>
      <c r="S1041" s="207">
        <f t="shared" si="139"/>
        <v>0</v>
      </c>
    </row>
    <row r="1042" spans="11:19" ht="14.1" customHeight="1" x14ac:dyDescent="0.2">
      <c r="K1042" s="186" t="str">
        <f t="shared" si="132"/>
        <v>PM_0</v>
      </c>
      <c r="L1042" s="186">
        <f t="shared" si="133"/>
        <v>0</v>
      </c>
      <c r="M1042" s="186">
        <f t="shared" si="134"/>
        <v>0</v>
      </c>
      <c r="N1042" s="186">
        <f t="shared" si="135"/>
        <v>0</v>
      </c>
      <c r="P1042" s="207" t="str">
        <f t="shared" si="136"/>
        <v>PM_0</v>
      </c>
      <c r="Q1042" s="273">
        <f t="shared" si="137"/>
        <v>0</v>
      </c>
      <c r="R1042" s="207">
        <f t="shared" si="138"/>
        <v>0</v>
      </c>
      <c r="S1042" s="207">
        <f t="shared" si="139"/>
        <v>0</v>
      </c>
    </row>
    <row r="1043" spans="11:19" ht="14.1" customHeight="1" x14ac:dyDescent="0.2">
      <c r="K1043" s="186" t="str">
        <f t="shared" si="132"/>
        <v>PM_0</v>
      </c>
      <c r="L1043" s="186">
        <f t="shared" si="133"/>
        <v>0</v>
      </c>
      <c r="M1043" s="186">
        <f t="shared" si="134"/>
        <v>0</v>
      </c>
      <c r="N1043" s="186">
        <f t="shared" si="135"/>
        <v>0</v>
      </c>
      <c r="P1043" s="207" t="str">
        <f t="shared" si="136"/>
        <v>PM_0</v>
      </c>
      <c r="Q1043" s="273">
        <f t="shared" si="137"/>
        <v>0</v>
      </c>
      <c r="R1043" s="207">
        <f t="shared" si="138"/>
        <v>0</v>
      </c>
      <c r="S1043" s="207">
        <f t="shared" si="139"/>
        <v>0</v>
      </c>
    </row>
    <row r="1044" spans="11:19" ht="14.1" customHeight="1" x14ac:dyDescent="0.2">
      <c r="K1044" s="186" t="str">
        <f t="shared" si="132"/>
        <v>PM_0</v>
      </c>
      <c r="L1044" s="186">
        <f t="shared" si="133"/>
        <v>0</v>
      </c>
      <c r="M1044" s="186">
        <f t="shared" si="134"/>
        <v>0</v>
      </c>
      <c r="N1044" s="186">
        <f t="shared" si="135"/>
        <v>0</v>
      </c>
      <c r="P1044" s="207" t="str">
        <f t="shared" si="136"/>
        <v>PM_0</v>
      </c>
      <c r="Q1044" s="273">
        <f t="shared" si="137"/>
        <v>0</v>
      </c>
      <c r="R1044" s="207">
        <f t="shared" si="138"/>
        <v>0</v>
      </c>
      <c r="S1044" s="207">
        <f t="shared" si="139"/>
        <v>0</v>
      </c>
    </row>
    <row r="1045" spans="11:19" ht="14.1" customHeight="1" x14ac:dyDescent="0.2">
      <c r="K1045" s="186" t="str">
        <f t="shared" si="132"/>
        <v>PM_0</v>
      </c>
      <c r="L1045" s="186">
        <f t="shared" si="133"/>
        <v>0</v>
      </c>
      <c r="M1045" s="186">
        <f t="shared" si="134"/>
        <v>0</v>
      </c>
      <c r="N1045" s="186">
        <f t="shared" si="135"/>
        <v>0</v>
      </c>
      <c r="P1045" s="207" t="str">
        <f t="shared" si="136"/>
        <v>PM_0</v>
      </c>
      <c r="Q1045" s="273">
        <f t="shared" si="137"/>
        <v>0</v>
      </c>
      <c r="R1045" s="207">
        <f t="shared" si="138"/>
        <v>0</v>
      </c>
      <c r="S1045" s="207">
        <f t="shared" si="139"/>
        <v>0</v>
      </c>
    </row>
    <row r="1046" spans="11:19" ht="14.1" customHeight="1" x14ac:dyDescent="0.2">
      <c r="K1046" s="186" t="str">
        <f t="shared" si="132"/>
        <v>PM_0</v>
      </c>
      <c r="L1046" s="186">
        <f t="shared" si="133"/>
        <v>0</v>
      </c>
      <c r="M1046" s="186">
        <f t="shared" si="134"/>
        <v>0</v>
      </c>
      <c r="N1046" s="186">
        <f t="shared" si="135"/>
        <v>0</v>
      </c>
      <c r="P1046" s="207" t="str">
        <f t="shared" si="136"/>
        <v>PM_0</v>
      </c>
      <c r="Q1046" s="273">
        <f t="shared" si="137"/>
        <v>0</v>
      </c>
      <c r="R1046" s="207">
        <f t="shared" si="138"/>
        <v>0</v>
      </c>
      <c r="S1046" s="207">
        <f t="shared" si="139"/>
        <v>0</v>
      </c>
    </row>
    <row r="1047" spans="11:19" ht="14.1" customHeight="1" x14ac:dyDescent="0.2">
      <c r="K1047" s="186" t="str">
        <f t="shared" si="132"/>
        <v>PM_0</v>
      </c>
      <c r="L1047" s="186">
        <f t="shared" si="133"/>
        <v>0</v>
      </c>
      <c r="M1047" s="186">
        <f t="shared" si="134"/>
        <v>0</v>
      </c>
      <c r="N1047" s="186">
        <f t="shared" si="135"/>
        <v>0</v>
      </c>
      <c r="P1047" s="207" t="str">
        <f t="shared" si="136"/>
        <v>PM_0</v>
      </c>
      <c r="Q1047" s="273">
        <f t="shared" si="137"/>
        <v>0</v>
      </c>
      <c r="R1047" s="207">
        <f t="shared" si="138"/>
        <v>0</v>
      </c>
      <c r="S1047" s="207">
        <f t="shared" si="139"/>
        <v>0</v>
      </c>
    </row>
    <row r="1048" spans="11:19" ht="14.1" customHeight="1" x14ac:dyDescent="0.2">
      <c r="K1048" s="186" t="str">
        <f t="shared" si="132"/>
        <v>PM_0</v>
      </c>
      <c r="L1048" s="186">
        <f t="shared" si="133"/>
        <v>0</v>
      </c>
      <c r="M1048" s="186">
        <f t="shared" si="134"/>
        <v>0</v>
      </c>
      <c r="N1048" s="186">
        <f t="shared" si="135"/>
        <v>0</v>
      </c>
      <c r="P1048" s="207" t="str">
        <f t="shared" si="136"/>
        <v>PM_0</v>
      </c>
      <c r="Q1048" s="273">
        <f t="shared" si="137"/>
        <v>0</v>
      </c>
      <c r="R1048" s="207">
        <f t="shared" si="138"/>
        <v>0</v>
      </c>
      <c r="S1048" s="207">
        <f t="shared" si="139"/>
        <v>0</v>
      </c>
    </row>
    <row r="1049" spans="11:19" ht="14.1" customHeight="1" x14ac:dyDescent="0.2">
      <c r="K1049" s="186" t="str">
        <f t="shared" si="132"/>
        <v>PM_0</v>
      </c>
      <c r="L1049" s="186">
        <f t="shared" si="133"/>
        <v>0</v>
      </c>
      <c r="M1049" s="186">
        <f t="shared" si="134"/>
        <v>0</v>
      </c>
      <c r="N1049" s="186">
        <f t="shared" si="135"/>
        <v>0</v>
      </c>
      <c r="P1049" s="207" t="str">
        <f t="shared" si="136"/>
        <v>PM_0</v>
      </c>
      <c r="Q1049" s="273">
        <f t="shared" si="137"/>
        <v>0</v>
      </c>
      <c r="R1049" s="207">
        <f t="shared" si="138"/>
        <v>0</v>
      </c>
      <c r="S1049" s="207">
        <f t="shared" si="139"/>
        <v>0</v>
      </c>
    </row>
    <row r="1050" spans="11:19" ht="14.1" customHeight="1" x14ac:dyDescent="0.2">
      <c r="K1050" s="186" t="str">
        <f t="shared" si="132"/>
        <v>PM_0</v>
      </c>
      <c r="L1050" s="186">
        <f t="shared" si="133"/>
        <v>0</v>
      </c>
      <c r="M1050" s="186">
        <f t="shared" si="134"/>
        <v>0</v>
      </c>
      <c r="N1050" s="186">
        <f t="shared" si="135"/>
        <v>0</v>
      </c>
      <c r="P1050" s="207" t="str">
        <f t="shared" si="136"/>
        <v>PM_0</v>
      </c>
      <c r="Q1050" s="273">
        <f t="shared" si="137"/>
        <v>0</v>
      </c>
      <c r="R1050" s="207">
        <f t="shared" si="138"/>
        <v>0</v>
      </c>
      <c r="S1050" s="207">
        <f t="shared" si="139"/>
        <v>0</v>
      </c>
    </row>
    <row r="1051" spans="11:19" ht="14.1" customHeight="1" x14ac:dyDescent="0.2">
      <c r="K1051" s="186" t="str">
        <f t="shared" si="132"/>
        <v>PM_0</v>
      </c>
      <c r="L1051" s="186">
        <f t="shared" si="133"/>
        <v>0</v>
      </c>
      <c r="M1051" s="186">
        <f t="shared" si="134"/>
        <v>0</v>
      </c>
      <c r="N1051" s="186">
        <f t="shared" si="135"/>
        <v>0</v>
      </c>
      <c r="P1051" s="207" t="str">
        <f t="shared" si="136"/>
        <v>PM_0</v>
      </c>
      <c r="Q1051" s="273">
        <f t="shared" si="137"/>
        <v>0</v>
      </c>
      <c r="R1051" s="207">
        <f t="shared" si="138"/>
        <v>0</v>
      </c>
      <c r="S1051" s="207">
        <f t="shared" si="139"/>
        <v>0</v>
      </c>
    </row>
    <row r="1052" spans="11:19" ht="14.1" customHeight="1" x14ac:dyDescent="0.2">
      <c r="K1052" s="186" t="str">
        <f t="shared" si="132"/>
        <v>PM_0</v>
      </c>
      <c r="L1052" s="186">
        <f t="shared" si="133"/>
        <v>0</v>
      </c>
      <c r="M1052" s="186">
        <f t="shared" si="134"/>
        <v>0</v>
      </c>
      <c r="N1052" s="186">
        <f t="shared" si="135"/>
        <v>0</v>
      </c>
      <c r="P1052" s="207" t="str">
        <f t="shared" si="136"/>
        <v>PM_0</v>
      </c>
      <c r="Q1052" s="273">
        <f t="shared" si="137"/>
        <v>0</v>
      </c>
      <c r="R1052" s="207">
        <f t="shared" si="138"/>
        <v>0</v>
      </c>
      <c r="S1052" s="207">
        <f t="shared" si="139"/>
        <v>0</v>
      </c>
    </row>
    <row r="1053" spans="11:19" ht="14.1" customHeight="1" x14ac:dyDescent="0.2">
      <c r="K1053" s="186" t="str">
        <f t="shared" si="132"/>
        <v>PM_0</v>
      </c>
      <c r="L1053" s="186">
        <f t="shared" si="133"/>
        <v>0</v>
      </c>
      <c r="M1053" s="186">
        <f t="shared" si="134"/>
        <v>0</v>
      </c>
      <c r="N1053" s="186">
        <f t="shared" si="135"/>
        <v>0</v>
      </c>
      <c r="P1053" s="207" t="str">
        <f t="shared" si="136"/>
        <v>PM_0</v>
      </c>
      <c r="Q1053" s="273">
        <f t="shared" si="137"/>
        <v>0</v>
      </c>
      <c r="R1053" s="207">
        <f t="shared" si="138"/>
        <v>0</v>
      </c>
      <c r="S1053" s="207">
        <f t="shared" si="139"/>
        <v>0</v>
      </c>
    </row>
    <row r="1054" spans="11:19" ht="14.1" customHeight="1" x14ac:dyDescent="0.2">
      <c r="K1054" s="186" t="str">
        <f t="shared" si="132"/>
        <v>PM_0</v>
      </c>
      <c r="L1054" s="186">
        <f t="shared" si="133"/>
        <v>0</v>
      </c>
      <c r="M1054" s="186">
        <f t="shared" si="134"/>
        <v>0</v>
      </c>
      <c r="N1054" s="186">
        <f t="shared" si="135"/>
        <v>0</v>
      </c>
      <c r="P1054" s="207" t="str">
        <f t="shared" si="136"/>
        <v>PM_0</v>
      </c>
      <c r="Q1054" s="273">
        <f t="shared" si="137"/>
        <v>0</v>
      </c>
      <c r="R1054" s="207">
        <f t="shared" si="138"/>
        <v>0</v>
      </c>
      <c r="S1054" s="207">
        <f t="shared" si="139"/>
        <v>0</v>
      </c>
    </row>
    <row r="1055" spans="11:19" ht="14.1" customHeight="1" x14ac:dyDescent="0.2">
      <c r="K1055" s="186" t="str">
        <f t="shared" si="132"/>
        <v>PM_0</v>
      </c>
      <c r="L1055" s="186">
        <f t="shared" si="133"/>
        <v>0</v>
      </c>
      <c r="M1055" s="186">
        <f t="shared" si="134"/>
        <v>0</v>
      </c>
      <c r="N1055" s="186">
        <f t="shared" si="135"/>
        <v>0</v>
      </c>
      <c r="P1055" s="207" t="str">
        <f t="shared" si="136"/>
        <v>PM_0</v>
      </c>
      <c r="Q1055" s="273">
        <f t="shared" si="137"/>
        <v>0</v>
      </c>
      <c r="R1055" s="207">
        <f t="shared" si="138"/>
        <v>0</v>
      </c>
      <c r="S1055" s="207">
        <f t="shared" si="139"/>
        <v>0</v>
      </c>
    </row>
    <row r="1056" spans="11:19" ht="14.1" customHeight="1" x14ac:dyDescent="0.2">
      <c r="K1056" s="186" t="str">
        <f t="shared" si="132"/>
        <v>PM_0</v>
      </c>
      <c r="L1056" s="186">
        <f t="shared" si="133"/>
        <v>0</v>
      </c>
      <c r="M1056" s="186">
        <f t="shared" si="134"/>
        <v>0</v>
      </c>
      <c r="N1056" s="186">
        <f t="shared" si="135"/>
        <v>0</v>
      </c>
      <c r="P1056" s="207" t="str">
        <f t="shared" si="136"/>
        <v>PM_0</v>
      </c>
      <c r="Q1056" s="273">
        <f t="shared" si="137"/>
        <v>0</v>
      </c>
      <c r="R1056" s="207">
        <f t="shared" si="138"/>
        <v>0</v>
      </c>
      <c r="S1056" s="207">
        <f t="shared" si="139"/>
        <v>0</v>
      </c>
    </row>
    <row r="1057" spans="11:19" ht="14.1" customHeight="1" x14ac:dyDescent="0.2">
      <c r="K1057" s="186" t="str">
        <f t="shared" si="132"/>
        <v>PM_0</v>
      </c>
      <c r="L1057" s="186">
        <f t="shared" si="133"/>
        <v>0</v>
      </c>
      <c r="M1057" s="186">
        <f t="shared" si="134"/>
        <v>0</v>
      </c>
      <c r="N1057" s="186">
        <f t="shared" si="135"/>
        <v>0</v>
      </c>
      <c r="P1057" s="207" t="str">
        <f t="shared" si="136"/>
        <v>PM_0</v>
      </c>
      <c r="Q1057" s="273">
        <f t="shared" si="137"/>
        <v>0</v>
      </c>
      <c r="R1057" s="207">
        <f t="shared" si="138"/>
        <v>0</v>
      </c>
      <c r="S1057" s="207">
        <f t="shared" si="139"/>
        <v>0</v>
      </c>
    </row>
    <row r="1058" spans="11:19" ht="14.1" customHeight="1" x14ac:dyDescent="0.2">
      <c r="K1058" s="186" t="str">
        <f t="shared" si="132"/>
        <v>PM_0</v>
      </c>
      <c r="L1058" s="186">
        <f t="shared" si="133"/>
        <v>0</v>
      </c>
      <c r="M1058" s="186">
        <f t="shared" si="134"/>
        <v>0</v>
      </c>
      <c r="N1058" s="186">
        <f t="shared" si="135"/>
        <v>0</v>
      </c>
      <c r="P1058" s="207" t="str">
        <f t="shared" si="136"/>
        <v>PM_0</v>
      </c>
      <c r="Q1058" s="273">
        <f t="shared" si="137"/>
        <v>0</v>
      </c>
      <c r="R1058" s="207">
        <f t="shared" si="138"/>
        <v>0</v>
      </c>
      <c r="S1058" s="207">
        <f t="shared" si="139"/>
        <v>0</v>
      </c>
    </row>
    <row r="1059" spans="11:19" ht="14.1" customHeight="1" x14ac:dyDescent="0.2">
      <c r="K1059" s="186" t="str">
        <f t="shared" si="132"/>
        <v>PM_0</v>
      </c>
      <c r="L1059" s="186">
        <f t="shared" si="133"/>
        <v>0</v>
      </c>
      <c r="M1059" s="186">
        <f t="shared" si="134"/>
        <v>0</v>
      </c>
      <c r="N1059" s="186">
        <f t="shared" si="135"/>
        <v>0</v>
      </c>
      <c r="P1059" s="207" t="str">
        <f t="shared" si="136"/>
        <v>PM_0</v>
      </c>
      <c r="Q1059" s="273">
        <f t="shared" si="137"/>
        <v>0</v>
      </c>
      <c r="R1059" s="207">
        <f t="shared" si="138"/>
        <v>0</v>
      </c>
      <c r="S1059" s="207">
        <f t="shared" si="139"/>
        <v>0</v>
      </c>
    </row>
    <row r="1060" spans="11:19" ht="14.1" customHeight="1" x14ac:dyDescent="0.2">
      <c r="K1060" s="186" t="str">
        <f t="shared" si="132"/>
        <v>PM_0</v>
      </c>
      <c r="L1060" s="186">
        <f t="shared" si="133"/>
        <v>0</v>
      </c>
      <c r="M1060" s="186">
        <f t="shared" si="134"/>
        <v>0</v>
      </c>
      <c r="N1060" s="186">
        <f t="shared" si="135"/>
        <v>0</v>
      </c>
      <c r="P1060" s="207" t="str">
        <f t="shared" si="136"/>
        <v>PM_0</v>
      </c>
      <c r="Q1060" s="273">
        <f t="shared" si="137"/>
        <v>0</v>
      </c>
      <c r="R1060" s="207">
        <f t="shared" si="138"/>
        <v>0</v>
      </c>
      <c r="S1060" s="207">
        <f t="shared" si="139"/>
        <v>0</v>
      </c>
    </row>
    <row r="1061" spans="11:19" ht="14.1" customHeight="1" x14ac:dyDescent="0.2">
      <c r="K1061" s="186" t="str">
        <f t="shared" si="132"/>
        <v>PM_0</v>
      </c>
      <c r="L1061" s="186">
        <f t="shared" si="133"/>
        <v>0</v>
      </c>
      <c r="M1061" s="186">
        <f t="shared" si="134"/>
        <v>0</v>
      </c>
      <c r="N1061" s="186">
        <f t="shared" si="135"/>
        <v>0</v>
      </c>
      <c r="P1061" s="207" t="str">
        <f t="shared" si="136"/>
        <v>PM_0</v>
      </c>
      <c r="Q1061" s="273">
        <f t="shared" si="137"/>
        <v>0</v>
      </c>
      <c r="R1061" s="207">
        <f t="shared" si="138"/>
        <v>0</v>
      </c>
      <c r="S1061" s="207">
        <f t="shared" si="139"/>
        <v>0</v>
      </c>
    </row>
    <row r="1062" spans="11:19" ht="14.1" customHeight="1" x14ac:dyDescent="0.2">
      <c r="K1062" s="186" t="str">
        <f t="shared" si="132"/>
        <v>PM_0</v>
      </c>
      <c r="L1062" s="186">
        <f t="shared" si="133"/>
        <v>0</v>
      </c>
      <c r="M1062" s="186">
        <f t="shared" si="134"/>
        <v>0</v>
      </c>
      <c r="N1062" s="186">
        <f t="shared" si="135"/>
        <v>0</v>
      </c>
      <c r="P1062" s="207" t="str">
        <f t="shared" si="136"/>
        <v>PM_0</v>
      </c>
      <c r="Q1062" s="273">
        <f t="shared" si="137"/>
        <v>0</v>
      </c>
      <c r="R1062" s="207">
        <f t="shared" si="138"/>
        <v>0</v>
      </c>
      <c r="S1062" s="207">
        <f t="shared" si="139"/>
        <v>0</v>
      </c>
    </row>
    <row r="1063" spans="11:19" ht="14.1" customHeight="1" x14ac:dyDescent="0.2">
      <c r="K1063" s="186" t="str">
        <f t="shared" si="132"/>
        <v>PM_0</v>
      </c>
      <c r="L1063" s="186">
        <f t="shared" si="133"/>
        <v>0</v>
      </c>
      <c r="M1063" s="186">
        <f t="shared" si="134"/>
        <v>0</v>
      </c>
      <c r="N1063" s="186">
        <f t="shared" si="135"/>
        <v>0</v>
      </c>
      <c r="P1063" s="207" t="str">
        <f t="shared" si="136"/>
        <v>PM_0</v>
      </c>
      <c r="Q1063" s="273">
        <f t="shared" si="137"/>
        <v>0</v>
      </c>
      <c r="R1063" s="207">
        <f t="shared" si="138"/>
        <v>0</v>
      </c>
      <c r="S1063" s="207">
        <f t="shared" si="139"/>
        <v>0</v>
      </c>
    </row>
    <row r="1064" spans="11:19" ht="14.1" customHeight="1" x14ac:dyDescent="0.2">
      <c r="K1064" s="186" t="str">
        <f t="shared" si="132"/>
        <v>PM_0</v>
      </c>
      <c r="L1064" s="186">
        <f t="shared" si="133"/>
        <v>0</v>
      </c>
      <c r="M1064" s="186">
        <f t="shared" si="134"/>
        <v>0</v>
      </c>
      <c r="N1064" s="186">
        <f t="shared" si="135"/>
        <v>0</v>
      </c>
      <c r="P1064" s="207" t="str">
        <f t="shared" si="136"/>
        <v>PM_0</v>
      </c>
      <c r="Q1064" s="273">
        <f t="shared" si="137"/>
        <v>0</v>
      </c>
      <c r="R1064" s="207">
        <f t="shared" si="138"/>
        <v>0</v>
      </c>
      <c r="S1064" s="207">
        <f t="shared" si="139"/>
        <v>0</v>
      </c>
    </row>
    <row r="1065" spans="11:19" ht="14.1" customHeight="1" x14ac:dyDescent="0.2">
      <c r="K1065" s="186" t="str">
        <f t="shared" si="132"/>
        <v>PM_0</v>
      </c>
      <c r="L1065" s="186">
        <f t="shared" si="133"/>
        <v>0</v>
      </c>
      <c r="M1065" s="186">
        <f t="shared" si="134"/>
        <v>0</v>
      </c>
      <c r="N1065" s="186">
        <f t="shared" si="135"/>
        <v>0</v>
      </c>
      <c r="P1065" s="207" t="str">
        <f t="shared" si="136"/>
        <v>PM_0</v>
      </c>
      <c r="Q1065" s="273">
        <f t="shared" si="137"/>
        <v>0</v>
      </c>
      <c r="R1065" s="207">
        <f t="shared" si="138"/>
        <v>0</v>
      </c>
      <c r="S1065" s="207">
        <f t="shared" si="139"/>
        <v>0</v>
      </c>
    </row>
    <row r="1066" spans="11:19" ht="14.1" customHeight="1" x14ac:dyDescent="0.2">
      <c r="K1066" s="186" t="str">
        <f t="shared" si="132"/>
        <v>PM_0</v>
      </c>
      <c r="L1066" s="186">
        <f t="shared" si="133"/>
        <v>0</v>
      </c>
      <c r="M1066" s="186">
        <f t="shared" si="134"/>
        <v>0</v>
      </c>
      <c r="N1066" s="186">
        <f t="shared" si="135"/>
        <v>0</v>
      </c>
      <c r="P1066" s="207" t="str">
        <f t="shared" si="136"/>
        <v>PM_0</v>
      </c>
      <c r="Q1066" s="273">
        <f t="shared" si="137"/>
        <v>0</v>
      </c>
      <c r="R1066" s="207">
        <f t="shared" si="138"/>
        <v>0</v>
      </c>
      <c r="S1066" s="207">
        <f t="shared" si="139"/>
        <v>0</v>
      </c>
    </row>
    <row r="1067" spans="11:19" ht="14.1" customHeight="1" x14ac:dyDescent="0.2">
      <c r="K1067" s="186" t="str">
        <f t="shared" si="132"/>
        <v>PM_0</v>
      </c>
      <c r="L1067" s="186">
        <f t="shared" si="133"/>
        <v>0</v>
      </c>
      <c r="M1067" s="186">
        <f t="shared" si="134"/>
        <v>0</v>
      </c>
      <c r="N1067" s="186">
        <f t="shared" si="135"/>
        <v>0</v>
      </c>
      <c r="P1067" s="207" t="str">
        <f t="shared" si="136"/>
        <v>PM_0</v>
      </c>
      <c r="Q1067" s="273">
        <f t="shared" si="137"/>
        <v>0</v>
      </c>
      <c r="R1067" s="207">
        <f t="shared" si="138"/>
        <v>0</v>
      </c>
      <c r="S1067" s="207">
        <f t="shared" si="139"/>
        <v>0</v>
      </c>
    </row>
    <row r="1068" spans="11:19" ht="14.1" customHeight="1" x14ac:dyDescent="0.2">
      <c r="K1068" s="186" t="str">
        <f t="shared" si="132"/>
        <v>PM_0</v>
      </c>
      <c r="L1068" s="186">
        <f t="shared" si="133"/>
        <v>0</v>
      </c>
      <c r="M1068" s="186">
        <f t="shared" si="134"/>
        <v>0</v>
      </c>
      <c r="N1068" s="186">
        <f t="shared" si="135"/>
        <v>0</v>
      </c>
      <c r="P1068" s="207" t="str">
        <f t="shared" si="136"/>
        <v>PM_0</v>
      </c>
      <c r="Q1068" s="273">
        <f t="shared" si="137"/>
        <v>0</v>
      </c>
      <c r="R1068" s="207">
        <f t="shared" si="138"/>
        <v>0</v>
      </c>
      <c r="S1068" s="207">
        <f t="shared" si="139"/>
        <v>0</v>
      </c>
    </row>
    <row r="1069" spans="11:19" ht="14.1" customHeight="1" x14ac:dyDescent="0.2">
      <c r="K1069" s="186" t="str">
        <f t="shared" si="132"/>
        <v>PM_0</v>
      </c>
      <c r="L1069" s="186">
        <f t="shared" si="133"/>
        <v>0</v>
      </c>
      <c r="M1069" s="186">
        <f t="shared" si="134"/>
        <v>0</v>
      </c>
      <c r="N1069" s="186">
        <f t="shared" si="135"/>
        <v>0</v>
      </c>
      <c r="P1069" s="207" t="str">
        <f t="shared" si="136"/>
        <v>PM_0</v>
      </c>
      <c r="Q1069" s="273">
        <f t="shared" si="137"/>
        <v>0</v>
      </c>
      <c r="R1069" s="207">
        <f t="shared" si="138"/>
        <v>0</v>
      </c>
      <c r="S1069" s="207">
        <f t="shared" si="139"/>
        <v>0</v>
      </c>
    </row>
    <row r="1070" spans="11:19" ht="14.1" customHeight="1" x14ac:dyDescent="0.2">
      <c r="K1070" s="186" t="str">
        <f t="shared" si="132"/>
        <v>PM_0</v>
      </c>
      <c r="L1070" s="186">
        <f t="shared" si="133"/>
        <v>0</v>
      </c>
      <c r="M1070" s="186">
        <f t="shared" si="134"/>
        <v>0</v>
      </c>
      <c r="N1070" s="186">
        <f t="shared" si="135"/>
        <v>0</v>
      </c>
      <c r="P1070" s="207" t="str">
        <f t="shared" si="136"/>
        <v>PM_0</v>
      </c>
      <c r="Q1070" s="273">
        <f t="shared" si="137"/>
        <v>0</v>
      </c>
      <c r="R1070" s="207">
        <f t="shared" si="138"/>
        <v>0</v>
      </c>
      <c r="S1070" s="207">
        <f t="shared" si="139"/>
        <v>0</v>
      </c>
    </row>
    <row r="1071" spans="11:19" ht="14.1" customHeight="1" x14ac:dyDescent="0.2">
      <c r="K1071" s="186" t="str">
        <f t="shared" si="132"/>
        <v>PM_0</v>
      </c>
      <c r="L1071" s="186">
        <f t="shared" si="133"/>
        <v>0</v>
      </c>
      <c r="M1071" s="186">
        <f t="shared" si="134"/>
        <v>0</v>
      </c>
      <c r="N1071" s="186">
        <f t="shared" si="135"/>
        <v>0</v>
      </c>
      <c r="P1071" s="207" t="str">
        <f t="shared" si="136"/>
        <v>PM_0</v>
      </c>
      <c r="Q1071" s="273">
        <f t="shared" si="137"/>
        <v>0</v>
      </c>
      <c r="R1071" s="207">
        <f t="shared" si="138"/>
        <v>0</v>
      </c>
      <c r="S1071" s="207">
        <f t="shared" si="139"/>
        <v>0</v>
      </c>
    </row>
    <row r="1072" spans="11:19" ht="14.1" customHeight="1" x14ac:dyDescent="0.2">
      <c r="K1072" s="186" t="str">
        <f t="shared" si="132"/>
        <v>PM_0</v>
      </c>
      <c r="L1072" s="186">
        <f t="shared" si="133"/>
        <v>0</v>
      </c>
      <c r="M1072" s="186">
        <f t="shared" si="134"/>
        <v>0</v>
      </c>
      <c r="N1072" s="186">
        <f t="shared" si="135"/>
        <v>0</v>
      </c>
      <c r="P1072" s="207" t="str">
        <f t="shared" si="136"/>
        <v>PM_0</v>
      </c>
      <c r="Q1072" s="273">
        <f t="shared" si="137"/>
        <v>0</v>
      </c>
      <c r="R1072" s="207">
        <f t="shared" si="138"/>
        <v>0</v>
      </c>
      <c r="S1072" s="207">
        <f t="shared" si="139"/>
        <v>0</v>
      </c>
    </row>
    <row r="1073" spans="11:19" ht="14.1" customHeight="1" x14ac:dyDescent="0.2">
      <c r="K1073" s="186" t="str">
        <f t="shared" si="132"/>
        <v>PM_0</v>
      </c>
      <c r="L1073" s="186">
        <f t="shared" si="133"/>
        <v>0</v>
      </c>
      <c r="M1073" s="186">
        <f t="shared" si="134"/>
        <v>0</v>
      </c>
      <c r="N1073" s="186">
        <f t="shared" si="135"/>
        <v>0</v>
      </c>
      <c r="P1073" s="207" t="str">
        <f t="shared" si="136"/>
        <v>PM_0</v>
      </c>
      <c r="Q1073" s="273">
        <f t="shared" si="137"/>
        <v>0</v>
      </c>
      <c r="R1073" s="207">
        <f t="shared" si="138"/>
        <v>0</v>
      </c>
      <c r="S1073" s="207">
        <f t="shared" si="139"/>
        <v>0</v>
      </c>
    </row>
    <row r="1074" spans="11:19" ht="14.1" customHeight="1" x14ac:dyDescent="0.2">
      <c r="K1074" s="186" t="str">
        <f t="shared" si="132"/>
        <v>PM_0</v>
      </c>
      <c r="L1074" s="186">
        <f t="shared" si="133"/>
        <v>0</v>
      </c>
      <c r="M1074" s="186">
        <f t="shared" si="134"/>
        <v>0</v>
      </c>
      <c r="N1074" s="186">
        <f t="shared" si="135"/>
        <v>0</v>
      </c>
      <c r="P1074" s="207" t="str">
        <f t="shared" si="136"/>
        <v>PM_0</v>
      </c>
      <c r="Q1074" s="273">
        <f t="shared" si="137"/>
        <v>0</v>
      </c>
      <c r="R1074" s="207">
        <f t="shared" si="138"/>
        <v>0</v>
      </c>
      <c r="S1074" s="207">
        <f t="shared" si="139"/>
        <v>0</v>
      </c>
    </row>
    <row r="1075" spans="11:19" ht="14.1" customHeight="1" x14ac:dyDescent="0.2">
      <c r="K1075" s="186" t="str">
        <f t="shared" si="132"/>
        <v>PM_0</v>
      </c>
      <c r="L1075" s="186">
        <f t="shared" si="133"/>
        <v>0</v>
      </c>
      <c r="M1075" s="186">
        <f t="shared" si="134"/>
        <v>0</v>
      </c>
      <c r="N1075" s="186">
        <f t="shared" si="135"/>
        <v>0</v>
      </c>
      <c r="P1075" s="207" t="str">
        <f t="shared" si="136"/>
        <v>PM_0</v>
      </c>
      <c r="Q1075" s="273">
        <f t="shared" si="137"/>
        <v>0</v>
      </c>
      <c r="R1075" s="207">
        <f t="shared" si="138"/>
        <v>0</v>
      </c>
      <c r="S1075" s="207">
        <f t="shared" si="139"/>
        <v>0</v>
      </c>
    </row>
    <row r="1076" spans="11:19" ht="14.1" customHeight="1" x14ac:dyDescent="0.2">
      <c r="K1076" s="186" t="str">
        <f t="shared" si="132"/>
        <v>PM_0</v>
      </c>
      <c r="L1076" s="186">
        <f t="shared" si="133"/>
        <v>0</v>
      </c>
      <c r="M1076" s="186">
        <f t="shared" si="134"/>
        <v>0</v>
      </c>
      <c r="N1076" s="186">
        <f t="shared" si="135"/>
        <v>0</v>
      </c>
      <c r="P1076" s="207" t="str">
        <f t="shared" si="136"/>
        <v>PM_0</v>
      </c>
      <c r="Q1076" s="273">
        <f t="shared" si="137"/>
        <v>0</v>
      </c>
      <c r="R1076" s="207">
        <f t="shared" si="138"/>
        <v>0</v>
      </c>
      <c r="S1076" s="207">
        <f t="shared" si="139"/>
        <v>0</v>
      </c>
    </row>
    <row r="1077" spans="11:19" ht="14.1" customHeight="1" x14ac:dyDescent="0.2">
      <c r="K1077" s="186" t="str">
        <f t="shared" si="132"/>
        <v>PM_0</v>
      </c>
      <c r="L1077" s="186">
        <f t="shared" si="133"/>
        <v>0</v>
      </c>
      <c r="M1077" s="186">
        <f t="shared" si="134"/>
        <v>0</v>
      </c>
      <c r="N1077" s="186">
        <f t="shared" si="135"/>
        <v>0</v>
      </c>
      <c r="P1077" s="207" t="str">
        <f t="shared" si="136"/>
        <v>PM_0</v>
      </c>
      <c r="Q1077" s="273">
        <f t="shared" si="137"/>
        <v>0</v>
      </c>
      <c r="R1077" s="207">
        <f t="shared" si="138"/>
        <v>0</v>
      </c>
      <c r="S1077" s="207">
        <f t="shared" si="139"/>
        <v>0</v>
      </c>
    </row>
    <row r="1078" spans="11:19" ht="14.1" customHeight="1" x14ac:dyDescent="0.2">
      <c r="K1078" s="186" t="str">
        <f t="shared" si="132"/>
        <v>PM_0</v>
      </c>
      <c r="L1078" s="186">
        <f t="shared" si="133"/>
        <v>0</v>
      </c>
      <c r="M1078" s="186">
        <f t="shared" si="134"/>
        <v>0</v>
      </c>
      <c r="N1078" s="186">
        <f t="shared" si="135"/>
        <v>0</v>
      </c>
      <c r="P1078" s="207" t="str">
        <f t="shared" si="136"/>
        <v>PM_0</v>
      </c>
      <c r="Q1078" s="273">
        <f t="shared" si="137"/>
        <v>0</v>
      </c>
      <c r="R1078" s="207">
        <f t="shared" si="138"/>
        <v>0</v>
      </c>
      <c r="S1078" s="207">
        <f t="shared" si="139"/>
        <v>0</v>
      </c>
    </row>
    <row r="1079" spans="11:19" ht="14.1" customHeight="1" x14ac:dyDescent="0.2">
      <c r="K1079" s="186" t="str">
        <f t="shared" si="132"/>
        <v>PM_0</v>
      </c>
      <c r="L1079" s="186">
        <f t="shared" si="133"/>
        <v>0</v>
      </c>
      <c r="M1079" s="186">
        <f t="shared" si="134"/>
        <v>0</v>
      </c>
      <c r="N1079" s="186">
        <f t="shared" si="135"/>
        <v>0</v>
      </c>
      <c r="P1079" s="207" t="str">
        <f t="shared" si="136"/>
        <v>PM_0</v>
      </c>
      <c r="Q1079" s="273">
        <f t="shared" si="137"/>
        <v>0</v>
      </c>
      <c r="R1079" s="207">
        <f t="shared" si="138"/>
        <v>0</v>
      </c>
      <c r="S1079" s="207">
        <f t="shared" si="139"/>
        <v>0</v>
      </c>
    </row>
    <row r="1080" spans="11:19" ht="14.1" customHeight="1" x14ac:dyDescent="0.2">
      <c r="K1080" s="186" t="str">
        <f t="shared" si="132"/>
        <v>PM_0</v>
      </c>
      <c r="L1080" s="186">
        <f t="shared" si="133"/>
        <v>0</v>
      </c>
      <c r="M1080" s="186">
        <f t="shared" si="134"/>
        <v>0</v>
      </c>
      <c r="N1080" s="186">
        <f t="shared" si="135"/>
        <v>0</v>
      </c>
      <c r="P1080" s="207" t="str">
        <f t="shared" si="136"/>
        <v>PM_0</v>
      </c>
      <c r="Q1080" s="273">
        <f t="shared" si="137"/>
        <v>0</v>
      </c>
      <c r="R1080" s="207">
        <f t="shared" si="138"/>
        <v>0</v>
      </c>
      <c r="S1080" s="207">
        <f t="shared" si="139"/>
        <v>0</v>
      </c>
    </row>
    <row r="1081" spans="11:19" ht="14.1" customHeight="1" x14ac:dyDescent="0.2">
      <c r="K1081" s="186" t="str">
        <f t="shared" si="132"/>
        <v>PM_0</v>
      </c>
      <c r="L1081" s="186">
        <f t="shared" si="133"/>
        <v>0</v>
      </c>
      <c r="M1081" s="186">
        <f t="shared" si="134"/>
        <v>0</v>
      </c>
      <c r="N1081" s="186">
        <f t="shared" si="135"/>
        <v>0</v>
      </c>
      <c r="P1081" s="207" t="str">
        <f t="shared" si="136"/>
        <v>PM_0</v>
      </c>
      <c r="Q1081" s="273">
        <f t="shared" si="137"/>
        <v>0</v>
      </c>
      <c r="R1081" s="207">
        <f t="shared" si="138"/>
        <v>0</v>
      </c>
      <c r="S1081" s="207">
        <f t="shared" si="139"/>
        <v>0</v>
      </c>
    </row>
    <row r="1082" spans="11:19" ht="14.1" customHeight="1" x14ac:dyDescent="0.2">
      <c r="K1082" s="186" t="str">
        <f t="shared" si="132"/>
        <v>PM_0</v>
      </c>
      <c r="L1082" s="186">
        <f t="shared" si="133"/>
        <v>0</v>
      </c>
      <c r="M1082" s="186">
        <f t="shared" si="134"/>
        <v>0</v>
      </c>
      <c r="N1082" s="186">
        <f t="shared" si="135"/>
        <v>0</v>
      </c>
      <c r="P1082" s="207" t="str">
        <f t="shared" si="136"/>
        <v>PM_0</v>
      </c>
      <c r="Q1082" s="273">
        <f t="shared" si="137"/>
        <v>0</v>
      </c>
      <c r="R1082" s="207">
        <f t="shared" si="138"/>
        <v>0</v>
      </c>
      <c r="S1082" s="207">
        <f t="shared" si="139"/>
        <v>0</v>
      </c>
    </row>
    <row r="1083" spans="11:19" ht="14.1" customHeight="1" x14ac:dyDescent="0.2">
      <c r="K1083" s="186" t="str">
        <f t="shared" si="132"/>
        <v>PM_0</v>
      </c>
      <c r="L1083" s="186">
        <f t="shared" si="133"/>
        <v>0</v>
      </c>
      <c r="M1083" s="186">
        <f t="shared" si="134"/>
        <v>0</v>
      </c>
      <c r="N1083" s="186">
        <f t="shared" si="135"/>
        <v>0</v>
      </c>
      <c r="P1083" s="207" t="str">
        <f t="shared" si="136"/>
        <v>PM_0</v>
      </c>
      <c r="Q1083" s="273">
        <f t="shared" si="137"/>
        <v>0</v>
      </c>
      <c r="R1083" s="207">
        <f t="shared" si="138"/>
        <v>0</v>
      </c>
      <c r="S1083" s="207">
        <f t="shared" si="139"/>
        <v>0</v>
      </c>
    </row>
    <row r="1084" spans="11:19" ht="14.1" customHeight="1" x14ac:dyDescent="0.2">
      <c r="K1084" s="186" t="str">
        <f t="shared" si="132"/>
        <v>PM_0</v>
      </c>
      <c r="L1084" s="186">
        <f t="shared" si="133"/>
        <v>0</v>
      </c>
      <c r="M1084" s="186">
        <f t="shared" si="134"/>
        <v>0</v>
      </c>
      <c r="N1084" s="186">
        <f t="shared" si="135"/>
        <v>0</v>
      </c>
      <c r="P1084" s="207" t="str">
        <f t="shared" si="136"/>
        <v>PM_0</v>
      </c>
      <c r="Q1084" s="273">
        <f t="shared" si="137"/>
        <v>0</v>
      </c>
      <c r="R1084" s="207">
        <f t="shared" si="138"/>
        <v>0</v>
      </c>
      <c r="S1084" s="207">
        <f t="shared" si="139"/>
        <v>0</v>
      </c>
    </row>
    <row r="1085" spans="11:19" ht="14.1" customHeight="1" x14ac:dyDescent="0.2">
      <c r="K1085" s="186" t="str">
        <f t="shared" si="132"/>
        <v>PM_0</v>
      </c>
      <c r="L1085" s="186">
        <f t="shared" si="133"/>
        <v>0</v>
      </c>
      <c r="M1085" s="186">
        <f t="shared" si="134"/>
        <v>0</v>
      </c>
      <c r="N1085" s="186">
        <f t="shared" si="135"/>
        <v>0</v>
      </c>
      <c r="P1085" s="207" t="str">
        <f t="shared" si="136"/>
        <v>PM_0</v>
      </c>
      <c r="Q1085" s="273">
        <f t="shared" si="137"/>
        <v>0</v>
      </c>
      <c r="R1085" s="207">
        <f t="shared" si="138"/>
        <v>0</v>
      </c>
      <c r="S1085" s="207">
        <f t="shared" si="139"/>
        <v>0</v>
      </c>
    </row>
    <row r="1086" spans="11:19" ht="14.1" customHeight="1" x14ac:dyDescent="0.2">
      <c r="K1086" s="186" t="str">
        <f t="shared" si="132"/>
        <v>PM_0</v>
      </c>
      <c r="L1086" s="186">
        <f t="shared" si="133"/>
        <v>0</v>
      </c>
      <c r="M1086" s="186">
        <f t="shared" si="134"/>
        <v>0</v>
      </c>
      <c r="N1086" s="186">
        <f t="shared" si="135"/>
        <v>0</v>
      </c>
      <c r="P1086" s="207" t="str">
        <f t="shared" si="136"/>
        <v>PM_0</v>
      </c>
      <c r="Q1086" s="273">
        <f t="shared" si="137"/>
        <v>0</v>
      </c>
      <c r="R1086" s="207">
        <f t="shared" si="138"/>
        <v>0</v>
      </c>
      <c r="S1086" s="207">
        <f t="shared" si="139"/>
        <v>0</v>
      </c>
    </row>
    <row r="1087" spans="11:19" ht="14.1" customHeight="1" x14ac:dyDescent="0.2">
      <c r="K1087" s="186" t="str">
        <f t="shared" si="132"/>
        <v>PM_0</v>
      </c>
      <c r="L1087" s="186">
        <f t="shared" si="133"/>
        <v>0</v>
      </c>
      <c r="M1087" s="186">
        <f t="shared" si="134"/>
        <v>0</v>
      </c>
      <c r="N1087" s="186">
        <f t="shared" si="135"/>
        <v>0</v>
      </c>
      <c r="P1087" s="207" t="str">
        <f t="shared" si="136"/>
        <v>PM_0</v>
      </c>
      <c r="Q1087" s="273">
        <f t="shared" si="137"/>
        <v>0</v>
      </c>
      <c r="R1087" s="207">
        <f t="shared" si="138"/>
        <v>0</v>
      </c>
      <c r="S1087" s="207">
        <f t="shared" si="139"/>
        <v>0</v>
      </c>
    </row>
    <row r="1088" spans="11:19" ht="14.1" customHeight="1" x14ac:dyDescent="0.2">
      <c r="K1088" s="186" t="str">
        <f t="shared" si="132"/>
        <v>PM_0</v>
      </c>
      <c r="L1088" s="186">
        <f t="shared" si="133"/>
        <v>0</v>
      </c>
      <c r="M1088" s="186">
        <f t="shared" si="134"/>
        <v>0</v>
      </c>
      <c r="N1088" s="186">
        <f t="shared" si="135"/>
        <v>0</v>
      </c>
      <c r="P1088" s="207" t="str">
        <f t="shared" si="136"/>
        <v>PM_0</v>
      </c>
      <c r="Q1088" s="273">
        <f t="shared" si="137"/>
        <v>0</v>
      </c>
      <c r="R1088" s="207">
        <f t="shared" si="138"/>
        <v>0</v>
      </c>
      <c r="S1088" s="207">
        <f t="shared" si="139"/>
        <v>0</v>
      </c>
    </row>
    <row r="1089" spans="11:19" ht="14.1" customHeight="1" x14ac:dyDescent="0.2">
      <c r="K1089" s="186" t="str">
        <f t="shared" si="132"/>
        <v>PM_0</v>
      </c>
      <c r="L1089" s="186">
        <f t="shared" si="133"/>
        <v>0</v>
      </c>
      <c r="M1089" s="186">
        <f t="shared" si="134"/>
        <v>0</v>
      </c>
      <c r="N1089" s="186">
        <f t="shared" si="135"/>
        <v>0</v>
      </c>
      <c r="P1089" s="207" t="str">
        <f t="shared" si="136"/>
        <v>PM_0</v>
      </c>
      <c r="Q1089" s="273">
        <f t="shared" si="137"/>
        <v>0</v>
      </c>
      <c r="R1089" s="207">
        <f t="shared" si="138"/>
        <v>0</v>
      </c>
      <c r="S1089" s="207">
        <f t="shared" si="139"/>
        <v>0</v>
      </c>
    </row>
    <row r="1090" spans="11:19" ht="14.1" customHeight="1" x14ac:dyDescent="0.2">
      <c r="K1090" s="186" t="str">
        <f t="shared" si="132"/>
        <v>PM_0</v>
      </c>
      <c r="L1090" s="186">
        <f t="shared" si="133"/>
        <v>0</v>
      </c>
      <c r="M1090" s="186">
        <f t="shared" si="134"/>
        <v>0</v>
      </c>
      <c r="N1090" s="186">
        <f t="shared" si="135"/>
        <v>0</v>
      </c>
      <c r="P1090" s="207" t="str">
        <f t="shared" si="136"/>
        <v>PM_0</v>
      </c>
      <c r="Q1090" s="273">
        <f t="shared" si="137"/>
        <v>0</v>
      </c>
      <c r="R1090" s="207">
        <f t="shared" si="138"/>
        <v>0</v>
      </c>
      <c r="S1090" s="207">
        <f t="shared" si="139"/>
        <v>0</v>
      </c>
    </row>
    <row r="1091" spans="11:19" ht="14.1" customHeight="1" x14ac:dyDescent="0.2">
      <c r="K1091" s="186" t="str">
        <f t="shared" si="132"/>
        <v>PM_0</v>
      </c>
      <c r="L1091" s="186">
        <f t="shared" si="133"/>
        <v>0</v>
      </c>
      <c r="M1091" s="186">
        <f t="shared" si="134"/>
        <v>0</v>
      </c>
      <c r="N1091" s="186">
        <f t="shared" si="135"/>
        <v>0</v>
      </c>
      <c r="P1091" s="207" t="str">
        <f t="shared" si="136"/>
        <v>PM_0</v>
      </c>
      <c r="Q1091" s="273">
        <f t="shared" si="137"/>
        <v>0</v>
      </c>
      <c r="R1091" s="207">
        <f t="shared" si="138"/>
        <v>0</v>
      </c>
      <c r="S1091" s="207">
        <f t="shared" si="139"/>
        <v>0</v>
      </c>
    </row>
    <row r="1092" spans="11:19" ht="14.1" customHeight="1" x14ac:dyDescent="0.2">
      <c r="K1092" s="186" t="str">
        <f t="shared" si="132"/>
        <v>PM_0</v>
      </c>
      <c r="L1092" s="186">
        <f t="shared" si="133"/>
        <v>0</v>
      </c>
      <c r="M1092" s="186">
        <f t="shared" si="134"/>
        <v>0</v>
      </c>
      <c r="N1092" s="186">
        <f t="shared" si="135"/>
        <v>0</v>
      </c>
      <c r="P1092" s="207" t="str">
        <f t="shared" si="136"/>
        <v>PM_0</v>
      </c>
      <c r="Q1092" s="273">
        <f t="shared" si="137"/>
        <v>0</v>
      </c>
      <c r="R1092" s="207">
        <f t="shared" si="138"/>
        <v>0</v>
      </c>
      <c r="S1092" s="207">
        <f t="shared" si="139"/>
        <v>0</v>
      </c>
    </row>
    <row r="1093" spans="11:19" ht="14.1" customHeight="1" x14ac:dyDescent="0.2">
      <c r="K1093" s="186" t="str">
        <f t="shared" si="132"/>
        <v>PM_0</v>
      </c>
      <c r="L1093" s="186">
        <f t="shared" si="133"/>
        <v>0</v>
      </c>
      <c r="M1093" s="186">
        <f t="shared" si="134"/>
        <v>0</v>
      </c>
      <c r="N1093" s="186">
        <f t="shared" si="135"/>
        <v>0</v>
      </c>
      <c r="P1093" s="207" t="str">
        <f t="shared" si="136"/>
        <v>PM_0</v>
      </c>
      <c r="Q1093" s="273">
        <f t="shared" si="137"/>
        <v>0</v>
      </c>
      <c r="R1093" s="207">
        <f t="shared" si="138"/>
        <v>0</v>
      </c>
      <c r="S1093" s="207">
        <f t="shared" si="139"/>
        <v>0</v>
      </c>
    </row>
    <row r="1094" spans="11:19" ht="14.1" customHeight="1" x14ac:dyDescent="0.2">
      <c r="K1094" s="186" t="str">
        <f t="shared" si="132"/>
        <v>PM_0</v>
      </c>
      <c r="L1094" s="186">
        <f t="shared" si="133"/>
        <v>0</v>
      </c>
      <c r="M1094" s="186">
        <f t="shared" si="134"/>
        <v>0</v>
      </c>
      <c r="N1094" s="186">
        <f t="shared" si="135"/>
        <v>0</v>
      </c>
      <c r="P1094" s="207" t="str">
        <f t="shared" si="136"/>
        <v>PM_0</v>
      </c>
      <c r="Q1094" s="273">
        <f t="shared" si="137"/>
        <v>0</v>
      </c>
      <c r="R1094" s="207">
        <f t="shared" si="138"/>
        <v>0</v>
      </c>
      <c r="S1094" s="207">
        <f t="shared" si="139"/>
        <v>0</v>
      </c>
    </row>
    <row r="1095" spans="11:19" ht="14.1" customHeight="1" x14ac:dyDescent="0.2">
      <c r="K1095" s="186" t="str">
        <f t="shared" si="132"/>
        <v>PM_0</v>
      </c>
      <c r="L1095" s="186">
        <f t="shared" si="133"/>
        <v>0</v>
      </c>
      <c r="M1095" s="186">
        <f t="shared" si="134"/>
        <v>0</v>
      </c>
      <c r="N1095" s="186">
        <f t="shared" si="135"/>
        <v>0</v>
      </c>
      <c r="P1095" s="207" t="str">
        <f t="shared" si="136"/>
        <v>PM_0</v>
      </c>
      <c r="Q1095" s="273">
        <f t="shared" si="137"/>
        <v>0</v>
      </c>
      <c r="R1095" s="207">
        <f t="shared" si="138"/>
        <v>0</v>
      </c>
      <c r="S1095" s="207">
        <f t="shared" si="139"/>
        <v>0</v>
      </c>
    </row>
    <row r="1096" spans="11:19" ht="14.1" customHeight="1" x14ac:dyDescent="0.2">
      <c r="K1096" s="186" t="str">
        <f t="shared" si="132"/>
        <v>PM_0</v>
      </c>
      <c r="L1096" s="186">
        <f t="shared" si="133"/>
        <v>0</v>
      </c>
      <c r="M1096" s="186">
        <f t="shared" si="134"/>
        <v>0</v>
      </c>
      <c r="N1096" s="186">
        <f t="shared" si="135"/>
        <v>0</v>
      </c>
      <c r="P1096" s="207" t="str">
        <f t="shared" si="136"/>
        <v>PM_0</v>
      </c>
      <c r="Q1096" s="273">
        <f t="shared" si="137"/>
        <v>0</v>
      </c>
      <c r="R1096" s="207">
        <f t="shared" si="138"/>
        <v>0</v>
      </c>
      <c r="S1096" s="207">
        <f t="shared" si="139"/>
        <v>0</v>
      </c>
    </row>
    <row r="1097" spans="11:19" ht="14.1" customHeight="1" x14ac:dyDescent="0.2">
      <c r="K1097" s="186" t="str">
        <f t="shared" si="132"/>
        <v>PM_0</v>
      </c>
      <c r="L1097" s="186">
        <f t="shared" si="133"/>
        <v>0</v>
      </c>
      <c r="M1097" s="186">
        <f t="shared" si="134"/>
        <v>0</v>
      </c>
      <c r="N1097" s="186">
        <f t="shared" si="135"/>
        <v>0</v>
      </c>
      <c r="P1097" s="207" t="str">
        <f t="shared" si="136"/>
        <v>PM_0</v>
      </c>
      <c r="Q1097" s="273">
        <f t="shared" si="137"/>
        <v>0</v>
      </c>
      <c r="R1097" s="207">
        <f t="shared" si="138"/>
        <v>0</v>
      </c>
      <c r="S1097" s="207">
        <f t="shared" si="139"/>
        <v>0</v>
      </c>
    </row>
    <row r="1098" spans="11:19" ht="14.1" customHeight="1" x14ac:dyDescent="0.2">
      <c r="K1098" s="186" t="str">
        <f t="shared" si="132"/>
        <v>PM_0</v>
      </c>
      <c r="L1098" s="186">
        <f t="shared" si="133"/>
        <v>0</v>
      </c>
      <c r="M1098" s="186">
        <f t="shared" si="134"/>
        <v>0</v>
      </c>
      <c r="N1098" s="186">
        <f t="shared" si="135"/>
        <v>0</v>
      </c>
      <c r="P1098" s="207" t="str">
        <f t="shared" si="136"/>
        <v>PM_0</v>
      </c>
      <c r="Q1098" s="273">
        <f t="shared" si="137"/>
        <v>0</v>
      </c>
      <c r="R1098" s="207">
        <f t="shared" si="138"/>
        <v>0</v>
      </c>
      <c r="S1098" s="207">
        <f t="shared" si="139"/>
        <v>0</v>
      </c>
    </row>
    <row r="1099" spans="11:19" ht="14.1" customHeight="1" x14ac:dyDescent="0.2">
      <c r="K1099" s="186" t="str">
        <f t="shared" ref="K1099:K1162" si="140">"PM_"&amp;ROUND(E1099,2)</f>
        <v>PM_0</v>
      </c>
      <c r="L1099" s="186">
        <f t="shared" ref="L1099:L1162" si="141">F1099</f>
        <v>0</v>
      </c>
      <c r="M1099" s="186">
        <f t="shared" ref="M1099:M1162" si="142">G1099</f>
        <v>0</v>
      </c>
      <c r="N1099" s="186">
        <f t="shared" ref="N1099:N1162" si="143">H1099</f>
        <v>0</v>
      </c>
      <c r="P1099" s="207" t="str">
        <f t="shared" ref="P1099:P1162" si="144">K1099</f>
        <v>PM_0</v>
      </c>
      <c r="Q1099" s="273">
        <f t="shared" ref="Q1099:Q1162" si="145">$S$1+E1099</f>
        <v>0</v>
      </c>
      <c r="R1099" s="207">
        <f t="shared" ref="R1099:R1162" si="146">H1099</f>
        <v>0</v>
      </c>
      <c r="S1099" s="207">
        <f t="shared" ref="S1099:S1162" si="147">$B$6</f>
        <v>0</v>
      </c>
    </row>
    <row r="1100" spans="11:19" ht="14.1" customHeight="1" x14ac:dyDescent="0.2">
      <c r="K1100" s="186" t="str">
        <f t="shared" si="140"/>
        <v>PM_0</v>
      </c>
      <c r="L1100" s="186">
        <f t="shared" si="141"/>
        <v>0</v>
      </c>
      <c r="M1100" s="186">
        <f t="shared" si="142"/>
        <v>0</v>
      </c>
      <c r="N1100" s="186">
        <f t="shared" si="143"/>
        <v>0</v>
      </c>
      <c r="P1100" s="207" t="str">
        <f t="shared" si="144"/>
        <v>PM_0</v>
      </c>
      <c r="Q1100" s="273">
        <f t="shared" si="145"/>
        <v>0</v>
      </c>
      <c r="R1100" s="207">
        <f t="shared" si="146"/>
        <v>0</v>
      </c>
      <c r="S1100" s="207">
        <f t="shared" si="147"/>
        <v>0</v>
      </c>
    </row>
    <row r="1101" spans="11:19" ht="14.1" customHeight="1" x14ac:dyDescent="0.2">
      <c r="K1101" s="186" t="str">
        <f t="shared" si="140"/>
        <v>PM_0</v>
      </c>
      <c r="L1101" s="186">
        <f t="shared" si="141"/>
        <v>0</v>
      </c>
      <c r="M1101" s="186">
        <f t="shared" si="142"/>
        <v>0</v>
      </c>
      <c r="N1101" s="186">
        <f t="shared" si="143"/>
        <v>0</v>
      </c>
      <c r="P1101" s="207" t="str">
        <f t="shared" si="144"/>
        <v>PM_0</v>
      </c>
      <c r="Q1101" s="273">
        <f t="shared" si="145"/>
        <v>0</v>
      </c>
      <c r="R1101" s="207">
        <f t="shared" si="146"/>
        <v>0</v>
      </c>
      <c r="S1101" s="207">
        <f t="shared" si="147"/>
        <v>0</v>
      </c>
    </row>
    <row r="1102" spans="11:19" ht="14.1" customHeight="1" x14ac:dyDescent="0.2">
      <c r="K1102" s="186" t="str">
        <f t="shared" si="140"/>
        <v>PM_0</v>
      </c>
      <c r="L1102" s="186">
        <f t="shared" si="141"/>
        <v>0</v>
      </c>
      <c r="M1102" s="186">
        <f t="shared" si="142"/>
        <v>0</v>
      </c>
      <c r="N1102" s="186">
        <f t="shared" si="143"/>
        <v>0</v>
      </c>
      <c r="P1102" s="207" t="str">
        <f t="shared" si="144"/>
        <v>PM_0</v>
      </c>
      <c r="Q1102" s="273">
        <f t="shared" si="145"/>
        <v>0</v>
      </c>
      <c r="R1102" s="207">
        <f t="shared" si="146"/>
        <v>0</v>
      </c>
      <c r="S1102" s="207">
        <f t="shared" si="147"/>
        <v>0</v>
      </c>
    </row>
    <row r="1103" spans="11:19" ht="14.1" customHeight="1" x14ac:dyDescent="0.2">
      <c r="K1103" s="186" t="str">
        <f t="shared" si="140"/>
        <v>PM_0</v>
      </c>
      <c r="L1103" s="186">
        <f t="shared" si="141"/>
        <v>0</v>
      </c>
      <c r="M1103" s="186">
        <f t="shared" si="142"/>
        <v>0</v>
      </c>
      <c r="N1103" s="186">
        <f t="shared" si="143"/>
        <v>0</v>
      </c>
      <c r="P1103" s="207" t="str">
        <f t="shared" si="144"/>
        <v>PM_0</v>
      </c>
      <c r="Q1103" s="273">
        <f t="shared" si="145"/>
        <v>0</v>
      </c>
      <c r="R1103" s="207">
        <f t="shared" si="146"/>
        <v>0</v>
      </c>
      <c r="S1103" s="207">
        <f t="shared" si="147"/>
        <v>0</v>
      </c>
    </row>
    <row r="1104" spans="11:19" ht="14.1" customHeight="1" x14ac:dyDescent="0.2">
      <c r="K1104" s="186" t="str">
        <f t="shared" si="140"/>
        <v>PM_0</v>
      </c>
      <c r="L1104" s="186">
        <f t="shared" si="141"/>
        <v>0</v>
      </c>
      <c r="M1104" s="186">
        <f t="shared" si="142"/>
        <v>0</v>
      </c>
      <c r="N1104" s="186">
        <f t="shared" si="143"/>
        <v>0</v>
      </c>
      <c r="P1104" s="207" t="str">
        <f t="shared" si="144"/>
        <v>PM_0</v>
      </c>
      <c r="Q1104" s="273">
        <f t="shared" si="145"/>
        <v>0</v>
      </c>
      <c r="R1104" s="207">
        <f t="shared" si="146"/>
        <v>0</v>
      </c>
      <c r="S1104" s="207">
        <f t="shared" si="147"/>
        <v>0</v>
      </c>
    </row>
    <row r="1105" spans="11:19" ht="14.1" customHeight="1" x14ac:dyDescent="0.2">
      <c r="K1105" s="186" t="str">
        <f t="shared" si="140"/>
        <v>PM_0</v>
      </c>
      <c r="L1105" s="186">
        <f t="shared" si="141"/>
        <v>0</v>
      </c>
      <c r="M1105" s="186">
        <f t="shared" si="142"/>
        <v>0</v>
      </c>
      <c r="N1105" s="186">
        <f t="shared" si="143"/>
        <v>0</v>
      </c>
      <c r="P1105" s="207" t="str">
        <f t="shared" si="144"/>
        <v>PM_0</v>
      </c>
      <c r="Q1105" s="273">
        <f t="shared" si="145"/>
        <v>0</v>
      </c>
      <c r="R1105" s="207">
        <f t="shared" si="146"/>
        <v>0</v>
      </c>
      <c r="S1105" s="207">
        <f t="shared" si="147"/>
        <v>0</v>
      </c>
    </row>
    <row r="1106" spans="11:19" ht="14.1" customHeight="1" x14ac:dyDescent="0.2">
      <c r="K1106" s="186" t="str">
        <f t="shared" si="140"/>
        <v>PM_0</v>
      </c>
      <c r="L1106" s="186">
        <f t="shared" si="141"/>
        <v>0</v>
      </c>
      <c r="M1106" s="186">
        <f t="shared" si="142"/>
        <v>0</v>
      </c>
      <c r="N1106" s="186">
        <f t="shared" si="143"/>
        <v>0</v>
      </c>
      <c r="P1106" s="207" t="str">
        <f t="shared" si="144"/>
        <v>PM_0</v>
      </c>
      <c r="Q1106" s="273">
        <f t="shared" si="145"/>
        <v>0</v>
      </c>
      <c r="R1106" s="207">
        <f t="shared" si="146"/>
        <v>0</v>
      </c>
      <c r="S1106" s="207">
        <f t="shared" si="147"/>
        <v>0</v>
      </c>
    </row>
    <row r="1107" spans="11:19" ht="14.1" customHeight="1" x14ac:dyDescent="0.2">
      <c r="K1107" s="186" t="str">
        <f t="shared" si="140"/>
        <v>PM_0</v>
      </c>
      <c r="L1107" s="186">
        <f t="shared" si="141"/>
        <v>0</v>
      </c>
      <c r="M1107" s="186">
        <f t="shared" si="142"/>
        <v>0</v>
      </c>
      <c r="N1107" s="186">
        <f t="shared" si="143"/>
        <v>0</v>
      </c>
      <c r="P1107" s="207" t="str">
        <f t="shared" si="144"/>
        <v>PM_0</v>
      </c>
      <c r="Q1107" s="273">
        <f t="shared" si="145"/>
        <v>0</v>
      </c>
      <c r="R1107" s="207">
        <f t="shared" si="146"/>
        <v>0</v>
      </c>
      <c r="S1107" s="207">
        <f t="shared" si="147"/>
        <v>0</v>
      </c>
    </row>
    <row r="1108" spans="11:19" ht="14.1" customHeight="1" x14ac:dyDescent="0.2">
      <c r="K1108" s="186" t="str">
        <f t="shared" si="140"/>
        <v>PM_0</v>
      </c>
      <c r="L1108" s="186">
        <f t="shared" si="141"/>
        <v>0</v>
      </c>
      <c r="M1108" s="186">
        <f t="shared" si="142"/>
        <v>0</v>
      </c>
      <c r="N1108" s="186">
        <f t="shared" si="143"/>
        <v>0</v>
      </c>
      <c r="P1108" s="207" t="str">
        <f t="shared" si="144"/>
        <v>PM_0</v>
      </c>
      <c r="Q1108" s="273">
        <f t="shared" si="145"/>
        <v>0</v>
      </c>
      <c r="R1108" s="207">
        <f t="shared" si="146"/>
        <v>0</v>
      </c>
      <c r="S1108" s="207">
        <f t="shared" si="147"/>
        <v>0</v>
      </c>
    </row>
    <row r="1109" spans="11:19" ht="14.1" customHeight="1" x14ac:dyDescent="0.2">
      <c r="K1109" s="186" t="str">
        <f t="shared" si="140"/>
        <v>PM_0</v>
      </c>
      <c r="L1109" s="186">
        <f t="shared" si="141"/>
        <v>0</v>
      </c>
      <c r="M1109" s="186">
        <f t="shared" si="142"/>
        <v>0</v>
      </c>
      <c r="N1109" s="186">
        <f t="shared" si="143"/>
        <v>0</v>
      </c>
      <c r="P1109" s="207" t="str">
        <f t="shared" si="144"/>
        <v>PM_0</v>
      </c>
      <c r="Q1109" s="273">
        <f t="shared" si="145"/>
        <v>0</v>
      </c>
      <c r="R1109" s="207">
        <f t="shared" si="146"/>
        <v>0</v>
      </c>
      <c r="S1109" s="207">
        <f t="shared" si="147"/>
        <v>0</v>
      </c>
    </row>
    <row r="1110" spans="11:19" ht="14.1" customHeight="1" x14ac:dyDescent="0.2">
      <c r="K1110" s="186" t="str">
        <f t="shared" si="140"/>
        <v>PM_0</v>
      </c>
      <c r="L1110" s="186">
        <f t="shared" si="141"/>
        <v>0</v>
      </c>
      <c r="M1110" s="186">
        <f t="shared" si="142"/>
        <v>0</v>
      </c>
      <c r="N1110" s="186">
        <f t="shared" si="143"/>
        <v>0</v>
      </c>
      <c r="P1110" s="207" t="str">
        <f t="shared" si="144"/>
        <v>PM_0</v>
      </c>
      <c r="Q1110" s="273">
        <f t="shared" si="145"/>
        <v>0</v>
      </c>
      <c r="R1110" s="207">
        <f t="shared" si="146"/>
        <v>0</v>
      </c>
      <c r="S1110" s="207">
        <f t="shared" si="147"/>
        <v>0</v>
      </c>
    </row>
    <row r="1111" spans="11:19" ht="14.1" customHeight="1" x14ac:dyDescent="0.2">
      <c r="K1111" s="186" t="str">
        <f t="shared" si="140"/>
        <v>PM_0</v>
      </c>
      <c r="L1111" s="186">
        <f t="shared" si="141"/>
        <v>0</v>
      </c>
      <c r="M1111" s="186">
        <f t="shared" si="142"/>
        <v>0</v>
      </c>
      <c r="N1111" s="186">
        <f t="shared" si="143"/>
        <v>0</v>
      </c>
      <c r="P1111" s="207" t="str">
        <f t="shared" si="144"/>
        <v>PM_0</v>
      </c>
      <c r="Q1111" s="273">
        <f t="shared" si="145"/>
        <v>0</v>
      </c>
      <c r="R1111" s="207">
        <f t="shared" si="146"/>
        <v>0</v>
      </c>
      <c r="S1111" s="207">
        <f t="shared" si="147"/>
        <v>0</v>
      </c>
    </row>
    <row r="1112" spans="11:19" ht="14.1" customHeight="1" x14ac:dyDescent="0.2">
      <c r="K1112" s="186" t="str">
        <f t="shared" si="140"/>
        <v>PM_0</v>
      </c>
      <c r="L1112" s="186">
        <f t="shared" si="141"/>
        <v>0</v>
      </c>
      <c r="M1112" s="186">
        <f t="shared" si="142"/>
        <v>0</v>
      </c>
      <c r="N1112" s="186">
        <f t="shared" si="143"/>
        <v>0</v>
      </c>
      <c r="P1112" s="207" t="str">
        <f t="shared" si="144"/>
        <v>PM_0</v>
      </c>
      <c r="Q1112" s="273">
        <f t="shared" si="145"/>
        <v>0</v>
      </c>
      <c r="R1112" s="207">
        <f t="shared" si="146"/>
        <v>0</v>
      </c>
      <c r="S1112" s="207">
        <f t="shared" si="147"/>
        <v>0</v>
      </c>
    </row>
    <row r="1113" spans="11:19" ht="14.1" customHeight="1" x14ac:dyDescent="0.2">
      <c r="K1113" s="186" t="str">
        <f t="shared" si="140"/>
        <v>PM_0</v>
      </c>
      <c r="L1113" s="186">
        <f t="shared" si="141"/>
        <v>0</v>
      </c>
      <c r="M1113" s="186">
        <f t="shared" si="142"/>
        <v>0</v>
      </c>
      <c r="N1113" s="186">
        <f t="shared" si="143"/>
        <v>0</v>
      </c>
      <c r="P1113" s="207" t="str">
        <f t="shared" si="144"/>
        <v>PM_0</v>
      </c>
      <c r="Q1113" s="273">
        <f t="shared" si="145"/>
        <v>0</v>
      </c>
      <c r="R1113" s="207">
        <f t="shared" si="146"/>
        <v>0</v>
      </c>
      <c r="S1113" s="207">
        <f t="shared" si="147"/>
        <v>0</v>
      </c>
    </row>
    <row r="1114" spans="11:19" ht="14.1" customHeight="1" x14ac:dyDescent="0.2">
      <c r="K1114" s="186" t="str">
        <f t="shared" si="140"/>
        <v>PM_0</v>
      </c>
      <c r="L1114" s="186">
        <f t="shared" si="141"/>
        <v>0</v>
      </c>
      <c r="M1114" s="186">
        <f t="shared" si="142"/>
        <v>0</v>
      </c>
      <c r="N1114" s="186">
        <f t="shared" si="143"/>
        <v>0</v>
      </c>
      <c r="P1114" s="207" t="str">
        <f t="shared" si="144"/>
        <v>PM_0</v>
      </c>
      <c r="Q1114" s="273">
        <f t="shared" si="145"/>
        <v>0</v>
      </c>
      <c r="R1114" s="207">
        <f t="shared" si="146"/>
        <v>0</v>
      </c>
      <c r="S1114" s="207">
        <f t="shared" si="147"/>
        <v>0</v>
      </c>
    </row>
    <row r="1115" spans="11:19" ht="14.1" customHeight="1" x14ac:dyDescent="0.2">
      <c r="K1115" s="186" t="str">
        <f t="shared" si="140"/>
        <v>PM_0</v>
      </c>
      <c r="L1115" s="186">
        <f t="shared" si="141"/>
        <v>0</v>
      </c>
      <c r="M1115" s="186">
        <f t="shared" si="142"/>
        <v>0</v>
      </c>
      <c r="N1115" s="186">
        <f t="shared" si="143"/>
        <v>0</v>
      </c>
      <c r="P1115" s="207" t="str">
        <f t="shared" si="144"/>
        <v>PM_0</v>
      </c>
      <c r="Q1115" s="273">
        <f t="shared" si="145"/>
        <v>0</v>
      </c>
      <c r="R1115" s="207">
        <f t="shared" si="146"/>
        <v>0</v>
      </c>
      <c r="S1115" s="207">
        <f t="shared" si="147"/>
        <v>0</v>
      </c>
    </row>
    <row r="1116" spans="11:19" ht="14.1" customHeight="1" x14ac:dyDescent="0.2">
      <c r="K1116" s="186" t="str">
        <f t="shared" si="140"/>
        <v>PM_0</v>
      </c>
      <c r="L1116" s="186">
        <f t="shared" si="141"/>
        <v>0</v>
      </c>
      <c r="M1116" s="186">
        <f t="shared" si="142"/>
        <v>0</v>
      </c>
      <c r="N1116" s="186">
        <f t="shared" si="143"/>
        <v>0</v>
      </c>
      <c r="P1116" s="207" t="str">
        <f t="shared" si="144"/>
        <v>PM_0</v>
      </c>
      <c r="Q1116" s="273">
        <f t="shared" si="145"/>
        <v>0</v>
      </c>
      <c r="R1116" s="207">
        <f t="shared" si="146"/>
        <v>0</v>
      </c>
      <c r="S1116" s="207">
        <f t="shared" si="147"/>
        <v>0</v>
      </c>
    </row>
    <row r="1117" spans="11:19" ht="14.1" customHeight="1" x14ac:dyDescent="0.2">
      <c r="K1117" s="186" t="str">
        <f t="shared" si="140"/>
        <v>PM_0</v>
      </c>
      <c r="L1117" s="186">
        <f t="shared" si="141"/>
        <v>0</v>
      </c>
      <c r="M1117" s="186">
        <f t="shared" si="142"/>
        <v>0</v>
      </c>
      <c r="N1117" s="186">
        <f t="shared" si="143"/>
        <v>0</v>
      </c>
      <c r="P1117" s="207" t="str">
        <f t="shared" si="144"/>
        <v>PM_0</v>
      </c>
      <c r="Q1117" s="273">
        <f t="shared" si="145"/>
        <v>0</v>
      </c>
      <c r="R1117" s="207">
        <f t="shared" si="146"/>
        <v>0</v>
      </c>
      <c r="S1117" s="207">
        <f t="shared" si="147"/>
        <v>0</v>
      </c>
    </row>
    <row r="1118" spans="11:19" ht="14.1" customHeight="1" x14ac:dyDescent="0.2">
      <c r="K1118" s="186" t="str">
        <f t="shared" si="140"/>
        <v>PM_0</v>
      </c>
      <c r="L1118" s="186">
        <f t="shared" si="141"/>
        <v>0</v>
      </c>
      <c r="M1118" s="186">
        <f t="shared" si="142"/>
        <v>0</v>
      </c>
      <c r="N1118" s="186">
        <f t="shared" si="143"/>
        <v>0</v>
      </c>
      <c r="P1118" s="207" t="str">
        <f t="shared" si="144"/>
        <v>PM_0</v>
      </c>
      <c r="Q1118" s="273">
        <f t="shared" si="145"/>
        <v>0</v>
      </c>
      <c r="R1118" s="207">
        <f t="shared" si="146"/>
        <v>0</v>
      </c>
      <c r="S1118" s="207">
        <f t="shared" si="147"/>
        <v>0</v>
      </c>
    </row>
    <row r="1119" spans="11:19" ht="14.1" customHeight="1" x14ac:dyDescent="0.2">
      <c r="K1119" s="186" t="str">
        <f t="shared" si="140"/>
        <v>PM_0</v>
      </c>
      <c r="L1119" s="186">
        <f t="shared" si="141"/>
        <v>0</v>
      </c>
      <c r="M1119" s="186">
        <f t="shared" si="142"/>
        <v>0</v>
      </c>
      <c r="N1119" s="186">
        <f t="shared" si="143"/>
        <v>0</v>
      </c>
      <c r="P1119" s="207" t="str">
        <f t="shared" si="144"/>
        <v>PM_0</v>
      </c>
      <c r="Q1119" s="273">
        <f t="shared" si="145"/>
        <v>0</v>
      </c>
      <c r="R1119" s="207">
        <f t="shared" si="146"/>
        <v>0</v>
      </c>
      <c r="S1119" s="207">
        <f t="shared" si="147"/>
        <v>0</v>
      </c>
    </row>
    <row r="1120" spans="11:19" ht="14.1" customHeight="1" x14ac:dyDescent="0.2">
      <c r="K1120" s="186" t="str">
        <f t="shared" si="140"/>
        <v>PM_0</v>
      </c>
      <c r="L1120" s="186">
        <f t="shared" si="141"/>
        <v>0</v>
      </c>
      <c r="M1120" s="186">
        <f t="shared" si="142"/>
        <v>0</v>
      </c>
      <c r="N1120" s="186">
        <f t="shared" si="143"/>
        <v>0</v>
      </c>
      <c r="P1120" s="207" t="str">
        <f t="shared" si="144"/>
        <v>PM_0</v>
      </c>
      <c r="Q1120" s="273">
        <f t="shared" si="145"/>
        <v>0</v>
      </c>
      <c r="R1120" s="207">
        <f t="shared" si="146"/>
        <v>0</v>
      </c>
      <c r="S1120" s="207">
        <f t="shared" si="147"/>
        <v>0</v>
      </c>
    </row>
    <row r="1121" spans="11:19" ht="14.1" customHeight="1" x14ac:dyDescent="0.2">
      <c r="K1121" s="186" t="str">
        <f t="shared" si="140"/>
        <v>PM_0</v>
      </c>
      <c r="L1121" s="186">
        <f t="shared" si="141"/>
        <v>0</v>
      </c>
      <c r="M1121" s="186">
        <f t="shared" si="142"/>
        <v>0</v>
      </c>
      <c r="N1121" s="186">
        <f t="shared" si="143"/>
        <v>0</v>
      </c>
      <c r="P1121" s="207" t="str">
        <f t="shared" si="144"/>
        <v>PM_0</v>
      </c>
      <c r="Q1121" s="273">
        <f t="shared" si="145"/>
        <v>0</v>
      </c>
      <c r="R1121" s="207">
        <f t="shared" si="146"/>
        <v>0</v>
      </c>
      <c r="S1121" s="207">
        <f t="shared" si="147"/>
        <v>0</v>
      </c>
    </row>
    <row r="1122" spans="11:19" ht="14.1" customHeight="1" x14ac:dyDescent="0.2">
      <c r="K1122" s="186" t="str">
        <f t="shared" si="140"/>
        <v>PM_0</v>
      </c>
      <c r="L1122" s="186">
        <f t="shared" si="141"/>
        <v>0</v>
      </c>
      <c r="M1122" s="186">
        <f t="shared" si="142"/>
        <v>0</v>
      </c>
      <c r="N1122" s="186">
        <f t="shared" si="143"/>
        <v>0</v>
      </c>
      <c r="P1122" s="207" t="str">
        <f t="shared" si="144"/>
        <v>PM_0</v>
      </c>
      <c r="Q1122" s="273">
        <f t="shared" si="145"/>
        <v>0</v>
      </c>
      <c r="R1122" s="207">
        <f t="shared" si="146"/>
        <v>0</v>
      </c>
      <c r="S1122" s="207">
        <f t="shared" si="147"/>
        <v>0</v>
      </c>
    </row>
    <row r="1123" spans="11:19" ht="14.1" customHeight="1" x14ac:dyDescent="0.2">
      <c r="K1123" s="186" t="str">
        <f t="shared" si="140"/>
        <v>PM_0</v>
      </c>
      <c r="L1123" s="186">
        <f t="shared" si="141"/>
        <v>0</v>
      </c>
      <c r="M1123" s="186">
        <f t="shared" si="142"/>
        <v>0</v>
      </c>
      <c r="N1123" s="186">
        <f t="shared" si="143"/>
        <v>0</v>
      </c>
      <c r="P1123" s="207" t="str">
        <f t="shared" si="144"/>
        <v>PM_0</v>
      </c>
      <c r="Q1123" s="273">
        <f t="shared" si="145"/>
        <v>0</v>
      </c>
      <c r="R1123" s="207">
        <f t="shared" si="146"/>
        <v>0</v>
      </c>
      <c r="S1123" s="207">
        <f t="shared" si="147"/>
        <v>0</v>
      </c>
    </row>
    <row r="1124" spans="11:19" ht="14.1" customHeight="1" x14ac:dyDescent="0.2">
      <c r="K1124" s="186" t="str">
        <f t="shared" si="140"/>
        <v>PM_0</v>
      </c>
      <c r="L1124" s="186">
        <f t="shared" si="141"/>
        <v>0</v>
      </c>
      <c r="M1124" s="186">
        <f t="shared" si="142"/>
        <v>0</v>
      </c>
      <c r="N1124" s="186">
        <f t="shared" si="143"/>
        <v>0</v>
      </c>
      <c r="P1124" s="207" t="str">
        <f t="shared" si="144"/>
        <v>PM_0</v>
      </c>
      <c r="Q1124" s="273">
        <f t="shared" si="145"/>
        <v>0</v>
      </c>
      <c r="R1124" s="207">
        <f t="shared" si="146"/>
        <v>0</v>
      </c>
      <c r="S1124" s="207">
        <f t="shared" si="147"/>
        <v>0</v>
      </c>
    </row>
    <row r="1125" spans="11:19" ht="14.1" customHeight="1" x14ac:dyDescent="0.2">
      <c r="K1125" s="186" t="str">
        <f t="shared" si="140"/>
        <v>PM_0</v>
      </c>
      <c r="L1125" s="186">
        <f t="shared" si="141"/>
        <v>0</v>
      </c>
      <c r="M1125" s="186">
        <f t="shared" si="142"/>
        <v>0</v>
      </c>
      <c r="N1125" s="186">
        <f t="shared" si="143"/>
        <v>0</v>
      </c>
      <c r="P1125" s="207" t="str">
        <f t="shared" si="144"/>
        <v>PM_0</v>
      </c>
      <c r="Q1125" s="273">
        <f t="shared" si="145"/>
        <v>0</v>
      </c>
      <c r="R1125" s="207">
        <f t="shared" si="146"/>
        <v>0</v>
      </c>
      <c r="S1125" s="207">
        <f t="shared" si="147"/>
        <v>0</v>
      </c>
    </row>
    <row r="1126" spans="11:19" ht="14.1" customHeight="1" x14ac:dyDescent="0.2">
      <c r="K1126" s="186" t="str">
        <f t="shared" si="140"/>
        <v>PM_0</v>
      </c>
      <c r="L1126" s="186">
        <f t="shared" si="141"/>
        <v>0</v>
      </c>
      <c r="M1126" s="186">
        <f t="shared" si="142"/>
        <v>0</v>
      </c>
      <c r="N1126" s="186">
        <f t="shared" si="143"/>
        <v>0</v>
      </c>
      <c r="P1126" s="207" t="str">
        <f t="shared" si="144"/>
        <v>PM_0</v>
      </c>
      <c r="Q1126" s="273">
        <f t="shared" si="145"/>
        <v>0</v>
      </c>
      <c r="R1126" s="207">
        <f t="shared" si="146"/>
        <v>0</v>
      </c>
      <c r="S1126" s="207">
        <f t="shared" si="147"/>
        <v>0</v>
      </c>
    </row>
    <row r="1127" spans="11:19" ht="14.1" customHeight="1" x14ac:dyDescent="0.2">
      <c r="K1127" s="186" t="str">
        <f t="shared" si="140"/>
        <v>PM_0</v>
      </c>
      <c r="L1127" s="186">
        <f t="shared" si="141"/>
        <v>0</v>
      </c>
      <c r="M1127" s="186">
        <f t="shared" si="142"/>
        <v>0</v>
      </c>
      <c r="N1127" s="186">
        <f t="shared" si="143"/>
        <v>0</v>
      </c>
      <c r="P1127" s="207" t="str">
        <f t="shared" si="144"/>
        <v>PM_0</v>
      </c>
      <c r="Q1127" s="273">
        <f t="shared" si="145"/>
        <v>0</v>
      </c>
      <c r="R1127" s="207">
        <f t="shared" si="146"/>
        <v>0</v>
      </c>
      <c r="S1127" s="207">
        <f t="shared" si="147"/>
        <v>0</v>
      </c>
    </row>
    <row r="1128" spans="11:19" ht="14.1" customHeight="1" x14ac:dyDescent="0.2">
      <c r="K1128" s="186" t="str">
        <f t="shared" si="140"/>
        <v>PM_0</v>
      </c>
      <c r="L1128" s="186">
        <f t="shared" si="141"/>
        <v>0</v>
      </c>
      <c r="M1128" s="186">
        <f t="shared" si="142"/>
        <v>0</v>
      </c>
      <c r="N1128" s="186">
        <f t="shared" si="143"/>
        <v>0</v>
      </c>
      <c r="P1128" s="207" t="str">
        <f t="shared" si="144"/>
        <v>PM_0</v>
      </c>
      <c r="Q1128" s="273">
        <f t="shared" si="145"/>
        <v>0</v>
      </c>
      <c r="R1128" s="207">
        <f t="shared" si="146"/>
        <v>0</v>
      </c>
      <c r="S1128" s="207">
        <f t="shared" si="147"/>
        <v>0</v>
      </c>
    </row>
    <row r="1129" spans="11:19" ht="14.1" customHeight="1" x14ac:dyDescent="0.2">
      <c r="K1129" s="186" t="str">
        <f t="shared" si="140"/>
        <v>PM_0</v>
      </c>
      <c r="L1129" s="186">
        <f t="shared" si="141"/>
        <v>0</v>
      </c>
      <c r="M1129" s="186">
        <f t="shared" si="142"/>
        <v>0</v>
      </c>
      <c r="N1129" s="186">
        <f t="shared" si="143"/>
        <v>0</v>
      </c>
      <c r="P1129" s="207" t="str">
        <f t="shared" si="144"/>
        <v>PM_0</v>
      </c>
      <c r="Q1129" s="273">
        <f t="shared" si="145"/>
        <v>0</v>
      </c>
      <c r="R1129" s="207">
        <f t="shared" si="146"/>
        <v>0</v>
      </c>
      <c r="S1129" s="207">
        <f t="shared" si="147"/>
        <v>0</v>
      </c>
    </row>
    <row r="1130" spans="11:19" ht="14.1" customHeight="1" x14ac:dyDescent="0.2">
      <c r="K1130" s="186" t="str">
        <f t="shared" si="140"/>
        <v>PM_0</v>
      </c>
      <c r="L1130" s="186">
        <f t="shared" si="141"/>
        <v>0</v>
      </c>
      <c r="M1130" s="186">
        <f t="shared" si="142"/>
        <v>0</v>
      </c>
      <c r="N1130" s="186">
        <f t="shared" si="143"/>
        <v>0</v>
      </c>
      <c r="P1130" s="207" t="str">
        <f t="shared" si="144"/>
        <v>PM_0</v>
      </c>
      <c r="Q1130" s="273">
        <f t="shared" si="145"/>
        <v>0</v>
      </c>
      <c r="R1130" s="207">
        <f t="shared" si="146"/>
        <v>0</v>
      </c>
      <c r="S1130" s="207">
        <f t="shared" si="147"/>
        <v>0</v>
      </c>
    </row>
    <row r="1131" spans="11:19" ht="14.1" customHeight="1" x14ac:dyDescent="0.2">
      <c r="K1131" s="186" t="str">
        <f t="shared" si="140"/>
        <v>PM_0</v>
      </c>
      <c r="L1131" s="186">
        <f t="shared" si="141"/>
        <v>0</v>
      </c>
      <c r="M1131" s="186">
        <f t="shared" si="142"/>
        <v>0</v>
      </c>
      <c r="N1131" s="186">
        <f t="shared" si="143"/>
        <v>0</v>
      </c>
      <c r="P1131" s="207" t="str">
        <f t="shared" si="144"/>
        <v>PM_0</v>
      </c>
      <c r="Q1131" s="273">
        <f t="shared" si="145"/>
        <v>0</v>
      </c>
      <c r="R1131" s="207">
        <f t="shared" si="146"/>
        <v>0</v>
      </c>
      <c r="S1131" s="207">
        <f t="shared" si="147"/>
        <v>0</v>
      </c>
    </row>
    <row r="1132" spans="11:19" ht="14.1" customHeight="1" x14ac:dyDescent="0.2">
      <c r="K1132" s="186" t="str">
        <f t="shared" si="140"/>
        <v>PM_0</v>
      </c>
      <c r="L1132" s="186">
        <f t="shared" si="141"/>
        <v>0</v>
      </c>
      <c r="M1132" s="186">
        <f t="shared" si="142"/>
        <v>0</v>
      </c>
      <c r="N1132" s="186">
        <f t="shared" si="143"/>
        <v>0</v>
      </c>
      <c r="P1132" s="207" t="str">
        <f t="shared" si="144"/>
        <v>PM_0</v>
      </c>
      <c r="Q1132" s="273">
        <f t="shared" si="145"/>
        <v>0</v>
      </c>
      <c r="R1132" s="207">
        <f t="shared" si="146"/>
        <v>0</v>
      </c>
      <c r="S1132" s="207">
        <f t="shared" si="147"/>
        <v>0</v>
      </c>
    </row>
    <row r="1133" spans="11:19" ht="14.1" customHeight="1" x14ac:dyDescent="0.2">
      <c r="K1133" s="186" t="str">
        <f t="shared" si="140"/>
        <v>PM_0</v>
      </c>
      <c r="L1133" s="186">
        <f t="shared" si="141"/>
        <v>0</v>
      </c>
      <c r="M1133" s="186">
        <f t="shared" si="142"/>
        <v>0</v>
      </c>
      <c r="N1133" s="186">
        <f t="shared" si="143"/>
        <v>0</v>
      </c>
      <c r="P1133" s="207" t="str">
        <f t="shared" si="144"/>
        <v>PM_0</v>
      </c>
      <c r="Q1133" s="273">
        <f t="shared" si="145"/>
        <v>0</v>
      </c>
      <c r="R1133" s="207">
        <f t="shared" si="146"/>
        <v>0</v>
      </c>
      <c r="S1133" s="207">
        <f t="shared" si="147"/>
        <v>0</v>
      </c>
    </row>
    <row r="1134" spans="11:19" ht="14.1" customHeight="1" x14ac:dyDescent="0.2">
      <c r="K1134" s="186" t="str">
        <f t="shared" si="140"/>
        <v>PM_0</v>
      </c>
      <c r="L1134" s="186">
        <f t="shared" si="141"/>
        <v>0</v>
      </c>
      <c r="M1134" s="186">
        <f t="shared" si="142"/>
        <v>0</v>
      </c>
      <c r="N1134" s="186">
        <f t="shared" si="143"/>
        <v>0</v>
      </c>
      <c r="P1134" s="207" t="str">
        <f t="shared" si="144"/>
        <v>PM_0</v>
      </c>
      <c r="Q1134" s="273">
        <f t="shared" si="145"/>
        <v>0</v>
      </c>
      <c r="R1134" s="207">
        <f t="shared" si="146"/>
        <v>0</v>
      </c>
      <c r="S1134" s="207">
        <f t="shared" si="147"/>
        <v>0</v>
      </c>
    </row>
    <row r="1135" spans="11:19" ht="14.1" customHeight="1" x14ac:dyDescent="0.2">
      <c r="K1135" s="186" t="str">
        <f t="shared" si="140"/>
        <v>PM_0</v>
      </c>
      <c r="L1135" s="186">
        <f t="shared" si="141"/>
        <v>0</v>
      </c>
      <c r="M1135" s="186">
        <f t="shared" si="142"/>
        <v>0</v>
      </c>
      <c r="N1135" s="186">
        <f t="shared" si="143"/>
        <v>0</v>
      </c>
      <c r="P1135" s="207" t="str">
        <f t="shared" si="144"/>
        <v>PM_0</v>
      </c>
      <c r="Q1135" s="273">
        <f t="shared" si="145"/>
        <v>0</v>
      </c>
      <c r="R1135" s="207">
        <f t="shared" si="146"/>
        <v>0</v>
      </c>
      <c r="S1135" s="207">
        <f t="shared" si="147"/>
        <v>0</v>
      </c>
    </row>
    <row r="1136" spans="11:19" ht="14.1" customHeight="1" x14ac:dyDescent="0.2">
      <c r="K1136" s="186" t="str">
        <f t="shared" si="140"/>
        <v>PM_0</v>
      </c>
      <c r="L1136" s="186">
        <f t="shared" si="141"/>
        <v>0</v>
      </c>
      <c r="M1136" s="186">
        <f t="shared" si="142"/>
        <v>0</v>
      </c>
      <c r="N1136" s="186">
        <f t="shared" si="143"/>
        <v>0</v>
      </c>
      <c r="P1136" s="207" t="str">
        <f t="shared" si="144"/>
        <v>PM_0</v>
      </c>
      <c r="Q1136" s="273">
        <f t="shared" si="145"/>
        <v>0</v>
      </c>
      <c r="R1136" s="207">
        <f t="shared" si="146"/>
        <v>0</v>
      </c>
      <c r="S1136" s="207">
        <f t="shared" si="147"/>
        <v>0</v>
      </c>
    </row>
    <row r="1137" spans="11:19" ht="14.1" customHeight="1" x14ac:dyDescent="0.2">
      <c r="K1137" s="186" t="str">
        <f t="shared" si="140"/>
        <v>PM_0</v>
      </c>
      <c r="L1137" s="186">
        <f t="shared" si="141"/>
        <v>0</v>
      </c>
      <c r="M1137" s="186">
        <f t="shared" si="142"/>
        <v>0</v>
      </c>
      <c r="N1137" s="186">
        <f t="shared" si="143"/>
        <v>0</v>
      </c>
      <c r="P1137" s="207" t="str">
        <f t="shared" si="144"/>
        <v>PM_0</v>
      </c>
      <c r="Q1137" s="273">
        <f t="shared" si="145"/>
        <v>0</v>
      </c>
      <c r="R1137" s="207">
        <f t="shared" si="146"/>
        <v>0</v>
      </c>
      <c r="S1137" s="207">
        <f t="shared" si="147"/>
        <v>0</v>
      </c>
    </row>
    <row r="1138" spans="11:19" ht="14.1" customHeight="1" x14ac:dyDescent="0.2">
      <c r="K1138" s="186" t="str">
        <f t="shared" si="140"/>
        <v>PM_0</v>
      </c>
      <c r="L1138" s="186">
        <f t="shared" si="141"/>
        <v>0</v>
      </c>
      <c r="M1138" s="186">
        <f t="shared" si="142"/>
        <v>0</v>
      </c>
      <c r="N1138" s="186">
        <f t="shared" si="143"/>
        <v>0</v>
      </c>
      <c r="P1138" s="207" t="str">
        <f t="shared" si="144"/>
        <v>PM_0</v>
      </c>
      <c r="Q1138" s="273">
        <f t="shared" si="145"/>
        <v>0</v>
      </c>
      <c r="R1138" s="207">
        <f t="shared" si="146"/>
        <v>0</v>
      </c>
      <c r="S1138" s="207">
        <f t="shared" si="147"/>
        <v>0</v>
      </c>
    </row>
    <row r="1139" spans="11:19" ht="14.1" customHeight="1" x14ac:dyDescent="0.2">
      <c r="K1139" s="186" t="str">
        <f t="shared" si="140"/>
        <v>PM_0</v>
      </c>
      <c r="L1139" s="186">
        <f t="shared" si="141"/>
        <v>0</v>
      </c>
      <c r="M1139" s="186">
        <f t="shared" si="142"/>
        <v>0</v>
      </c>
      <c r="N1139" s="186">
        <f t="shared" si="143"/>
        <v>0</v>
      </c>
      <c r="P1139" s="207" t="str">
        <f t="shared" si="144"/>
        <v>PM_0</v>
      </c>
      <c r="Q1139" s="273">
        <f t="shared" si="145"/>
        <v>0</v>
      </c>
      <c r="R1139" s="207">
        <f t="shared" si="146"/>
        <v>0</v>
      </c>
      <c r="S1139" s="207">
        <f t="shared" si="147"/>
        <v>0</v>
      </c>
    </row>
    <row r="1140" spans="11:19" ht="14.1" customHeight="1" x14ac:dyDescent="0.2">
      <c r="K1140" s="186" t="str">
        <f t="shared" si="140"/>
        <v>PM_0</v>
      </c>
      <c r="L1140" s="186">
        <f t="shared" si="141"/>
        <v>0</v>
      </c>
      <c r="M1140" s="186">
        <f t="shared" si="142"/>
        <v>0</v>
      </c>
      <c r="N1140" s="186">
        <f t="shared" si="143"/>
        <v>0</v>
      </c>
      <c r="P1140" s="207" t="str">
        <f t="shared" si="144"/>
        <v>PM_0</v>
      </c>
      <c r="Q1140" s="273">
        <f t="shared" si="145"/>
        <v>0</v>
      </c>
      <c r="R1140" s="207">
        <f t="shared" si="146"/>
        <v>0</v>
      </c>
      <c r="S1140" s="207">
        <f t="shared" si="147"/>
        <v>0</v>
      </c>
    </row>
    <row r="1141" spans="11:19" ht="14.1" customHeight="1" x14ac:dyDescent="0.2">
      <c r="K1141" s="186" t="str">
        <f t="shared" si="140"/>
        <v>PM_0</v>
      </c>
      <c r="L1141" s="186">
        <f t="shared" si="141"/>
        <v>0</v>
      </c>
      <c r="M1141" s="186">
        <f t="shared" si="142"/>
        <v>0</v>
      </c>
      <c r="N1141" s="186">
        <f t="shared" si="143"/>
        <v>0</v>
      </c>
      <c r="P1141" s="207" t="str">
        <f t="shared" si="144"/>
        <v>PM_0</v>
      </c>
      <c r="Q1141" s="273">
        <f t="shared" si="145"/>
        <v>0</v>
      </c>
      <c r="R1141" s="207">
        <f t="shared" si="146"/>
        <v>0</v>
      </c>
      <c r="S1141" s="207">
        <f t="shared" si="147"/>
        <v>0</v>
      </c>
    </row>
    <row r="1142" spans="11:19" ht="14.1" customHeight="1" x14ac:dyDescent="0.2">
      <c r="K1142" s="186" t="str">
        <f t="shared" si="140"/>
        <v>PM_0</v>
      </c>
      <c r="L1142" s="186">
        <f t="shared" si="141"/>
        <v>0</v>
      </c>
      <c r="M1142" s="186">
        <f t="shared" si="142"/>
        <v>0</v>
      </c>
      <c r="N1142" s="186">
        <f t="shared" si="143"/>
        <v>0</v>
      </c>
      <c r="P1142" s="207" t="str">
        <f t="shared" si="144"/>
        <v>PM_0</v>
      </c>
      <c r="Q1142" s="273">
        <f t="shared" si="145"/>
        <v>0</v>
      </c>
      <c r="R1142" s="207">
        <f t="shared" si="146"/>
        <v>0</v>
      </c>
      <c r="S1142" s="207">
        <f t="shared" si="147"/>
        <v>0</v>
      </c>
    </row>
    <row r="1143" spans="11:19" ht="14.1" customHeight="1" x14ac:dyDescent="0.2">
      <c r="K1143" s="186" t="str">
        <f t="shared" si="140"/>
        <v>PM_0</v>
      </c>
      <c r="L1143" s="186">
        <f t="shared" si="141"/>
        <v>0</v>
      </c>
      <c r="M1143" s="186">
        <f t="shared" si="142"/>
        <v>0</v>
      </c>
      <c r="N1143" s="186">
        <f t="shared" si="143"/>
        <v>0</v>
      </c>
      <c r="P1143" s="207" t="str">
        <f t="shared" si="144"/>
        <v>PM_0</v>
      </c>
      <c r="Q1143" s="273">
        <f t="shared" si="145"/>
        <v>0</v>
      </c>
      <c r="R1143" s="207">
        <f t="shared" si="146"/>
        <v>0</v>
      </c>
      <c r="S1143" s="207">
        <f t="shared" si="147"/>
        <v>0</v>
      </c>
    </row>
    <row r="1144" spans="11:19" ht="14.1" customHeight="1" x14ac:dyDescent="0.2">
      <c r="K1144" s="186" t="str">
        <f t="shared" si="140"/>
        <v>PM_0</v>
      </c>
      <c r="L1144" s="186">
        <f t="shared" si="141"/>
        <v>0</v>
      </c>
      <c r="M1144" s="186">
        <f t="shared" si="142"/>
        <v>0</v>
      </c>
      <c r="N1144" s="186">
        <f t="shared" si="143"/>
        <v>0</v>
      </c>
      <c r="P1144" s="207" t="str">
        <f t="shared" si="144"/>
        <v>PM_0</v>
      </c>
      <c r="Q1144" s="273">
        <f t="shared" si="145"/>
        <v>0</v>
      </c>
      <c r="R1144" s="207">
        <f t="shared" si="146"/>
        <v>0</v>
      </c>
      <c r="S1144" s="207">
        <f t="shared" si="147"/>
        <v>0</v>
      </c>
    </row>
    <row r="1145" spans="11:19" ht="14.1" customHeight="1" x14ac:dyDescent="0.2">
      <c r="K1145" s="186" t="str">
        <f t="shared" si="140"/>
        <v>PM_0</v>
      </c>
      <c r="L1145" s="186">
        <f t="shared" si="141"/>
        <v>0</v>
      </c>
      <c r="M1145" s="186">
        <f t="shared" si="142"/>
        <v>0</v>
      </c>
      <c r="N1145" s="186">
        <f t="shared" si="143"/>
        <v>0</v>
      </c>
      <c r="P1145" s="207" t="str">
        <f t="shared" si="144"/>
        <v>PM_0</v>
      </c>
      <c r="Q1145" s="273">
        <f t="shared" si="145"/>
        <v>0</v>
      </c>
      <c r="R1145" s="207">
        <f t="shared" si="146"/>
        <v>0</v>
      </c>
      <c r="S1145" s="207">
        <f t="shared" si="147"/>
        <v>0</v>
      </c>
    </row>
    <row r="1146" spans="11:19" ht="14.1" customHeight="1" x14ac:dyDescent="0.2">
      <c r="K1146" s="186" t="str">
        <f t="shared" si="140"/>
        <v>PM_0</v>
      </c>
      <c r="L1146" s="186">
        <f t="shared" si="141"/>
        <v>0</v>
      </c>
      <c r="M1146" s="186">
        <f t="shared" si="142"/>
        <v>0</v>
      </c>
      <c r="N1146" s="186">
        <f t="shared" si="143"/>
        <v>0</v>
      </c>
      <c r="P1146" s="207" t="str">
        <f t="shared" si="144"/>
        <v>PM_0</v>
      </c>
      <c r="Q1146" s="273">
        <f t="shared" si="145"/>
        <v>0</v>
      </c>
      <c r="R1146" s="207">
        <f t="shared" si="146"/>
        <v>0</v>
      </c>
      <c r="S1146" s="207">
        <f t="shared" si="147"/>
        <v>0</v>
      </c>
    </row>
    <row r="1147" spans="11:19" ht="14.1" customHeight="1" x14ac:dyDescent="0.2">
      <c r="K1147" s="186" t="str">
        <f t="shared" si="140"/>
        <v>PM_0</v>
      </c>
      <c r="L1147" s="186">
        <f t="shared" si="141"/>
        <v>0</v>
      </c>
      <c r="M1147" s="186">
        <f t="shared" si="142"/>
        <v>0</v>
      </c>
      <c r="N1147" s="186">
        <f t="shared" si="143"/>
        <v>0</v>
      </c>
      <c r="P1147" s="207" t="str">
        <f t="shared" si="144"/>
        <v>PM_0</v>
      </c>
      <c r="Q1147" s="273">
        <f t="shared" si="145"/>
        <v>0</v>
      </c>
      <c r="R1147" s="207">
        <f t="shared" si="146"/>
        <v>0</v>
      </c>
      <c r="S1147" s="207">
        <f t="shared" si="147"/>
        <v>0</v>
      </c>
    </row>
    <row r="1148" spans="11:19" ht="14.1" customHeight="1" x14ac:dyDescent="0.2">
      <c r="K1148" s="186" t="str">
        <f t="shared" si="140"/>
        <v>PM_0</v>
      </c>
      <c r="L1148" s="186">
        <f t="shared" si="141"/>
        <v>0</v>
      </c>
      <c r="M1148" s="186">
        <f t="shared" si="142"/>
        <v>0</v>
      </c>
      <c r="N1148" s="186">
        <f t="shared" si="143"/>
        <v>0</v>
      </c>
      <c r="P1148" s="207" t="str">
        <f t="shared" si="144"/>
        <v>PM_0</v>
      </c>
      <c r="Q1148" s="273">
        <f t="shared" si="145"/>
        <v>0</v>
      </c>
      <c r="R1148" s="207">
        <f t="shared" si="146"/>
        <v>0</v>
      </c>
      <c r="S1148" s="207">
        <f t="shared" si="147"/>
        <v>0</v>
      </c>
    </row>
    <row r="1149" spans="11:19" ht="14.1" customHeight="1" x14ac:dyDescent="0.2">
      <c r="K1149" s="186" t="str">
        <f t="shared" si="140"/>
        <v>PM_0</v>
      </c>
      <c r="L1149" s="186">
        <f t="shared" si="141"/>
        <v>0</v>
      </c>
      <c r="M1149" s="186">
        <f t="shared" si="142"/>
        <v>0</v>
      </c>
      <c r="N1149" s="186">
        <f t="shared" si="143"/>
        <v>0</v>
      </c>
      <c r="P1149" s="207" t="str">
        <f t="shared" si="144"/>
        <v>PM_0</v>
      </c>
      <c r="Q1149" s="273">
        <f t="shared" si="145"/>
        <v>0</v>
      </c>
      <c r="R1149" s="207">
        <f t="shared" si="146"/>
        <v>0</v>
      </c>
      <c r="S1149" s="207">
        <f t="shared" si="147"/>
        <v>0</v>
      </c>
    </row>
    <row r="1150" spans="11:19" ht="14.1" customHeight="1" x14ac:dyDescent="0.2">
      <c r="K1150" s="186" t="str">
        <f t="shared" si="140"/>
        <v>PM_0</v>
      </c>
      <c r="L1150" s="186">
        <f t="shared" si="141"/>
        <v>0</v>
      </c>
      <c r="M1150" s="186">
        <f t="shared" si="142"/>
        <v>0</v>
      </c>
      <c r="N1150" s="186">
        <f t="shared" si="143"/>
        <v>0</v>
      </c>
      <c r="P1150" s="207" t="str">
        <f t="shared" si="144"/>
        <v>PM_0</v>
      </c>
      <c r="Q1150" s="273">
        <f t="shared" si="145"/>
        <v>0</v>
      </c>
      <c r="R1150" s="207">
        <f t="shared" si="146"/>
        <v>0</v>
      </c>
      <c r="S1150" s="207">
        <f t="shared" si="147"/>
        <v>0</v>
      </c>
    </row>
    <row r="1151" spans="11:19" ht="14.1" customHeight="1" x14ac:dyDescent="0.2">
      <c r="K1151" s="186" t="str">
        <f t="shared" si="140"/>
        <v>PM_0</v>
      </c>
      <c r="L1151" s="186">
        <f t="shared" si="141"/>
        <v>0</v>
      </c>
      <c r="M1151" s="186">
        <f t="shared" si="142"/>
        <v>0</v>
      </c>
      <c r="N1151" s="186">
        <f t="shared" si="143"/>
        <v>0</v>
      </c>
      <c r="P1151" s="207" t="str">
        <f t="shared" si="144"/>
        <v>PM_0</v>
      </c>
      <c r="Q1151" s="273">
        <f t="shared" si="145"/>
        <v>0</v>
      </c>
      <c r="R1151" s="207">
        <f t="shared" si="146"/>
        <v>0</v>
      </c>
      <c r="S1151" s="207">
        <f t="shared" si="147"/>
        <v>0</v>
      </c>
    </row>
    <row r="1152" spans="11:19" ht="14.1" customHeight="1" x14ac:dyDescent="0.2">
      <c r="K1152" s="186" t="str">
        <f t="shared" si="140"/>
        <v>PM_0</v>
      </c>
      <c r="L1152" s="186">
        <f t="shared" si="141"/>
        <v>0</v>
      </c>
      <c r="M1152" s="186">
        <f t="shared" si="142"/>
        <v>0</v>
      </c>
      <c r="N1152" s="186">
        <f t="shared" si="143"/>
        <v>0</v>
      </c>
      <c r="P1152" s="207" t="str">
        <f t="shared" si="144"/>
        <v>PM_0</v>
      </c>
      <c r="Q1152" s="273">
        <f t="shared" si="145"/>
        <v>0</v>
      </c>
      <c r="R1152" s="207">
        <f t="shared" si="146"/>
        <v>0</v>
      </c>
      <c r="S1152" s="207">
        <f t="shared" si="147"/>
        <v>0</v>
      </c>
    </row>
    <row r="1153" spans="11:19" ht="14.1" customHeight="1" x14ac:dyDescent="0.2">
      <c r="K1153" s="186" t="str">
        <f t="shared" si="140"/>
        <v>PM_0</v>
      </c>
      <c r="L1153" s="186">
        <f t="shared" si="141"/>
        <v>0</v>
      </c>
      <c r="M1153" s="186">
        <f t="shared" si="142"/>
        <v>0</v>
      </c>
      <c r="N1153" s="186">
        <f t="shared" si="143"/>
        <v>0</v>
      </c>
      <c r="P1153" s="207" t="str">
        <f t="shared" si="144"/>
        <v>PM_0</v>
      </c>
      <c r="Q1153" s="273">
        <f t="shared" si="145"/>
        <v>0</v>
      </c>
      <c r="R1153" s="207">
        <f t="shared" si="146"/>
        <v>0</v>
      </c>
      <c r="S1153" s="207">
        <f t="shared" si="147"/>
        <v>0</v>
      </c>
    </row>
    <row r="1154" spans="11:19" ht="14.1" customHeight="1" x14ac:dyDescent="0.2">
      <c r="K1154" s="186" t="str">
        <f t="shared" si="140"/>
        <v>PM_0</v>
      </c>
      <c r="L1154" s="186">
        <f t="shared" si="141"/>
        <v>0</v>
      </c>
      <c r="M1154" s="186">
        <f t="shared" si="142"/>
        <v>0</v>
      </c>
      <c r="N1154" s="186">
        <f t="shared" si="143"/>
        <v>0</v>
      </c>
      <c r="P1154" s="207" t="str">
        <f t="shared" si="144"/>
        <v>PM_0</v>
      </c>
      <c r="Q1154" s="273">
        <f t="shared" si="145"/>
        <v>0</v>
      </c>
      <c r="R1154" s="207">
        <f t="shared" si="146"/>
        <v>0</v>
      </c>
      <c r="S1154" s="207">
        <f t="shared" si="147"/>
        <v>0</v>
      </c>
    </row>
    <row r="1155" spans="11:19" ht="14.1" customHeight="1" x14ac:dyDescent="0.2">
      <c r="K1155" s="186" t="str">
        <f t="shared" si="140"/>
        <v>PM_0</v>
      </c>
      <c r="L1155" s="186">
        <f t="shared" si="141"/>
        <v>0</v>
      </c>
      <c r="M1155" s="186">
        <f t="shared" si="142"/>
        <v>0</v>
      </c>
      <c r="N1155" s="186">
        <f t="shared" si="143"/>
        <v>0</v>
      </c>
      <c r="P1155" s="207" t="str">
        <f t="shared" si="144"/>
        <v>PM_0</v>
      </c>
      <c r="Q1155" s="273">
        <f t="shared" si="145"/>
        <v>0</v>
      </c>
      <c r="R1155" s="207">
        <f t="shared" si="146"/>
        <v>0</v>
      </c>
      <c r="S1155" s="207">
        <f t="shared" si="147"/>
        <v>0</v>
      </c>
    </row>
    <row r="1156" spans="11:19" ht="14.1" customHeight="1" x14ac:dyDescent="0.2">
      <c r="K1156" s="186" t="str">
        <f t="shared" si="140"/>
        <v>PM_0</v>
      </c>
      <c r="L1156" s="186">
        <f t="shared" si="141"/>
        <v>0</v>
      </c>
      <c r="M1156" s="186">
        <f t="shared" si="142"/>
        <v>0</v>
      </c>
      <c r="N1156" s="186">
        <f t="shared" si="143"/>
        <v>0</v>
      </c>
      <c r="P1156" s="207" t="str">
        <f t="shared" si="144"/>
        <v>PM_0</v>
      </c>
      <c r="Q1156" s="273">
        <f t="shared" si="145"/>
        <v>0</v>
      </c>
      <c r="R1156" s="207">
        <f t="shared" si="146"/>
        <v>0</v>
      </c>
      <c r="S1156" s="207">
        <f t="shared" si="147"/>
        <v>0</v>
      </c>
    </row>
    <row r="1157" spans="11:19" ht="14.1" customHeight="1" x14ac:dyDescent="0.2">
      <c r="K1157" s="186" t="str">
        <f t="shared" si="140"/>
        <v>PM_0</v>
      </c>
      <c r="L1157" s="186">
        <f t="shared" si="141"/>
        <v>0</v>
      </c>
      <c r="M1157" s="186">
        <f t="shared" si="142"/>
        <v>0</v>
      </c>
      <c r="N1157" s="186">
        <f t="shared" si="143"/>
        <v>0</v>
      </c>
      <c r="P1157" s="207" t="str">
        <f t="shared" si="144"/>
        <v>PM_0</v>
      </c>
      <c r="Q1157" s="273">
        <f t="shared" si="145"/>
        <v>0</v>
      </c>
      <c r="R1157" s="207">
        <f t="shared" si="146"/>
        <v>0</v>
      </c>
      <c r="S1157" s="207">
        <f t="shared" si="147"/>
        <v>0</v>
      </c>
    </row>
    <row r="1158" spans="11:19" ht="14.1" customHeight="1" x14ac:dyDescent="0.2">
      <c r="K1158" s="186" t="str">
        <f t="shared" si="140"/>
        <v>PM_0</v>
      </c>
      <c r="L1158" s="186">
        <f t="shared" si="141"/>
        <v>0</v>
      </c>
      <c r="M1158" s="186">
        <f t="shared" si="142"/>
        <v>0</v>
      </c>
      <c r="N1158" s="186">
        <f t="shared" si="143"/>
        <v>0</v>
      </c>
      <c r="P1158" s="207" t="str">
        <f t="shared" si="144"/>
        <v>PM_0</v>
      </c>
      <c r="Q1158" s="273">
        <f t="shared" si="145"/>
        <v>0</v>
      </c>
      <c r="R1158" s="207">
        <f t="shared" si="146"/>
        <v>0</v>
      </c>
      <c r="S1158" s="207">
        <f t="shared" si="147"/>
        <v>0</v>
      </c>
    </row>
    <row r="1159" spans="11:19" ht="14.1" customHeight="1" x14ac:dyDescent="0.2">
      <c r="K1159" s="186" t="str">
        <f t="shared" si="140"/>
        <v>PM_0</v>
      </c>
      <c r="L1159" s="186">
        <f t="shared" si="141"/>
        <v>0</v>
      </c>
      <c r="M1159" s="186">
        <f t="shared" si="142"/>
        <v>0</v>
      </c>
      <c r="N1159" s="186">
        <f t="shared" si="143"/>
        <v>0</v>
      </c>
      <c r="P1159" s="207" t="str">
        <f t="shared" si="144"/>
        <v>PM_0</v>
      </c>
      <c r="Q1159" s="273">
        <f t="shared" si="145"/>
        <v>0</v>
      </c>
      <c r="R1159" s="207">
        <f t="shared" si="146"/>
        <v>0</v>
      </c>
      <c r="S1159" s="207">
        <f t="shared" si="147"/>
        <v>0</v>
      </c>
    </row>
    <row r="1160" spans="11:19" ht="14.1" customHeight="1" x14ac:dyDescent="0.2">
      <c r="K1160" s="186" t="str">
        <f t="shared" si="140"/>
        <v>PM_0</v>
      </c>
      <c r="L1160" s="186">
        <f t="shared" si="141"/>
        <v>0</v>
      </c>
      <c r="M1160" s="186">
        <f t="shared" si="142"/>
        <v>0</v>
      </c>
      <c r="N1160" s="186">
        <f t="shared" si="143"/>
        <v>0</v>
      </c>
      <c r="P1160" s="207" t="str">
        <f t="shared" si="144"/>
        <v>PM_0</v>
      </c>
      <c r="Q1160" s="273">
        <f t="shared" si="145"/>
        <v>0</v>
      </c>
      <c r="R1160" s="207">
        <f t="shared" si="146"/>
        <v>0</v>
      </c>
      <c r="S1160" s="207">
        <f t="shared" si="147"/>
        <v>0</v>
      </c>
    </row>
    <row r="1161" spans="11:19" ht="14.1" customHeight="1" x14ac:dyDescent="0.2">
      <c r="K1161" s="186" t="str">
        <f t="shared" si="140"/>
        <v>PM_0</v>
      </c>
      <c r="L1161" s="186">
        <f t="shared" si="141"/>
        <v>0</v>
      </c>
      <c r="M1161" s="186">
        <f t="shared" si="142"/>
        <v>0</v>
      </c>
      <c r="N1161" s="186">
        <f t="shared" si="143"/>
        <v>0</v>
      </c>
      <c r="P1161" s="207" t="str">
        <f t="shared" si="144"/>
        <v>PM_0</v>
      </c>
      <c r="Q1161" s="273">
        <f t="shared" si="145"/>
        <v>0</v>
      </c>
      <c r="R1161" s="207">
        <f t="shared" si="146"/>
        <v>0</v>
      </c>
      <c r="S1161" s="207">
        <f t="shared" si="147"/>
        <v>0</v>
      </c>
    </row>
    <row r="1162" spans="11:19" ht="14.1" customHeight="1" x14ac:dyDescent="0.2">
      <c r="K1162" s="186" t="str">
        <f t="shared" si="140"/>
        <v>PM_0</v>
      </c>
      <c r="L1162" s="186">
        <f t="shared" si="141"/>
        <v>0</v>
      </c>
      <c r="M1162" s="186">
        <f t="shared" si="142"/>
        <v>0</v>
      </c>
      <c r="N1162" s="186">
        <f t="shared" si="143"/>
        <v>0</v>
      </c>
      <c r="P1162" s="207" t="str">
        <f t="shared" si="144"/>
        <v>PM_0</v>
      </c>
      <c r="Q1162" s="273">
        <f t="shared" si="145"/>
        <v>0</v>
      </c>
      <c r="R1162" s="207">
        <f t="shared" si="146"/>
        <v>0</v>
      </c>
      <c r="S1162" s="207">
        <f t="shared" si="147"/>
        <v>0</v>
      </c>
    </row>
    <row r="1163" spans="11:19" ht="14.1" customHeight="1" x14ac:dyDescent="0.2">
      <c r="K1163" s="186" t="str">
        <f t="shared" ref="K1163:K1210" si="148">"PM_"&amp;ROUND(E1163,2)</f>
        <v>PM_0</v>
      </c>
      <c r="L1163" s="186">
        <f t="shared" ref="L1163:L1210" si="149">F1163</f>
        <v>0</v>
      </c>
      <c r="M1163" s="186">
        <f t="shared" ref="M1163:M1210" si="150">G1163</f>
        <v>0</v>
      </c>
      <c r="N1163" s="186">
        <f t="shared" ref="N1163:N1210" si="151">H1163</f>
        <v>0</v>
      </c>
      <c r="P1163" s="207" t="str">
        <f t="shared" ref="P1163:P1210" si="152">K1163</f>
        <v>PM_0</v>
      </c>
      <c r="Q1163" s="273">
        <f t="shared" ref="Q1163:Q1210" si="153">$S$1+E1163</f>
        <v>0</v>
      </c>
      <c r="R1163" s="207">
        <f t="shared" ref="R1163:R1210" si="154">H1163</f>
        <v>0</v>
      </c>
      <c r="S1163" s="207">
        <f t="shared" ref="S1163:S1210" si="155">$B$6</f>
        <v>0</v>
      </c>
    </row>
    <row r="1164" spans="11:19" ht="14.1" customHeight="1" x14ac:dyDescent="0.2">
      <c r="K1164" s="186" t="str">
        <f t="shared" si="148"/>
        <v>PM_0</v>
      </c>
      <c r="L1164" s="186">
        <f t="shared" si="149"/>
        <v>0</v>
      </c>
      <c r="M1164" s="186">
        <f t="shared" si="150"/>
        <v>0</v>
      </c>
      <c r="N1164" s="186">
        <f t="shared" si="151"/>
        <v>0</v>
      </c>
      <c r="P1164" s="207" t="str">
        <f t="shared" si="152"/>
        <v>PM_0</v>
      </c>
      <c r="Q1164" s="273">
        <f t="shared" si="153"/>
        <v>0</v>
      </c>
      <c r="R1164" s="207">
        <f t="shared" si="154"/>
        <v>0</v>
      </c>
      <c r="S1164" s="207">
        <f t="shared" si="155"/>
        <v>0</v>
      </c>
    </row>
    <row r="1165" spans="11:19" ht="14.1" customHeight="1" x14ac:dyDescent="0.2">
      <c r="K1165" s="186" t="str">
        <f t="shared" si="148"/>
        <v>PM_0</v>
      </c>
      <c r="L1165" s="186">
        <f t="shared" si="149"/>
        <v>0</v>
      </c>
      <c r="M1165" s="186">
        <f t="shared" si="150"/>
        <v>0</v>
      </c>
      <c r="N1165" s="186">
        <f t="shared" si="151"/>
        <v>0</v>
      </c>
      <c r="P1165" s="207" t="str">
        <f t="shared" si="152"/>
        <v>PM_0</v>
      </c>
      <c r="Q1165" s="273">
        <f t="shared" si="153"/>
        <v>0</v>
      </c>
      <c r="R1165" s="207">
        <f t="shared" si="154"/>
        <v>0</v>
      </c>
      <c r="S1165" s="207">
        <f t="shared" si="155"/>
        <v>0</v>
      </c>
    </row>
    <row r="1166" spans="11:19" ht="14.1" customHeight="1" x14ac:dyDescent="0.2">
      <c r="K1166" s="186" t="str">
        <f t="shared" si="148"/>
        <v>PM_0</v>
      </c>
      <c r="L1166" s="186">
        <f t="shared" si="149"/>
        <v>0</v>
      </c>
      <c r="M1166" s="186">
        <f t="shared" si="150"/>
        <v>0</v>
      </c>
      <c r="N1166" s="186">
        <f t="shared" si="151"/>
        <v>0</v>
      </c>
      <c r="P1166" s="207" t="str">
        <f t="shared" si="152"/>
        <v>PM_0</v>
      </c>
      <c r="Q1166" s="273">
        <f t="shared" si="153"/>
        <v>0</v>
      </c>
      <c r="R1166" s="207">
        <f t="shared" si="154"/>
        <v>0</v>
      </c>
      <c r="S1166" s="207">
        <f t="shared" si="155"/>
        <v>0</v>
      </c>
    </row>
    <row r="1167" spans="11:19" ht="14.1" customHeight="1" x14ac:dyDescent="0.2">
      <c r="K1167" s="186" t="str">
        <f t="shared" si="148"/>
        <v>PM_0</v>
      </c>
      <c r="L1167" s="186">
        <f t="shared" si="149"/>
        <v>0</v>
      </c>
      <c r="M1167" s="186">
        <f t="shared" si="150"/>
        <v>0</v>
      </c>
      <c r="N1167" s="186">
        <f t="shared" si="151"/>
        <v>0</v>
      </c>
      <c r="P1167" s="207" t="str">
        <f t="shared" si="152"/>
        <v>PM_0</v>
      </c>
      <c r="Q1167" s="273">
        <f t="shared" si="153"/>
        <v>0</v>
      </c>
      <c r="R1167" s="207">
        <f t="shared" si="154"/>
        <v>0</v>
      </c>
      <c r="S1167" s="207">
        <f t="shared" si="155"/>
        <v>0</v>
      </c>
    </row>
    <row r="1168" spans="11:19" ht="14.1" customHeight="1" x14ac:dyDescent="0.2">
      <c r="K1168" s="186" t="str">
        <f t="shared" si="148"/>
        <v>PM_0</v>
      </c>
      <c r="L1168" s="186">
        <f t="shared" si="149"/>
        <v>0</v>
      </c>
      <c r="M1168" s="186">
        <f t="shared" si="150"/>
        <v>0</v>
      </c>
      <c r="N1168" s="186">
        <f t="shared" si="151"/>
        <v>0</v>
      </c>
      <c r="P1168" s="207" t="str">
        <f t="shared" si="152"/>
        <v>PM_0</v>
      </c>
      <c r="Q1168" s="273">
        <f t="shared" si="153"/>
        <v>0</v>
      </c>
      <c r="R1168" s="207">
        <f t="shared" si="154"/>
        <v>0</v>
      </c>
      <c r="S1168" s="207">
        <f t="shared" si="155"/>
        <v>0</v>
      </c>
    </row>
    <row r="1169" spans="11:19" ht="14.1" customHeight="1" x14ac:dyDescent="0.2">
      <c r="K1169" s="186" t="str">
        <f t="shared" si="148"/>
        <v>PM_0</v>
      </c>
      <c r="L1169" s="186">
        <f t="shared" si="149"/>
        <v>0</v>
      </c>
      <c r="M1169" s="186">
        <f t="shared" si="150"/>
        <v>0</v>
      </c>
      <c r="N1169" s="186">
        <f t="shared" si="151"/>
        <v>0</v>
      </c>
      <c r="P1169" s="207" t="str">
        <f t="shared" si="152"/>
        <v>PM_0</v>
      </c>
      <c r="Q1169" s="273">
        <f t="shared" si="153"/>
        <v>0</v>
      </c>
      <c r="R1169" s="207">
        <f t="shared" si="154"/>
        <v>0</v>
      </c>
      <c r="S1169" s="207">
        <f t="shared" si="155"/>
        <v>0</v>
      </c>
    </row>
    <row r="1170" spans="11:19" ht="14.1" customHeight="1" x14ac:dyDescent="0.2">
      <c r="K1170" s="186" t="str">
        <f t="shared" si="148"/>
        <v>PM_0</v>
      </c>
      <c r="L1170" s="186">
        <f t="shared" si="149"/>
        <v>0</v>
      </c>
      <c r="M1170" s="186">
        <f t="shared" si="150"/>
        <v>0</v>
      </c>
      <c r="N1170" s="186">
        <f t="shared" si="151"/>
        <v>0</v>
      </c>
      <c r="P1170" s="207" t="str">
        <f t="shared" si="152"/>
        <v>PM_0</v>
      </c>
      <c r="Q1170" s="273">
        <f t="shared" si="153"/>
        <v>0</v>
      </c>
      <c r="R1170" s="207">
        <f t="shared" si="154"/>
        <v>0</v>
      </c>
      <c r="S1170" s="207">
        <f t="shared" si="155"/>
        <v>0</v>
      </c>
    </row>
    <row r="1171" spans="11:19" ht="14.1" customHeight="1" x14ac:dyDescent="0.2">
      <c r="K1171" s="186" t="str">
        <f t="shared" si="148"/>
        <v>PM_0</v>
      </c>
      <c r="L1171" s="186">
        <f t="shared" si="149"/>
        <v>0</v>
      </c>
      <c r="M1171" s="186">
        <f t="shared" si="150"/>
        <v>0</v>
      </c>
      <c r="N1171" s="186">
        <f t="shared" si="151"/>
        <v>0</v>
      </c>
      <c r="P1171" s="207" t="str">
        <f t="shared" si="152"/>
        <v>PM_0</v>
      </c>
      <c r="Q1171" s="273">
        <f t="shared" si="153"/>
        <v>0</v>
      </c>
      <c r="R1171" s="207">
        <f t="shared" si="154"/>
        <v>0</v>
      </c>
      <c r="S1171" s="207">
        <f t="shared" si="155"/>
        <v>0</v>
      </c>
    </row>
    <row r="1172" spans="11:19" ht="14.1" customHeight="1" x14ac:dyDescent="0.2">
      <c r="K1172" s="186" t="str">
        <f t="shared" si="148"/>
        <v>PM_0</v>
      </c>
      <c r="L1172" s="186">
        <f t="shared" si="149"/>
        <v>0</v>
      </c>
      <c r="M1172" s="186">
        <f t="shared" si="150"/>
        <v>0</v>
      </c>
      <c r="N1172" s="186">
        <f t="shared" si="151"/>
        <v>0</v>
      </c>
      <c r="P1172" s="207" t="str">
        <f t="shared" si="152"/>
        <v>PM_0</v>
      </c>
      <c r="Q1172" s="273">
        <f t="shared" si="153"/>
        <v>0</v>
      </c>
      <c r="R1172" s="207">
        <f t="shared" si="154"/>
        <v>0</v>
      </c>
      <c r="S1172" s="207">
        <f t="shared" si="155"/>
        <v>0</v>
      </c>
    </row>
    <row r="1173" spans="11:19" ht="14.1" customHeight="1" x14ac:dyDescent="0.2">
      <c r="K1173" s="186" t="str">
        <f t="shared" si="148"/>
        <v>PM_0</v>
      </c>
      <c r="L1173" s="186">
        <f t="shared" si="149"/>
        <v>0</v>
      </c>
      <c r="M1173" s="186">
        <f t="shared" si="150"/>
        <v>0</v>
      </c>
      <c r="N1173" s="186">
        <f t="shared" si="151"/>
        <v>0</v>
      </c>
      <c r="P1173" s="207" t="str">
        <f t="shared" si="152"/>
        <v>PM_0</v>
      </c>
      <c r="Q1173" s="273">
        <f t="shared" si="153"/>
        <v>0</v>
      </c>
      <c r="R1173" s="207">
        <f t="shared" si="154"/>
        <v>0</v>
      </c>
      <c r="S1173" s="207">
        <f t="shared" si="155"/>
        <v>0</v>
      </c>
    </row>
    <row r="1174" spans="11:19" ht="14.1" customHeight="1" x14ac:dyDescent="0.2">
      <c r="K1174" s="186" t="str">
        <f t="shared" si="148"/>
        <v>PM_0</v>
      </c>
      <c r="L1174" s="186">
        <f t="shared" si="149"/>
        <v>0</v>
      </c>
      <c r="M1174" s="186">
        <f t="shared" si="150"/>
        <v>0</v>
      </c>
      <c r="N1174" s="186">
        <f t="shared" si="151"/>
        <v>0</v>
      </c>
      <c r="P1174" s="207" t="str">
        <f t="shared" si="152"/>
        <v>PM_0</v>
      </c>
      <c r="Q1174" s="273">
        <f t="shared" si="153"/>
        <v>0</v>
      </c>
      <c r="R1174" s="207">
        <f t="shared" si="154"/>
        <v>0</v>
      </c>
      <c r="S1174" s="207">
        <f t="shared" si="155"/>
        <v>0</v>
      </c>
    </row>
    <row r="1175" spans="11:19" ht="14.1" customHeight="1" x14ac:dyDescent="0.2">
      <c r="K1175" s="186" t="str">
        <f t="shared" si="148"/>
        <v>PM_0</v>
      </c>
      <c r="L1175" s="186">
        <f t="shared" si="149"/>
        <v>0</v>
      </c>
      <c r="M1175" s="186">
        <f t="shared" si="150"/>
        <v>0</v>
      </c>
      <c r="N1175" s="186">
        <f t="shared" si="151"/>
        <v>0</v>
      </c>
      <c r="P1175" s="207" t="str">
        <f t="shared" si="152"/>
        <v>PM_0</v>
      </c>
      <c r="Q1175" s="273">
        <f t="shared" si="153"/>
        <v>0</v>
      </c>
      <c r="R1175" s="207">
        <f t="shared" si="154"/>
        <v>0</v>
      </c>
      <c r="S1175" s="207">
        <f t="shared" si="155"/>
        <v>0</v>
      </c>
    </row>
    <row r="1176" spans="11:19" ht="14.1" customHeight="1" x14ac:dyDescent="0.2">
      <c r="K1176" s="186" t="str">
        <f t="shared" si="148"/>
        <v>PM_0</v>
      </c>
      <c r="L1176" s="186">
        <f t="shared" si="149"/>
        <v>0</v>
      </c>
      <c r="M1176" s="186">
        <f t="shared" si="150"/>
        <v>0</v>
      </c>
      <c r="N1176" s="186">
        <f t="shared" si="151"/>
        <v>0</v>
      </c>
      <c r="P1176" s="207" t="str">
        <f t="shared" si="152"/>
        <v>PM_0</v>
      </c>
      <c r="Q1176" s="273">
        <f t="shared" si="153"/>
        <v>0</v>
      </c>
      <c r="R1176" s="207">
        <f t="shared" si="154"/>
        <v>0</v>
      </c>
      <c r="S1176" s="207">
        <f t="shared" si="155"/>
        <v>0</v>
      </c>
    </row>
    <row r="1177" spans="11:19" ht="14.1" customHeight="1" x14ac:dyDescent="0.2">
      <c r="K1177" s="186" t="str">
        <f t="shared" si="148"/>
        <v>PM_0</v>
      </c>
      <c r="L1177" s="186">
        <f t="shared" si="149"/>
        <v>0</v>
      </c>
      <c r="M1177" s="186">
        <f t="shared" si="150"/>
        <v>0</v>
      </c>
      <c r="N1177" s="186">
        <f t="shared" si="151"/>
        <v>0</v>
      </c>
      <c r="P1177" s="207" t="str">
        <f t="shared" si="152"/>
        <v>PM_0</v>
      </c>
      <c r="Q1177" s="273">
        <f t="shared" si="153"/>
        <v>0</v>
      </c>
      <c r="R1177" s="207">
        <f t="shared" si="154"/>
        <v>0</v>
      </c>
      <c r="S1177" s="207">
        <f t="shared" si="155"/>
        <v>0</v>
      </c>
    </row>
    <row r="1178" spans="11:19" ht="14.1" customHeight="1" x14ac:dyDescent="0.2">
      <c r="K1178" s="186" t="str">
        <f t="shared" si="148"/>
        <v>PM_0</v>
      </c>
      <c r="L1178" s="186">
        <f t="shared" si="149"/>
        <v>0</v>
      </c>
      <c r="M1178" s="186">
        <f t="shared" si="150"/>
        <v>0</v>
      </c>
      <c r="N1178" s="186">
        <f t="shared" si="151"/>
        <v>0</v>
      </c>
      <c r="P1178" s="207" t="str">
        <f t="shared" si="152"/>
        <v>PM_0</v>
      </c>
      <c r="Q1178" s="273">
        <f t="shared" si="153"/>
        <v>0</v>
      </c>
      <c r="R1178" s="207">
        <f t="shared" si="154"/>
        <v>0</v>
      </c>
      <c r="S1178" s="207">
        <f t="shared" si="155"/>
        <v>0</v>
      </c>
    </row>
    <row r="1179" spans="11:19" ht="14.1" customHeight="1" x14ac:dyDescent="0.2">
      <c r="K1179" s="186" t="str">
        <f t="shared" si="148"/>
        <v>PM_0</v>
      </c>
      <c r="L1179" s="186">
        <f t="shared" si="149"/>
        <v>0</v>
      </c>
      <c r="M1179" s="186">
        <f t="shared" si="150"/>
        <v>0</v>
      </c>
      <c r="N1179" s="186">
        <f t="shared" si="151"/>
        <v>0</v>
      </c>
      <c r="P1179" s="207" t="str">
        <f t="shared" si="152"/>
        <v>PM_0</v>
      </c>
      <c r="Q1179" s="273">
        <f t="shared" si="153"/>
        <v>0</v>
      </c>
      <c r="R1179" s="207">
        <f t="shared" si="154"/>
        <v>0</v>
      </c>
      <c r="S1179" s="207">
        <f t="shared" si="155"/>
        <v>0</v>
      </c>
    </row>
    <row r="1180" spans="11:19" ht="14.1" customHeight="1" x14ac:dyDescent="0.2">
      <c r="K1180" s="186" t="str">
        <f t="shared" si="148"/>
        <v>PM_0</v>
      </c>
      <c r="L1180" s="186">
        <f t="shared" si="149"/>
        <v>0</v>
      </c>
      <c r="M1180" s="186">
        <f t="shared" si="150"/>
        <v>0</v>
      </c>
      <c r="N1180" s="186">
        <f t="shared" si="151"/>
        <v>0</v>
      </c>
      <c r="P1180" s="207" t="str">
        <f t="shared" si="152"/>
        <v>PM_0</v>
      </c>
      <c r="Q1180" s="273">
        <f t="shared" si="153"/>
        <v>0</v>
      </c>
      <c r="R1180" s="207">
        <f t="shared" si="154"/>
        <v>0</v>
      </c>
      <c r="S1180" s="207">
        <f t="shared" si="155"/>
        <v>0</v>
      </c>
    </row>
    <row r="1181" spans="11:19" ht="14.1" customHeight="1" x14ac:dyDescent="0.2">
      <c r="K1181" s="186" t="str">
        <f t="shared" si="148"/>
        <v>PM_0</v>
      </c>
      <c r="L1181" s="186">
        <f t="shared" si="149"/>
        <v>0</v>
      </c>
      <c r="M1181" s="186">
        <f t="shared" si="150"/>
        <v>0</v>
      </c>
      <c r="N1181" s="186">
        <f t="shared" si="151"/>
        <v>0</v>
      </c>
      <c r="P1181" s="207" t="str">
        <f t="shared" si="152"/>
        <v>PM_0</v>
      </c>
      <c r="Q1181" s="273">
        <f t="shared" si="153"/>
        <v>0</v>
      </c>
      <c r="R1181" s="207">
        <f t="shared" si="154"/>
        <v>0</v>
      </c>
      <c r="S1181" s="207">
        <f t="shared" si="155"/>
        <v>0</v>
      </c>
    </row>
    <row r="1182" spans="11:19" ht="14.1" customHeight="1" x14ac:dyDescent="0.2">
      <c r="K1182" s="186" t="str">
        <f t="shared" si="148"/>
        <v>PM_0</v>
      </c>
      <c r="L1182" s="186">
        <f t="shared" si="149"/>
        <v>0</v>
      </c>
      <c r="M1182" s="186">
        <f t="shared" si="150"/>
        <v>0</v>
      </c>
      <c r="N1182" s="186">
        <f t="shared" si="151"/>
        <v>0</v>
      </c>
      <c r="P1182" s="207" t="str">
        <f t="shared" si="152"/>
        <v>PM_0</v>
      </c>
      <c r="Q1182" s="273">
        <f t="shared" si="153"/>
        <v>0</v>
      </c>
      <c r="R1182" s="207">
        <f t="shared" si="154"/>
        <v>0</v>
      </c>
      <c r="S1182" s="207">
        <f t="shared" si="155"/>
        <v>0</v>
      </c>
    </row>
    <row r="1183" spans="11:19" ht="14.1" customHeight="1" x14ac:dyDescent="0.2">
      <c r="K1183" s="186" t="str">
        <f t="shared" si="148"/>
        <v>PM_0</v>
      </c>
      <c r="L1183" s="186">
        <f t="shared" si="149"/>
        <v>0</v>
      </c>
      <c r="M1183" s="186">
        <f t="shared" si="150"/>
        <v>0</v>
      </c>
      <c r="N1183" s="186">
        <f t="shared" si="151"/>
        <v>0</v>
      </c>
      <c r="P1183" s="207" t="str">
        <f t="shared" si="152"/>
        <v>PM_0</v>
      </c>
      <c r="Q1183" s="273">
        <f t="shared" si="153"/>
        <v>0</v>
      </c>
      <c r="R1183" s="207">
        <f t="shared" si="154"/>
        <v>0</v>
      </c>
      <c r="S1183" s="207">
        <f t="shared" si="155"/>
        <v>0</v>
      </c>
    </row>
    <row r="1184" spans="11:19" ht="14.1" customHeight="1" x14ac:dyDescent="0.2">
      <c r="K1184" s="186" t="str">
        <f t="shared" si="148"/>
        <v>PM_0</v>
      </c>
      <c r="L1184" s="186">
        <f t="shared" si="149"/>
        <v>0</v>
      </c>
      <c r="M1184" s="186">
        <f t="shared" si="150"/>
        <v>0</v>
      </c>
      <c r="N1184" s="186">
        <f t="shared" si="151"/>
        <v>0</v>
      </c>
      <c r="P1184" s="207" t="str">
        <f t="shared" si="152"/>
        <v>PM_0</v>
      </c>
      <c r="Q1184" s="273">
        <f t="shared" si="153"/>
        <v>0</v>
      </c>
      <c r="R1184" s="207">
        <f t="shared" si="154"/>
        <v>0</v>
      </c>
      <c r="S1184" s="207">
        <f t="shared" si="155"/>
        <v>0</v>
      </c>
    </row>
    <row r="1185" spans="11:19" ht="14.1" customHeight="1" x14ac:dyDescent="0.2">
      <c r="K1185" s="186" t="str">
        <f t="shared" si="148"/>
        <v>PM_0</v>
      </c>
      <c r="L1185" s="186">
        <f t="shared" si="149"/>
        <v>0</v>
      </c>
      <c r="M1185" s="186">
        <f t="shared" si="150"/>
        <v>0</v>
      </c>
      <c r="N1185" s="186">
        <f t="shared" si="151"/>
        <v>0</v>
      </c>
      <c r="P1185" s="207" t="str">
        <f t="shared" si="152"/>
        <v>PM_0</v>
      </c>
      <c r="Q1185" s="273">
        <f t="shared" si="153"/>
        <v>0</v>
      </c>
      <c r="R1185" s="207">
        <f t="shared" si="154"/>
        <v>0</v>
      </c>
      <c r="S1185" s="207">
        <f t="shared" si="155"/>
        <v>0</v>
      </c>
    </row>
    <row r="1186" spans="11:19" ht="14.1" customHeight="1" x14ac:dyDescent="0.2">
      <c r="K1186" s="186" t="str">
        <f t="shared" si="148"/>
        <v>PM_0</v>
      </c>
      <c r="L1186" s="186">
        <f t="shared" si="149"/>
        <v>0</v>
      </c>
      <c r="M1186" s="186">
        <f t="shared" si="150"/>
        <v>0</v>
      </c>
      <c r="N1186" s="186">
        <f t="shared" si="151"/>
        <v>0</v>
      </c>
      <c r="P1186" s="207" t="str">
        <f t="shared" si="152"/>
        <v>PM_0</v>
      </c>
      <c r="Q1186" s="273">
        <f t="shared" si="153"/>
        <v>0</v>
      </c>
      <c r="R1186" s="207">
        <f t="shared" si="154"/>
        <v>0</v>
      </c>
      <c r="S1186" s="207">
        <f t="shared" si="155"/>
        <v>0</v>
      </c>
    </row>
    <row r="1187" spans="11:19" ht="14.1" customHeight="1" x14ac:dyDescent="0.2">
      <c r="K1187" s="186" t="str">
        <f t="shared" si="148"/>
        <v>PM_0</v>
      </c>
      <c r="L1187" s="186">
        <f t="shared" si="149"/>
        <v>0</v>
      </c>
      <c r="M1187" s="186">
        <f t="shared" si="150"/>
        <v>0</v>
      </c>
      <c r="N1187" s="186">
        <f t="shared" si="151"/>
        <v>0</v>
      </c>
      <c r="P1187" s="207" t="str">
        <f t="shared" si="152"/>
        <v>PM_0</v>
      </c>
      <c r="Q1187" s="273">
        <f t="shared" si="153"/>
        <v>0</v>
      </c>
      <c r="R1187" s="207">
        <f t="shared" si="154"/>
        <v>0</v>
      </c>
      <c r="S1187" s="207">
        <f t="shared" si="155"/>
        <v>0</v>
      </c>
    </row>
    <row r="1188" spans="11:19" ht="14.1" customHeight="1" x14ac:dyDescent="0.2">
      <c r="K1188" s="186" t="str">
        <f t="shared" si="148"/>
        <v>PM_0</v>
      </c>
      <c r="L1188" s="186">
        <f t="shared" si="149"/>
        <v>0</v>
      </c>
      <c r="M1188" s="186">
        <f t="shared" si="150"/>
        <v>0</v>
      </c>
      <c r="N1188" s="186">
        <f t="shared" si="151"/>
        <v>0</v>
      </c>
      <c r="P1188" s="207" t="str">
        <f t="shared" si="152"/>
        <v>PM_0</v>
      </c>
      <c r="Q1188" s="273">
        <f t="shared" si="153"/>
        <v>0</v>
      </c>
      <c r="R1188" s="207">
        <f t="shared" si="154"/>
        <v>0</v>
      </c>
      <c r="S1188" s="207">
        <f t="shared" si="155"/>
        <v>0</v>
      </c>
    </row>
    <row r="1189" spans="11:19" ht="14.1" customHeight="1" x14ac:dyDescent="0.2">
      <c r="K1189" s="186" t="str">
        <f t="shared" si="148"/>
        <v>PM_0</v>
      </c>
      <c r="L1189" s="186">
        <f t="shared" si="149"/>
        <v>0</v>
      </c>
      <c r="M1189" s="186">
        <f t="shared" si="150"/>
        <v>0</v>
      </c>
      <c r="N1189" s="186">
        <f t="shared" si="151"/>
        <v>0</v>
      </c>
      <c r="P1189" s="207" t="str">
        <f t="shared" si="152"/>
        <v>PM_0</v>
      </c>
      <c r="Q1189" s="273">
        <f t="shared" si="153"/>
        <v>0</v>
      </c>
      <c r="R1189" s="207">
        <f t="shared" si="154"/>
        <v>0</v>
      </c>
      <c r="S1189" s="207">
        <f t="shared" si="155"/>
        <v>0</v>
      </c>
    </row>
    <row r="1190" spans="11:19" ht="14.1" customHeight="1" x14ac:dyDescent="0.2">
      <c r="K1190" s="186" t="str">
        <f t="shared" si="148"/>
        <v>PM_0</v>
      </c>
      <c r="L1190" s="186">
        <f t="shared" si="149"/>
        <v>0</v>
      </c>
      <c r="M1190" s="186">
        <f t="shared" si="150"/>
        <v>0</v>
      </c>
      <c r="N1190" s="186">
        <f t="shared" si="151"/>
        <v>0</v>
      </c>
      <c r="P1190" s="207" t="str">
        <f t="shared" si="152"/>
        <v>PM_0</v>
      </c>
      <c r="Q1190" s="273">
        <f t="shared" si="153"/>
        <v>0</v>
      </c>
      <c r="R1190" s="207">
        <f t="shared" si="154"/>
        <v>0</v>
      </c>
      <c r="S1190" s="207">
        <f t="shared" si="155"/>
        <v>0</v>
      </c>
    </row>
    <row r="1191" spans="11:19" ht="14.1" customHeight="1" x14ac:dyDescent="0.2">
      <c r="K1191" s="186" t="str">
        <f t="shared" si="148"/>
        <v>PM_0</v>
      </c>
      <c r="L1191" s="186">
        <f t="shared" si="149"/>
        <v>0</v>
      </c>
      <c r="M1191" s="186">
        <f t="shared" si="150"/>
        <v>0</v>
      </c>
      <c r="N1191" s="186">
        <f t="shared" si="151"/>
        <v>0</v>
      </c>
      <c r="P1191" s="207" t="str">
        <f t="shared" si="152"/>
        <v>PM_0</v>
      </c>
      <c r="Q1191" s="273">
        <f t="shared" si="153"/>
        <v>0</v>
      </c>
      <c r="R1191" s="207">
        <f t="shared" si="154"/>
        <v>0</v>
      </c>
      <c r="S1191" s="207">
        <f t="shared" si="155"/>
        <v>0</v>
      </c>
    </row>
    <row r="1192" spans="11:19" ht="14.1" customHeight="1" x14ac:dyDescent="0.2">
      <c r="K1192" s="186" t="str">
        <f t="shared" si="148"/>
        <v>PM_0</v>
      </c>
      <c r="L1192" s="186">
        <f t="shared" si="149"/>
        <v>0</v>
      </c>
      <c r="M1192" s="186">
        <f t="shared" si="150"/>
        <v>0</v>
      </c>
      <c r="N1192" s="186">
        <f t="shared" si="151"/>
        <v>0</v>
      </c>
      <c r="P1192" s="207" t="str">
        <f t="shared" si="152"/>
        <v>PM_0</v>
      </c>
      <c r="Q1192" s="273">
        <f t="shared" si="153"/>
        <v>0</v>
      </c>
      <c r="R1192" s="207">
        <f t="shared" si="154"/>
        <v>0</v>
      </c>
      <c r="S1192" s="207">
        <f t="shared" si="155"/>
        <v>0</v>
      </c>
    </row>
    <row r="1193" spans="11:19" ht="14.1" customHeight="1" x14ac:dyDescent="0.2">
      <c r="K1193" s="186" t="str">
        <f t="shared" si="148"/>
        <v>PM_0</v>
      </c>
      <c r="L1193" s="186">
        <f t="shared" si="149"/>
        <v>0</v>
      </c>
      <c r="M1193" s="186">
        <f t="shared" si="150"/>
        <v>0</v>
      </c>
      <c r="N1193" s="186">
        <f t="shared" si="151"/>
        <v>0</v>
      </c>
      <c r="P1193" s="207" t="str">
        <f t="shared" si="152"/>
        <v>PM_0</v>
      </c>
      <c r="Q1193" s="273">
        <f t="shared" si="153"/>
        <v>0</v>
      </c>
      <c r="R1193" s="207">
        <f t="shared" si="154"/>
        <v>0</v>
      </c>
      <c r="S1193" s="207">
        <f t="shared" si="155"/>
        <v>0</v>
      </c>
    </row>
    <row r="1194" spans="11:19" ht="14.1" customHeight="1" x14ac:dyDescent="0.2">
      <c r="K1194" s="186" t="str">
        <f t="shared" si="148"/>
        <v>PM_0</v>
      </c>
      <c r="L1194" s="186">
        <f t="shared" si="149"/>
        <v>0</v>
      </c>
      <c r="M1194" s="186">
        <f t="shared" si="150"/>
        <v>0</v>
      </c>
      <c r="N1194" s="186">
        <f t="shared" si="151"/>
        <v>0</v>
      </c>
      <c r="P1194" s="207" t="str">
        <f t="shared" si="152"/>
        <v>PM_0</v>
      </c>
      <c r="Q1194" s="273">
        <f t="shared" si="153"/>
        <v>0</v>
      </c>
      <c r="R1194" s="207">
        <f t="shared" si="154"/>
        <v>0</v>
      </c>
      <c r="S1194" s="207">
        <f t="shared" si="155"/>
        <v>0</v>
      </c>
    </row>
    <row r="1195" spans="11:19" ht="14.1" customHeight="1" x14ac:dyDescent="0.2">
      <c r="K1195" s="186" t="str">
        <f t="shared" si="148"/>
        <v>PM_0</v>
      </c>
      <c r="L1195" s="186">
        <f t="shared" si="149"/>
        <v>0</v>
      </c>
      <c r="M1195" s="186">
        <f t="shared" si="150"/>
        <v>0</v>
      </c>
      <c r="N1195" s="186">
        <f t="shared" si="151"/>
        <v>0</v>
      </c>
      <c r="P1195" s="207" t="str">
        <f t="shared" si="152"/>
        <v>PM_0</v>
      </c>
      <c r="Q1195" s="273">
        <f t="shared" si="153"/>
        <v>0</v>
      </c>
      <c r="R1195" s="207">
        <f t="shared" si="154"/>
        <v>0</v>
      </c>
      <c r="S1195" s="207">
        <f t="shared" si="155"/>
        <v>0</v>
      </c>
    </row>
    <row r="1196" spans="11:19" ht="14.1" customHeight="1" x14ac:dyDescent="0.2">
      <c r="K1196" s="186" t="str">
        <f t="shared" si="148"/>
        <v>PM_0</v>
      </c>
      <c r="L1196" s="186">
        <f t="shared" si="149"/>
        <v>0</v>
      </c>
      <c r="M1196" s="186">
        <f t="shared" si="150"/>
        <v>0</v>
      </c>
      <c r="N1196" s="186">
        <f t="shared" si="151"/>
        <v>0</v>
      </c>
      <c r="P1196" s="207" t="str">
        <f t="shared" si="152"/>
        <v>PM_0</v>
      </c>
      <c r="Q1196" s="273">
        <f t="shared" si="153"/>
        <v>0</v>
      </c>
      <c r="R1196" s="207">
        <f t="shared" si="154"/>
        <v>0</v>
      </c>
      <c r="S1196" s="207">
        <f t="shared" si="155"/>
        <v>0</v>
      </c>
    </row>
    <row r="1197" spans="11:19" ht="14.1" customHeight="1" x14ac:dyDescent="0.2">
      <c r="K1197" s="186" t="str">
        <f t="shared" si="148"/>
        <v>PM_0</v>
      </c>
      <c r="L1197" s="186">
        <f t="shared" si="149"/>
        <v>0</v>
      </c>
      <c r="M1197" s="186">
        <f t="shared" si="150"/>
        <v>0</v>
      </c>
      <c r="N1197" s="186">
        <f t="shared" si="151"/>
        <v>0</v>
      </c>
      <c r="P1197" s="207" t="str">
        <f t="shared" si="152"/>
        <v>PM_0</v>
      </c>
      <c r="Q1197" s="273">
        <f t="shared" si="153"/>
        <v>0</v>
      </c>
      <c r="R1197" s="207">
        <f t="shared" si="154"/>
        <v>0</v>
      </c>
      <c r="S1197" s="207">
        <f t="shared" si="155"/>
        <v>0</v>
      </c>
    </row>
    <row r="1198" spans="11:19" ht="14.1" customHeight="1" x14ac:dyDescent="0.2">
      <c r="K1198" s="186" t="str">
        <f t="shared" si="148"/>
        <v>PM_0</v>
      </c>
      <c r="L1198" s="186">
        <f t="shared" si="149"/>
        <v>0</v>
      </c>
      <c r="M1198" s="186">
        <f t="shared" si="150"/>
        <v>0</v>
      </c>
      <c r="N1198" s="186">
        <f t="shared" si="151"/>
        <v>0</v>
      </c>
      <c r="P1198" s="207" t="str">
        <f t="shared" si="152"/>
        <v>PM_0</v>
      </c>
      <c r="Q1198" s="273">
        <f t="shared" si="153"/>
        <v>0</v>
      </c>
      <c r="R1198" s="207">
        <f t="shared" si="154"/>
        <v>0</v>
      </c>
      <c r="S1198" s="207">
        <f t="shared" si="155"/>
        <v>0</v>
      </c>
    </row>
    <row r="1199" spans="11:19" ht="14.1" customHeight="1" x14ac:dyDescent="0.2">
      <c r="K1199" s="186" t="str">
        <f t="shared" si="148"/>
        <v>PM_0</v>
      </c>
      <c r="L1199" s="186">
        <f t="shared" si="149"/>
        <v>0</v>
      </c>
      <c r="M1199" s="186">
        <f t="shared" si="150"/>
        <v>0</v>
      </c>
      <c r="N1199" s="186">
        <f t="shared" si="151"/>
        <v>0</v>
      </c>
      <c r="P1199" s="207" t="str">
        <f t="shared" si="152"/>
        <v>PM_0</v>
      </c>
      <c r="Q1199" s="273">
        <f t="shared" si="153"/>
        <v>0</v>
      </c>
      <c r="R1199" s="207">
        <f t="shared" si="154"/>
        <v>0</v>
      </c>
      <c r="S1199" s="207">
        <f t="shared" si="155"/>
        <v>0</v>
      </c>
    </row>
    <row r="1200" spans="11:19" ht="14.1" customHeight="1" x14ac:dyDescent="0.2">
      <c r="K1200" s="186" t="str">
        <f t="shared" si="148"/>
        <v>PM_0</v>
      </c>
      <c r="L1200" s="186">
        <f t="shared" si="149"/>
        <v>0</v>
      </c>
      <c r="M1200" s="186">
        <f t="shared" si="150"/>
        <v>0</v>
      </c>
      <c r="N1200" s="186">
        <f t="shared" si="151"/>
        <v>0</v>
      </c>
      <c r="P1200" s="207" t="str">
        <f t="shared" si="152"/>
        <v>PM_0</v>
      </c>
      <c r="Q1200" s="273">
        <f t="shared" si="153"/>
        <v>0</v>
      </c>
      <c r="R1200" s="207">
        <f t="shared" si="154"/>
        <v>0</v>
      </c>
      <c r="S1200" s="207">
        <f t="shared" si="155"/>
        <v>0</v>
      </c>
    </row>
    <row r="1201" spans="11:19" ht="14.1" customHeight="1" x14ac:dyDescent="0.2">
      <c r="K1201" s="186" t="str">
        <f t="shared" si="148"/>
        <v>PM_0</v>
      </c>
      <c r="L1201" s="186">
        <f t="shared" si="149"/>
        <v>0</v>
      </c>
      <c r="M1201" s="186">
        <f t="shared" si="150"/>
        <v>0</v>
      </c>
      <c r="N1201" s="186">
        <f t="shared" si="151"/>
        <v>0</v>
      </c>
      <c r="P1201" s="207" t="str">
        <f t="shared" si="152"/>
        <v>PM_0</v>
      </c>
      <c r="Q1201" s="273">
        <f t="shared" si="153"/>
        <v>0</v>
      </c>
      <c r="R1201" s="207">
        <f t="shared" si="154"/>
        <v>0</v>
      </c>
      <c r="S1201" s="207">
        <f t="shared" si="155"/>
        <v>0</v>
      </c>
    </row>
    <row r="1202" spans="11:19" ht="14.1" customHeight="1" x14ac:dyDescent="0.2">
      <c r="K1202" s="186" t="str">
        <f t="shared" si="148"/>
        <v>PM_0</v>
      </c>
      <c r="L1202" s="186">
        <f t="shared" si="149"/>
        <v>0</v>
      </c>
      <c r="M1202" s="186">
        <f t="shared" si="150"/>
        <v>0</v>
      </c>
      <c r="N1202" s="186">
        <f t="shared" si="151"/>
        <v>0</v>
      </c>
      <c r="P1202" s="207" t="str">
        <f t="shared" si="152"/>
        <v>PM_0</v>
      </c>
      <c r="Q1202" s="273">
        <f t="shared" si="153"/>
        <v>0</v>
      </c>
      <c r="R1202" s="207">
        <f t="shared" si="154"/>
        <v>0</v>
      </c>
      <c r="S1202" s="207">
        <f t="shared" si="155"/>
        <v>0</v>
      </c>
    </row>
    <row r="1203" spans="11:19" ht="14.1" customHeight="1" x14ac:dyDescent="0.2">
      <c r="K1203" s="186" t="str">
        <f t="shared" si="148"/>
        <v>PM_0</v>
      </c>
      <c r="L1203" s="186">
        <f t="shared" si="149"/>
        <v>0</v>
      </c>
      <c r="M1203" s="186">
        <f t="shared" si="150"/>
        <v>0</v>
      </c>
      <c r="N1203" s="186">
        <f t="shared" si="151"/>
        <v>0</v>
      </c>
      <c r="P1203" s="207" t="str">
        <f t="shared" si="152"/>
        <v>PM_0</v>
      </c>
      <c r="Q1203" s="273">
        <f t="shared" si="153"/>
        <v>0</v>
      </c>
      <c r="R1203" s="207">
        <f t="shared" si="154"/>
        <v>0</v>
      </c>
      <c r="S1203" s="207">
        <f t="shared" si="155"/>
        <v>0</v>
      </c>
    </row>
    <row r="1204" spans="11:19" ht="14.1" customHeight="1" x14ac:dyDescent="0.2">
      <c r="K1204" s="186" t="str">
        <f t="shared" si="148"/>
        <v>PM_0</v>
      </c>
      <c r="L1204" s="186">
        <f t="shared" si="149"/>
        <v>0</v>
      </c>
      <c r="M1204" s="186">
        <f t="shared" si="150"/>
        <v>0</v>
      </c>
      <c r="N1204" s="186">
        <f t="shared" si="151"/>
        <v>0</v>
      </c>
      <c r="P1204" s="207" t="str">
        <f t="shared" si="152"/>
        <v>PM_0</v>
      </c>
      <c r="Q1204" s="273">
        <f t="shared" si="153"/>
        <v>0</v>
      </c>
      <c r="R1204" s="207">
        <f t="shared" si="154"/>
        <v>0</v>
      </c>
      <c r="S1204" s="207">
        <f t="shared" si="155"/>
        <v>0</v>
      </c>
    </row>
    <row r="1205" spans="11:19" ht="14.1" customHeight="1" x14ac:dyDescent="0.2">
      <c r="K1205" s="186" t="str">
        <f t="shared" si="148"/>
        <v>PM_0</v>
      </c>
      <c r="L1205" s="186">
        <f t="shared" si="149"/>
        <v>0</v>
      </c>
      <c r="M1205" s="186">
        <f t="shared" si="150"/>
        <v>0</v>
      </c>
      <c r="N1205" s="186">
        <f t="shared" si="151"/>
        <v>0</v>
      </c>
      <c r="P1205" s="207" t="str">
        <f t="shared" si="152"/>
        <v>PM_0</v>
      </c>
      <c r="Q1205" s="273">
        <f t="shared" si="153"/>
        <v>0</v>
      </c>
      <c r="R1205" s="207">
        <f t="shared" si="154"/>
        <v>0</v>
      </c>
      <c r="S1205" s="207">
        <f t="shared" si="155"/>
        <v>0</v>
      </c>
    </row>
    <row r="1206" spans="11:19" ht="14.1" customHeight="1" x14ac:dyDescent="0.2">
      <c r="K1206" s="186" t="str">
        <f t="shared" si="148"/>
        <v>PM_0</v>
      </c>
      <c r="L1206" s="186">
        <f t="shared" si="149"/>
        <v>0</v>
      </c>
      <c r="M1206" s="186">
        <f t="shared" si="150"/>
        <v>0</v>
      </c>
      <c r="N1206" s="186">
        <f t="shared" si="151"/>
        <v>0</v>
      </c>
      <c r="P1206" s="207" t="str">
        <f t="shared" si="152"/>
        <v>PM_0</v>
      </c>
      <c r="Q1206" s="273">
        <f t="shared" si="153"/>
        <v>0</v>
      </c>
      <c r="R1206" s="207">
        <f t="shared" si="154"/>
        <v>0</v>
      </c>
      <c r="S1206" s="207">
        <f t="shared" si="155"/>
        <v>0</v>
      </c>
    </row>
    <row r="1207" spans="11:19" ht="14.1" customHeight="1" x14ac:dyDescent="0.2">
      <c r="K1207" s="186" t="str">
        <f t="shared" si="148"/>
        <v>PM_0</v>
      </c>
      <c r="L1207" s="186">
        <f t="shared" si="149"/>
        <v>0</v>
      </c>
      <c r="M1207" s="186">
        <f t="shared" si="150"/>
        <v>0</v>
      </c>
      <c r="N1207" s="186">
        <f t="shared" si="151"/>
        <v>0</v>
      </c>
      <c r="P1207" s="207" t="str">
        <f t="shared" si="152"/>
        <v>PM_0</v>
      </c>
      <c r="Q1207" s="273">
        <f t="shared" si="153"/>
        <v>0</v>
      </c>
      <c r="R1207" s="207">
        <f t="shared" si="154"/>
        <v>0</v>
      </c>
      <c r="S1207" s="207">
        <f t="shared" si="155"/>
        <v>0</v>
      </c>
    </row>
    <row r="1208" spans="11:19" ht="14.1" customHeight="1" x14ac:dyDescent="0.2">
      <c r="K1208" s="186" t="str">
        <f t="shared" si="148"/>
        <v>PM_0</v>
      </c>
      <c r="L1208" s="186">
        <f t="shared" si="149"/>
        <v>0</v>
      </c>
      <c r="M1208" s="186">
        <f t="shared" si="150"/>
        <v>0</v>
      </c>
      <c r="N1208" s="186">
        <f t="shared" si="151"/>
        <v>0</v>
      </c>
      <c r="P1208" s="207" t="str">
        <f t="shared" si="152"/>
        <v>PM_0</v>
      </c>
      <c r="Q1208" s="273">
        <f t="shared" si="153"/>
        <v>0</v>
      </c>
      <c r="R1208" s="207">
        <f t="shared" si="154"/>
        <v>0</v>
      </c>
      <c r="S1208" s="207">
        <f t="shared" si="155"/>
        <v>0</v>
      </c>
    </row>
    <row r="1209" spans="11:19" ht="14.1" customHeight="1" x14ac:dyDescent="0.2">
      <c r="K1209" s="186" t="str">
        <f t="shared" si="148"/>
        <v>PM_0</v>
      </c>
      <c r="L1209" s="186">
        <f t="shared" si="149"/>
        <v>0</v>
      </c>
      <c r="M1209" s="186">
        <f t="shared" si="150"/>
        <v>0</v>
      </c>
      <c r="N1209" s="186">
        <f t="shared" si="151"/>
        <v>0</v>
      </c>
      <c r="P1209" s="207" t="str">
        <f t="shared" si="152"/>
        <v>PM_0</v>
      </c>
      <c r="Q1209" s="273">
        <f t="shared" si="153"/>
        <v>0</v>
      </c>
      <c r="R1209" s="207">
        <f t="shared" si="154"/>
        <v>0</v>
      </c>
      <c r="S1209" s="207">
        <f t="shared" si="155"/>
        <v>0</v>
      </c>
    </row>
    <row r="1210" spans="11:19" ht="14.1" customHeight="1" x14ac:dyDescent="0.2">
      <c r="K1210" s="186" t="str">
        <f t="shared" si="148"/>
        <v>PM_0</v>
      </c>
      <c r="L1210" s="186">
        <f t="shared" si="149"/>
        <v>0</v>
      </c>
      <c r="M1210" s="186">
        <f t="shared" si="150"/>
        <v>0</v>
      </c>
      <c r="N1210" s="186">
        <f t="shared" si="151"/>
        <v>0</v>
      </c>
      <c r="P1210" s="207" t="str">
        <f t="shared" si="152"/>
        <v>PM_0</v>
      </c>
      <c r="Q1210" s="273">
        <f t="shared" si="153"/>
        <v>0</v>
      </c>
      <c r="R1210" s="207">
        <f t="shared" si="154"/>
        <v>0</v>
      </c>
      <c r="S1210" s="207">
        <f t="shared" si="155"/>
        <v>0</v>
      </c>
    </row>
  </sheetData>
  <mergeCells count="3">
    <mergeCell ref="E7:H7"/>
    <mergeCell ref="K1:P1"/>
    <mergeCell ref="A1:H1"/>
  </mergeCells>
  <phoneticPr fontId="0" type="noConversion"/>
  <printOptions horizontalCentered="1"/>
  <pageMargins left="0.98425196850393704" right="0.31496062992125984" top="0.51181102362204722" bottom="0.35433070866141736" header="0.19685039370078741" footer="0.15748031496062992"/>
  <pageSetup paperSize="9" orientation="portrait" horizontalDpi="4294967292" r:id="rId1"/>
  <headerFooter alignWithMargins="0">
    <oddHeader xml:space="preserve">&amp;C&amp;"Times New Roman,Normal"TABULATION AXE TUNNEL </oddHeader>
    <oddFooter>&amp;L&amp;D&amp;R&amp;P/&amp;N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abulation">
                <anchor moveWithCells="1" sizeWithCells="1">
                  <from>
                    <xdr:col>5</xdr:col>
                    <xdr:colOff>219075</xdr:colOff>
                    <xdr:row>1</xdr:row>
                    <xdr:rowOff>19050</xdr:rowOff>
                  </from>
                  <to>
                    <xdr:col>6</xdr:col>
                    <xdr:colOff>800100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Reset_tab">
                <anchor moveWithCells="1" sizeWithCells="1">
                  <from>
                    <xdr:col>8</xdr:col>
                    <xdr:colOff>9525</xdr:colOff>
                    <xdr:row>1</xdr:row>
                    <xdr:rowOff>152400</xdr:rowOff>
                  </from>
                  <to>
                    <xdr:col>9</xdr:col>
                    <xdr:colOff>552450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4655C-39E1-43B9-A61C-47EE40A50131}">
  <sheetPr codeName="Feuil9"/>
  <dimension ref="A1:X13989"/>
  <sheetViews>
    <sheetView topLeftCell="A52" zoomScale="70" zoomScaleNormal="70" workbookViewId="0">
      <selection activeCell="G70" sqref="G70:I71"/>
    </sheetView>
  </sheetViews>
  <sheetFormatPr baseColWidth="10" defaultRowHeight="15" x14ac:dyDescent="0.2"/>
  <cols>
    <col min="1" max="3" width="14.5703125" style="241" customWidth="1"/>
    <col min="4" max="4" width="14.42578125" style="241" customWidth="1"/>
    <col min="5" max="5" width="7.5703125" style="241" customWidth="1"/>
    <col min="6" max="6" width="12.7109375" style="247" customWidth="1"/>
    <col min="7" max="7" width="14.5703125" style="239" customWidth="1"/>
    <col min="8" max="9" width="14.5703125" style="240" customWidth="1"/>
    <col min="10" max="10" width="11.42578125" style="238"/>
    <col min="11" max="11" width="11.42578125" style="239"/>
    <col min="12" max="12" width="19" style="239" customWidth="1"/>
    <col min="13" max="14" width="11.42578125" style="240"/>
    <col min="15" max="16" width="15.7109375" style="239" customWidth="1"/>
    <col min="17" max="17" width="14.28515625" style="240" customWidth="1"/>
    <col min="18" max="18" width="11.42578125" style="238"/>
    <col min="19" max="19" width="11.42578125" style="253"/>
    <col min="20" max="16384" width="11.42578125" style="238"/>
  </cols>
  <sheetData>
    <row r="1" spans="1:24" ht="45" thickBot="1" x14ac:dyDescent="0.25">
      <c r="A1" s="321" t="str">
        <f>"Calcul projection sur axe "&amp;'INFOS-PARAM'!B3</f>
        <v>Calcul projection sur axe GGS</v>
      </c>
      <c r="B1" s="322"/>
      <c r="C1" s="322"/>
      <c r="D1" s="322"/>
      <c r="E1" s="322"/>
      <c r="F1" s="322"/>
      <c r="G1" s="322"/>
      <c r="H1" s="322"/>
      <c r="I1" s="323"/>
      <c r="K1" s="266"/>
      <c r="L1" s="326" t="s">
        <v>183</v>
      </c>
      <c r="M1" s="326"/>
      <c r="N1" s="326"/>
      <c r="O1" s="326"/>
      <c r="P1" s="326"/>
      <c r="Q1" s="326"/>
      <c r="R1" s="267"/>
      <c r="S1" s="311" t="str">
        <f>'INFOS-PARAM'!B3&amp;"-"&amp;'INFOS-PARAM'!B5</f>
        <v>GGS-EXE</v>
      </c>
      <c r="T1" s="312"/>
      <c r="U1" s="312"/>
      <c r="V1" s="312"/>
      <c r="W1" s="312"/>
      <c r="X1" s="313"/>
    </row>
    <row r="2" spans="1:24" ht="18.75" x14ac:dyDescent="0.2">
      <c r="K2" s="266"/>
      <c r="L2" s="266"/>
      <c r="M2" s="269"/>
      <c r="N2" s="269"/>
      <c r="O2" s="266"/>
      <c r="P2" s="274" t="s">
        <v>181</v>
      </c>
      <c r="Q2" s="269"/>
      <c r="R2" s="267"/>
      <c r="S2" s="268"/>
    </row>
    <row r="3" spans="1:24" ht="18.75" x14ac:dyDescent="0.2">
      <c r="A3" s="325" t="s">
        <v>197</v>
      </c>
      <c r="B3" s="325"/>
      <c r="C3" s="325"/>
      <c r="D3" s="325"/>
      <c r="F3" s="324" t="s">
        <v>198</v>
      </c>
      <c r="G3" s="324"/>
      <c r="H3" s="324"/>
      <c r="I3" s="324"/>
      <c r="K3" s="327" t="s">
        <v>214</v>
      </c>
      <c r="L3" s="328"/>
      <c r="M3" s="328"/>
      <c r="N3" s="328"/>
      <c r="O3" s="328"/>
      <c r="P3" s="328"/>
      <c r="Q3" s="329"/>
      <c r="R3" s="270"/>
      <c r="S3" s="271" t="s">
        <v>184</v>
      </c>
    </row>
    <row r="4" spans="1:24" x14ac:dyDescent="0.2">
      <c r="A4" s="279" t="s">
        <v>155</v>
      </c>
      <c r="B4" s="279" t="s">
        <v>98</v>
      </c>
      <c r="C4" s="279" t="s">
        <v>99</v>
      </c>
      <c r="D4" s="279" t="s">
        <v>100</v>
      </c>
      <c r="F4" s="282" t="s">
        <v>199</v>
      </c>
      <c r="G4" s="283" t="s">
        <v>167</v>
      </c>
      <c r="H4" s="284" t="s">
        <v>151</v>
      </c>
      <c r="I4" s="284" t="s">
        <v>152</v>
      </c>
      <c r="K4" s="282" t="str">
        <f>F4</f>
        <v>Point</v>
      </c>
      <c r="L4" s="283" t="s">
        <v>167</v>
      </c>
      <c r="M4" s="284" t="str">
        <f>H4</f>
        <v>H</v>
      </c>
      <c r="N4" s="284" t="str">
        <f>I4</f>
        <v>V</v>
      </c>
      <c r="O4" s="284"/>
      <c r="P4" s="284"/>
      <c r="Q4" s="284"/>
    </row>
    <row r="5" spans="1:24" s="245" customFormat="1" ht="30" customHeight="1" x14ac:dyDescent="0.2">
      <c r="A5" s="278" t="s">
        <v>216</v>
      </c>
      <c r="B5" s="301">
        <v>823061.48054999998</v>
      </c>
      <c r="C5" s="301">
        <v>1091434.51945</v>
      </c>
      <c r="D5" s="301">
        <v>-123.04635</v>
      </c>
      <c r="E5" s="241"/>
      <c r="F5" s="285" t="str">
        <f t="shared" ref="F5:F68" si="0">IF(A5="","",A5)</f>
        <v>106GRD.2D</v>
      </c>
      <c r="G5" s="286">
        <v>-0.53310000000000002</v>
      </c>
      <c r="H5" s="287">
        <v>3.4420600000000001</v>
      </c>
      <c r="I5" s="287">
        <v>-0.71404193273397709</v>
      </c>
      <c r="K5" s="285" t="str">
        <f t="shared" ref="K5:K10" si="1">IF(A5="","",A5)</f>
        <v>106GRD.2D</v>
      </c>
      <c r="L5" s="286">
        <v>-0.53310000000000002</v>
      </c>
      <c r="M5" s="287">
        <v>3.4420600000000001</v>
      </c>
      <c r="N5" s="287">
        <v>-0.71404193273397709</v>
      </c>
      <c r="O5" s="286">
        <v>-121.78230806726603</v>
      </c>
      <c r="P5" s="286">
        <v>-122.33230806726603</v>
      </c>
      <c r="Q5" s="287">
        <v>0</v>
      </c>
      <c r="S5" s="254">
        <f>IF(P5="","",+D5-P5)</f>
        <v>-0.71404193273397709</v>
      </c>
    </row>
    <row r="6" spans="1:24" ht="30" customHeight="1" x14ac:dyDescent="0.2">
      <c r="A6" s="278" t="s">
        <v>217</v>
      </c>
      <c r="B6" s="301">
        <v>823065.87540000002</v>
      </c>
      <c r="C6" s="301">
        <v>1091436.5366500001</v>
      </c>
      <c r="D6" s="301">
        <v>-123.00085</v>
      </c>
      <c r="F6" s="285" t="str">
        <f t="shared" si="0"/>
        <v>106GRD.3G</v>
      </c>
      <c r="G6" s="286">
        <v>-5.36869</v>
      </c>
      <c r="H6" s="287">
        <v>3.4129200000000002</v>
      </c>
      <c r="I6" s="287">
        <v>-0.62018515019103404</v>
      </c>
      <c r="J6" s="245"/>
      <c r="K6" s="285" t="str">
        <f t="shared" si="1"/>
        <v>106GRD.3G</v>
      </c>
      <c r="L6" s="286">
        <v>-5.36869</v>
      </c>
      <c r="M6" s="287">
        <v>3.4129200000000002</v>
      </c>
      <c r="N6" s="287">
        <v>-0.62018515019103404</v>
      </c>
      <c r="O6" s="286">
        <v>-121.83066484980897</v>
      </c>
      <c r="P6" s="286">
        <v>-122.38066484980897</v>
      </c>
      <c r="Q6" s="287">
        <v>0</v>
      </c>
      <c r="S6" s="254">
        <f t="shared" ref="S6:S70" si="2">IF(P6="","",+D6-P6)</f>
        <v>-0.62018515019103404</v>
      </c>
    </row>
    <row r="7" spans="1:24" ht="30" customHeight="1" x14ac:dyDescent="0.2">
      <c r="A7" s="278" t="s">
        <v>218</v>
      </c>
      <c r="B7" s="301">
        <v>823066.09299999999</v>
      </c>
      <c r="C7" s="301">
        <v>1091436.6059999999</v>
      </c>
      <c r="D7" s="301">
        <v>-122.47799999999999</v>
      </c>
      <c r="E7" s="244"/>
      <c r="F7" s="285" t="str">
        <f t="shared" si="0"/>
        <v>C.188GRD.1</v>
      </c>
      <c r="G7" s="286">
        <v>-5.5952099999999998</v>
      </c>
      <c r="H7" s="287">
        <v>3.38381</v>
      </c>
      <c r="I7" s="287">
        <v>-9.5069908848898876E-2</v>
      </c>
      <c r="J7" s="245"/>
      <c r="K7" s="285" t="str">
        <f t="shared" si="1"/>
        <v>C.188GRD.1</v>
      </c>
      <c r="L7" s="286">
        <v>-5.5952099999999998</v>
      </c>
      <c r="M7" s="287">
        <v>3.38381</v>
      </c>
      <c r="N7" s="287">
        <v>-9.5069908848898876E-2</v>
      </c>
      <c r="O7" s="286">
        <v>-121.8329300911511</v>
      </c>
      <c r="P7" s="286">
        <v>-122.3829300911511</v>
      </c>
      <c r="Q7" s="287">
        <v>0</v>
      </c>
      <c r="S7" s="254">
        <f t="shared" si="2"/>
        <v>-9.5069908848898876E-2</v>
      </c>
    </row>
    <row r="8" spans="1:24" ht="30" customHeight="1" x14ac:dyDescent="0.2">
      <c r="A8" s="278" t="s">
        <v>219</v>
      </c>
      <c r="B8" s="301">
        <v>823062.85715000005</v>
      </c>
      <c r="C8" s="301">
        <v>1091431.2107500001</v>
      </c>
      <c r="D8" s="301">
        <v>-122.16215</v>
      </c>
      <c r="F8" s="285" t="str">
        <f t="shared" si="0"/>
        <v>111GRD.3D</v>
      </c>
      <c r="G8" s="286">
        <v>-0.38240000000000002</v>
      </c>
      <c r="H8" s="287">
        <v>-0.13841000000000001</v>
      </c>
      <c r="I8" s="287">
        <v>0.16865103976178375</v>
      </c>
      <c r="J8" s="245"/>
      <c r="K8" s="285" t="str">
        <f t="shared" si="1"/>
        <v>111GRD.3D</v>
      </c>
      <c r="L8" s="288">
        <v>-0.38240000000000002</v>
      </c>
      <c r="M8" s="289">
        <v>-0.13841000000000001</v>
      </c>
      <c r="N8" s="289">
        <v>0.16865103976178375</v>
      </c>
      <c r="O8" s="288">
        <v>-121.78080103976178</v>
      </c>
      <c r="P8" s="288">
        <v>-122.33080103976178</v>
      </c>
      <c r="Q8" s="289">
        <v>0</v>
      </c>
      <c r="S8" s="254">
        <f t="shared" si="2"/>
        <v>0.16865103976178375</v>
      </c>
    </row>
    <row r="9" spans="1:24" ht="30" customHeight="1" x14ac:dyDescent="0.2">
      <c r="A9" s="278" t="s">
        <v>220</v>
      </c>
      <c r="B9" s="301">
        <v>823065.32</v>
      </c>
      <c r="C9" s="301">
        <v>1091431.6270000001</v>
      </c>
      <c r="D9" s="301">
        <v>-124.083</v>
      </c>
      <c r="F9" s="285" t="str">
        <f t="shared" si="0"/>
        <v>STATION_ST1</v>
      </c>
      <c r="G9" s="286">
        <v>-2.7904200000000001</v>
      </c>
      <c r="H9" s="287">
        <v>-0.80201</v>
      </c>
      <c r="I9" s="287">
        <v>-1.7281183207507809</v>
      </c>
      <c r="J9" s="245"/>
      <c r="K9" s="285" t="str">
        <f t="shared" si="1"/>
        <v>STATION_ST1</v>
      </c>
      <c r="L9" s="288">
        <v>-2.7904200000000001</v>
      </c>
      <c r="M9" s="289">
        <v>-0.80201</v>
      </c>
      <c r="N9" s="289">
        <v>-1.7281183207507809</v>
      </c>
      <c r="O9" s="288">
        <v>-121.80488167924922</v>
      </c>
      <c r="P9" s="288">
        <v>-122.35488167924922</v>
      </c>
      <c r="Q9" s="289">
        <v>0</v>
      </c>
      <c r="S9" s="254">
        <f t="shared" si="2"/>
        <v>-1.7281183207507809</v>
      </c>
    </row>
    <row r="10" spans="1:24" ht="30" customHeight="1" x14ac:dyDescent="0.2">
      <c r="A10" s="278" t="s">
        <v>221</v>
      </c>
      <c r="B10" s="301">
        <v>823063.326</v>
      </c>
      <c r="C10" s="301">
        <v>1091430.3430000001</v>
      </c>
      <c r="D10" s="301">
        <v>-121.861</v>
      </c>
      <c r="F10" s="285" t="str">
        <f t="shared" si="0"/>
        <v>C.195GRD.1</v>
      </c>
      <c r="G10" s="286">
        <v>-0.44059999999999999</v>
      </c>
      <c r="H10" s="287">
        <v>-1.1230100000000001</v>
      </c>
      <c r="I10" s="287">
        <v>0.47038305038385886</v>
      </c>
      <c r="J10" s="245"/>
      <c r="K10" s="285" t="str">
        <f t="shared" si="1"/>
        <v>C.195GRD.1</v>
      </c>
      <c r="L10" s="288">
        <v>-0.44059999999999999</v>
      </c>
      <c r="M10" s="289">
        <v>-1.1230100000000001</v>
      </c>
      <c r="N10" s="289">
        <v>0.47038305038385886</v>
      </c>
      <c r="O10" s="288">
        <v>-121.78138305038387</v>
      </c>
      <c r="P10" s="288">
        <v>-122.33138305038386</v>
      </c>
      <c r="Q10" s="289">
        <v>0</v>
      </c>
      <c r="S10" s="254"/>
    </row>
    <row r="11" spans="1:24" ht="30" customHeight="1" x14ac:dyDescent="0.2">
      <c r="A11" s="278" t="s">
        <v>222</v>
      </c>
      <c r="B11" s="301">
        <v>823102.38800000004</v>
      </c>
      <c r="C11" s="301">
        <v>1091447.1910000001</v>
      </c>
      <c r="D11" s="301">
        <v>-123.363</v>
      </c>
      <c r="F11" s="285" t="str">
        <f t="shared" si="0"/>
        <v>001GVA.D</v>
      </c>
      <c r="G11" s="286">
        <v>0</v>
      </c>
      <c r="H11" s="287">
        <v>0</v>
      </c>
      <c r="I11" s="287">
        <v>-1.0360230300299946</v>
      </c>
      <c r="J11" s="245"/>
      <c r="K11" s="285" t="str">
        <f t="shared" ref="K11:K74" si="3">IF(A11="","",A11)</f>
        <v>001GVA.D</v>
      </c>
      <c r="L11" s="288">
        <v>0</v>
      </c>
      <c r="M11" s="289">
        <v>0</v>
      </c>
      <c r="N11" s="289">
        <v>-1.0360230300299946</v>
      </c>
      <c r="O11" s="288">
        <v>-121.77697696997001</v>
      </c>
      <c r="P11" s="288">
        <v>-122.32697696997</v>
      </c>
      <c r="Q11" s="289">
        <v>0</v>
      </c>
      <c r="S11" s="254">
        <f t="shared" si="2"/>
        <v>-1.0360230300299946</v>
      </c>
    </row>
    <row r="12" spans="1:24" ht="30" customHeight="1" x14ac:dyDescent="0.2">
      <c r="A12" s="278" t="s">
        <v>223</v>
      </c>
      <c r="B12" s="301">
        <v>823064.34389999998</v>
      </c>
      <c r="C12" s="301">
        <v>1091428.3283500001</v>
      </c>
      <c r="D12" s="301">
        <v>-123.01255</v>
      </c>
      <c r="F12" s="285" t="str">
        <f t="shared" si="0"/>
        <v>115GRD.2D</v>
      </c>
      <c r="G12" s="286">
        <v>-0.51170000000000004</v>
      </c>
      <c r="H12" s="287">
        <v>-3.3790800000000001</v>
      </c>
      <c r="I12" s="287">
        <v>-0.68045593663968873</v>
      </c>
      <c r="J12" s="245"/>
      <c r="K12" s="285" t="str">
        <f t="shared" si="3"/>
        <v>115GRD.2D</v>
      </c>
      <c r="L12" s="286">
        <v>-0.51170000000000004</v>
      </c>
      <c r="M12" s="287">
        <v>-3.3790800000000001</v>
      </c>
      <c r="N12" s="287">
        <v>-0.68045593663968873</v>
      </c>
      <c r="O12" s="286">
        <v>-121.78209406336032</v>
      </c>
      <c r="P12" s="286">
        <v>-122.33209406336032</v>
      </c>
      <c r="Q12" s="287">
        <v>0</v>
      </c>
      <c r="S12" s="254">
        <f t="shared" si="2"/>
        <v>-0.68045593663968873</v>
      </c>
    </row>
    <row r="13" spans="1:24" ht="30" customHeight="1" x14ac:dyDescent="0.2">
      <c r="A13" s="278" t="s">
        <v>224</v>
      </c>
      <c r="B13" s="301">
        <v>823066.20739999996</v>
      </c>
      <c r="C13" s="301">
        <v>1091424.1453999998</v>
      </c>
      <c r="D13" s="301">
        <v>-122.65254999999999</v>
      </c>
      <c r="F13" s="285" t="str">
        <f t="shared" si="0"/>
        <v>120GRD.4D</v>
      </c>
      <c r="G13" s="286">
        <v>-0.43280999999999997</v>
      </c>
      <c r="H13" s="287">
        <v>-7.9576700000000002</v>
      </c>
      <c r="I13" s="287">
        <v>-0.32124485103788913</v>
      </c>
      <c r="J13" s="245"/>
      <c r="K13" s="285" t="str">
        <f t="shared" si="3"/>
        <v>120GRD.4D</v>
      </c>
      <c r="L13" s="286">
        <v>-0.43280999999999997</v>
      </c>
      <c r="M13" s="287">
        <v>-7.9576700000000002</v>
      </c>
      <c r="N13" s="287">
        <v>-0.32124485103788913</v>
      </c>
      <c r="O13" s="286">
        <v>-121.7813051489621</v>
      </c>
      <c r="P13" s="286">
        <v>-122.3313051489621</v>
      </c>
      <c r="Q13" s="287">
        <v>0</v>
      </c>
      <c r="S13" s="254">
        <f t="shared" si="2"/>
        <v>-0.32124485103788913</v>
      </c>
    </row>
    <row r="14" spans="1:24" ht="30" customHeight="1" x14ac:dyDescent="0.2">
      <c r="A14" s="278" t="s">
        <v>225</v>
      </c>
      <c r="B14" s="301">
        <v>823070.72585000005</v>
      </c>
      <c r="C14" s="301">
        <v>1091426.22915</v>
      </c>
      <c r="D14" s="301">
        <v>-122.61670000000001</v>
      </c>
      <c r="F14" s="285" t="str">
        <f t="shared" si="0"/>
        <v>120GRD.4G</v>
      </c>
      <c r="G14" s="286">
        <v>-5.40855</v>
      </c>
      <c r="H14" s="287">
        <v>-7.9787400000000002</v>
      </c>
      <c r="I14" s="287">
        <v>-0.23563654291619684</v>
      </c>
      <c r="J14" s="245"/>
      <c r="K14" s="285" t="str">
        <f t="shared" si="3"/>
        <v>120GRD.4G</v>
      </c>
      <c r="L14" s="286">
        <v>-5.40855</v>
      </c>
      <c r="M14" s="287">
        <v>-7.9787400000000002</v>
      </c>
      <c r="N14" s="287">
        <v>-0.23563654291619684</v>
      </c>
      <c r="O14" s="286">
        <v>-121.83106345708381</v>
      </c>
      <c r="P14" s="286">
        <v>-122.38106345708381</v>
      </c>
      <c r="Q14" s="287">
        <v>0</v>
      </c>
      <c r="S14" s="254">
        <f t="shared" si="2"/>
        <v>-0.23563654291619684</v>
      </c>
    </row>
    <row r="15" spans="1:24" ht="30" customHeight="1" x14ac:dyDescent="0.2">
      <c r="A15" s="278" t="s">
        <v>226</v>
      </c>
      <c r="B15" s="301">
        <v>823066.98899999994</v>
      </c>
      <c r="C15" s="301">
        <v>1091422.263</v>
      </c>
      <c r="D15" s="301">
        <v>-122.833</v>
      </c>
      <c r="F15" s="285" t="str">
        <f t="shared" si="0"/>
        <v>C.514GRD</v>
      </c>
      <c r="G15" s="286">
        <v>-0.34564</v>
      </c>
      <c r="H15" s="287">
        <v>-9.9940300000000004</v>
      </c>
      <c r="I15" s="287">
        <v>-0.50256656694728008</v>
      </c>
      <c r="J15" s="245"/>
      <c r="K15" s="285" t="str">
        <f t="shared" si="3"/>
        <v>C.514GRD</v>
      </c>
      <c r="L15" s="288">
        <v>-0.34564</v>
      </c>
      <c r="M15" s="289">
        <v>-9.9940300000000004</v>
      </c>
      <c r="N15" s="289">
        <v>-0.50256656694728008</v>
      </c>
      <c r="O15" s="288">
        <v>-121.78043343305272</v>
      </c>
      <c r="P15" s="288">
        <v>-122.33043343305272</v>
      </c>
      <c r="Q15" s="289">
        <v>0</v>
      </c>
      <c r="S15" s="254">
        <f t="shared" si="2"/>
        <v>-0.50256656694728008</v>
      </c>
    </row>
    <row r="16" spans="1:24" ht="30" customHeight="1" x14ac:dyDescent="0.2">
      <c r="A16" s="278" t="s">
        <v>227</v>
      </c>
      <c r="B16" s="301">
        <v>823068.35985000001</v>
      </c>
      <c r="C16" s="301">
        <v>1091419.5895500001</v>
      </c>
      <c r="D16" s="301">
        <v>-122.4862</v>
      </c>
      <c r="F16" s="285" t="str">
        <f t="shared" si="0"/>
        <v>125GRD.5D</v>
      </c>
      <c r="G16" s="286">
        <v>-0.4582</v>
      </c>
      <c r="H16" s="287">
        <v>-12.99634</v>
      </c>
      <c r="I16" s="287">
        <v>-0.15464094640397263</v>
      </c>
      <c r="J16" s="245"/>
      <c r="K16" s="285" t="str">
        <f t="shared" si="3"/>
        <v>125GRD.5D</v>
      </c>
      <c r="L16" s="288">
        <v>-0.4582</v>
      </c>
      <c r="M16" s="289">
        <v>-12.99634</v>
      </c>
      <c r="N16" s="289">
        <v>-0.15464094640397263</v>
      </c>
      <c r="O16" s="288">
        <v>-121.78155905359603</v>
      </c>
      <c r="P16" s="288">
        <v>-122.33155905359602</v>
      </c>
      <c r="Q16" s="289">
        <v>0</v>
      </c>
      <c r="S16" s="254">
        <f t="shared" si="2"/>
        <v>-0.15464094640397263</v>
      </c>
    </row>
    <row r="17" spans="1:19" ht="30" customHeight="1" x14ac:dyDescent="0.2">
      <c r="A17" s="278" t="s">
        <v>228</v>
      </c>
      <c r="B17" s="301">
        <v>823070.26399999997</v>
      </c>
      <c r="C17" s="301">
        <v>1091415.0009999999</v>
      </c>
      <c r="D17" s="301">
        <v>-122.405</v>
      </c>
      <c r="F17" s="285" t="str">
        <f t="shared" si="0"/>
        <v>C.511GRD</v>
      </c>
      <c r="G17" s="286">
        <v>-0.24474000000000001</v>
      </c>
      <c r="H17" s="287">
        <v>-17.959710000000001</v>
      </c>
      <c r="I17" s="287">
        <v>-7.5575585362528841E-2</v>
      </c>
      <c r="J17" s="245"/>
      <c r="K17" s="285" t="str">
        <f t="shared" si="3"/>
        <v>C.511GRD</v>
      </c>
      <c r="L17" s="288">
        <v>-0.24474000000000001</v>
      </c>
      <c r="M17" s="289">
        <v>-17.959710000000001</v>
      </c>
      <c r="N17" s="289">
        <v>-7.5575585362528841E-2</v>
      </c>
      <c r="O17" s="288">
        <v>-121.77942441463748</v>
      </c>
      <c r="P17" s="288">
        <v>-122.32942441463747</v>
      </c>
      <c r="Q17" s="289">
        <v>0</v>
      </c>
      <c r="S17" s="254">
        <f t="shared" si="2"/>
        <v>-7.5575585362528841E-2</v>
      </c>
    </row>
    <row r="18" spans="1:19" ht="30" customHeight="1" x14ac:dyDescent="0.2">
      <c r="A18" s="278" t="s">
        <v>229</v>
      </c>
      <c r="B18" s="301">
        <v>823075.38945000002</v>
      </c>
      <c r="C18" s="301">
        <v>1091416.27645</v>
      </c>
      <c r="D18" s="301">
        <v>-122.35900000000001</v>
      </c>
      <c r="F18" s="285" t="str">
        <f t="shared" si="0"/>
        <v>131GRD.6G</v>
      </c>
      <c r="G18" s="286">
        <v>-5.4290099999999999</v>
      </c>
      <c r="H18" s="287">
        <v>-18.96987</v>
      </c>
      <c r="I18" s="287">
        <v>2.2268060817950186E-2</v>
      </c>
      <c r="J18" s="245"/>
      <c r="K18" s="285" t="str">
        <f t="shared" si="3"/>
        <v>131GRD.6G</v>
      </c>
      <c r="L18" s="288">
        <v>-5.4290099999999999</v>
      </c>
      <c r="M18" s="289">
        <v>-18.96987</v>
      </c>
      <c r="N18" s="289">
        <v>2.2268060817950186E-2</v>
      </c>
      <c r="O18" s="288">
        <v>-121.83126806081796</v>
      </c>
      <c r="P18" s="288">
        <v>-122.38126806081796</v>
      </c>
      <c r="Q18" s="289">
        <v>0</v>
      </c>
      <c r="S18" s="254">
        <f t="shared" si="2"/>
        <v>2.2268060817950186E-2</v>
      </c>
    </row>
    <row r="19" spans="1:19" ht="30" customHeight="1" x14ac:dyDescent="0.2">
      <c r="A19" s="278" t="s">
        <v>230</v>
      </c>
      <c r="B19" s="301">
        <v>823075.95400000003</v>
      </c>
      <c r="C19" s="301">
        <v>1091415.4750000001</v>
      </c>
      <c r="D19" s="301">
        <v>-122.342</v>
      </c>
      <c r="F19" s="285" t="str">
        <f t="shared" si="0"/>
        <v>C.512GRD</v>
      </c>
      <c r="G19" s="286">
        <v>-5.6019600000000001</v>
      </c>
      <c r="H19" s="287">
        <v>-19.934819999999998</v>
      </c>
      <c r="I19" s="287">
        <v>4.0997592383035908E-2</v>
      </c>
      <c r="J19" s="245"/>
      <c r="K19" s="285" t="str">
        <f t="shared" si="3"/>
        <v>C.512GRD</v>
      </c>
      <c r="L19" s="288">
        <v>-5.6019600000000001</v>
      </c>
      <c r="M19" s="289">
        <v>-19.934819999999998</v>
      </c>
      <c r="N19" s="289">
        <v>4.0997592383035908E-2</v>
      </c>
      <c r="O19" s="288">
        <v>-121.83299759238304</v>
      </c>
      <c r="P19" s="288">
        <v>-122.38299759238303</v>
      </c>
      <c r="Q19" s="289">
        <v>0</v>
      </c>
      <c r="S19" s="254">
        <f t="shared" si="2"/>
        <v>4.0997592383035908E-2</v>
      </c>
    </row>
    <row r="20" spans="1:19" ht="30" customHeight="1" x14ac:dyDescent="0.2">
      <c r="A20" s="278" t="s">
        <v>231</v>
      </c>
      <c r="B20" s="301">
        <v>823075.96100000001</v>
      </c>
      <c r="C20" s="301">
        <v>1091415.473</v>
      </c>
      <c r="D20" s="301">
        <v>-122.34099999999999</v>
      </c>
      <c r="F20" s="285" t="str">
        <f t="shared" si="0"/>
        <v>C.510GRD</v>
      </c>
      <c r="G20" s="286">
        <v>-5.60745</v>
      </c>
      <c r="H20" s="287">
        <v>-19.939589999999999</v>
      </c>
      <c r="I20" s="287">
        <v>4.2052493385028811E-2</v>
      </c>
      <c r="J20" s="245"/>
      <c r="K20" s="285" t="str">
        <f t="shared" si="3"/>
        <v>C.510GRD</v>
      </c>
      <c r="L20" s="288">
        <v>-5.60745</v>
      </c>
      <c r="M20" s="289">
        <v>-19.939589999999999</v>
      </c>
      <c r="N20" s="289">
        <v>4.2052493385028811E-2</v>
      </c>
      <c r="O20" s="288">
        <v>-121.83305249338503</v>
      </c>
      <c r="P20" s="288">
        <v>-122.38305249338502</v>
      </c>
      <c r="Q20" s="289">
        <v>0</v>
      </c>
      <c r="S20" s="254">
        <f t="shared" si="2"/>
        <v>4.2052493385028811E-2</v>
      </c>
    </row>
    <row r="21" spans="1:19" ht="30" customHeight="1" x14ac:dyDescent="0.2">
      <c r="A21" s="278" t="s">
        <v>232</v>
      </c>
      <c r="B21" s="301">
        <v>823076.99600000004</v>
      </c>
      <c r="C21" s="301">
        <v>1091412.584</v>
      </c>
      <c r="D21" s="301">
        <v>-121.428</v>
      </c>
      <c r="F21" s="285" t="str">
        <f t="shared" si="0"/>
        <v>135GRD.8G</v>
      </c>
      <c r="G21" s="286">
        <v>-5.3245399999999998</v>
      </c>
      <c r="H21" s="287">
        <v>-22.99532</v>
      </c>
      <c r="I21" s="287">
        <v>0.95222334175115009</v>
      </c>
      <c r="J21" s="245"/>
      <c r="K21" s="285" t="str">
        <f t="shared" si="3"/>
        <v>135GRD.8G</v>
      </c>
      <c r="L21" s="288">
        <v>-5.3245399999999998</v>
      </c>
      <c r="M21" s="289">
        <v>-22.99532</v>
      </c>
      <c r="N21" s="289">
        <v>0.95222334175115009</v>
      </c>
      <c r="O21" s="288">
        <v>-121.83022334175115</v>
      </c>
      <c r="P21" s="288">
        <v>-122.38022334175115</v>
      </c>
      <c r="Q21" s="289">
        <v>0</v>
      </c>
      <c r="S21" s="254">
        <f t="shared" si="2"/>
        <v>0.95222334175115009</v>
      </c>
    </row>
    <row r="22" spans="1:19" ht="30" customHeight="1" x14ac:dyDescent="0.2">
      <c r="A22" s="278" t="s">
        <v>233</v>
      </c>
      <c r="B22" s="301">
        <v>823072.70929999999</v>
      </c>
      <c r="C22" s="301">
        <v>1091410.5811000001</v>
      </c>
      <c r="D22" s="301">
        <v>-121.4657</v>
      </c>
      <c r="F22" s="285" t="str">
        <f t="shared" si="0"/>
        <v>135GRD.10D</v>
      </c>
      <c r="G22" s="286">
        <v>-0.59301000000000004</v>
      </c>
      <c r="H22" s="287">
        <v>-22.998930000000001</v>
      </c>
      <c r="I22" s="287">
        <v>0.86720717820018933</v>
      </c>
      <c r="J22" s="245"/>
      <c r="K22" s="285" t="str">
        <f t="shared" si="3"/>
        <v>135GRD.10D</v>
      </c>
      <c r="L22" s="288">
        <v>-0.59301000000000004</v>
      </c>
      <c r="M22" s="289">
        <v>-22.998930000000001</v>
      </c>
      <c r="N22" s="289">
        <v>0.86720717820018933</v>
      </c>
      <c r="O22" s="288">
        <v>-121.78290717820019</v>
      </c>
      <c r="P22" s="288">
        <v>-122.33290717820019</v>
      </c>
      <c r="Q22" s="289">
        <v>0</v>
      </c>
      <c r="S22" s="254">
        <f t="shared" si="2"/>
        <v>0.86720717820018933</v>
      </c>
    </row>
    <row r="23" spans="1:19" ht="30" customHeight="1" x14ac:dyDescent="0.2">
      <c r="A23" s="278" t="s">
        <v>234</v>
      </c>
      <c r="B23" s="301">
        <v>823073.01599999995</v>
      </c>
      <c r="C23" s="301">
        <v>1091409.6340000001</v>
      </c>
      <c r="D23" s="301">
        <v>-122.242</v>
      </c>
      <c r="F23" s="285" t="str">
        <f t="shared" si="0"/>
        <v>136GRD.4D</v>
      </c>
      <c r="G23" s="286">
        <v>-0.47071000000000002</v>
      </c>
      <c r="H23" s="287">
        <v>-23.986910000000002</v>
      </c>
      <c r="I23" s="287">
        <v>8.9684155879226068E-2</v>
      </c>
      <c r="J23" s="245"/>
      <c r="K23" s="285" t="str">
        <f t="shared" si="3"/>
        <v>136GRD.4D</v>
      </c>
      <c r="L23" s="288">
        <v>-0.47071000000000002</v>
      </c>
      <c r="M23" s="289">
        <v>-23.986910000000002</v>
      </c>
      <c r="N23" s="289">
        <v>8.9684155879226068E-2</v>
      </c>
      <c r="O23" s="288">
        <v>-121.78168415587923</v>
      </c>
      <c r="P23" s="288">
        <v>-122.33168415587923</v>
      </c>
      <c r="Q23" s="289">
        <v>0</v>
      </c>
      <c r="S23" s="254">
        <f t="shared" si="2"/>
        <v>8.9684155879226068E-2</v>
      </c>
    </row>
    <row r="24" spans="1:19" ht="30" customHeight="1" x14ac:dyDescent="0.2">
      <c r="A24" s="278" t="s">
        <v>235</v>
      </c>
      <c r="B24" s="301">
        <v>823074.79920000001</v>
      </c>
      <c r="C24" s="301">
        <v>1091404.4835000001</v>
      </c>
      <c r="D24" s="301">
        <v>-120.70950000000001</v>
      </c>
      <c r="F24" s="285" t="str">
        <f t="shared" si="0"/>
        <v>C.142GRD.7D</v>
      </c>
      <c r="G24" s="286">
        <v>8.9880000000000002E-2</v>
      </c>
      <c r="H24" s="287">
        <v>-29.408460000000002</v>
      </c>
      <c r="I24" s="287">
        <v>1.6165781715800165</v>
      </c>
      <c r="J24" s="245"/>
      <c r="K24" s="285" t="str">
        <f t="shared" si="3"/>
        <v>C.142GRD.7D</v>
      </c>
      <c r="L24" s="288">
        <v>8.9880000000000002E-2</v>
      </c>
      <c r="M24" s="289">
        <v>-29.408460000000002</v>
      </c>
      <c r="N24" s="289">
        <v>1.6165781715800165</v>
      </c>
      <c r="O24" s="288">
        <v>-121.77607817158002</v>
      </c>
      <c r="P24" s="288">
        <v>-122.32607817158002</v>
      </c>
      <c r="Q24" s="289">
        <v>0</v>
      </c>
      <c r="S24" s="254">
        <f t="shared" si="2"/>
        <v>1.6165781715800165</v>
      </c>
    </row>
    <row r="25" spans="1:19" ht="30" customHeight="1" x14ac:dyDescent="0.2">
      <c r="A25" s="278" t="s">
        <v>236</v>
      </c>
      <c r="B25" s="301">
        <v>823080.29619999998</v>
      </c>
      <c r="C25" s="301">
        <v>1091406.6398</v>
      </c>
      <c r="D25" s="301">
        <v>-119.8567</v>
      </c>
      <c r="F25" s="285" t="str">
        <f t="shared" si="0"/>
        <v>C.02GRD.4G</v>
      </c>
      <c r="G25" s="286">
        <v>-5.8034100000000004</v>
      </c>
      <c r="H25" s="287">
        <v>-29.77732</v>
      </c>
      <c r="I25" s="287">
        <v>2.5283121291496542</v>
      </c>
      <c r="J25" s="245"/>
      <c r="K25" s="285" t="str">
        <f t="shared" si="3"/>
        <v>C.02GRD.4G</v>
      </c>
      <c r="L25" s="288">
        <v>-5.8034100000000004</v>
      </c>
      <c r="M25" s="289">
        <v>-29.77732</v>
      </c>
      <c r="N25" s="289">
        <v>2.5283121291496542</v>
      </c>
      <c r="O25" s="288">
        <v>-121.83501212914966</v>
      </c>
      <c r="P25" s="288">
        <v>-122.38501212914966</v>
      </c>
      <c r="Q25" s="289">
        <v>0</v>
      </c>
      <c r="S25" s="254">
        <f t="shared" si="2"/>
        <v>2.5283121291496542</v>
      </c>
    </row>
    <row r="26" spans="1:19" ht="30" customHeight="1" x14ac:dyDescent="0.2">
      <c r="A26" s="278" t="s">
        <v>237</v>
      </c>
      <c r="B26" s="301">
        <v>823061.60199999996</v>
      </c>
      <c r="C26" s="301">
        <v>1091433.7180000001</v>
      </c>
      <c r="D26" s="301">
        <v>-122.158</v>
      </c>
      <c r="F26" s="285" t="str">
        <f t="shared" si="0"/>
        <v>C194.1</v>
      </c>
      <c r="G26" s="286">
        <v>-0.30446000000000001</v>
      </c>
      <c r="H26" s="287">
        <v>2.66438</v>
      </c>
      <c r="I26" s="287">
        <v>0.17202162553695644</v>
      </c>
      <c r="J26" s="245"/>
      <c r="K26" s="285" t="str">
        <f t="shared" si="3"/>
        <v>C194.1</v>
      </c>
      <c r="L26" s="288">
        <v>-0.30446000000000001</v>
      </c>
      <c r="M26" s="289">
        <v>2.66438</v>
      </c>
      <c r="N26" s="289">
        <v>0.17202162553695644</v>
      </c>
      <c r="O26" s="288">
        <v>-121.78002162553696</v>
      </c>
      <c r="P26" s="288">
        <v>-122.33002162553696</v>
      </c>
      <c r="Q26" s="289">
        <v>0</v>
      </c>
      <c r="S26" s="254">
        <f t="shared" si="2"/>
        <v>0.17202162553695644</v>
      </c>
    </row>
    <row r="27" spans="1:19" ht="30" customHeight="1" x14ac:dyDescent="0.2">
      <c r="A27" s="278" t="s">
        <v>238</v>
      </c>
      <c r="B27" s="301">
        <v>823063.32499999995</v>
      </c>
      <c r="C27" s="301">
        <v>1091430.3430000001</v>
      </c>
      <c r="D27" s="301">
        <v>-121.861</v>
      </c>
      <c r="F27" s="285" t="str">
        <f t="shared" si="0"/>
        <v>C195.1</v>
      </c>
      <c r="G27" s="286">
        <v>-0.43969000000000003</v>
      </c>
      <c r="H27" s="287">
        <v>-1.12259</v>
      </c>
      <c r="I27" s="287">
        <v>0.47037395021776263</v>
      </c>
      <c r="K27" s="285" t="str">
        <f t="shared" si="3"/>
        <v>C195.1</v>
      </c>
      <c r="L27" s="288">
        <v>-0.43969000000000003</v>
      </c>
      <c r="M27" s="289">
        <v>-1.12259</v>
      </c>
      <c r="N27" s="289">
        <v>0.47037395021776263</v>
      </c>
      <c r="O27" s="288">
        <v>-121.78137395021777</v>
      </c>
      <c r="P27" s="288">
        <v>-122.33137395021777</v>
      </c>
      <c r="Q27" s="289">
        <v>0</v>
      </c>
      <c r="S27" s="254">
        <f t="shared" si="2"/>
        <v>0.47037395021776263</v>
      </c>
    </row>
    <row r="28" spans="1:19" ht="30" customHeight="1" x14ac:dyDescent="0.2">
      <c r="A28" s="278" t="s">
        <v>239</v>
      </c>
      <c r="B28" s="301">
        <v>823068.78760000004</v>
      </c>
      <c r="C28" s="301">
        <v>1091430.9656</v>
      </c>
      <c r="D28" s="301">
        <v>-121.92140000000001</v>
      </c>
      <c r="F28" s="285" t="str">
        <f t="shared" si="0"/>
        <v>C.196GRD.2</v>
      </c>
      <c r="G28" s="286">
        <v>-5.6536099999999996</v>
      </c>
      <c r="H28" s="287">
        <v>-2.8669099999999998</v>
      </c>
      <c r="I28" s="287">
        <v>0.46211410180967505</v>
      </c>
      <c r="K28" s="285" t="str">
        <f t="shared" si="3"/>
        <v>C.196GRD.2</v>
      </c>
      <c r="L28" s="288">
        <v>-5.6536099999999996</v>
      </c>
      <c r="M28" s="289">
        <v>-2.8669099999999998</v>
      </c>
      <c r="N28" s="289">
        <v>0.46211410180967505</v>
      </c>
      <c r="O28" s="288">
        <v>-121.83351410180968</v>
      </c>
      <c r="P28" s="288">
        <v>-122.38351410180968</v>
      </c>
      <c r="Q28" s="289">
        <v>0</v>
      </c>
      <c r="S28" s="254">
        <f t="shared" si="2"/>
        <v>0.46211410180967505</v>
      </c>
    </row>
    <row r="29" spans="1:19" ht="30" customHeight="1" x14ac:dyDescent="0.2">
      <c r="A29" s="278" t="s">
        <v>240</v>
      </c>
      <c r="B29" s="301">
        <v>823075.826</v>
      </c>
      <c r="C29" s="301">
        <v>1091440.3689999999</v>
      </c>
      <c r="D29" s="301">
        <v>-122.46299999999999</v>
      </c>
      <c r="F29" s="285" t="str">
        <f t="shared" si="0"/>
        <v>C200.1</v>
      </c>
      <c r="G29" s="286">
        <v>-16.006620000000002</v>
      </c>
      <c r="H29" s="287">
        <v>2.6808999999999998</v>
      </c>
      <c r="I29" s="287">
        <v>2.4046091336273889E-2</v>
      </c>
      <c r="K29" s="285" t="str">
        <f t="shared" si="3"/>
        <v>C200.1</v>
      </c>
      <c r="L29" s="288">
        <v>-16.006620000000002</v>
      </c>
      <c r="M29" s="289">
        <v>2.6808999999999998</v>
      </c>
      <c r="N29" s="289">
        <v>2.4046091336273889E-2</v>
      </c>
      <c r="O29" s="288">
        <v>-121.93704609133627</v>
      </c>
      <c r="P29" s="288">
        <v>-122.48704609133627</v>
      </c>
      <c r="Q29" s="289">
        <v>0</v>
      </c>
      <c r="S29" s="254">
        <f t="shared" si="2"/>
        <v>2.4046091336273889E-2</v>
      </c>
    </row>
    <row r="30" spans="1:19" ht="30" customHeight="1" x14ac:dyDescent="0.2">
      <c r="A30" s="278" t="s">
        <v>241</v>
      </c>
      <c r="B30" s="301">
        <v>823066.31099999999</v>
      </c>
      <c r="C30" s="301">
        <v>1091436.1524999999</v>
      </c>
      <c r="D30" s="301">
        <v>-121.968</v>
      </c>
      <c r="F30" s="285" t="str">
        <f t="shared" si="0"/>
        <v>C201.1</v>
      </c>
      <c r="G30" s="286">
        <v>-5.6011300000000004</v>
      </c>
      <c r="H30" s="287">
        <v>2.8806699999999998</v>
      </c>
      <c r="I30" s="287">
        <v>0.41498929223155301</v>
      </c>
      <c r="K30" s="285" t="str">
        <f t="shared" si="3"/>
        <v>C201.1</v>
      </c>
      <c r="L30" s="286">
        <v>-5.6011300000000004</v>
      </c>
      <c r="M30" s="287">
        <v>2.8806699999999998</v>
      </c>
      <c r="N30" s="287">
        <v>0.41498929223155301</v>
      </c>
      <c r="O30" s="286">
        <v>-121.83298929223156</v>
      </c>
      <c r="P30" s="286">
        <v>-122.38298929223156</v>
      </c>
      <c r="Q30" s="287">
        <v>0</v>
      </c>
      <c r="S30" s="254">
        <f t="shared" si="2"/>
        <v>0.41498929223155301</v>
      </c>
    </row>
    <row r="31" spans="1:19" ht="30" customHeight="1" x14ac:dyDescent="0.2">
      <c r="A31" s="278" t="s">
        <v>242</v>
      </c>
      <c r="B31" s="301">
        <v>823075.93394999998</v>
      </c>
      <c r="C31" s="301">
        <v>1091440.2426</v>
      </c>
      <c r="D31" s="301">
        <v>-122.65049999999999</v>
      </c>
      <c r="F31" s="285" t="str">
        <f t="shared" si="0"/>
        <v>011GVA.2G</v>
      </c>
      <c r="G31" s="286">
        <v>-16.051030000000001</v>
      </c>
      <c r="H31" s="287">
        <v>2.5207199999999998</v>
      </c>
      <c r="I31" s="287">
        <v>-0.16300980055845571</v>
      </c>
      <c r="K31" s="285" t="str">
        <f t="shared" si="3"/>
        <v>011GVA.2G</v>
      </c>
      <c r="L31" s="286">
        <v>-16.051030000000001</v>
      </c>
      <c r="M31" s="287">
        <v>2.5207199999999998</v>
      </c>
      <c r="N31" s="287">
        <v>-0.16300980055845571</v>
      </c>
      <c r="O31" s="286">
        <v>-121.93749019944154</v>
      </c>
      <c r="P31" s="286">
        <v>-122.48749019944154</v>
      </c>
      <c r="Q31" s="287">
        <v>0</v>
      </c>
      <c r="S31" s="254">
        <f t="shared" si="2"/>
        <v>-0.16300980055845571</v>
      </c>
    </row>
    <row r="32" spans="1:19" ht="30" customHeight="1" x14ac:dyDescent="0.2">
      <c r="A32" s="278" t="s">
        <v>243</v>
      </c>
      <c r="B32" s="301">
        <v>823059.86540000001</v>
      </c>
      <c r="C32" s="301">
        <v>1091437.932</v>
      </c>
      <c r="D32" s="301">
        <v>-123.1134</v>
      </c>
      <c r="F32" s="285" t="str">
        <f t="shared" si="0"/>
        <v>101GRD.1D</v>
      </c>
      <c r="G32" s="286">
        <v>-0.51148000000000005</v>
      </c>
      <c r="H32" s="287">
        <v>7.2174699999999996</v>
      </c>
      <c r="I32" s="287">
        <v>-0.78130813667984</v>
      </c>
      <c r="K32" s="285" t="str">
        <f t="shared" si="3"/>
        <v>101GRD.1D</v>
      </c>
      <c r="L32" s="286">
        <v>-0.51148000000000005</v>
      </c>
      <c r="M32" s="287">
        <v>7.2174699999999996</v>
      </c>
      <c r="N32" s="287">
        <v>-0.78130813667984</v>
      </c>
      <c r="O32" s="286">
        <v>-121.78209186332016</v>
      </c>
      <c r="P32" s="286">
        <v>-122.33209186332016</v>
      </c>
      <c r="Q32" s="287">
        <v>0</v>
      </c>
      <c r="S32" s="254">
        <f t="shared" si="2"/>
        <v>-0.78130813667984</v>
      </c>
    </row>
    <row r="33" spans="1:19" ht="30" customHeight="1" x14ac:dyDescent="0.2">
      <c r="A33" s="278" t="s">
        <v>244</v>
      </c>
      <c r="B33" s="301">
        <v>823064.2683</v>
      </c>
      <c r="C33" s="301">
        <v>1091439.9623</v>
      </c>
      <c r="D33" s="301">
        <v>-123.1016</v>
      </c>
      <c r="F33" s="285" t="str">
        <f t="shared" si="0"/>
        <v>101GRD.1G</v>
      </c>
      <c r="G33" s="286">
        <v>-5.3598999999999997</v>
      </c>
      <c r="H33" s="287">
        <v>7.1967999999999996</v>
      </c>
      <c r="I33" s="287">
        <v>-0.72102305179529935</v>
      </c>
      <c r="K33" s="285" t="str">
        <f t="shared" si="3"/>
        <v>101GRD.1G</v>
      </c>
      <c r="L33" s="288">
        <v>-5.3598999999999997</v>
      </c>
      <c r="M33" s="289">
        <v>7.1967999999999996</v>
      </c>
      <c r="N33" s="289">
        <v>-0.72102305179529935</v>
      </c>
      <c r="O33" s="288">
        <v>-121.83057694820471</v>
      </c>
      <c r="P33" s="288">
        <v>-122.38057694820471</v>
      </c>
      <c r="Q33" s="289">
        <v>0</v>
      </c>
      <c r="S33" s="254">
        <f t="shared" si="2"/>
        <v>-0.72102305179529935</v>
      </c>
    </row>
    <row r="34" spans="1:19" ht="30" customHeight="1" x14ac:dyDescent="0.2">
      <c r="A34" s="280" t="s">
        <v>245</v>
      </c>
      <c r="B34" s="281">
        <v>823069.40639999998</v>
      </c>
      <c r="C34" s="281">
        <v>1091431.3256999999</v>
      </c>
      <c r="D34" s="281">
        <v>-122.9242</v>
      </c>
      <c r="F34" s="285" t="str">
        <f t="shared" si="0"/>
        <v>001GVA.1BD</v>
      </c>
      <c r="G34" s="286">
        <v>-6.3666200000000002</v>
      </c>
      <c r="H34" s="287">
        <v>-2.8020700000000001</v>
      </c>
      <c r="I34" s="287">
        <v>-0.53355566805895194</v>
      </c>
      <c r="K34" s="285" t="str">
        <f t="shared" si="3"/>
        <v>001GVA.1BD</v>
      </c>
      <c r="L34" s="288">
        <v>-6.3666200000000002</v>
      </c>
      <c r="M34" s="289">
        <v>-2.8020700000000001</v>
      </c>
      <c r="N34" s="289">
        <v>-0.53355566805895194</v>
      </c>
      <c r="O34" s="288">
        <v>-121.84064433194105</v>
      </c>
      <c r="P34" s="288">
        <v>-122.39064433194105</v>
      </c>
      <c r="Q34" s="289">
        <v>0</v>
      </c>
      <c r="S34" s="254">
        <f t="shared" si="2"/>
        <v>-0.53355566805895194</v>
      </c>
    </row>
    <row r="35" spans="1:19" ht="30" customHeight="1" x14ac:dyDescent="0.2">
      <c r="A35" s="280" t="s">
        <v>246</v>
      </c>
      <c r="B35" s="281">
        <v>823072.29599999997</v>
      </c>
      <c r="C35" s="281">
        <v>1091432.9049</v>
      </c>
      <c r="D35" s="281">
        <v>-122.9905</v>
      </c>
      <c r="F35" s="285" t="str">
        <f t="shared" si="0"/>
        <v>005GVA.1BD</v>
      </c>
      <c r="G35" s="286">
        <v>-9.6528799999999997</v>
      </c>
      <c r="H35" s="287">
        <v>-2.5920299999999998</v>
      </c>
      <c r="I35" s="287">
        <v>-0.56699246828404171</v>
      </c>
      <c r="K35" s="285" t="str">
        <f t="shared" si="3"/>
        <v>005GVA.1BD</v>
      </c>
      <c r="L35" s="288">
        <v>-9.6528799999999997</v>
      </c>
      <c r="M35" s="289">
        <v>-2.5920299999999998</v>
      </c>
      <c r="N35" s="289">
        <v>-0.56699246828404171</v>
      </c>
      <c r="O35" s="288">
        <v>-121.87350753171596</v>
      </c>
      <c r="P35" s="288">
        <v>-122.42350753171596</v>
      </c>
      <c r="Q35" s="289">
        <v>0</v>
      </c>
      <c r="S35" s="254">
        <f t="shared" si="2"/>
        <v>-0.56699246828404171</v>
      </c>
    </row>
    <row r="36" spans="1:19" ht="30" customHeight="1" x14ac:dyDescent="0.2">
      <c r="A36" s="280" t="s">
        <v>247</v>
      </c>
      <c r="B36" s="281">
        <v>823070.01529999997</v>
      </c>
      <c r="C36" s="281">
        <v>1091437.7138</v>
      </c>
      <c r="D36" s="281">
        <v>-122.7891</v>
      </c>
      <c r="F36" s="285" t="str">
        <f t="shared" si="0"/>
        <v>005GVA.1BG</v>
      </c>
      <c r="G36" s="286">
        <v>-9.6181999999999999</v>
      </c>
      <c r="H36" s="287">
        <v>2.7301799999999998</v>
      </c>
      <c r="I36" s="287">
        <v>-0.36593927461349551</v>
      </c>
      <c r="K36" s="285" t="str">
        <f t="shared" si="3"/>
        <v>005GVA.1BG</v>
      </c>
      <c r="L36" s="286">
        <v>-9.6181999999999999</v>
      </c>
      <c r="M36" s="287">
        <v>2.7301799999999998</v>
      </c>
      <c r="N36" s="287">
        <v>-0.36593927461349551</v>
      </c>
      <c r="O36" s="286">
        <v>-121.87316072538651</v>
      </c>
      <c r="P36" s="286">
        <v>-122.42316072538651</v>
      </c>
      <c r="Q36" s="287">
        <v>0</v>
      </c>
      <c r="S36" s="254">
        <f t="shared" si="2"/>
        <v>-0.36593927461349551</v>
      </c>
    </row>
    <row r="37" spans="1:19" ht="30" customHeight="1" x14ac:dyDescent="0.2">
      <c r="A37" s="280" t="s">
        <v>248</v>
      </c>
      <c r="B37" s="281">
        <v>823065.85060000001</v>
      </c>
      <c r="C37" s="281">
        <v>1091436.9913000001</v>
      </c>
      <c r="D37" s="281">
        <v>-122.60809999999999</v>
      </c>
      <c r="F37" s="285" t="str">
        <f t="shared" si="0"/>
        <v>106GRD.1BG</v>
      </c>
      <c r="G37" s="286">
        <v>-5.5383599999999999</v>
      </c>
      <c r="H37" s="287">
        <v>3.8354499999999998</v>
      </c>
      <c r="I37" s="287">
        <v>-0.22573841922458371</v>
      </c>
      <c r="K37" s="285" t="str">
        <f t="shared" si="3"/>
        <v>106GRD.1BG</v>
      </c>
      <c r="L37" s="286">
        <v>-5.5383599999999999</v>
      </c>
      <c r="M37" s="287">
        <v>3.8354499999999998</v>
      </c>
      <c r="N37" s="287">
        <v>-0.22573841922458371</v>
      </c>
      <c r="O37" s="286">
        <v>-121.83236158077541</v>
      </c>
      <c r="P37" s="286">
        <v>-122.38236158077541</v>
      </c>
      <c r="Q37" s="287">
        <v>0</v>
      </c>
      <c r="S37" s="254">
        <f t="shared" si="2"/>
        <v>-0.22573841922458371</v>
      </c>
    </row>
    <row r="38" spans="1:19" ht="30" customHeight="1" x14ac:dyDescent="0.2">
      <c r="A38" s="280" t="s">
        <v>249</v>
      </c>
      <c r="B38" s="281">
        <v>823056.94440000004</v>
      </c>
      <c r="C38" s="281">
        <v>1091442.4034</v>
      </c>
      <c r="D38" s="281">
        <v>-123.4635</v>
      </c>
      <c r="F38" s="285" t="str">
        <f t="shared" si="0"/>
        <v>096GRD.1D</v>
      </c>
      <c r="G38" s="286">
        <v>0.24617</v>
      </c>
      <c r="H38" s="287">
        <v>12.5044</v>
      </c>
      <c r="I38" s="287">
        <v>-1.1389847256203609</v>
      </c>
      <c r="K38" s="285" t="str">
        <f t="shared" si="3"/>
        <v>096GRD.1D</v>
      </c>
      <c r="L38" s="286">
        <v>0.24617</v>
      </c>
      <c r="M38" s="287">
        <v>12.5044</v>
      </c>
      <c r="N38" s="287">
        <v>-1.1389847256203609</v>
      </c>
      <c r="O38" s="286">
        <v>-121.77451527437964</v>
      </c>
      <c r="P38" s="286">
        <v>-122.32451527437964</v>
      </c>
      <c r="Q38" s="287">
        <v>0</v>
      </c>
      <c r="S38" s="254">
        <f t="shared" si="2"/>
        <v>-1.1389847256203609</v>
      </c>
    </row>
    <row r="39" spans="1:19" ht="30" customHeight="1" x14ac:dyDescent="0.2">
      <c r="A39" s="280" t="s">
        <v>250</v>
      </c>
      <c r="B39" s="281">
        <v>823062.60809999995</v>
      </c>
      <c r="C39" s="281">
        <v>1091445.2268000001</v>
      </c>
      <c r="D39" s="281">
        <v>-123.581</v>
      </c>
      <c r="F39" s="285" t="str">
        <f t="shared" si="0"/>
        <v>096GRD.1G</v>
      </c>
      <c r="G39" s="286">
        <v>-6.0801299999999996</v>
      </c>
      <c r="H39" s="287">
        <v>12.669689999999999</v>
      </c>
      <c r="I39" s="287">
        <v>-1.1932206203462101</v>
      </c>
      <c r="K39" s="285" t="str">
        <f t="shared" si="3"/>
        <v>096GRD.1G</v>
      </c>
      <c r="L39" s="288">
        <v>-6.0801299999999996</v>
      </c>
      <c r="M39" s="289">
        <v>12.669689999999999</v>
      </c>
      <c r="N39" s="289">
        <v>-1.1932206203462101</v>
      </c>
      <c r="O39" s="288">
        <v>-121.8377793796538</v>
      </c>
      <c r="P39" s="288">
        <v>-122.38777937965379</v>
      </c>
      <c r="Q39" s="289">
        <v>0</v>
      </c>
      <c r="S39" s="254">
        <f t="shared" si="2"/>
        <v>-1.1932206203462101</v>
      </c>
    </row>
    <row r="40" spans="1:19" ht="30" customHeight="1" x14ac:dyDescent="0.2">
      <c r="A40" s="280" t="s">
        <v>251</v>
      </c>
      <c r="B40" s="281">
        <v>823059.95200000005</v>
      </c>
      <c r="C40" s="281">
        <v>1091432.811</v>
      </c>
      <c r="D40" s="281">
        <v>-122.50700000000001</v>
      </c>
      <c r="F40" s="285" t="str">
        <f t="shared" si="0"/>
        <v>03GGS.3D</v>
      </c>
      <c r="G40" s="286">
        <v>1.57429</v>
      </c>
      <c r="H40" s="287">
        <v>2.5396700000000001</v>
      </c>
      <c r="I40" s="287">
        <v>-0.1957659018298159</v>
      </c>
      <c r="K40" s="285" t="str">
        <f t="shared" si="3"/>
        <v>03GGS.3D</v>
      </c>
      <c r="L40" s="288">
        <v>1.57429</v>
      </c>
      <c r="M40" s="289">
        <v>2.5396700000000001</v>
      </c>
      <c r="N40" s="289">
        <v>-0.1957659018298159</v>
      </c>
      <c r="O40" s="288">
        <v>-121.76123409817019</v>
      </c>
      <c r="P40" s="288">
        <v>-122.31123409817019</v>
      </c>
      <c r="Q40" s="289">
        <v>0</v>
      </c>
      <c r="S40" s="254">
        <f t="shared" si="2"/>
        <v>-0.1957659018298159</v>
      </c>
    </row>
    <row r="41" spans="1:19" ht="30" customHeight="1" x14ac:dyDescent="0.2">
      <c r="A41" s="280" t="s">
        <v>252</v>
      </c>
      <c r="B41" s="281">
        <v>823062.13</v>
      </c>
      <c r="C41" s="281">
        <v>1091428.2120000001</v>
      </c>
      <c r="D41" s="281">
        <v>-122.477</v>
      </c>
      <c r="F41" s="285" t="str">
        <f t="shared" si="0"/>
        <v>03GGS.3G</v>
      </c>
      <c r="G41" s="286">
        <v>1.5439700000000001</v>
      </c>
      <c r="H41" s="287">
        <v>-2.5489000000000002</v>
      </c>
      <c r="I41" s="287">
        <v>-0.1654627023729347</v>
      </c>
      <c r="K41" s="285" t="str">
        <f t="shared" si="3"/>
        <v>03GGS.3G</v>
      </c>
      <c r="L41" s="288">
        <v>1.5439700000000001</v>
      </c>
      <c r="M41" s="289">
        <v>-2.5489000000000002</v>
      </c>
      <c r="N41" s="289">
        <v>-0.1654627023729347</v>
      </c>
      <c r="O41" s="288">
        <v>-121.76153729762707</v>
      </c>
      <c r="P41" s="288">
        <v>-122.31153729762707</v>
      </c>
      <c r="Q41" s="289">
        <v>0</v>
      </c>
      <c r="S41" s="254">
        <f t="shared" si="2"/>
        <v>-0.1654627023729347</v>
      </c>
    </row>
    <row r="42" spans="1:19" ht="30" customHeight="1" x14ac:dyDescent="0.2">
      <c r="A42" s="280" t="s">
        <v>253</v>
      </c>
      <c r="B42" s="281">
        <v>823053.64199999999</v>
      </c>
      <c r="C42" s="281">
        <v>1091429.885</v>
      </c>
      <c r="D42" s="281">
        <v>-122.309</v>
      </c>
      <c r="F42" s="285" t="str">
        <f t="shared" si="0"/>
        <v>10GGS.3D</v>
      </c>
      <c r="G42" s="286">
        <v>8.5296699999999994</v>
      </c>
      <c r="H42" s="287">
        <v>2.5545399999999998</v>
      </c>
      <c r="I42" s="287">
        <v>-6.7319577238436068E-2</v>
      </c>
      <c r="K42" s="285" t="str">
        <f t="shared" si="3"/>
        <v>10GGS.3D</v>
      </c>
      <c r="L42" s="286">
        <v>8.5296699999999994</v>
      </c>
      <c r="M42" s="287">
        <v>2.5545399999999998</v>
      </c>
      <c r="N42" s="287">
        <v>-6.7319577238436068E-2</v>
      </c>
      <c r="O42" s="286">
        <v>-121.69168042276156</v>
      </c>
      <c r="P42" s="286">
        <v>-122.24168042276156</v>
      </c>
      <c r="Q42" s="287">
        <v>0</v>
      </c>
      <c r="S42" s="254">
        <f t="shared" si="2"/>
        <v>-6.7319577238436068E-2</v>
      </c>
    </row>
    <row r="43" spans="1:19" ht="30" customHeight="1" x14ac:dyDescent="0.2">
      <c r="A43" s="280" t="s">
        <v>254</v>
      </c>
      <c r="B43" s="281">
        <v>823055.78599999996</v>
      </c>
      <c r="C43" s="281">
        <v>1091425.2560000001</v>
      </c>
      <c r="D43" s="281">
        <v>-122.32299999999999</v>
      </c>
      <c r="F43" s="285" t="str">
        <f t="shared" si="0"/>
        <v>10GGS.3G</v>
      </c>
      <c r="G43" s="286">
        <v>8.5428499999999996</v>
      </c>
      <c r="H43" s="287">
        <v>-2.5468500000000001</v>
      </c>
      <c r="I43" s="287">
        <v>-8.1451377002338177E-2</v>
      </c>
      <c r="K43" s="285" t="str">
        <f t="shared" si="3"/>
        <v>10GGS.3G</v>
      </c>
      <c r="L43" s="286">
        <v>8.5428499999999996</v>
      </c>
      <c r="M43" s="287">
        <v>-2.5468500000000001</v>
      </c>
      <c r="N43" s="287">
        <v>-8.1451377002338177E-2</v>
      </c>
      <c r="O43" s="286">
        <v>-121.69154862299766</v>
      </c>
      <c r="P43" s="286">
        <v>-122.24154862299766</v>
      </c>
      <c r="Q43" s="287">
        <v>0</v>
      </c>
      <c r="S43" s="254">
        <f t="shared" si="2"/>
        <v>-8.1451377002338177E-2</v>
      </c>
    </row>
    <row r="44" spans="1:19" ht="30" customHeight="1" x14ac:dyDescent="0.2">
      <c r="A44" s="280" t="s">
        <v>255</v>
      </c>
      <c r="B44" s="281">
        <v>823066.45719999995</v>
      </c>
      <c r="C44" s="281">
        <v>1091436.1847999999</v>
      </c>
      <c r="D44" s="281">
        <v>-123.1189</v>
      </c>
      <c r="F44" s="285" t="str">
        <f t="shared" si="0"/>
        <v>A.CAR.1101</v>
      </c>
      <c r="G44" s="286">
        <v>-5.7472799999999999</v>
      </c>
      <c r="H44" s="287">
        <v>2.84816</v>
      </c>
      <c r="I44" s="287">
        <v>-0.7344491810946181</v>
      </c>
      <c r="K44" s="285" t="str">
        <f t="shared" si="3"/>
        <v>A.CAR.1101</v>
      </c>
      <c r="L44" s="286">
        <v>-5.7472799999999999</v>
      </c>
      <c r="M44" s="287">
        <v>2.84816</v>
      </c>
      <c r="N44" s="287">
        <v>-0.7344491810946181</v>
      </c>
      <c r="O44" s="286">
        <v>-121.83445081890538</v>
      </c>
      <c r="P44" s="286">
        <v>-122.38445081890538</v>
      </c>
      <c r="Q44" s="287">
        <v>0</v>
      </c>
      <c r="S44" s="254">
        <f t="shared" si="2"/>
        <v>-0.7344491810946181</v>
      </c>
    </row>
    <row r="45" spans="1:19" ht="30" customHeight="1" x14ac:dyDescent="0.2">
      <c r="A45" s="280" t="s">
        <v>256</v>
      </c>
      <c r="B45" s="281">
        <v>823066.45759999997</v>
      </c>
      <c r="C45" s="281">
        <v>1091435.9446</v>
      </c>
      <c r="D45" s="281">
        <v>-121.32940000000001</v>
      </c>
      <c r="F45" s="285" t="str">
        <f t="shared" si="0"/>
        <v>A.CAR.1102</v>
      </c>
      <c r="G45" s="286">
        <v>-5.6461300000000003</v>
      </c>
      <c r="H45" s="287">
        <v>2.63029</v>
      </c>
      <c r="I45" s="287">
        <v>1.0540393004445008</v>
      </c>
      <c r="K45" s="285" t="str">
        <f t="shared" si="3"/>
        <v>A.CAR.1102</v>
      </c>
      <c r="L45" s="288">
        <v>-5.6461300000000003</v>
      </c>
      <c r="M45" s="289">
        <v>2.63029</v>
      </c>
      <c r="N45" s="289">
        <v>1.0540393004445008</v>
      </c>
      <c r="O45" s="288">
        <v>-121.83343930044451</v>
      </c>
      <c r="P45" s="288">
        <v>-122.38343930044451</v>
      </c>
      <c r="Q45" s="287">
        <v>0</v>
      </c>
      <c r="S45" s="254">
        <f t="shared" si="2"/>
        <v>1.0540393004445008</v>
      </c>
    </row>
    <row r="46" spans="1:19" ht="30" customHeight="1" x14ac:dyDescent="0.2">
      <c r="A46" s="280" t="s">
        <v>257</v>
      </c>
      <c r="B46" s="281">
        <v>823066.01969999995</v>
      </c>
      <c r="C46" s="281">
        <v>1091434.9645</v>
      </c>
      <c r="D46" s="281">
        <v>-120.1551</v>
      </c>
      <c r="F46" s="285" t="str">
        <f t="shared" si="0"/>
        <v>A.CAR.1103</v>
      </c>
      <c r="G46" s="286">
        <v>-4.8350499999999998</v>
      </c>
      <c r="H46" s="287">
        <v>1.92709</v>
      </c>
      <c r="I46" s="287">
        <v>2.2202283524143809</v>
      </c>
      <c r="K46" s="285" t="str">
        <f t="shared" si="3"/>
        <v>A.CAR.1103</v>
      </c>
      <c r="L46" s="288">
        <v>-4.8350499999999998</v>
      </c>
      <c r="M46" s="289">
        <v>1.92709</v>
      </c>
      <c r="N46" s="289">
        <v>2.2202283524143809</v>
      </c>
      <c r="O46" s="288">
        <v>-121.82532835241439</v>
      </c>
      <c r="P46" s="288">
        <v>-122.37532835241439</v>
      </c>
      <c r="Q46" s="287">
        <v>0</v>
      </c>
      <c r="S46" s="254">
        <f t="shared" si="2"/>
        <v>2.2202283524143809</v>
      </c>
    </row>
    <row r="47" spans="1:19" ht="30" customHeight="1" x14ac:dyDescent="0.2">
      <c r="A47" s="280" t="s">
        <v>258</v>
      </c>
      <c r="B47" s="281">
        <v>823065.95970000001</v>
      </c>
      <c r="C47" s="281">
        <v>1091433.0319999999</v>
      </c>
      <c r="D47" s="281">
        <v>-119.556</v>
      </c>
      <c r="F47" s="285" t="str">
        <f t="shared" si="0"/>
        <v>A.CAR.1104</v>
      </c>
      <c r="G47" s="286">
        <v>-3.9639600000000002</v>
      </c>
      <c r="H47" s="287">
        <v>0.20100000000000001</v>
      </c>
      <c r="I47" s="287">
        <v>2.8106172934318607</v>
      </c>
      <c r="K47" s="285" t="str">
        <f t="shared" si="3"/>
        <v>A.CAR.1104</v>
      </c>
      <c r="L47" s="288">
        <v>-3.9639600000000002</v>
      </c>
      <c r="M47" s="289">
        <v>0.20100000000000001</v>
      </c>
      <c r="N47" s="289">
        <v>2.8106172934318607</v>
      </c>
      <c r="O47" s="288">
        <v>-121.81661729343186</v>
      </c>
      <c r="P47" s="288">
        <v>-122.36661729343186</v>
      </c>
      <c r="Q47" s="287">
        <v>0</v>
      </c>
      <c r="S47" s="254">
        <f t="shared" si="2"/>
        <v>2.8106172934318607</v>
      </c>
    </row>
    <row r="48" spans="1:19" ht="30" customHeight="1" x14ac:dyDescent="0.2">
      <c r="A48" s="280" t="s">
        <v>259</v>
      </c>
      <c r="B48" s="281">
        <v>823068.20429999998</v>
      </c>
      <c r="C48" s="281">
        <v>1091431.3097000001</v>
      </c>
      <c r="D48" s="281">
        <v>-120.6172</v>
      </c>
      <c r="F48" s="285" t="str">
        <f t="shared" si="0"/>
        <v>A.CAR.1105</v>
      </c>
      <c r="G48" s="286">
        <v>-5.2703800000000003</v>
      </c>
      <c r="H48" s="287">
        <v>-2.3085399999999998</v>
      </c>
      <c r="I48" s="287">
        <v>1.7624817318664157</v>
      </c>
      <c r="K48" s="285" t="str">
        <f t="shared" si="3"/>
        <v>A.CAR.1105</v>
      </c>
      <c r="L48" s="286">
        <v>-5.2703800000000003</v>
      </c>
      <c r="M48" s="287">
        <v>-2.3085399999999998</v>
      </c>
      <c r="N48" s="287">
        <v>1.7624817318664157</v>
      </c>
      <c r="O48" s="286">
        <v>-121.82968173186642</v>
      </c>
      <c r="P48" s="286">
        <v>-122.37968173186641</v>
      </c>
      <c r="Q48" s="287">
        <v>0</v>
      </c>
      <c r="S48" s="254">
        <f t="shared" si="2"/>
        <v>1.7624817318664157</v>
      </c>
    </row>
    <row r="49" spans="1:19" ht="30" customHeight="1" x14ac:dyDescent="0.2">
      <c r="A49" s="280" t="s">
        <v>260</v>
      </c>
      <c r="B49" s="281">
        <v>823068.75650000002</v>
      </c>
      <c r="C49" s="281">
        <v>1091431.2183000001</v>
      </c>
      <c r="D49" s="281">
        <v>-121.3531</v>
      </c>
      <c r="F49" s="285" t="str">
        <f t="shared" si="0"/>
        <v>A.CAR.1106</v>
      </c>
      <c r="G49" s="286">
        <v>-5.7322199999999999</v>
      </c>
      <c r="H49" s="287">
        <v>-2.6247500000000001</v>
      </c>
      <c r="I49" s="287">
        <v>1.0312002161567762</v>
      </c>
      <c r="K49" s="285" t="str">
        <f t="shared" si="3"/>
        <v>A.CAR.1106</v>
      </c>
      <c r="L49" s="286">
        <v>-5.7322199999999999</v>
      </c>
      <c r="M49" s="287">
        <v>-2.6247500000000001</v>
      </c>
      <c r="N49" s="287">
        <v>1.0312002161567762</v>
      </c>
      <c r="O49" s="286">
        <v>-121.83430021615678</v>
      </c>
      <c r="P49" s="286">
        <v>-122.38430021615677</v>
      </c>
      <c r="Q49" s="287">
        <v>0</v>
      </c>
      <c r="S49" s="254">
        <f t="shared" si="2"/>
        <v>1.0312002161567762</v>
      </c>
    </row>
    <row r="50" spans="1:19" ht="30" customHeight="1" x14ac:dyDescent="0.2">
      <c r="A50" s="280" t="s">
        <v>261</v>
      </c>
      <c r="B50" s="281">
        <v>823068.87930000003</v>
      </c>
      <c r="C50" s="281">
        <v>1091431.0209999999</v>
      </c>
      <c r="D50" s="281">
        <v>-123.012</v>
      </c>
      <c r="F50" s="285" t="str">
        <f t="shared" si="0"/>
        <v>A.CAR.1107</v>
      </c>
      <c r="G50" s="286">
        <v>-5.7601300000000002</v>
      </c>
      <c r="H50" s="287">
        <v>-2.8554599999999999</v>
      </c>
      <c r="I50" s="287">
        <v>-0.62742067874937391</v>
      </c>
      <c r="K50" s="285" t="str">
        <f t="shared" si="3"/>
        <v>A.CAR.1107</v>
      </c>
      <c r="L50" s="286">
        <v>-5.7601300000000002</v>
      </c>
      <c r="M50" s="287">
        <v>-2.8554599999999999</v>
      </c>
      <c r="N50" s="287">
        <v>-0.62742067874937391</v>
      </c>
      <c r="O50" s="286">
        <v>-121.83457932125063</v>
      </c>
      <c r="P50" s="286">
        <v>-122.38457932125063</v>
      </c>
      <c r="Q50" s="287">
        <v>0</v>
      </c>
      <c r="S50" s="254">
        <f t="shared" si="2"/>
        <v>-0.62742067874937391</v>
      </c>
    </row>
    <row r="51" spans="1:19" ht="30" customHeight="1" x14ac:dyDescent="0.2">
      <c r="A51" s="280" t="s">
        <v>262</v>
      </c>
      <c r="B51" s="281">
        <v>823064.1067</v>
      </c>
      <c r="C51" s="281">
        <v>1091434.8385000001</v>
      </c>
      <c r="D51" s="281">
        <v>-119.6544</v>
      </c>
      <c r="F51" s="285" t="str">
        <f t="shared" si="0"/>
        <v>A.CIN.1201</v>
      </c>
      <c r="G51" s="286">
        <v>-3.0480299999999998</v>
      </c>
      <c r="H51" s="287">
        <v>2.6213600000000001</v>
      </c>
      <c r="I51" s="287">
        <v>2.7030578262655922</v>
      </c>
      <c r="K51" s="285" t="str">
        <f t="shared" si="3"/>
        <v>A.CIN.1201</v>
      </c>
      <c r="L51" s="288">
        <v>-3.0480299999999998</v>
      </c>
      <c r="M51" s="289">
        <v>2.6213600000000001</v>
      </c>
      <c r="N51" s="289">
        <v>2.7030578262655922</v>
      </c>
      <c r="O51" s="288">
        <v>-121.80745782626559</v>
      </c>
      <c r="P51" s="288">
        <v>-122.35745782626559</v>
      </c>
      <c r="Q51" s="287">
        <v>0</v>
      </c>
      <c r="S51" s="254">
        <f t="shared" si="2"/>
        <v>2.7030578262655922</v>
      </c>
    </row>
    <row r="52" spans="1:19" ht="30" customHeight="1" x14ac:dyDescent="0.2">
      <c r="A52" s="280" t="s">
        <v>263</v>
      </c>
      <c r="B52" s="281">
        <v>823066.78780000005</v>
      </c>
      <c r="C52" s="281">
        <v>1091433.2145</v>
      </c>
      <c r="D52" s="281">
        <v>-119.66240000000001</v>
      </c>
      <c r="F52" s="285" t="str">
        <f t="shared" si="0"/>
        <v>A.CIN.1202</v>
      </c>
      <c r="G52" s="286">
        <v>-4.7915999999999999</v>
      </c>
      <c r="H52" s="287">
        <v>1.643E-2</v>
      </c>
      <c r="I52" s="287">
        <v>2.7124938444843281</v>
      </c>
      <c r="K52" s="285" t="str">
        <f t="shared" si="3"/>
        <v>A.CIN.1202</v>
      </c>
      <c r="L52" s="288">
        <v>-4.7915999999999999</v>
      </c>
      <c r="M52" s="289">
        <v>1.643E-2</v>
      </c>
      <c r="N52" s="289">
        <v>2.7124938444843281</v>
      </c>
      <c r="O52" s="288">
        <v>-121.82489384448434</v>
      </c>
      <c r="P52" s="288">
        <v>-122.37489384448433</v>
      </c>
      <c r="Q52" s="287">
        <v>0</v>
      </c>
      <c r="S52" s="254">
        <f t="shared" si="2"/>
        <v>2.7124938444843281</v>
      </c>
    </row>
    <row r="53" spans="1:19" ht="30" customHeight="1" x14ac:dyDescent="0.2">
      <c r="A53" s="280" t="s">
        <v>264</v>
      </c>
      <c r="B53" s="281">
        <v>823067.46959999995</v>
      </c>
      <c r="C53" s="281">
        <v>1091433.4933</v>
      </c>
      <c r="D53" s="281">
        <v>-119.6232</v>
      </c>
      <c r="F53" s="285" t="str">
        <f t="shared" si="0"/>
        <v>A.CIN.1203</v>
      </c>
      <c r="G53" s="286">
        <v>-5.5273500000000002</v>
      </c>
      <c r="H53" s="287">
        <v>-1.9029999999999998E-2</v>
      </c>
      <c r="I53" s="287">
        <v>2.7590514787659828</v>
      </c>
      <c r="K53" s="285" t="str">
        <f t="shared" si="3"/>
        <v>A.CIN.1203</v>
      </c>
      <c r="L53" s="288">
        <v>-5.5273500000000002</v>
      </c>
      <c r="M53" s="289">
        <v>-1.9029999999999998E-2</v>
      </c>
      <c r="N53" s="289">
        <v>2.7590514787659828</v>
      </c>
      <c r="O53" s="288">
        <v>-121.83225147876598</v>
      </c>
      <c r="P53" s="288">
        <v>-122.38225147876598</v>
      </c>
      <c r="Q53" s="287">
        <v>0</v>
      </c>
      <c r="S53" s="254">
        <f t="shared" si="2"/>
        <v>2.7590514787659828</v>
      </c>
    </row>
    <row r="54" spans="1:19" ht="30" customHeight="1" x14ac:dyDescent="0.2">
      <c r="A54" s="280" t="s">
        <v>265</v>
      </c>
      <c r="B54" s="281">
        <v>823066.32239999995</v>
      </c>
      <c r="C54" s="281">
        <v>1091430.1189999999</v>
      </c>
      <c r="D54" s="281">
        <v>-119.6249</v>
      </c>
      <c r="F54" s="285" t="str">
        <f t="shared" si="0"/>
        <v>A.CIN.1204</v>
      </c>
      <c r="G54" s="286">
        <v>-3.0615899999999998</v>
      </c>
      <c r="H54" s="287">
        <v>-2.5923500000000002</v>
      </c>
      <c r="I54" s="287">
        <v>2.7326934287404328</v>
      </c>
      <c r="K54" s="285" t="str">
        <f t="shared" si="3"/>
        <v>A.CIN.1204</v>
      </c>
      <c r="L54" s="286">
        <v>-3.0615899999999998</v>
      </c>
      <c r="M54" s="287">
        <v>-2.5923500000000002</v>
      </c>
      <c r="N54" s="287">
        <v>2.7326934287404328</v>
      </c>
      <c r="O54" s="286">
        <v>-121.80759342874043</v>
      </c>
      <c r="P54" s="286">
        <v>-122.35759342874043</v>
      </c>
      <c r="Q54" s="287">
        <v>0</v>
      </c>
      <c r="S54" s="254">
        <f t="shared" si="2"/>
        <v>2.7326934287404328</v>
      </c>
    </row>
    <row r="55" spans="1:19" ht="30" customHeight="1" x14ac:dyDescent="0.2">
      <c r="A55" s="280" t="s">
        <v>266</v>
      </c>
      <c r="B55" s="281">
        <v>823065.6398</v>
      </c>
      <c r="C55" s="281">
        <v>1091437.0552999999</v>
      </c>
      <c r="D55" s="281">
        <v>-123.242</v>
      </c>
      <c r="F55" s="285" t="str">
        <f t="shared" si="0"/>
        <v>A.SMC.2101</v>
      </c>
      <c r="G55" s="286">
        <v>-5.3743499999999997</v>
      </c>
      <c r="H55" s="287">
        <v>3.9825499999999998</v>
      </c>
      <c r="I55" s="287">
        <v>-0.8612785491580297</v>
      </c>
      <c r="K55" s="285" t="str">
        <f t="shared" si="3"/>
        <v>A.SMC.2101</v>
      </c>
      <c r="L55" s="286">
        <v>-5.3743499999999997</v>
      </c>
      <c r="M55" s="287">
        <v>3.9825499999999998</v>
      </c>
      <c r="N55" s="287">
        <v>-0.8612785491580297</v>
      </c>
      <c r="O55" s="286">
        <v>-121.83072145084198</v>
      </c>
      <c r="P55" s="286">
        <v>-122.38072145084197</v>
      </c>
      <c r="Q55" s="287">
        <v>0</v>
      </c>
      <c r="S55" s="254">
        <f t="shared" si="2"/>
        <v>-0.8612785491580297</v>
      </c>
    </row>
    <row r="56" spans="1:19" ht="30" customHeight="1" x14ac:dyDescent="0.2">
      <c r="A56" s="280" t="s">
        <v>267</v>
      </c>
      <c r="B56" s="281">
        <v>823064.79249999998</v>
      </c>
      <c r="C56" s="281">
        <v>1091436.6662000001</v>
      </c>
      <c r="D56" s="281">
        <v>-120.44370000000001</v>
      </c>
      <c r="F56" s="285" t="str">
        <f t="shared" si="0"/>
        <v>A.SMC.2102</v>
      </c>
      <c r="G56" s="286">
        <v>-4.4420000000000002</v>
      </c>
      <c r="H56" s="287">
        <v>3.9879899999999999</v>
      </c>
      <c r="I56" s="287">
        <v>1.9276977806788693</v>
      </c>
      <c r="K56" s="285" t="str">
        <f t="shared" si="3"/>
        <v>A.SMC.2102</v>
      </c>
      <c r="L56" s="286">
        <v>-4.4420000000000002</v>
      </c>
      <c r="M56" s="287">
        <v>3.9879899999999999</v>
      </c>
      <c r="N56" s="287">
        <v>1.9276977806788693</v>
      </c>
      <c r="O56" s="286">
        <v>-121.82139778067888</v>
      </c>
      <c r="P56" s="286">
        <v>-122.37139778067888</v>
      </c>
      <c r="Q56" s="287">
        <v>0</v>
      </c>
      <c r="S56" s="254">
        <f t="shared" si="2"/>
        <v>1.9276977806788693</v>
      </c>
    </row>
    <row r="57" spans="1:19" ht="30" customHeight="1" x14ac:dyDescent="0.2">
      <c r="A57" s="280" t="s">
        <v>268</v>
      </c>
      <c r="B57" s="281">
        <v>823063.41899999999</v>
      </c>
      <c r="C57" s="281">
        <v>1091435.8955999999</v>
      </c>
      <c r="D57" s="281">
        <v>-119.8442</v>
      </c>
      <c r="F57" s="285" t="str">
        <f t="shared" si="0"/>
        <v>A.SMC.2103</v>
      </c>
      <c r="G57" s="286">
        <v>-2.8715099999999998</v>
      </c>
      <c r="H57" s="287">
        <v>3.87005</v>
      </c>
      <c r="I57" s="287">
        <v>2.5114925940489456</v>
      </c>
      <c r="K57" s="285" t="str">
        <f t="shared" si="3"/>
        <v>A.SMC.2103</v>
      </c>
      <c r="L57" s="288">
        <v>-2.8715099999999998</v>
      </c>
      <c r="M57" s="289">
        <v>3.87005</v>
      </c>
      <c r="N57" s="289">
        <v>2.5114925940489456</v>
      </c>
      <c r="O57" s="288">
        <v>-121.80569259404895</v>
      </c>
      <c r="P57" s="288">
        <v>-122.35569259404895</v>
      </c>
      <c r="Q57" s="287">
        <v>0</v>
      </c>
      <c r="S57" s="254">
        <f t="shared" si="2"/>
        <v>2.5114925940489456</v>
      </c>
    </row>
    <row r="58" spans="1:19" ht="30" customHeight="1" x14ac:dyDescent="0.2">
      <c r="A58" s="280" t="s">
        <v>269</v>
      </c>
      <c r="B58" s="281">
        <v>823062.16379999998</v>
      </c>
      <c r="C58" s="281">
        <v>1091435.372</v>
      </c>
      <c r="D58" s="281">
        <v>-120.3442</v>
      </c>
      <c r="F58" s="285" t="str">
        <f t="shared" si="0"/>
        <v>A.SMC.2104</v>
      </c>
      <c r="G58" s="286">
        <v>-1.5126299999999999</v>
      </c>
      <c r="H58" s="287">
        <v>3.92598</v>
      </c>
      <c r="I58" s="287">
        <v>1.9979035460399217</v>
      </c>
      <c r="K58" s="285" t="str">
        <f t="shared" si="3"/>
        <v>A.SMC.2104</v>
      </c>
      <c r="L58" s="288">
        <v>-1.5126299999999999</v>
      </c>
      <c r="M58" s="289">
        <v>3.92598</v>
      </c>
      <c r="N58" s="289">
        <v>1.9979035460399217</v>
      </c>
      <c r="O58" s="288">
        <v>-121.79210354603993</v>
      </c>
      <c r="P58" s="288">
        <v>-122.34210354603992</v>
      </c>
      <c r="Q58" s="287">
        <v>0</v>
      </c>
      <c r="S58" s="254">
        <f t="shared" si="2"/>
        <v>1.9979035460399217</v>
      </c>
    </row>
    <row r="59" spans="1:19" ht="30" customHeight="1" x14ac:dyDescent="0.2">
      <c r="A59" s="280" t="s">
        <v>270</v>
      </c>
      <c r="B59" s="281">
        <v>823061.16740000003</v>
      </c>
      <c r="C59" s="281">
        <v>1091434.9850000001</v>
      </c>
      <c r="D59" s="281">
        <v>-123.2448</v>
      </c>
      <c r="F59" s="285" t="str">
        <f t="shared" si="0"/>
        <v>A.SMC.2105</v>
      </c>
      <c r="G59" s="286">
        <v>-0.44603999999999999</v>
      </c>
      <c r="H59" s="287">
        <v>3.99634</v>
      </c>
      <c r="I59" s="287">
        <v>-0.91336254862328303</v>
      </c>
      <c r="K59" s="285" t="str">
        <f t="shared" si="3"/>
        <v>A.SMC.2105</v>
      </c>
      <c r="L59" s="288">
        <v>-0.44603999999999999</v>
      </c>
      <c r="M59" s="289">
        <v>3.99634</v>
      </c>
      <c r="N59" s="289">
        <v>-0.91336254862328303</v>
      </c>
      <c r="O59" s="288">
        <v>-121.78143745137672</v>
      </c>
      <c r="P59" s="288">
        <v>-122.33143745137671</v>
      </c>
      <c r="Q59" s="287">
        <v>0</v>
      </c>
      <c r="S59" s="254">
        <f t="shared" si="2"/>
        <v>-0.91336254862328303</v>
      </c>
    </row>
    <row r="60" spans="1:19" ht="30" customHeight="1" x14ac:dyDescent="0.2">
      <c r="A60" s="280" t="s">
        <v>271</v>
      </c>
      <c r="B60" s="281">
        <v>823067.6311</v>
      </c>
      <c r="C60" s="281">
        <v>1091436.2890999999</v>
      </c>
      <c r="D60" s="281">
        <v>-123.4931</v>
      </c>
      <c r="F60" s="285" t="str">
        <f t="shared" si="0"/>
        <v>A.SMC.2201</v>
      </c>
      <c r="G60" s="286">
        <v>-6.85527</v>
      </c>
      <c r="H60" s="287">
        <v>2.4465699999999999</v>
      </c>
      <c r="I60" s="287">
        <v>-1.0975690788755088</v>
      </c>
      <c r="K60" s="285" t="str">
        <f t="shared" si="3"/>
        <v>A.SMC.2201</v>
      </c>
      <c r="L60" s="286">
        <v>-6.85527</v>
      </c>
      <c r="M60" s="287">
        <v>2.4465699999999999</v>
      </c>
      <c r="N60" s="287">
        <v>-1.0975690788755088</v>
      </c>
      <c r="O60" s="286">
        <v>-121.84553092112449</v>
      </c>
      <c r="P60" s="286">
        <v>-122.39553092112449</v>
      </c>
      <c r="Q60" s="287">
        <v>0</v>
      </c>
      <c r="S60" s="254">
        <f t="shared" si="2"/>
        <v>-1.0975690788755088</v>
      </c>
    </row>
    <row r="61" spans="1:19" ht="30" customHeight="1" x14ac:dyDescent="0.2">
      <c r="A61" s="280" t="s">
        <v>272</v>
      </c>
      <c r="B61" s="281">
        <v>823067.77769999998</v>
      </c>
      <c r="C61" s="281">
        <v>1091436.0131999999</v>
      </c>
      <c r="D61" s="281">
        <v>-121.0748</v>
      </c>
      <c r="F61" s="285" t="str">
        <f t="shared" si="0"/>
        <v>A.SMC.2202</v>
      </c>
      <c r="G61" s="286">
        <v>-6.8715400000000004</v>
      </c>
      <c r="H61" s="287">
        <v>2.1345700000000001</v>
      </c>
      <c r="I61" s="287">
        <v>1.3208936240939408</v>
      </c>
      <c r="K61" s="285" t="str">
        <f t="shared" si="3"/>
        <v>A.SMC.2202</v>
      </c>
      <c r="L61" s="286">
        <v>-6.8715400000000004</v>
      </c>
      <c r="M61" s="287">
        <v>2.1345700000000001</v>
      </c>
      <c r="N61" s="287">
        <v>1.3208936240939408</v>
      </c>
      <c r="O61" s="286">
        <v>-121.84569362409394</v>
      </c>
      <c r="P61" s="286">
        <v>-122.39569362409394</v>
      </c>
      <c r="Q61" s="287">
        <v>0</v>
      </c>
      <c r="S61" s="254">
        <f t="shared" si="2"/>
        <v>1.3208936240939408</v>
      </c>
    </row>
    <row r="62" spans="1:19" ht="30" customHeight="1" x14ac:dyDescent="0.2">
      <c r="A62" s="280" t="s">
        <v>273</v>
      </c>
      <c r="B62" s="281">
        <v>823068.56649999996</v>
      </c>
      <c r="C62" s="281">
        <v>1091434.2556</v>
      </c>
      <c r="D62" s="281">
        <v>-119.8326</v>
      </c>
      <c r="F62" s="285" t="str">
        <f t="shared" si="0"/>
        <v>A.SMC.2203</v>
      </c>
      <c r="G62" s="286">
        <v>-6.8436399999999997</v>
      </c>
      <c r="H62" s="287">
        <v>0.20827999999999999</v>
      </c>
      <c r="I62" s="287">
        <v>2.5628146190019123</v>
      </c>
      <c r="K62" s="285" t="str">
        <f t="shared" si="3"/>
        <v>A.SMC.2203</v>
      </c>
      <c r="L62" s="286">
        <v>-6.8436399999999997</v>
      </c>
      <c r="M62" s="287">
        <v>0.20827999999999999</v>
      </c>
      <c r="N62" s="287">
        <v>2.5628146190019123</v>
      </c>
      <c r="O62" s="286">
        <v>-121.84541461900191</v>
      </c>
      <c r="P62" s="286">
        <v>-122.39541461900191</v>
      </c>
      <c r="Q62" s="287">
        <v>0</v>
      </c>
      <c r="S62" s="254">
        <f t="shared" si="2"/>
        <v>2.5628146190019123</v>
      </c>
    </row>
    <row r="63" spans="1:19" ht="30" customHeight="1" x14ac:dyDescent="0.2">
      <c r="A63" s="280" t="s">
        <v>274</v>
      </c>
      <c r="B63" s="281">
        <v>823069.47470000002</v>
      </c>
      <c r="C63" s="281">
        <v>1091432.3607000001</v>
      </c>
      <c r="D63" s="281">
        <v>-120.8228</v>
      </c>
      <c r="F63" s="285" t="str">
        <f t="shared" si="0"/>
        <v>A.SMC.2204</v>
      </c>
      <c r="G63" s="286">
        <v>-6.8659299999999996</v>
      </c>
      <c r="H63" s="287">
        <v>-1.8929100000000001</v>
      </c>
      <c r="I63" s="287">
        <v>1.5728375230700493</v>
      </c>
      <c r="K63" s="285" t="str">
        <f t="shared" si="3"/>
        <v>A.SMC.2204</v>
      </c>
      <c r="L63" s="288">
        <v>-6.8659299999999996</v>
      </c>
      <c r="M63" s="289">
        <v>-1.8929100000000001</v>
      </c>
      <c r="N63" s="289">
        <v>1.5728375230700493</v>
      </c>
      <c r="O63" s="288">
        <v>-121.84563752307005</v>
      </c>
      <c r="P63" s="288">
        <v>-122.39563752307005</v>
      </c>
      <c r="Q63" s="287">
        <v>0</v>
      </c>
      <c r="S63" s="254">
        <f t="shared" si="2"/>
        <v>1.5728375230700493</v>
      </c>
    </row>
    <row r="64" spans="1:19" ht="30" customHeight="1" x14ac:dyDescent="0.2">
      <c r="A64" s="280" t="s">
        <v>275</v>
      </c>
      <c r="B64" s="281">
        <v>823069.70279999997</v>
      </c>
      <c r="C64" s="281">
        <v>1091431.8182000001</v>
      </c>
      <c r="D64" s="281">
        <v>-123.1533</v>
      </c>
      <c r="F64" s="285" t="str">
        <f t="shared" si="0"/>
        <v>A.SMC.2205</v>
      </c>
      <c r="G64" s="286">
        <v>-6.8433900000000003</v>
      </c>
      <c r="H64" s="287">
        <v>-2.4809800000000002</v>
      </c>
      <c r="I64" s="287">
        <v>-0.75788788104372884</v>
      </c>
      <c r="K64" s="285" t="str">
        <f t="shared" si="3"/>
        <v>A.SMC.2205</v>
      </c>
      <c r="L64" s="288">
        <v>-6.8433900000000003</v>
      </c>
      <c r="M64" s="289">
        <v>-2.4809800000000002</v>
      </c>
      <c r="N64" s="289">
        <v>-0.75788788104372884</v>
      </c>
      <c r="O64" s="288">
        <v>-121.84541211895628</v>
      </c>
      <c r="P64" s="288">
        <v>-122.39541211895627</v>
      </c>
      <c r="Q64" s="287">
        <v>0</v>
      </c>
      <c r="S64" s="254">
        <f t="shared" si="2"/>
        <v>-0.75788788104372884</v>
      </c>
    </row>
    <row r="65" spans="1:19" ht="30" customHeight="1" x14ac:dyDescent="0.2">
      <c r="A65" s="280" t="s">
        <v>276</v>
      </c>
      <c r="B65" s="281">
        <v>823069.17359999998</v>
      </c>
      <c r="C65" s="281">
        <v>1091429.4578</v>
      </c>
      <c r="D65" s="281">
        <v>-123.26390000000001</v>
      </c>
      <c r="F65" s="285" t="str">
        <f t="shared" si="0"/>
        <v>A.SMC.2301</v>
      </c>
      <c r="G65" s="286">
        <v>-5.3662200000000002</v>
      </c>
      <c r="H65" s="287">
        <v>-4.3965800000000002</v>
      </c>
      <c r="I65" s="287">
        <v>-0.8832598506418492</v>
      </c>
      <c r="K65" s="285" t="str">
        <f t="shared" si="3"/>
        <v>A.SMC.2301</v>
      </c>
      <c r="L65" s="288">
        <v>-5.3662200000000002</v>
      </c>
      <c r="M65" s="289">
        <v>-4.3965800000000002</v>
      </c>
      <c r="N65" s="289">
        <v>-0.8832598506418492</v>
      </c>
      <c r="O65" s="288">
        <v>-121.83064014935816</v>
      </c>
      <c r="P65" s="288">
        <v>-122.38064014935816</v>
      </c>
      <c r="Q65" s="287">
        <v>0</v>
      </c>
      <c r="S65" s="254">
        <f t="shared" si="2"/>
        <v>-0.8832598506418492</v>
      </c>
    </row>
    <row r="66" spans="1:19" ht="30" customHeight="1" x14ac:dyDescent="0.2">
      <c r="A66" s="280" t="s">
        <v>277</v>
      </c>
      <c r="B66" s="281">
        <v>823068.1618</v>
      </c>
      <c r="C66" s="281">
        <v>1091429.5067</v>
      </c>
      <c r="D66" s="281">
        <v>-120.4769</v>
      </c>
      <c r="F66" s="285" t="str">
        <f t="shared" si="0"/>
        <v>A.SMC.2302</v>
      </c>
      <c r="G66" s="286">
        <v>-4.4698799999999999</v>
      </c>
      <c r="H66" s="287">
        <v>-3.9246500000000002</v>
      </c>
      <c r="I66" s="287">
        <v>1.8947765857672607</v>
      </c>
      <c r="K66" s="285" t="str">
        <f t="shared" si="3"/>
        <v>A.SMC.2302</v>
      </c>
      <c r="L66" s="286">
        <v>-4.4698799999999999</v>
      </c>
      <c r="M66" s="287">
        <v>-3.9246500000000002</v>
      </c>
      <c r="N66" s="287">
        <v>1.8947765857672607</v>
      </c>
      <c r="O66" s="286">
        <v>-121.82167658576726</v>
      </c>
      <c r="P66" s="286">
        <v>-122.37167658576726</v>
      </c>
      <c r="Q66" s="287">
        <v>0</v>
      </c>
      <c r="S66" s="254">
        <f t="shared" si="2"/>
        <v>1.8947765857672607</v>
      </c>
    </row>
    <row r="67" spans="1:19" ht="30" customHeight="1" x14ac:dyDescent="0.2">
      <c r="A67" s="280" t="s">
        <v>278</v>
      </c>
      <c r="B67" s="281">
        <v>823066.68019999994</v>
      </c>
      <c r="C67" s="281">
        <v>1091428.9142</v>
      </c>
      <c r="D67" s="281">
        <v>-119.8184</v>
      </c>
      <c r="F67" s="285" t="str">
        <f t="shared" si="0"/>
        <v>A.SMC.2303</v>
      </c>
      <c r="G67" s="286">
        <v>-2.8767</v>
      </c>
      <c r="H67" s="287">
        <v>-3.8354900000000001</v>
      </c>
      <c r="I67" s="287">
        <v>2.5373444949961765</v>
      </c>
      <c r="K67" s="285" t="str">
        <f t="shared" si="3"/>
        <v>A.SMC.2303</v>
      </c>
      <c r="L67" s="286">
        <v>-2.8767</v>
      </c>
      <c r="M67" s="287">
        <v>-3.8354900000000001</v>
      </c>
      <c r="N67" s="287">
        <v>2.5373444949961765</v>
      </c>
      <c r="O67" s="286">
        <v>-121.80574449499618</v>
      </c>
      <c r="P67" s="286">
        <v>-122.35574449499617</v>
      </c>
      <c r="Q67" s="287">
        <v>0</v>
      </c>
      <c r="S67" s="254">
        <f t="shared" si="2"/>
        <v>2.5373444949961765</v>
      </c>
    </row>
    <row r="68" spans="1:19" ht="30" customHeight="1" x14ac:dyDescent="0.2">
      <c r="A68" s="280" t="s">
        <v>279</v>
      </c>
      <c r="B68" s="281">
        <v>823065.30359999998</v>
      </c>
      <c r="C68" s="281">
        <v>1091428.2083999999</v>
      </c>
      <c r="D68" s="281">
        <v>-120.39149999999999</v>
      </c>
      <c r="F68" s="285" t="str">
        <f t="shared" si="0"/>
        <v>A.SMC.2304</v>
      </c>
      <c r="G68" s="286">
        <v>-1.3307899999999999</v>
      </c>
      <c r="H68" s="287">
        <v>-3.8933800000000001</v>
      </c>
      <c r="I68" s="287">
        <v>1.9487851128523346</v>
      </c>
      <c r="K68" s="285" t="str">
        <f t="shared" si="3"/>
        <v>A.SMC.2304</v>
      </c>
      <c r="L68" s="286">
        <v>-1.3307899999999999</v>
      </c>
      <c r="M68" s="287">
        <v>-3.8933800000000001</v>
      </c>
      <c r="N68" s="287">
        <v>1.9487851128523346</v>
      </c>
      <c r="O68" s="286">
        <v>-121.79028511285233</v>
      </c>
      <c r="P68" s="286">
        <v>-122.34028511285233</v>
      </c>
      <c r="Q68" s="287">
        <v>0</v>
      </c>
      <c r="S68" s="254">
        <f t="shared" si="2"/>
        <v>1.9487851128523346</v>
      </c>
    </row>
    <row r="69" spans="1:19" ht="30" customHeight="1" x14ac:dyDescent="0.2">
      <c r="A69" s="280" t="s">
        <v>280</v>
      </c>
      <c r="B69" s="281">
        <v>823064.73529999994</v>
      </c>
      <c r="C69" s="281">
        <v>1091427.3451</v>
      </c>
      <c r="D69" s="281">
        <v>-123.1955</v>
      </c>
      <c r="F69" s="285" t="str">
        <f t="shared" ref="F69:F132" si="4">IF(A69="","",A69)</f>
        <v>A.SMC.2305</v>
      </c>
      <c r="G69" s="286">
        <v>-0.45089000000000001</v>
      </c>
      <c r="H69" s="287">
        <v>-4.4356200000000001</v>
      </c>
      <c r="I69" s="287">
        <v>-0.86401404773810953</v>
      </c>
      <c r="K69" s="285" t="str">
        <f t="shared" si="3"/>
        <v>A.SMC.2305</v>
      </c>
      <c r="L69" s="288">
        <v>-0.45089000000000001</v>
      </c>
      <c r="M69" s="289">
        <v>-4.4356200000000001</v>
      </c>
      <c r="N69" s="289">
        <v>-0.86401404773810953</v>
      </c>
      <c r="O69" s="288">
        <v>-121.78148595226189</v>
      </c>
      <c r="P69" s="288">
        <v>-122.33148595226189</v>
      </c>
      <c r="Q69" s="287">
        <v>0</v>
      </c>
      <c r="S69" s="254">
        <f t="shared" si="2"/>
        <v>-0.86401404773810953</v>
      </c>
    </row>
    <row r="70" spans="1:19" ht="30" customHeight="1" x14ac:dyDescent="0.2">
      <c r="A70" s="280" t="s">
        <v>281</v>
      </c>
      <c r="B70" s="281">
        <v>823069.43429999996</v>
      </c>
      <c r="C70" s="281">
        <v>1091437.4272</v>
      </c>
      <c r="D70" s="281">
        <v>-122.6673</v>
      </c>
      <c r="F70" s="285" t="str">
        <f t="shared" si="4"/>
        <v>C.401GVA.1</v>
      </c>
      <c r="G70" s="286">
        <v>-8.9705100000000009</v>
      </c>
      <c r="H70" s="287">
        <v>2.7159800000000001</v>
      </c>
      <c r="I70" s="287">
        <v>-0.25061629282330955</v>
      </c>
      <c r="K70" s="285" t="str">
        <f t="shared" si="3"/>
        <v>C.401GVA.1</v>
      </c>
      <c r="L70" s="288">
        <v>-8.9705100000000009</v>
      </c>
      <c r="M70" s="289">
        <v>2.7159800000000001</v>
      </c>
      <c r="N70" s="289">
        <v>-0.25061629282330955</v>
      </c>
      <c r="O70" s="288">
        <v>-121.86668370717669</v>
      </c>
      <c r="P70" s="288">
        <v>-122.41668370717669</v>
      </c>
      <c r="Q70" s="287">
        <v>0</v>
      </c>
      <c r="S70" s="254">
        <f t="shared" si="2"/>
        <v>-0.25061629282330955</v>
      </c>
    </row>
    <row r="71" spans="1:19" ht="30" customHeight="1" x14ac:dyDescent="0.2">
      <c r="A71" s="280" t="s">
        <v>282</v>
      </c>
      <c r="B71" s="281">
        <v>823072.59600000002</v>
      </c>
      <c r="C71" s="281">
        <v>1091432.9236999999</v>
      </c>
      <c r="D71" s="281">
        <v>-122.4958</v>
      </c>
      <c r="F71" s="285" t="str">
        <f t="shared" si="4"/>
        <v>C.402GVA.1</v>
      </c>
      <c r="G71" s="286">
        <v>-9.9327199999999998</v>
      </c>
      <c r="H71" s="287">
        <v>-2.7017699999999998</v>
      </c>
      <c r="I71" s="287">
        <v>-6.9494017210487868E-2</v>
      </c>
      <c r="K71" s="285" t="str">
        <f t="shared" si="3"/>
        <v>C.402GVA.1</v>
      </c>
      <c r="L71" s="288">
        <v>-9.9327199999999998</v>
      </c>
      <c r="M71" s="289">
        <v>-2.7017699999999998</v>
      </c>
      <c r="N71" s="289">
        <v>-6.9494017210487868E-2</v>
      </c>
      <c r="O71" s="288">
        <v>-121.87630598278952</v>
      </c>
      <c r="P71" s="288">
        <v>-122.42630598278951</v>
      </c>
      <c r="Q71" s="287">
        <v>0</v>
      </c>
      <c r="S71" s="254">
        <f t="shared" ref="S71:S134" si="5">IF(P71="","",+D71-P71)</f>
        <v>-6.9494017210487868E-2</v>
      </c>
    </row>
    <row r="72" spans="1:19" ht="30" customHeight="1" x14ac:dyDescent="0.2">
      <c r="A72" s="280"/>
      <c r="B72" s="281"/>
      <c r="C72" s="281"/>
      <c r="D72" s="281"/>
      <c r="F72" s="285" t="str">
        <f t="shared" si="4"/>
        <v/>
      </c>
      <c r="G72" s="286"/>
      <c r="H72" s="287"/>
      <c r="I72" s="287"/>
      <c r="K72" s="285" t="str">
        <f t="shared" si="3"/>
        <v/>
      </c>
      <c r="L72" s="286"/>
      <c r="M72" s="287"/>
      <c r="N72" s="287"/>
      <c r="O72" s="286"/>
      <c r="P72" s="286"/>
      <c r="Q72" s="287"/>
      <c r="S72" s="254" t="str">
        <f t="shared" si="5"/>
        <v/>
      </c>
    </row>
    <row r="73" spans="1:19" ht="30" customHeight="1" x14ac:dyDescent="0.2">
      <c r="A73" s="280"/>
      <c r="B73" s="281"/>
      <c r="C73" s="281"/>
      <c r="D73" s="281"/>
      <c r="F73" s="285" t="str">
        <f t="shared" si="4"/>
        <v/>
      </c>
      <c r="G73" s="286"/>
      <c r="H73" s="287"/>
      <c r="I73" s="287"/>
      <c r="K73" s="285" t="str">
        <f t="shared" si="3"/>
        <v/>
      </c>
      <c r="L73" s="286"/>
      <c r="M73" s="287"/>
      <c r="N73" s="287"/>
      <c r="O73" s="286"/>
      <c r="P73" s="286"/>
      <c r="Q73" s="287"/>
      <c r="S73" s="254" t="str">
        <f t="shared" si="5"/>
        <v/>
      </c>
    </row>
    <row r="74" spans="1:19" ht="30" customHeight="1" x14ac:dyDescent="0.2">
      <c r="A74" s="280"/>
      <c r="B74" s="281"/>
      <c r="C74" s="281"/>
      <c r="D74" s="281"/>
      <c r="F74" s="285" t="str">
        <f t="shared" si="4"/>
        <v/>
      </c>
      <c r="G74" s="286"/>
      <c r="H74" s="287"/>
      <c r="I74" s="287"/>
      <c r="K74" s="285" t="str">
        <f t="shared" si="3"/>
        <v/>
      </c>
      <c r="L74" s="286"/>
      <c r="M74" s="287"/>
      <c r="N74" s="287"/>
      <c r="O74" s="286"/>
      <c r="P74" s="286"/>
      <c r="Q74" s="287"/>
      <c r="S74" s="254" t="str">
        <f t="shared" si="5"/>
        <v/>
      </c>
    </row>
    <row r="75" spans="1:19" ht="30" customHeight="1" x14ac:dyDescent="0.2">
      <c r="A75" s="280"/>
      <c r="B75" s="281"/>
      <c r="C75" s="281"/>
      <c r="D75" s="281"/>
      <c r="F75" s="285" t="str">
        <f t="shared" si="4"/>
        <v/>
      </c>
      <c r="G75" s="286"/>
      <c r="H75" s="287"/>
      <c r="I75" s="287"/>
      <c r="K75" s="285" t="str">
        <f t="shared" ref="K75:K138" si="6">IF(A75="","",A75)</f>
        <v/>
      </c>
      <c r="L75" s="288"/>
      <c r="M75" s="289"/>
      <c r="N75" s="289"/>
      <c r="O75" s="288"/>
      <c r="P75" s="288"/>
      <c r="Q75" s="287"/>
      <c r="S75" s="254" t="str">
        <f t="shared" si="5"/>
        <v/>
      </c>
    </row>
    <row r="76" spans="1:19" ht="30" customHeight="1" x14ac:dyDescent="0.2">
      <c r="A76" s="280"/>
      <c r="B76" s="281"/>
      <c r="C76" s="281"/>
      <c r="D76" s="281"/>
      <c r="F76" s="285" t="str">
        <f t="shared" si="4"/>
        <v/>
      </c>
      <c r="G76" s="286"/>
      <c r="H76" s="287"/>
      <c r="I76" s="287"/>
      <c r="K76" s="285" t="str">
        <f t="shared" si="6"/>
        <v/>
      </c>
      <c r="L76" s="288"/>
      <c r="M76" s="289"/>
      <c r="N76" s="289"/>
      <c r="O76" s="288"/>
      <c r="P76" s="288"/>
      <c r="Q76" s="287"/>
      <c r="S76" s="254" t="str">
        <f t="shared" si="5"/>
        <v/>
      </c>
    </row>
    <row r="77" spans="1:19" ht="30" customHeight="1" x14ac:dyDescent="0.2">
      <c r="A77" s="280"/>
      <c r="B77" s="281"/>
      <c r="C77" s="281"/>
      <c r="D77" s="281"/>
      <c r="F77" s="285" t="str">
        <f t="shared" si="4"/>
        <v/>
      </c>
      <c r="G77" s="286"/>
      <c r="H77" s="287"/>
      <c r="I77" s="287"/>
      <c r="K77" s="285" t="str">
        <f t="shared" si="6"/>
        <v/>
      </c>
      <c r="L77" s="288"/>
      <c r="M77" s="289"/>
      <c r="N77" s="289"/>
      <c r="O77" s="288"/>
      <c r="P77" s="288"/>
      <c r="Q77" s="287"/>
      <c r="S77" s="254" t="str">
        <f t="shared" si="5"/>
        <v/>
      </c>
    </row>
    <row r="78" spans="1:19" ht="30" customHeight="1" x14ac:dyDescent="0.2">
      <c r="A78" s="280"/>
      <c r="B78" s="281"/>
      <c r="C78" s="281"/>
      <c r="D78" s="281"/>
      <c r="F78" s="285" t="str">
        <f t="shared" si="4"/>
        <v/>
      </c>
      <c r="G78" s="286"/>
      <c r="H78" s="287"/>
      <c r="I78" s="287"/>
      <c r="K78" s="285" t="str">
        <f t="shared" si="6"/>
        <v/>
      </c>
      <c r="L78" s="286"/>
      <c r="M78" s="287"/>
      <c r="N78" s="287"/>
      <c r="O78" s="286"/>
      <c r="P78" s="286"/>
      <c r="Q78" s="287"/>
      <c r="S78" s="254" t="str">
        <f t="shared" si="5"/>
        <v/>
      </c>
    </row>
    <row r="79" spans="1:19" ht="30" customHeight="1" x14ac:dyDescent="0.2">
      <c r="A79" s="280"/>
      <c r="B79" s="281"/>
      <c r="C79" s="281"/>
      <c r="D79" s="281"/>
      <c r="F79" s="285" t="str">
        <f t="shared" si="4"/>
        <v/>
      </c>
      <c r="G79" s="286"/>
      <c r="H79" s="287"/>
      <c r="I79" s="287"/>
      <c r="K79" s="285" t="str">
        <f t="shared" si="6"/>
        <v/>
      </c>
      <c r="L79" s="286"/>
      <c r="M79" s="287"/>
      <c r="N79" s="287"/>
      <c r="O79" s="286"/>
      <c r="P79" s="286"/>
      <c r="Q79" s="287"/>
      <c r="S79" s="254" t="str">
        <f t="shared" si="5"/>
        <v/>
      </c>
    </row>
    <row r="80" spans="1:19" ht="30" customHeight="1" x14ac:dyDescent="0.2">
      <c r="A80" s="280"/>
      <c r="B80" s="281"/>
      <c r="C80" s="281"/>
      <c r="D80" s="281"/>
      <c r="F80" s="285" t="str">
        <f t="shared" si="4"/>
        <v/>
      </c>
      <c r="G80" s="286"/>
      <c r="H80" s="287"/>
      <c r="I80" s="287"/>
      <c r="K80" s="285" t="str">
        <f t="shared" si="6"/>
        <v/>
      </c>
      <c r="L80" s="286"/>
      <c r="M80" s="287"/>
      <c r="N80" s="287"/>
      <c r="O80" s="286"/>
      <c r="P80" s="286"/>
      <c r="Q80" s="287"/>
      <c r="S80" s="254" t="str">
        <f t="shared" si="5"/>
        <v/>
      </c>
    </row>
    <row r="81" spans="1:19" ht="30" customHeight="1" x14ac:dyDescent="0.2">
      <c r="A81" s="280"/>
      <c r="B81" s="281"/>
      <c r="C81" s="281"/>
      <c r="D81" s="281"/>
      <c r="F81" s="285" t="str">
        <f t="shared" si="4"/>
        <v/>
      </c>
      <c r="G81" s="286"/>
      <c r="H81" s="287"/>
      <c r="I81" s="287"/>
      <c r="K81" s="285" t="str">
        <f t="shared" si="6"/>
        <v/>
      </c>
      <c r="L81" s="288"/>
      <c r="M81" s="289"/>
      <c r="N81" s="289"/>
      <c r="O81" s="288"/>
      <c r="P81" s="288"/>
      <c r="Q81" s="287"/>
      <c r="S81" s="254" t="str">
        <f t="shared" si="5"/>
        <v/>
      </c>
    </row>
    <row r="82" spans="1:19" ht="30" customHeight="1" x14ac:dyDescent="0.2">
      <c r="A82" s="280"/>
      <c r="B82" s="281"/>
      <c r="C82" s="281"/>
      <c r="D82" s="281"/>
      <c r="F82" s="285" t="str">
        <f t="shared" si="4"/>
        <v/>
      </c>
      <c r="G82" s="286"/>
      <c r="H82" s="287"/>
      <c r="I82" s="287"/>
      <c r="K82" s="285" t="str">
        <f t="shared" si="6"/>
        <v/>
      </c>
      <c r="L82" s="288"/>
      <c r="M82" s="289"/>
      <c r="N82" s="289"/>
      <c r="O82" s="288"/>
      <c r="P82" s="288"/>
      <c r="Q82" s="287"/>
      <c r="S82" s="254" t="str">
        <f t="shared" si="5"/>
        <v/>
      </c>
    </row>
    <row r="83" spans="1:19" ht="30" customHeight="1" x14ac:dyDescent="0.2">
      <c r="A83" s="280"/>
      <c r="B83" s="281"/>
      <c r="C83" s="281"/>
      <c r="D83" s="281"/>
      <c r="F83" s="285" t="str">
        <f t="shared" si="4"/>
        <v/>
      </c>
      <c r="G83" s="286"/>
      <c r="H83" s="287"/>
      <c r="I83" s="287"/>
      <c r="K83" s="285" t="str">
        <f t="shared" si="6"/>
        <v/>
      </c>
      <c r="L83" s="288"/>
      <c r="M83" s="289"/>
      <c r="N83" s="289"/>
      <c r="O83" s="288"/>
      <c r="P83" s="288"/>
      <c r="Q83" s="287"/>
      <c r="S83" s="254" t="str">
        <f t="shared" si="5"/>
        <v/>
      </c>
    </row>
    <row r="84" spans="1:19" ht="30" customHeight="1" x14ac:dyDescent="0.2">
      <c r="A84" s="280"/>
      <c r="B84" s="281"/>
      <c r="C84" s="281"/>
      <c r="D84" s="281"/>
      <c r="F84" s="285" t="str">
        <f t="shared" si="4"/>
        <v/>
      </c>
      <c r="G84" s="286"/>
      <c r="H84" s="287"/>
      <c r="I84" s="287"/>
      <c r="K84" s="285" t="str">
        <f t="shared" si="6"/>
        <v/>
      </c>
      <c r="L84" s="286"/>
      <c r="M84" s="287"/>
      <c r="N84" s="287"/>
      <c r="O84" s="286"/>
      <c r="P84" s="286"/>
      <c r="Q84" s="287"/>
      <c r="S84" s="254" t="str">
        <f t="shared" si="5"/>
        <v/>
      </c>
    </row>
    <row r="85" spans="1:19" ht="30" customHeight="1" x14ac:dyDescent="0.2">
      <c r="A85" s="280"/>
      <c r="B85" s="281"/>
      <c r="C85" s="281"/>
      <c r="D85" s="281"/>
      <c r="F85" s="285" t="str">
        <f t="shared" si="4"/>
        <v/>
      </c>
      <c r="G85" s="286"/>
      <c r="H85" s="287"/>
      <c r="I85" s="287"/>
      <c r="K85" s="285" t="str">
        <f t="shared" si="6"/>
        <v/>
      </c>
      <c r="L85" s="286"/>
      <c r="M85" s="287"/>
      <c r="N85" s="287"/>
      <c r="O85" s="286"/>
      <c r="P85" s="286"/>
      <c r="Q85" s="287"/>
      <c r="S85" s="254" t="str">
        <f t="shared" si="5"/>
        <v/>
      </c>
    </row>
    <row r="86" spans="1:19" ht="30" customHeight="1" x14ac:dyDescent="0.2">
      <c r="A86" s="280"/>
      <c r="B86" s="281"/>
      <c r="C86" s="281"/>
      <c r="D86" s="281"/>
      <c r="F86" s="285" t="str">
        <f t="shared" si="4"/>
        <v/>
      </c>
      <c r="G86" s="286"/>
      <c r="H86" s="287"/>
      <c r="I86" s="287"/>
      <c r="K86" s="285" t="str">
        <f t="shared" si="6"/>
        <v/>
      </c>
      <c r="L86" s="286"/>
      <c r="M86" s="287"/>
      <c r="N86" s="287"/>
      <c r="O86" s="286"/>
      <c r="P86" s="286"/>
      <c r="Q86" s="287"/>
      <c r="S86" s="254" t="str">
        <f t="shared" si="5"/>
        <v/>
      </c>
    </row>
    <row r="87" spans="1:19" ht="30" customHeight="1" x14ac:dyDescent="0.2">
      <c r="A87" s="280"/>
      <c r="B87" s="281"/>
      <c r="C87" s="281"/>
      <c r="D87" s="281"/>
      <c r="F87" s="285" t="str">
        <f t="shared" si="4"/>
        <v/>
      </c>
      <c r="G87" s="286"/>
      <c r="H87" s="287"/>
      <c r="I87" s="287"/>
      <c r="K87" s="285" t="str">
        <f t="shared" si="6"/>
        <v/>
      </c>
      <c r="L87" s="288"/>
      <c r="M87" s="289"/>
      <c r="N87" s="289"/>
      <c r="O87" s="288"/>
      <c r="P87" s="288"/>
      <c r="Q87" s="287"/>
      <c r="S87" s="254" t="str">
        <f t="shared" si="5"/>
        <v/>
      </c>
    </row>
    <row r="88" spans="1:19" ht="30" customHeight="1" x14ac:dyDescent="0.2">
      <c r="A88" s="280"/>
      <c r="B88" s="281"/>
      <c r="C88" s="281"/>
      <c r="D88" s="281"/>
      <c r="F88" s="285" t="str">
        <f t="shared" si="4"/>
        <v/>
      </c>
      <c r="G88" s="286"/>
      <c r="H88" s="287"/>
      <c r="I88" s="287"/>
      <c r="K88" s="285" t="str">
        <f t="shared" si="6"/>
        <v/>
      </c>
      <c r="L88" s="288"/>
      <c r="M88" s="289"/>
      <c r="N88" s="289"/>
      <c r="O88" s="288"/>
      <c r="P88" s="288"/>
      <c r="Q88" s="287"/>
      <c r="S88" s="254" t="str">
        <f t="shared" si="5"/>
        <v/>
      </c>
    </row>
    <row r="89" spans="1:19" ht="30" customHeight="1" x14ac:dyDescent="0.2">
      <c r="A89" s="280"/>
      <c r="B89" s="281"/>
      <c r="C89" s="281"/>
      <c r="D89" s="281"/>
      <c r="F89" s="285" t="str">
        <f t="shared" si="4"/>
        <v/>
      </c>
      <c r="G89" s="286"/>
      <c r="H89" s="287"/>
      <c r="I89" s="287"/>
      <c r="K89" s="285" t="str">
        <f t="shared" si="6"/>
        <v/>
      </c>
      <c r="L89" s="288"/>
      <c r="M89" s="289"/>
      <c r="N89" s="289"/>
      <c r="O89" s="288"/>
      <c r="P89" s="288"/>
      <c r="Q89" s="287"/>
      <c r="S89" s="254" t="str">
        <f t="shared" si="5"/>
        <v/>
      </c>
    </row>
    <row r="90" spans="1:19" ht="30" customHeight="1" x14ac:dyDescent="0.2">
      <c r="A90" s="280"/>
      <c r="B90" s="281"/>
      <c r="C90" s="281"/>
      <c r="D90" s="281"/>
      <c r="F90" s="285" t="str">
        <f t="shared" si="4"/>
        <v/>
      </c>
      <c r="G90" s="286"/>
      <c r="H90" s="287"/>
      <c r="I90" s="287"/>
      <c r="K90" s="285" t="str">
        <f t="shared" si="6"/>
        <v/>
      </c>
      <c r="L90" s="286"/>
      <c r="M90" s="287"/>
      <c r="N90" s="287"/>
      <c r="O90" s="286"/>
      <c r="P90" s="286"/>
      <c r="Q90" s="287"/>
      <c r="S90" s="254" t="str">
        <f t="shared" si="5"/>
        <v/>
      </c>
    </row>
    <row r="91" spans="1:19" ht="30" customHeight="1" x14ac:dyDescent="0.2">
      <c r="A91" s="280"/>
      <c r="B91" s="281"/>
      <c r="C91" s="281"/>
      <c r="D91" s="281"/>
      <c r="F91" s="285" t="str">
        <f t="shared" si="4"/>
        <v/>
      </c>
      <c r="G91" s="286"/>
      <c r="H91" s="287"/>
      <c r="I91" s="287"/>
      <c r="K91" s="285" t="str">
        <f t="shared" si="6"/>
        <v/>
      </c>
      <c r="L91" s="286"/>
      <c r="M91" s="287"/>
      <c r="N91" s="287"/>
      <c r="O91" s="286"/>
      <c r="P91" s="286"/>
      <c r="Q91" s="287"/>
      <c r="S91" s="254" t="str">
        <f t="shared" si="5"/>
        <v/>
      </c>
    </row>
    <row r="92" spans="1:19" ht="30" customHeight="1" x14ac:dyDescent="0.2">
      <c r="A92" s="280"/>
      <c r="B92" s="281"/>
      <c r="C92" s="281"/>
      <c r="D92" s="281"/>
      <c r="F92" s="285" t="str">
        <f t="shared" si="4"/>
        <v/>
      </c>
      <c r="G92" s="286"/>
      <c r="H92" s="287"/>
      <c r="I92" s="287"/>
      <c r="K92" s="285" t="str">
        <f t="shared" si="6"/>
        <v/>
      </c>
      <c r="L92" s="286"/>
      <c r="M92" s="287"/>
      <c r="N92" s="287"/>
      <c r="O92" s="286"/>
      <c r="P92" s="286"/>
      <c r="Q92" s="287"/>
      <c r="S92" s="254" t="str">
        <f t="shared" si="5"/>
        <v/>
      </c>
    </row>
    <row r="93" spans="1:19" ht="30" customHeight="1" x14ac:dyDescent="0.2">
      <c r="A93" s="280"/>
      <c r="B93" s="281"/>
      <c r="C93" s="281"/>
      <c r="D93" s="281"/>
      <c r="F93" s="285" t="str">
        <f t="shared" si="4"/>
        <v/>
      </c>
      <c r="G93" s="286"/>
      <c r="H93" s="287"/>
      <c r="I93" s="287"/>
      <c r="K93" s="285" t="str">
        <f t="shared" si="6"/>
        <v/>
      </c>
      <c r="L93" s="288"/>
      <c r="M93" s="289"/>
      <c r="N93" s="289"/>
      <c r="O93" s="288"/>
      <c r="P93" s="288"/>
      <c r="Q93" s="287"/>
      <c r="S93" s="254" t="str">
        <f t="shared" si="5"/>
        <v/>
      </c>
    </row>
    <row r="94" spans="1:19" ht="30" customHeight="1" x14ac:dyDescent="0.2">
      <c r="A94" s="280"/>
      <c r="B94" s="281"/>
      <c r="C94" s="281"/>
      <c r="D94" s="281"/>
      <c r="F94" s="285" t="str">
        <f t="shared" si="4"/>
        <v/>
      </c>
      <c r="G94" s="286"/>
      <c r="H94" s="287"/>
      <c r="I94" s="287"/>
      <c r="K94" s="285" t="str">
        <f t="shared" si="6"/>
        <v/>
      </c>
      <c r="L94" s="288"/>
      <c r="M94" s="289"/>
      <c r="N94" s="289"/>
      <c r="O94" s="288"/>
      <c r="P94" s="288"/>
      <c r="Q94" s="287"/>
      <c r="S94" s="254" t="str">
        <f t="shared" si="5"/>
        <v/>
      </c>
    </row>
    <row r="95" spans="1:19" ht="30" customHeight="1" x14ac:dyDescent="0.2">
      <c r="A95" s="280"/>
      <c r="B95" s="281"/>
      <c r="C95" s="281"/>
      <c r="D95" s="281"/>
      <c r="F95" s="285" t="str">
        <f t="shared" si="4"/>
        <v/>
      </c>
      <c r="G95" s="286"/>
      <c r="H95" s="287"/>
      <c r="I95" s="287"/>
      <c r="K95" s="285" t="str">
        <f t="shared" si="6"/>
        <v/>
      </c>
      <c r="L95" s="288"/>
      <c r="M95" s="289"/>
      <c r="N95" s="289"/>
      <c r="O95" s="288"/>
      <c r="P95" s="288"/>
      <c r="Q95" s="287"/>
      <c r="S95" s="254" t="str">
        <f t="shared" si="5"/>
        <v/>
      </c>
    </row>
    <row r="96" spans="1:19" ht="30" customHeight="1" x14ac:dyDescent="0.2">
      <c r="A96" s="280"/>
      <c r="B96" s="281"/>
      <c r="C96" s="281"/>
      <c r="D96" s="281"/>
      <c r="F96" s="285" t="str">
        <f t="shared" si="4"/>
        <v/>
      </c>
      <c r="G96" s="286"/>
      <c r="H96" s="287"/>
      <c r="I96" s="287"/>
      <c r="K96" s="285" t="str">
        <f t="shared" si="6"/>
        <v/>
      </c>
      <c r="L96" s="286"/>
      <c r="M96" s="287"/>
      <c r="N96" s="287"/>
      <c r="O96" s="286"/>
      <c r="P96" s="286"/>
      <c r="Q96" s="287"/>
      <c r="S96" s="254" t="str">
        <f t="shared" si="5"/>
        <v/>
      </c>
    </row>
    <row r="97" spans="1:19" ht="30" customHeight="1" x14ac:dyDescent="0.2">
      <c r="A97" s="280"/>
      <c r="B97" s="281"/>
      <c r="C97" s="281"/>
      <c r="D97" s="281"/>
      <c r="F97" s="285" t="str">
        <f t="shared" si="4"/>
        <v/>
      </c>
      <c r="G97" s="286"/>
      <c r="H97" s="287"/>
      <c r="I97" s="287"/>
      <c r="K97" s="285" t="str">
        <f t="shared" si="6"/>
        <v/>
      </c>
      <c r="L97" s="286"/>
      <c r="M97" s="287"/>
      <c r="N97" s="287"/>
      <c r="O97" s="286"/>
      <c r="P97" s="286"/>
      <c r="Q97" s="287"/>
      <c r="S97" s="254" t="str">
        <f t="shared" si="5"/>
        <v/>
      </c>
    </row>
    <row r="98" spans="1:19" ht="30" customHeight="1" x14ac:dyDescent="0.2">
      <c r="A98" s="280"/>
      <c r="B98" s="281"/>
      <c r="C98" s="281"/>
      <c r="D98" s="281"/>
      <c r="F98" s="285" t="str">
        <f t="shared" si="4"/>
        <v/>
      </c>
      <c r="G98" s="286"/>
      <c r="H98" s="287"/>
      <c r="I98" s="287"/>
      <c r="K98" s="285" t="str">
        <f t="shared" si="6"/>
        <v/>
      </c>
      <c r="L98" s="286"/>
      <c r="M98" s="287"/>
      <c r="N98" s="287"/>
      <c r="O98" s="286"/>
      <c r="P98" s="286"/>
      <c r="Q98" s="287"/>
      <c r="S98" s="254" t="str">
        <f t="shared" si="5"/>
        <v/>
      </c>
    </row>
    <row r="99" spans="1:19" ht="30" customHeight="1" x14ac:dyDescent="0.2">
      <c r="A99" s="280"/>
      <c r="B99" s="281"/>
      <c r="C99" s="281"/>
      <c r="D99" s="281"/>
      <c r="F99" s="285" t="str">
        <f t="shared" si="4"/>
        <v/>
      </c>
      <c r="G99" s="286"/>
      <c r="H99" s="287"/>
      <c r="I99" s="287"/>
      <c r="K99" s="285" t="str">
        <f t="shared" si="6"/>
        <v/>
      </c>
      <c r="L99" s="288"/>
      <c r="M99" s="289"/>
      <c r="N99" s="289"/>
      <c r="O99" s="288"/>
      <c r="P99" s="288"/>
      <c r="Q99" s="287"/>
      <c r="S99" s="254" t="str">
        <f t="shared" si="5"/>
        <v/>
      </c>
    </row>
    <row r="100" spans="1:19" ht="30" customHeight="1" x14ac:dyDescent="0.2">
      <c r="A100" s="280"/>
      <c r="B100" s="281"/>
      <c r="C100" s="281"/>
      <c r="D100" s="281"/>
      <c r="F100" s="285" t="str">
        <f t="shared" si="4"/>
        <v/>
      </c>
      <c r="G100" s="286"/>
      <c r="H100" s="287"/>
      <c r="I100" s="287"/>
      <c r="K100" s="285" t="str">
        <f t="shared" si="6"/>
        <v/>
      </c>
      <c r="L100" s="288"/>
      <c r="M100" s="289"/>
      <c r="N100" s="289"/>
      <c r="O100" s="288"/>
      <c r="P100" s="288"/>
      <c r="Q100" s="287"/>
      <c r="S100" s="254" t="str">
        <f t="shared" si="5"/>
        <v/>
      </c>
    </row>
    <row r="101" spans="1:19" ht="30" customHeight="1" x14ac:dyDescent="0.2">
      <c r="A101" s="280"/>
      <c r="B101" s="281"/>
      <c r="C101" s="281"/>
      <c r="D101" s="281"/>
      <c r="F101" s="285" t="str">
        <f t="shared" si="4"/>
        <v/>
      </c>
      <c r="G101" s="286"/>
      <c r="H101" s="287"/>
      <c r="I101" s="287"/>
      <c r="K101" s="285" t="str">
        <f t="shared" si="6"/>
        <v/>
      </c>
      <c r="L101" s="288"/>
      <c r="M101" s="289"/>
      <c r="N101" s="289"/>
      <c r="O101" s="288"/>
      <c r="P101" s="288"/>
      <c r="Q101" s="287"/>
      <c r="S101" s="254" t="str">
        <f t="shared" si="5"/>
        <v/>
      </c>
    </row>
    <row r="102" spans="1:19" ht="30" customHeight="1" x14ac:dyDescent="0.2">
      <c r="A102" s="280"/>
      <c r="B102" s="281"/>
      <c r="C102" s="281"/>
      <c r="D102" s="281"/>
      <c r="F102" s="285" t="str">
        <f t="shared" si="4"/>
        <v/>
      </c>
      <c r="G102" s="286"/>
      <c r="H102" s="287"/>
      <c r="I102" s="287"/>
      <c r="K102" s="285" t="str">
        <f t="shared" si="6"/>
        <v/>
      </c>
      <c r="L102" s="286"/>
      <c r="M102" s="287"/>
      <c r="N102" s="287"/>
      <c r="O102" s="286"/>
      <c r="P102" s="286"/>
      <c r="Q102" s="287"/>
      <c r="S102" s="254" t="str">
        <f t="shared" si="5"/>
        <v/>
      </c>
    </row>
    <row r="103" spans="1:19" ht="30" customHeight="1" x14ac:dyDescent="0.2">
      <c r="A103" s="280"/>
      <c r="B103" s="281"/>
      <c r="C103" s="281"/>
      <c r="D103" s="281"/>
      <c r="F103" s="285" t="str">
        <f t="shared" si="4"/>
        <v/>
      </c>
      <c r="G103" s="286"/>
      <c r="H103" s="287"/>
      <c r="I103" s="287"/>
      <c r="K103" s="285" t="str">
        <f t="shared" si="6"/>
        <v/>
      </c>
      <c r="L103" s="286"/>
      <c r="M103" s="287"/>
      <c r="N103" s="287"/>
      <c r="O103" s="286"/>
      <c r="P103" s="286"/>
      <c r="Q103" s="287"/>
      <c r="S103" s="254" t="str">
        <f t="shared" si="5"/>
        <v/>
      </c>
    </row>
    <row r="104" spans="1:19" ht="30" customHeight="1" x14ac:dyDescent="0.2">
      <c r="A104" s="280"/>
      <c r="B104" s="281"/>
      <c r="C104" s="281"/>
      <c r="D104" s="281"/>
      <c r="F104" s="285" t="str">
        <f t="shared" si="4"/>
        <v/>
      </c>
      <c r="G104" s="286"/>
      <c r="H104" s="287"/>
      <c r="I104" s="287"/>
      <c r="K104" s="285" t="str">
        <f t="shared" si="6"/>
        <v/>
      </c>
      <c r="L104" s="286"/>
      <c r="M104" s="287"/>
      <c r="N104" s="287"/>
      <c r="O104" s="286"/>
      <c r="P104" s="286"/>
      <c r="Q104" s="287"/>
      <c r="S104" s="254" t="str">
        <f t="shared" si="5"/>
        <v/>
      </c>
    </row>
    <row r="105" spans="1:19" ht="30" customHeight="1" x14ac:dyDescent="0.2">
      <c r="A105" s="280"/>
      <c r="B105" s="281"/>
      <c r="C105" s="281"/>
      <c r="D105" s="281"/>
      <c r="F105" s="285" t="str">
        <f t="shared" si="4"/>
        <v/>
      </c>
      <c r="G105" s="286"/>
      <c r="H105" s="287"/>
      <c r="I105" s="287"/>
      <c r="K105" s="285" t="str">
        <f t="shared" si="6"/>
        <v/>
      </c>
      <c r="L105" s="288"/>
      <c r="M105" s="289"/>
      <c r="N105" s="289"/>
      <c r="O105" s="288"/>
      <c r="P105" s="288"/>
      <c r="Q105" s="287"/>
      <c r="S105" s="254" t="str">
        <f t="shared" si="5"/>
        <v/>
      </c>
    </row>
    <row r="106" spans="1:19" ht="30" customHeight="1" x14ac:dyDescent="0.2">
      <c r="A106" s="280"/>
      <c r="B106" s="281"/>
      <c r="C106" s="281"/>
      <c r="D106" s="281"/>
      <c r="F106" s="285" t="str">
        <f t="shared" si="4"/>
        <v/>
      </c>
      <c r="G106" s="286"/>
      <c r="H106" s="287"/>
      <c r="I106" s="287"/>
      <c r="K106" s="285" t="str">
        <f t="shared" si="6"/>
        <v/>
      </c>
      <c r="L106" s="288"/>
      <c r="M106" s="289"/>
      <c r="N106" s="289"/>
      <c r="O106" s="288"/>
      <c r="P106" s="288"/>
      <c r="Q106" s="287"/>
      <c r="S106" s="254" t="str">
        <f t="shared" si="5"/>
        <v/>
      </c>
    </row>
    <row r="107" spans="1:19" ht="30" customHeight="1" x14ac:dyDescent="0.2">
      <c r="A107" s="280"/>
      <c r="B107" s="281"/>
      <c r="C107" s="281"/>
      <c r="D107" s="281"/>
      <c r="F107" s="285" t="str">
        <f t="shared" si="4"/>
        <v/>
      </c>
      <c r="G107" s="286"/>
      <c r="H107" s="287"/>
      <c r="I107" s="287"/>
      <c r="K107" s="285" t="str">
        <f t="shared" si="6"/>
        <v/>
      </c>
      <c r="L107" s="288"/>
      <c r="M107" s="289"/>
      <c r="N107" s="289"/>
      <c r="O107" s="288"/>
      <c r="P107" s="288"/>
      <c r="Q107" s="287"/>
      <c r="S107" s="254" t="str">
        <f t="shared" si="5"/>
        <v/>
      </c>
    </row>
    <row r="108" spans="1:19" ht="30" customHeight="1" x14ac:dyDescent="0.2">
      <c r="A108" s="280"/>
      <c r="B108" s="281"/>
      <c r="C108" s="281"/>
      <c r="D108" s="281"/>
      <c r="F108" s="285" t="str">
        <f t="shared" si="4"/>
        <v/>
      </c>
      <c r="G108" s="286"/>
      <c r="H108" s="287"/>
      <c r="I108" s="287"/>
      <c r="K108" s="285" t="str">
        <f t="shared" si="6"/>
        <v/>
      </c>
      <c r="L108" s="286"/>
      <c r="M108" s="287"/>
      <c r="N108" s="287"/>
      <c r="O108" s="286"/>
      <c r="P108" s="286"/>
      <c r="Q108" s="287"/>
      <c r="S108" s="254" t="str">
        <f t="shared" si="5"/>
        <v/>
      </c>
    </row>
    <row r="109" spans="1:19" ht="30" customHeight="1" x14ac:dyDescent="0.2">
      <c r="A109" s="280"/>
      <c r="B109" s="281"/>
      <c r="C109" s="281"/>
      <c r="D109" s="281"/>
      <c r="F109" s="285" t="str">
        <f t="shared" si="4"/>
        <v/>
      </c>
      <c r="G109" s="286"/>
      <c r="H109" s="287"/>
      <c r="I109" s="287"/>
      <c r="K109" s="285" t="str">
        <f t="shared" si="6"/>
        <v/>
      </c>
      <c r="L109" s="286"/>
      <c r="M109" s="287"/>
      <c r="N109" s="287"/>
      <c r="O109" s="286"/>
      <c r="P109" s="286"/>
      <c r="Q109" s="287"/>
      <c r="S109" s="254" t="str">
        <f t="shared" si="5"/>
        <v/>
      </c>
    </row>
    <row r="110" spans="1:19" ht="30" customHeight="1" x14ac:dyDescent="0.2">
      <c r="A110" s="280"/>
      <c r="B110" s="281"/>
      <c r="C110" s="281"/>
      <c r="D110" s="281"/>
      <c r="F110" s="285" t="str">
        <f t="shared" si="4"/>
        <v/>
      </c>
      <c r="G110" s="286"/>
      <c r="H110" s="287"/>
      <c r="I110" s="287"/>
      <c r="K110" s="285" t="str">
        <f t="shared" si="6"/>
        <v/>
      </c>
      <c r="L110" s="286"/>
      <c r="M110" s="287"/>
      <c r="N110" s="287"/>
      <c r="O110" s="286"/>
      <c r="P110" s="286"/>
      <c r="Q110" s="287"/>
      <c r="S110" s="254" t="str">
        <f t="shared" si="5"/>
        <v/>
      </c>
    </row>
    <row r="111" spans="1:19" ht="30" customHeight="1" x14ac:dyDescent="0.2">
      <c r="A111" s="280"/>
      <c r="B111" s="281"/>
      <c r="C111" s="281"/>
      <c r="D111" s="281"/>
      <c r="F111" s="285" t="str">
        <f t="shared" si="4"/>
        <v/>
      </c>
      <c r="G111" s="286"/>
      <c r="H111" s="287"/>
      <c r="I111" s="287"/>
      <c r="K111" s="285" t="str">
        <f t="shared" si="6"/>
        <v/>
      </c>
      <c r="L111" s="288"/>
      <c r="M111" s="289"/>
      <c r="N111" s="289"/>
      <c r="O111" s="288"/>
      <c r="P111" s="288"/>
      <c r="Q111" s="287"/>
      <c r="S111" s="254" t="str">
        <f t="shared" si="5"/>
        <v/>
      </c>
    </row>
    <row r="112" spans="1:19" ht="30" customHeight="1" x14ac:dyDescent="0.2">
      <c r="A112" s="280"/>
      <c r="B112" s="281"/>
      <c r="C112" s="281"/>
      <c r="D112" s="281"/>
      <c r="F112" s="285" t="str">
        <f t="shared" si="4"/>
        <v/>
      </c>
      <c r="G112" s="286"/>
      <c r="H112" s="287"/>
      <c r="I112" s="287"/>
      <c r="K112" s="285" t="str">
        <f t="shared" si="6"/>
        <v/>
      </c>
      <c r="L112" s="288"/>
      <c r="M112" s="289"/>
      <c r="N112" s="289"/>
      <c r="O112" s="288"/>
      <c r="P112" s="288"/>
      <c r="Q112" s="287"/>
      <c r="S112" s="254" t="str">
        <f t="shared" si="5"/>
        <v/>
      </c>
    </row>
    <row r="113" spans="1:19" ht="30" customHeight="1" x14ac:dyDescent="0.2">
      <c r="A113" s="280"/>
      <c r="B113" s="281"/>
      <c r="C113" s="281"/>
      <c r="D113" s="281"/>
      <c r="F113" s="285" t="str">
        <f t="shared" si="4"/>
        <v/>
      </c>
      <c r="G113" s="286"/>
      <c r="H113" s="287"/>
      <c r="I113" s="287"/>
      <c r="K113" s="285" t="str">
        <f t="shared" si="6"/>
        <v/>
      </c>
      <c r="L113" s="288"/>
      <c r="M113" s="289"/>
      <c r="N113" s="289"/>
      <c r="O113" s="288"/>
      <c r="P113" s="288"/>
      <c r="Q113" s="287"/>
      <c r="S113" s="254" t="str">
        <f t="shared" si="5"/>
        <v/>
      </c>
    </row>
    <row r="114" spans="1:19" ht="30" customHeight="1" x14ac:dyDescent="0.2">
      <c r="A114" s="280"/>
      <c r="B114" s="281"/>
      <c r="C114" s="281"/>
      <c r="D114" s="281"/>
      <c r="F114" s="285" t="str">
        <f t="shared" si="4"/>
        <v/>
      </c>
      <c r="G114" s="286"/>
      <c r="H114" s="287"/>
      <c r="I114" s="287"/>
      <c r="K114" s="285" t="str">
        <f t="shared" si="6"/>
        <v/>
      </c>
      <c r="L114" s="286"/>
      <c r="M114" s="287"/>
      <c r="N114" s="287"/>
      <c r="O114" s="286"/>
      <c r="P114" s="286"/>
      <c r="Q114" s="287"/>
      <c r="S114" s="254" t="str">
        <f t="shared" si="5"/>
        <v/>
      </c>
    </row>
    <row r="115" spans="1:19" ht="30" customHeight="1" x14ac:dyDescent="0.2">
      <c r="A115" s="280"/>
      <c r="B115" s="281"/>
      <c r="C115" s="281"/>
      <c r="D115" s="281"/>
      <c r="F115" s="285" t="str">
        <f t="shared" si="4"/>
        <v/>
      </c>
      <c r="G115" s="286"/>
      <c r="H115" s="287"/>
      <c r="I115" s="287"/>
      <c r="K115" s="285" t="str">
        <f t="shared" si="6"/>
        <v/>
      </c>
      <c r="L115" s="286"/>
      <c r="M115" s="287"/>
      <c r="N115" s="287"/>
      <c r="O115" s="286"/>
      <c r="P115" s="286"/>
      <c r="Q115" s="287"/>
      <c r="S115" s="254" t="str">
        <f t="shared" si="5"/>
        <v/>
      </c>
    </row>
    <row r="116" spans="1:19" ht="30" customHeight="1" x14ac:dyDescent="0.2">
      <c r="A116" s="280"/>
      <c r="B116" s="281"/>
      <c r="C116" s="281"/>
      <c r="D116" s="281"/>
      <c r="F116" s="285" t="str">
        <f t="shared" si="4"/>
        <v/>
      </c>
      <c r="G116" s="286"/>
      <c r="H116" s="287"/>
      <c r="I116" s="287"/>
      <c r="K116" s="285" t="str">
        <f t="shared" si="6"/>
        <v/>
      </c>
      <c r="L116" s="286"/>
      <c r="M116" s="287"/>
      <c r="N116" s="287"/>
      <c r="O116" s="286"/>
      <c r="P116" s="286"/>
      <c r="Q116" s="287"/>
      <c r="S116" s="254" t="str">
        <f t="shared" si="5"/>
        <v/>
      </c>
    </row>
    <row r="117" spans="1:19" ht="30" customHeight="1" x14ac:dyDescent="0.2">
      <c r="A117" s="280"/>
      <c r="B117" s="281"/>
      <c r="C117" s="281"/>
      <c r="D117" s="281"/>
      <c r="F117" s="285" t="str">
        <f t="shared" si="4"/>
        <v/>
      </c>
      <c r="G117" s="286"/>
      <c r="H117" s="287"/>
      <c r="I117" s="287"/>
      <c r="K117" s="285" t="str">
        <f t="shared" si="6"/>
        <v/>
      </c>
      <c r="L117" s="288"/>
      <c r="M117" s="289"/>
      <c r="N117" s="289"/>
      <c r="O117" s="288"/>
      <c r="P117" s="288"/>
      <c r="Q117" s="287"/>
      <c r="S117" s="254" t="str">
        <f t="shared" si="5"/>
        <v/>
      </c>
    </row>
    <row r="118" spans="1:19" ht="30" customHeight="1" x14ac:dyDescent="0.2">
      <c r="A118" s="280"/>
      <c r="B118" s="281"/>
      <c r="C118" s="281"/>
      <c r="D118" s="281"/>
      <c r="F118" s="285" t="str">
        <f t="shared" si="4"/>
        <v/>
      </c>
      <c r="G118" s="286"/>
      <c r="H118" s="287"/>
      <c r="I118" s="287"/>
      <c r="K118" s="285" t="str">
        <f t="shared" si="6"/>
        <v/>
      </c>
      <c r="L118" s="288"/>
      <c r="M118" s="289"/>
      <c r="N118" s="289"/>
      <c r="O118" s="288"/>
      <c r="P118" s="288"/>
      <c r="Q118" s="287"/>
      <c r="S118" s="254" t="str">
        <f t="shared" si="5"/>
        <v/>
      </c>
    </row>
    <row r="119" spans="1:19" ht="30" customHeight="1" x14ac:dyDescent="0.2">
      <c r="A119" s="280"/>
      <c r="B119" s="281"/>
      <c r="C119" s="281"/>
      <c r="D119" s="281"/>
      <c r="F119" s="285" t="str">
        <f t="shared" si="4"/>
        <v/>
      </c>
      <c r="G119" s="286"/>
      <c r="H119" s="287"/>
      <c r="I119" s="287"/>
      <c r="K119" s="285" t="str">
        <f t="shared" si="6"/>
        <v/>
      </c>
      <c r="L119" s="288"/>
      <c r="M119" s="289"/>
      <c r="N119" s="289"/>
      <c r="O119" s="288"/>
      <c r="P119" s="288"/>
      <c r="Q119" s="287"/>
      <c r="S119" s="254" t="str">
        <f t="shared" si="5"/>
        <v/>
      </c>
    </row>
    <row r="120" spans="1:19" ht="30" customHeight="1" x14ac:dyDescent="0.2">
      <c r="A120" s="280"/>
      <c r="B120" s="281"/>
      <c r="C120" s="281"/>
      <c r="D120" s="281"/>
      <c r="F120" s="285" t="str">
        <f t="shared" si="4"/>
        <v/>
      </c>
      <c r="G120" s="286"/>
      <c r="H120" s="287"/>
      <c r="I120" s="287"/>
      <c r="K120" s="285" t="str">
        <f t="shared" si="6"/>
        <v/>
      </c>
      <c r="L120" s="286"/>
      <c r="M120" s="287"/>
      <c r="N120" s="287"/>
      <c r="O120" s="286"/>
      <c r="P120" s="286"/>
      <c r="Q120" s="287"/>
      <c r="S120" s="254" t="str">
        <f t="shared" si="5"/>
        <v/>
      </c>
    </row>
    <row r="121" spans="1:19" ht="30" customHeight="1" x14ac:dyDescent="0.2">
      <c r="A121" s="280"/>
      <c r="B121" s="281"/>
      <c r="C121" s="281"/>
      <c r="D121" s="281"/>
      <c r="F121" s="285" t="str">
        <f t="shared" si="4"/>
        <v/>
      </c>
      <c r="G121" s="286"/>
      <c r="H121" s="287"/>
      <c r="I121" s="287"/>
      <c r="K121" s="285" t="str">
        <f t="shared" si="6"/>
        <v/>
      </c>
      <c r="L121" s="286"/>
      <c r="M121" s="287"/>
      <c r="N121" s="287"/>
      <c r="O121" s="286"/>
      <c r="P121" s="286"/>
      <c r="Q121" s="287"/>
      <c r="S121" s="254" t="str">
        <f t="shared" si="5"/>
        <v/>
      </c>
    </row>
    <row r="122" spans="1:19" ht="30" customHeight="1" x14ac:dyDescent="0.2">
      <c r="A122" s="280"/>
      <c r="B122" s="281"/>
      <c r="C122" s="281"/>
      <c r="D122" s="281"/>
      <c r="F122" s="285" t="str">
        <f t="shared" si="4"/>
        <v/>
      </c>
      <c r="G122" s="286"/>
      <c r="H122" s="287"/>
      <c r="I122" s="287"/>
      <c r="K122" s="285" t="str">
        <f t="shared" si="6"/>
        <v/>
      </c>
      <c r="L122" s="286"/>
      <c r="M122" s="287"/>
      <c r="N122" s="287"/>
      <c r="O122" s="286"/>
      <c r="P122" s="286"/>
      <c r="Q122" s="287"/>
      <c r="S122" s="254" t="str">
        <f t="shared" si="5"/>
        <v/>
      </c>
    </row>
    <row r="123" spans="1:19" ht="30" customHeight="1" x14ac:dyDescent="0.2">
      <c r="A123" s="280"/>
      <c r="B123" s="281"/>
      <c r="C123" s="281"/>
      <c r="D123" s="281"/>
      <c r="F123" s="285" t="str">
        <f t="shared" si="4"/>
        <v/>
      </c>
      <c r="G123" s="286"/>
      <c r="H123" s="287"/>
      <c r="I123" s="287"/>
      <c r="K123" s="285" t="str">
        <f t="shared" si="6"/>
        <v/>
      </c>
      <c r="L123" s="288"/>
      <c r="M123" s="289"/>
      <c r="N123" s="289"/>
      <c r="O123" s="288"/>
      <c r="P123" s="288"/>
      <c r="Q123" s="287"/>
      <c r="S123" s="254" t="str">
        <f t="shared" si="5"/>
        <v/>
      </c>
    </row>
    <row r="124" spans="1:19" ht="30" customHeight="1" x14ac:dyDescent="0.2">
      <c r="A124" s="280"/>
      <c r="B124" s="281"/>
      <c r="C124" s="281"/>
      <c r="D124" s="281"/>
      <c r="F124" s="285" t="str">
        <f t="shared" si="4"/>
        <v/>
      </c>
      <c r="G124" s="286"/>
      <c r="H124" s="287"/>
      <c r="I124" s="287"/>
      <c r="K124" s="285" t="str">
        <f t="shared" si="6"/>
        <v/>
      </c>
      <c r="L124" s="288"/>
      <c r="M124" s="289"/>
      <c r="N124" s="289"/>
      <c r="O124" s="288"/>
      <c r="P124" s="288"/>
      <c r="Q124" s="287"/>
      <c r="S124" s="254" t="str">
        <f t="shared" si="5"/>
        <v/>
      </c>
    </row>
    <row r="125" spans="1:19" ht="30" customHeight="1" x14ac:dyDescent="0.2">
      <c r="A125" s="280"/>
      <c r="B125" s="281"/>
      <c r="C125" s="281"/>
      <c r="D125" s="281"/>
      <c r="F125" s="285" t="str">
        <f t="shared" si="4"/>
        <v/>
      </c>
      <c r="G125" s="286"/>
      <c r="H125" s="287"/>
      <c r="I125" s="287"/>
      <c r="K125" s="285" t="str">
        <f t="shared" si="6"/>
        <v/>
      </c>
      <c r="L125" s="288"/>
      <c r="M125" s="289"/>
      <c r="N125" s="289"/>
      <c r="O125" s="288"/>
      <c r="P125" s="288"/>
      <c r="Q125" s="287"/>
      <c r="S125" s="254" t="str">
        <f t="shared" si="5"/>
        <v/>
      </c>
    </row>
    <row r="126" spans="1:19" ht="30" customHeight="1" x14ac:dyDescent="0.2">
      <c r="A126" s="280"/>
      <c r="B126" s="281"/>
      <c r="C126" s="281"/>
      <c r="D126" s="281"/>
      <c r="F126" s="285" t="str">
        <f t="shared" si="4"/>
        <v/>
      </c>
      <c r="G126" s="286"/>
      <c r="H126" s="287"/>
      <c r="I126" s="287"/>
      <c r="K126" s="285" t="str">
        <f t="shared" si="6"/>
        <v/>
      </c>
      <c r="L126" s="286"/>
      <c r="M126" s="287"/>
      <c r="N126" s="287"/>
      <c r="O126" s="286"/>
      <c r="P126" s="286"/>
      <c r="Q126" s="287"/>
      <c r="S126" s="254" t="str">
        <f t="shared" si="5"/>
        <v/>
      </c>
    </row>
    <row r="127" spans="1:19" ht="30" customHeight="1" x14ac:dyDescent="0.2">
      <c r="A127" s="280"/>
      <c r="B127" s="281"/>
      <c r="C127" s="281"/>
      <c r="D127" s="281"/>
      <c r="F127" s="285" t="str">
        <f t="shared" si="4"/>
        <v/>
      </c>
      <c r="G127" s="286"/>
      <c r="H127" s="287"/>
      <c r="I127" s="287"/>
      <c r="K127" s="285" t="str">
        <f t="shared" si="6"/>
        <v/>
      </c>
      <c r="L127" s="286"/>
      <c r="M127" s="287"/>
      <c r="N127" s="287"/>
      <c r="O127" s="286"/>
      <c r="P127" s="286"/>
      <c r="Q127" s="287"/>
      <c r="S127" s="254" t="str">
        <f t="shared" si="5"/>
        <v/>
      </c>
    </row>
    <row r="128" spans="1:19" ht="30" customHeight="1" x14ac:dyDescent="0.2">
      <c r="A128" s="280"/>
      <c r="B128" s="281"/>
      <c r="C128" s="281"/>
      <c r="D128" s="281"/>
      <c r="F128" s="285" t="str">
        <f t="shared" si="4"/>
        <v/>
      </c>
      <c r="G128" s="286"/>
      <c r="H128" s="287"/>
      <c r="I128" s="287"/>
      <c r="K128" s="285" t="str">
        <f t="shared" si="6"/>
        <v/>
      </c>
      <c r="L128" s="286"/>
      <c r="M128" s="287"/>
      <c r="N128" s="287"/>
      <c r="O128" s="286"/>
      <c r="P128" s="286"/>
      <c r="Q128" s="287"/>
      <c r="S128" s="254" t="str">
        <f t="shared" si="5"/>
        <v/>
      </c>
    </row>
    <row r="129" spans="1:19" ht="30" customHeight="1" x14ac:dyDescent="0.2">
      <c r="A129" s="280"/>
      <c r="B129" s="281"/>
      <c r="C129" s="281"/>
      <c r="D129" s="281"/>
      <c r="F129" s="285" t="str">
        <f t="shared" si="4"/>
        <v/>
      </c>
      <c r="G129" s="286"/>
      <c r="H129" s="287"/>
      <c r="I129" s="287"/>
      <c r="K129" s="285" t="str">
        <f t="shared" si="6"/>
        <v/>
      </c>
      <c r="L129" s="288"/>
      <c r="M129" s="289"/>
      <c r="N129" s="289"/>
      <c r="O129" s="288"/>
      <c r="P129" s="288"/>
      <c r="Q129" s="287"/>
      <c r="S129" s="254" t="str">
        <f t="shared" si="5"/>
        <v/>
      </c>
    </row>
    <row r="130" spans="1:19" ht="30" customHeight="1" x14ac:dyDescent="0.2">
      <c r="A130" s="280"/>
      <c r="B130" s="281"/>
      <c r="C130" s="281"/>
      <c r="D130" s="281"/>
      <c r="F130" s="285" t="str">
        <f t="shared" si="4"/>
        <v/>
      </c>
      <c r="G130" s="286"/>
      <c r="H130" s="287"/>
      <c r="I130" s="287"/>
      <c r="K130" s="285" t="str">
        <f t="shared" si="6"/>
        <v/>
      </c>
      <c r="L130" s="288"/>
      <c r="M130" s="289"/>
      <c r="N130" s="289"/>
      <c r="O130" s="288"/>
      <c r="P130" s="288"/>
      <c r="Q130" s="287"/>
      <c r="S130" s="254" t="str">
        <f t="shared" si="5"/>
        <v/>
      </c>
    </row>
    <row r="131" spans="1:19" ht="30" customHeight="1" x14ac:dyDescent="0.2">
      <c r="A131" s="280"/>
      <c r="B131" s="281"/>
      <c r="C131" s="281"/>
      <c r="D131" s="281"/>
      <c r="F131" s="285" t="str">
        <f t="shared" si="4"/>
        <v/>
      </c>
      <c r="G131" s="286"/>
      <c r="H131" s="287"/>
      <c r="I131" s="287"/>
      <c r="K131" s="285" t="str">
        <f t="shared" si="6"/>
        <v/>
      </c>
      <c r="L131" s="288"/>
      <c r="M131" s="289"/>
      <c r="N131" s="289"/>
      <c r="O131" s="288"/>
      <c r="P131" s="288"/>
      <c r="Q131" s="287"/>
      <c r="S131" s="254" t="str">
        <f t="shared" si="5"/>
        <v/>
      </c>
    </row>
    <row r="132" spans="1:19" ht="30" customHeight="1" x14ac:dyDescent="0.2">
      <c r="A132" s="280"/>
      <c r="B132" s="281"/>
      <c r="C132" s="281"/>
      <c r="D132" s="281"/>
      <c r="F132" s="285" t="str">
        <f t="shared" si="4"/>
        <v/>
      </c>
      <c r="G132" s="286"/>
      <c r="H132" s="287"/>
      <c r="I132" s="287"/>
      <c r="K132" s="285" t="str">
        <f t="shared" si="6"/>
        <v/>
      </c>
      <c r="L132" s="286"/>
      <c r="M132" s="287"/>
      <c r="N132" s="287"/>
      <c r="O132" s="286"/>
      <c r="P132" s="286"/>
      <c r="Q132" s="287"/>
      <c r="S132" s="254" t="str">
        <f t="shared" si="5"/>
        <v/>
      </c>
    </row>
    <row r="133" spans="1:19" ht="30" customHeight="1" x14ac:dyDescent="0.2">
      <c r="A133" s="280"/>
      <c r="B133" s="281"/>
      <c r="C133" s="281"/>
      <c r="D133" s="281"/>
      <c r="F133" s="285" t="str">
        <f t="shared" ref="F133:F196" si="7">IF(A133="","",A133)</f>
        <v/>
      </c>
      <c r="G133" s="286"/>
      <c r="H133" s="287"/>
      <c r="I133" s="287"/>
      <c r="K133" s="285" t="str">
        <f t="shared" si="6"/>
        <v/>
      </c>
      <c r="L133" s="286"/>
      <c r="M133" s="287"/>
      <c r="N133" s="287"/>
      <c r="O133" s="286"/>
      <c r="P133" s="286"/>
      <c r="Q133" s="287"/>
      <c r="S133" s="254" t="str">
        <f t="shared" si="5"/>
        <v/>
      </c>
    </row>
    <row r="134" spans="1:19" ht="30" customHeight="1" x14ac:dyDescent="0.2">
      <c r="A134" s="280"/>
      <c r="B134" s="281"/>
      <c r="C134" s="281"/>
      <c r="D134" s="281"/>
      <c r="F134" s="285" t="str">
        <f t="shared" si="7"/>
        <v/>
      </c>
      <c r="G134" s="286"/>
      <c r="H134" s="287"/>
      <c r="I134" s="287"/>
      <c r="K134" s="285" t="str">
        <f t="shared" si="6"/>
        <v/>
      </c>
      <c r="L134" s="286"/>
      <c r="M134" s="287"/>
      <c r="N134" s="287"/>
      <c r="O134" s="286"/>
      <c r="P134" s="286"/>
      <c r="Q134" s="287"/>
      <c r="S134" s="254" t="str">
        <f t="shared" si="5"/>
        <v/>
      </c>
    </row>
    <row r="135" spans="1:19" ht="30" customHeight="1" x14ac:dyDescent="0.2">
      <c r="A135" s="280"/>
      <c r="B135" s="281"/>
      <c r="C135" s="281"/>
      <c r="D135" s="281"/>
      <c r="F135" s="285" t="str">
        <f t="shared" si="7"/>
        <v/>
      </c>
      <c r="G135" s="286"/>
      <c r="H135" s="287"/>
      <c r="I135" s="287"/>
      <c r="K135" s="285" t="str">
        <f t="shared" si="6"/>
        <v/>
      </c>
      <c r="L135" s="288"/>
      <c r="M135" s="289"/>
      <c r="N135" s="289"/>
      <c r="O135" s="288"/>
      <c r="P135" s="288"/>
      <c r="Q135" s="287"/>
      <c r="S135" s="254" t="str">
        <f t="shared" ref="S135:S198" si="8">IF(P135="","",+D135-P135)</f>
        <v/>
      </c>
    </row>
    <row r="136" spans="1:19" ht="30" customHeight="1" x14ac:dyDescent="0.2">
      <c r="A136" s="280"/>
      <c r="B136" s="281"/>
      <c r="C136" s="281"/>
      <c r="D136" s="281"/>
      <c r="F136" s="285" t="str">
        <f t="shared" si="7"/>
        <v/>
      </c>
      <c r="G136" s="286"/>
      <c r="H136" s="287"/>
      <c r="I136" s="287"/>
      <c r="K136" s="285" t="str">
        <f t="shared" si="6"/>
        <v/>
      </c>
      <c r="L136" s="288"/>
      <c r="M136" s="289"/>
      <c r="N136" s="289"/>
      <c r="O136" s="288"/>
      <c r="P136" s="288"/>
      <c r="Q136" s="287"/>
      <c r="S136" s="254" t="str">
        <f t="shared" si="8"/>
        <v/>
      </c>
    </row>
    <row r="137" spans="1:19" ht="30" customHeight="1" x14ac:dyDescent="0.2">
      <c r="A137" s="280"/>
      <c r="B137" s="281"/>
      <c r="C137" s="281"/>
      <c r="D137" s="281"/>
      <c r="F137" s="285" t="str">
        <f t="shared" si="7"/>
        <v/>
      </c>
      <c r="G137" s="286"/>
      <c r="H137" s="287"/>
      <c r="I137" s="287"/>
      <c r="K137" s="285" t="str">
        <f t="shared" si="6"/>
        <v/>
      </c>
      <c r="L137" s="288"/>
      <c r="M137" s="289"/>
      <c r="N137" s="289"/>
      <c r="O137" s="288"/>
      <c r="P137" s="288"/>
      <c r="Q137" s="287"/>
      <c r="S137" s="254" t="str">
        <f t="shared" si="8"/>
        <v/>
      </c>
    </row>
    <row r="138" spans="1:19" ht="30" customHeight="1" x14ac:dyDescent="0.2">
      <c r="A138" s="280"/>
      <c r="B138" s="281"/>
      <c r="C138" s="281"/>
      <c r="D138" s="281"/>
      <c r="F138" s="285" t="str">
        <f t="shared" si="7"/>
        <v/>
      </c>
      <c r="G138" s="286"/>
      <c r="H138" s="287"/>
      <c r="I138" s="287"/>
      <c r="K138" s="285" t="str">
        <f t="shared" si="6"/>
        <v/>
      </c>
      <c r="L138" s="286"/>
      <c r="M138" s="287"/>
      <c r="N138" s="287"/>
      <c r="O138" s="286"/>
      <c r="P138" s="286"/>
      <c r="Q138" s="287"/>
      <c r="S138" s="254" t="str">
        <f t="shared" si="8"/>
        <v/>
      </c>
    </row>
    <row r="139" spans="1:19" ht="30" customHeight="1" x14ac:dyDescent="0.2">
      <c r="A139" s="280"/>
      <c r="B139" s="281"/>
      <c r="C139" s="281"/>
      <c r="D139" s="281"/>
      <c r="F139" s="285" t="str">
        <f t="shared" si="7"/>
        <v/>
      </c>
      <c r="G139" s="286"/>
      <c r="H139" s="287"/>
      <c r="I139" s="287"/>
      <c r="K139" s="285" t="str">
        <f t="shared" ref="K139:K202" si="9">IF(A139="","",A139)</f>
        <v/>
      </c>
      <c r="L139" s="286"/>
      <c r="M139" s="287"/>
      <c r="N139" s="287"/>
      <c r="O139" s="286"/>
      <c r="P139" s="286"/>
      <c r="Q139" s="287"/>
      <c r="S139" s="254" t="str">
        <f t="shared" si="8"/>
        <v/>
      </c>
    </row>
    <row r="140" spans="1:19" ht="30" customHeight="1" x14ac:dyDescent="0.2">
      <c r="A140" s="280"/>
      <c r="B140" s="281"/>
      <c r="C140" s="281"/>
      <c r="D140" s="281"/>
      <c r="F140" s="285" t="str">
        <f t="shared" si="7"/>
        <v/>
      </c>
      <c r="G140" s="286"/>
      <c r="H140" s="287"/>
      <c r="I140" s="287"/>
      <c r="K140" s="285" t="str">
        <f t="shared" si="9"/>
        <v/>
      </c>
      <c r="L140" s="286"/>
      <c r="M140" s="287"/>
      <c r="N140" s="287"/>
      <c r="O140" s="286"/>
      <c r="P140" s="286"/>
      <c r="Q140" s="287"/>
      <c r="S140" s="254" t="str">
        <f t="shared" si="8"/>
        <v/>
      </c>
    </row>
    <row r="141" spans="1:19" ht="30" customHeight="1" x14ac:dyDescent="0.2">
      <c r="A141" s="280"/>
      <c r="B141" s="281"/>
      <c r="C141" s="281"/>
      <c r="D141" s="281"/>
      <c r="F141" s="285" t="str">
        <f t="shared" si="7"/>
        <v/>
      </c>
      <c r="G141" s="286"/>
      <c r="H141" s="287"/>
      <c r="I141" s="287"/>
      <c r="K141" s="285" t="str">
        <f t="shared" si="9"/>
        <v/>
      </c>
      <c r="L141" s="288"/>
      <c r="M141" s="289"/>
      <c r="N141" s="289"/>
      <c r="O141" s="288"/>
      <c r="P141" s="288"/>
      <c r="Q141" s="287"/>
      <c r="S141" s="254" t="str">
        <f t="shared" si="8"/>
        <v/>
      </c>
    </row>
    <row r="142" spans="1:19" ht="30" customHeight="1" x14ac:dyDescent="0.2">
      <c r="A142" s="280"/>
      <c r="B142" s="281"/>
      <c r="C142" s="281"/>
      <c r="D142" s="281"/>
      <c r="F142" s="285" t="str">
        <f t="shared" si="7"/>
        <v/>
      </c>
      <c r="G142" s="286"/>
      <c r="H142" s="287"/>
      <c r="I142" s="287"/>
      <c r="K142" s="285" t="str">
        <f t="shared" si="9"/>
        <v/>
      </c>
      <c r="L142" s="288"/>
      <c r="M142" s="289"/>
      <c r="N142" s="289"/>
      <c r="O142" s="288"/>
      <c r="P142" s="288"/>
      <c r="Q142" s="287"/>
      <c r="S142" s="254" t="str">
        <f t="shared" si="8"/>
        <v/>
      </c>
    </row>
    <row r="143" spans="1:19" ht="30" customHeight="1" x14ac:dyDescent="0.2">
      <c r="A143" s="280"/>
      <c r="B143" s="281"/>
      <c r="C143" s="281"/>
      <c r="D143" s="281"/>
      <c r="F143" s="285" t="str">
        <f t="shared" si="7"/>
        <v/>
      </c>
      <c r="G143" s="286"/>
      <c r="H143" s="287"/>
      <c r="I143" s="287"/>
      <c r="K143" s="285" t="str">
        <f t="shared" si="9"/>
        <v/>
      </c>
      <c r="L143" s="288"/>
      <c r="M143" s="289"/>
      <c r="N143" s="289"/>
      <c r="O143" s="288"/>
      <c r="P143" s="288"/>
      <c r="Q143" s="287"/>
      <c r="S143" s="254" t="str">
        <f t="shared" si="8"/>
        <v/>
      </c>
    </row>
    <row r="144" spans="1:19" ht="30" customHeight="1" x14ac:dyDescent="0.2">
      <c r="A144" s="280"/>
      <c r="B144" s="281"/>
      <c r="C144" s="281"/>
      <c r="D144" s="281"/>
      <c r="F144" s="285" t="str">
        <f t="shared" si="7"/>
        <v/>
      </c>
      <c r="G144" s="286"/>
      <c r="H144" s="287"/>
      <c r="I144" s="287"/>
      <c r="K144" s="285" t="str">
        <f t="shared" si="9"/>
        <v/>
      </c>
      <c r="L144" s="286"/>
      <c r="M144" s="287"/>
      <c r="N144" s="287"/>
      <c r="O144" s="286"/>
      <c r="P144" s="286"/>
      <c r="Q144" s="287"/>
      <c r="S144" s="254" t="str">
        <f t="shared" si="8"/>
        <v/>
      </c>
    </row>
    <row r="145" spans="1:19" ht="30" customHeight="1" x14ac:dyDescent="0.2">
      <c r="A145" s="280"/>
      <c r="B145" s="281"/>
      <c r="C145" s="281"/>
      <c r="D145" s="281"/>
      <c r="F145" s="285" t="str">
        <f t="shared" si="7"/>
        <v/>
      </c>
      <c r="G145" s="286"/>
      <c r="H145" s="287"/>
      <c r="I145" s="287"/>
      <c r="K145" s="285" t="str">
        <f t="shared" si="9"/>
        <v/>
      </c>
      <c r="L145" s="286"/>
      <c r="M145" s="287"/>
      <c r="N145" s="287"/>
      <c r="O145" s="286"/>
      <c r="P145" s="286"/>
      <c r="Q145" s="287"/>
      <c r="S145" s="254" t="str">
        <f t="shared" si="8"/>
        <v/>
      </c>
    </row>
    <row r="146" spans="1:19" ht="30" customHeight="1" x14ac:dyDescent="0.2">
      <c r="A146" s="280"/>
      <c r="B146" s="281"/>
      <c r="C146" s="281"/>
      <c r="D146" s="281"/>
      <c r="F146" s="285" t="str">
        <f t="shared" si="7"/>
        <v/>
      </c>
      <c r="G146" s="286"/>
      <c r="H146" s="287"/>
      <c r="I146" s="287"/>
      <c r="K146" s="285" t="str">
        <f t="shared" si="9"/>
        <v/>
      </c>
      <c r="L146" s="286"/>
      <c r="M146" s="287"/>
      <c r="N146" s="287"/>
      <c r="O146" s="286"/>
      <c r="P146" s="286"/>
      <c r="Q146" s="287"/>
      <c r="S146" s="254" t="str">
        <f t="shared" si="8"/>
        <v/>
      </c>
    </row>
    <row r="147" spans="1:19" ht="30" customHeight="1" x14ac:dyDescent="0.2">
      <c r="A147" s="280"/>
      <c r="B147" s="281"/>
      <c r="C147" s="281"/>
      <c r="D147" s="281"/>
      <c r="F147" s="285" t="str">
        <f t="shared" si="7"/>
        <v/>
      </c>
      <c r="G147" s="286"/>
      <c r="H147" s="287"/>
      <c r="I147" s="287"/>
      <c r="K147" s="285" t="str">
        <f t="shared" si="9"/>
        <v/>
      </c>
      <c r="L147" s="288"/>
      <c r="M147" s="289"/>
      <c r="N147" s="289"/>
      <c r="O147" s="288"/>
      <c r="P147" s="288"/>
      <c r="Q147" s="287"/>
      <c r="S147" s="254" t="str">
        <f t="shared" si="8"/>
        <v/>
      </c>
    </row>
    <row r="148" spans="1:19" ht="30" customHeight="1" x14ac:dyDescent="0.2">
      <c r="A148" s="280"/>
      <c r="B148" s="281"/>
      <c r="C148" s="281"/>
      <c r="D148" s="281"/>
      <c r="F148" s="285" t="str">
        <f t="shared" si="7"/>
        <v/>
      </c>
      <c r="G148" s="286"/>
      <c r="H148" s="287"/>
      <c r="I148" s="287"/>
      <c r="K148" s="285" t="str">
        <f t="shared" si="9"/>
        <v/>
      </c>
      <c r="L148" s="288"/>
      <c r="M148" s="289"/>
      <c r="N148" s="289"/>
      <c r="O148" s="288"/>
      <c r="P148" s="288"/>
      <c r="Q148" s="287"/>
      <c r="S148" s="254" t="str">
        <f t="shared" si="8"/>
        <v/>
      </c>
    </row>
    <row r="149" spans="1:19" ht="30" customHeight="1" x14ac:dyDescent="0.2">
      <c r="A149" s="280"/>
      <c r="B149" s="281"/>
      <c r="C149" s="281"/>
      <c r="D149" s="281"/>
      <c r="F149" s="285" t="str">
        <f t="shared" si="7"/>
        <v/>
      </c>
      <c r="G149" s="286"/>
      <c r="H149" s="287"/>
      <c r="I149" s="287"/>
      <c r="K149" s="285" t="str">
        <f t="shared" si="9"/>
        <v/>
      </c>
      <c r="L149" s="288"/>
      <c r="M149" s="289"/>
      <c r="N149" s="289"/>
      <c r="O149" s="288"/>
      <c r="P149" s="288"/>
      <c r="Q149" s="287"/>
      <c r="S149" s="254" t="str">
        <f t="shared" si="8"/>
        <v/>
      </c>
    </row>
    <row r="150" spans="1:19" ht="30" customHeight="1" x14ac:dyDescent="0.2">
      <c r="A150" s="280"/>
      <c r="B150" s="281"/>
      <c r="C150" s="281"/>
      <c r="D150" s="281"/>
      <c r="F150" s="285" t="str">
        <f t="shared" si="7"/>
        <v/>
      </c>
      <c r="G150" s="286"/>
      <c r="H150" s="287"/>
      <c r="I150" s="287"/>
      <c r="K150" s="285" t="str">
        <f t="shared" si="9"/>
        <v/>
      </c>
      <c r="L150" s="286"/>
      <c r="M150" s="287"/>
      <c r="N150" s="287"/>
      <c r="O150" s="286"/>
      <c r="P150" s="286"/>
      <c r="Q150" s="287"/>
      <c r="S150" s="254" t="str">
        <f t="shared" si="8"/>
        <v/>
      </c>
    </row>
    <row r="151" spans="1:19" ht="30" customHeight="1" x14ac:dyDescent="0.2">
      <c r="A151" s="280"/>
      <c r="B151" s="281"/>
      <c r="C151" s="281"/>
      <c r="D151" s="281"/>
      <c r="F151" s="285" t="str">
        <f t="shared" si="7"/>
        <v/>
      </c>
      <c r="G151" s="286"/>
      <c r="H151" s="287"/>
      <c r="I151" s="287"/>
      <c r="K151" s="285" t="str">
        <f t="shared" si="9"/>
        <v/>
      </c>
      <c r="L151" s="286"/>
      <c r="M151" s="287"/>
      <c r="N151" s="287"/>
      <c r="O151" s="286"/>
      <c r="P151" s="286"/>
      <c r="Q151" s="287"/>
      <c r="S151" s="254" t="str">
        <f t="shared" si="8"/>
        <v/>
      </c>
    </row>
    <row r="152" spans="1:19" ht="30" customHeight="1" x14ac:dyDescent="0.2">
      <c r="A152" s="280"/>
      <c r="B152" s="281"/>
      <c r="C152" s="281"/>
      <c r="D152" s="281"/>
      <c r="F152" s="285" t="str">
        <f t="shared" si="7"/>
        <v/>
      </c>
      <c r="G152" s="286"/>
      <c r="H152" s="287"/>
      <c r="I152" s="287"/>
      <c r="K152" s="285" t="str">
        <f t="shared" si="9"/>
        <v/>
      </c>
      <c r="L152" s="286"/>
      <c r="M152" s="287"/>
      <c r="N152" s="287"/>
      <c r="O152" s="286"/>
      <c r="P152" s="286"/>
      <c r="Q152" s="287"/>
      <c r="S152" s="254" t="str">
        <f t="shared" si="8"/>
        <v/>
      </c>
    </row>
    <row r="153" spans="1:19" ht="30" customHeight="1" x14ac:dyDescent="0.2">
      <c r="A153" s="280"/>
      <c r="B153" s="281"/>
      <c r="C153" s="281"/>
      <c r="D153" s="281"/>
      <c r="F153" s="285" t="str">
        <f t="shared" si="7"/>
        <v/>
      </c>
      <c r="G153" s="286"/>
      <c r="H153" s="287"/>
      <c r="I153" s="287"/>
      <c r="K153" s="285" t="str">
        <f t="shared" si="9"/>
        <v/>
      </c>
      <c r="L153" s="288"/>
      <c r="M153" s="289"/>
      <c r="N153" s="289"/>
      <c r="O153" s="288"/>
      <c r="P153" s="288"/>
      <c r="Q153" s="287"/>
      <c r="S153" s="254" t="str">
        <f t="shared" si="8"/>
        <v/>
      </c>
    </row>
    <row r="154" spans="1:19" ht="30" customHeight="1" x14ac:dyDescent="0.2">
      <c r="A154" s="280"/>
      <c r="B154" s="281"/>
      <c r="C154" s="281"/>
      <c r="D154" s="281"/>
      <c r="F154" s="285" t="str">
        <f t="shared" si="7"/>
        <v/>
      </c>
      <c r="G154" s="286"/>
      <c r="H154" s="287"/>
      <c r="I154" s="287"/>
      <c r="K154" s="285" t="str">
        <f t="shared" si="9"/>
        <v/>
      </c>
      <c r="L154" s="288"/>
      <c r="M154" s="289"/>
      <c r="N154" s="289"/>
      <c r="O154" s="288"/>
      <c r="P154" s="288"/>
      <c r="Q154" s="287"/>
      <c r="S154" s="254" t="str">
        <f t="shared" si="8"/>
        <v/>
      </c>
    </row>
    <row r="155" spans="1:19" ht="30" customHeight="1" x14ac:dyDescent="0.2">
      <c r="A155" s="280"/>
      <c r="B155" s="281"/>
      <c r="C155" s="281"/>
      <c r="D155" s="281"/>
      <c r="F155" s="285" t="str">
        <f t="shared" si="7"/>
        <v/>
      </c>
      <c r="G155" s="286"/>
      <c r="H155" s="287"/>
      <c r="I155" s="287"/>
      <c r="K155" s="285" t="str">
        <f t="shared" si="9"/>
        <v/>
      </c>
      <c r="L155" s="288"/>
      <c r="M155" s="289"/>
      <c r="N155" s="289"/>
      <c r="O155" s="288"/>
      <c r="P155" s="288"/>
      <c r="Q155" s="287"/>
      <c r="S155" s="254" t="str">
        <f t="shared" si="8"/>
        <v/>
      </c>
    </row>
    <row r="156" spans="1:19" ht="30" customHeight="1" x14ac:dyDescent="0.2">
      <c r="A156" s="280"/>
      <c r="B156" s="281"/>
      <c r="C156" s="281"/>
      <c r="D156" s="281"/>
      <c r="F156" s="285" t="str">
        <f t="shared" si="7"/>
        <v/>
      </c>
      <c r="G156" s="286"/>
      <c r="H156" s="287"/>
      <c r="I156" s="287"/>
      <c r="K156" s="285" t="str">
        <f t="shared" si="9"/>
        <v/>
      </c>
      <c r="L156" s="286"/>
      <c r="M156" s="287"/>
      <c r="N156" s="287"/>
      <c r="O156" s="286"/>
      <c r="P156" s="286"/>
      <c r="Q156" s="287"/>
      <c r="S156" s="254" t="str">
        <f t="shared" si="8"/>
        <v/>
      </c>
    </row>
    <row r="157" spans="1:19" ht="30" customHeight="1" x14ac:dyDescent="0.2">
      <c r="A157" s="280"/>
      <c r="B157" s="281"/>
      <c r="C157" s="281"/>
      <c r="D157" s="281"/>
      <c r="F157" s="285" t="str">
        <f t="shared" si="7"/>
        <v/>
      </c>
      <c r="G157" s="286"/>
      <c r="H157" s="287"/>
      <c r="I157" s="287"/>
      <c r="K157" s="285" t="str">
        <f t="shared" si="9"/>
        <v/>
      </c>
      <c r="L157" s="286"/>
      <c r="M157" s="287"/>
      <c r="N157" s="287"/>
      <c r="O157" s="286"/>
      <c r="P157" s="286"/>
      <c r="Q157" s="287"/>
      <c r="S157" s="254" t="str">
        <f t="shared" si="8"/>
        <v/>
      </c>
    </row>
    <row r="158" spans="1:19" ht="30" customHeight="1" x14ac:dyDescent="0.2">
      <c r="A158" s="280"/>
      <c r="B158" s="281"/>
      <c r="C158" s="281"/>
      <c r="D158" s="281"/>
      <c r="F158" s="285" t="str">
        <f t="shared" si="7"/>
        <v/>
      </c>
      <c r="G158" s="286"/>
      <c r="H158" s="287"/>
      <c r="I158" s="287"/>
      <c r="K158" s="285" t="str">
        <f t="shared" si="9"/>
        <v/>
      </c>
      <c r="L158" s="286"/>
      <c r="M158" s="287"/>
      <c r="N158" s="287"/>
      <c r="O158" s="286"/>
      <c r="P158" s="286"/>
      <c r="Q158" s="287"/>
      <c r="S158" s="254" t="str">
        <f t="shared" si="8"/>
        <v/>
      </c>
    </row>
    <row r="159" spans="1:19" ht="30" customHeight="1" x14ac:dyDescent="0.2">
      <c r="A159" s="280"/>
      <c r="B159" s="281"/>
      <c r="C159" s="281"/>
      <c r="D159" s="281"/>
      <c r="F159" s="285" t="str">
        <f t="shared" si="7"/>
        <v/>
      </c>
      <c r="G159" s="286"/>
      <c r="H159" s="287"/>
      <c r="I159" s="287"/>
      <c r="K159" s="285" t="str">
        <f t="shared" si="9"/>
        <v/>
      </c>
      <c r="L159" s="288"/>
      <c r="M159" s="289"/>
      <c r="N159" s="289"/>
      <c r="O159" s="288"/>
      <c r="P159" s="288"/>
      <c r="Q159" s="287"/>
      <c r="S159" s="254" t="str">
        <f t="shared" si="8"/>
        <v/>
      </c>
    </row>
    <row r="160" spans="1:19" ht="30" customHeight="1" x14ac:dyDescent="0.2">
      <c r="A160" s="280"/>
      <c r="B160" s="281"/>
      <c r="C160" s="281"/>
      <c r="D160" s="281"/>
      <c r="F160" s="285" t="str">
        <f t="shared" si="7"/>
        <v/>
      </c>
      <c r="G160" s="286"/>
      <c r="H160" s="287"/>
      <c r="I160" s="287"/>
      <c r="K160" s="285" t="str">
        <f t="shared" si="9"/>
        <v/>
      </c>
      <c r="L160" s="288"/>
      <c r="M160" s="289"/>
      <c r="N160" s="289"/>
      <c r="O160" s="288"/>
      <c r="P160" s="288"/>
      <c r="Q160" s="287"/>
      <c r="S160" s="254" t="str">
        <f t="shared" si="8"/>
        <v/>
      </c>
    </row>
    <row r="161" spans="1:19" ht="30" customHeight="1" x14ac:dyDescent="0.2">
      <c r="A161" s="280"/>
      <c r="B161" s="281"/>
      <c r="C161" s="281"/>
      <c r="D161" s="281"/>
      <c r="F161" s="285" t="str">
        <f t="shared" si="7"/>
        <v/>
      </c>
      <c r="G161" s="286"/>
      <c r="H161" s="287"/>
      <c r="I161" s="287"/>
      <c r="K161" s="285" t="str">
        <f t="shared" si="9"/>
        <v/>
      </c>
      <c r="L161" s="288"/>
      <c r="M161" s="289"/>
      <c r="N161" s="289"/>
      <c r="O161" s="288"/>
      <c r="P161" s="288"/>
      <c r="Q161" s="287"/>
      <c r="S161" s="254" t="str">
        <f t="shared" si="8"/>
        <v/>
      </c>
    </row>
    <row r="162" spans="1:19" ht="30" customHeight="1" x14ac:dyDescent="0.2">
      <c r="A162" s="280"/>
      <c r="B162" s="281"/>
      <c r="C162" s="281"/>
      <c r="D162" s="281"/>
      <c r="F162" s="285" t="str">
        <f t="shared" si="7"/>
        <v/>
      </c>
      <c r="G162" s="286"/>
      <c r="H162" s="287"/>
      <c r="I162" s="287"/>
      <c r="K162" s="285" t="str">
        <f t="shared" si="9"/>
        <v/>
      </c>
      <c r="L162" s="286"/>
      <c r="M162" s="287"/>
      <c r="N162" s="287"/>
      <c r="O162" s="286"/>
      <c r="P162" s="286"/>
      <c r="Q162" s="287"/>
      <c r="S162" s="254" t="str">
        <f t="shared" si="8"/>
        <v/>
      </c>
    </row>
    <row r="163" spans="1:19" ht="30" customHeight="1" x14ac:dyDescent="0.2">
      <c r="A163" s="280"/>
      <c r="B163" s="281"/>
      <c r="C163" s="281"/>
      <c r="D163" s="281"/>
      <c r="F163" s="285" t="str">
        <f t="shared" si="7"/>
        <v/>
      </c>
      <c r="G163" s="286"/>
      <c r="H163" s="287"/>
      <c r="I163" s="287"/>
      <c r="K163" s="285" t="str">
        <f t="shared" si="9"/>
        <v/>
      </c>
      <c r="L163" s="286"/>
      <c r="M163" s="287"/>
      <c r="N163" s="287"/>
      <c r="O163" s="286"/>
      <c r="P163" s="286"/>
      <c r="Q163" s="287"/>
      <c r="S163" s="254" t="str">
        <f t="shared" si="8"/>
        <v/>
      </c>
    </row>
    <row r="164" spans="1:19" ht="30" customHeight="1" x14ac:dyDescent="0.2">
      <c r="A164" s="280"/>
      <c r="B164" s="281"/>
      <c r="C164" s="281"/>
      <c r="D164" s="281"/>
      <c r="F164" s="285" t="str">
        <f t="shared" si="7"/>
        <v/>
      </c>
      <c r="G164" s="286"/>
      <c r="H164" s="287"/>
      <c r="I164" s="287"/>
      <c r="K164" s="285" t="str">
        <f t="shared" si="9"/>
        <v/>
      </c>
      <c r="L164" s="286"/>
      <c r="M164" s="287"/>
      <c r="N164" s="287"/>
      <c r="O164" s="286"/>
      <c r="P164" s="286"/>
      <c r="Q164" s="287"/>
      <c r="S164" s="254" t="str">
        <f t="shared" si="8"/>
        <v/>
      </c>
    </row>
    <row r="165" spans="1:19" ht="30" customHeight="1" x14ac:dyDescent="0.2">
      <c r="A165" s="280"/>
      <c r="B165" s="281"/>
      <c r="C165" s="281"/>
      <c r="D165" s="281"/>
      <c r="F165" s="285" t="str">
        <f t="shared" si="7"/>
        <v/>
      </c>
      <c r="G165" s="286"/>
      <c r="H165" s="287"/>
      <c r="I165" s="287"/>
      <c r="K165" s="285" t="str">
        <f t="shared" si="9"/>
        <v/>
      </c>
      <c r="L165" s="288"/>
      <c r="M165" s="289"/>
      <c r="N165" s="289"/>
      <c r="O165" s="288"/>
      <c r="P165" s="288"/>
      <c r="Q165" s="287"/>
      <c r="S165" s="254" t="str">
        <f t="shared" si="8"/>
        <v/>
      </c>
    </row>
    <row r="166" spans="1:19" ht="30" customHeight="1" x14ac:dyDescent="0.2">
      <c r="A166" s="280"/>
      <c r="B166" s="281"/>
      <c r="C166" s="281"/>
      <c r="D166" s="281"/>
      <c r="F166" s="285" t="str">
        <f t="shared" si="7"/>
        <v/>
      </c>
      <c r="G166" s="286"/>
      <c r="H166" s="287"/>
      <c r="I166" s="287"/>
      <c r="K166" s="285" t="str">
        <f t="shared" si="9"/>
        <v/>
      </c>
      <c r="L166" s="288"/>
      <c r="M166" s="289"/>
      <c r="N166" s="289"/>
      <c r="O166" s="288"/>
      <c r="P166" s="288"/>
      <c r="Q166" s="287"/>
      <c r="S166" s="254" t="str">
        <f t="shared" si="8"/>
        <v/>
      </c>
    </row>
    <row r="167" spans="1:19" ht="30" customHeight="1" x14ac:dyDescent="0.2">
      <c r="A167" s="280"/>
      <c r="B167" s="281"/>
      <c r="C167" s="281"/>
      <c r="D167" s="281"/>
      <c r="F167" s="285" t="str">
        <f t="shared" si="7"/>
        <v/>
      </c>
      <c r="G167" s="286"/>
      <c r="H167" s="287"/>
      <c r="I167" s="287"/>
      <c r="K167" s="285" t="str">
        <f t="shared" si="9"/>
        <v/>
      </c>
      <c r="L167" s="288"/>
      <c r="M167" s="289"/>
      <c r="N167" s="289"/>
      <c r="O167" s="288"/>
      <c r="P167" s="288"/>
      <c r="Q167" s="287"/>
      <c r="S167" s="254" t="str">
        <f t="shared" si="8"/>
        <v/>
      </c>
    </row>
    <row r="168" spans="1:19" ht="30" customHeight="1" x14ac:dyDescent="0.2">
      <c r="A168" s="280"/>
      <c r="B168" s="281"/>
      <c r="C168" s="281"/>
      <c r="D168" s="281"/>
      <c r="F168" s="285" t="str">
        <f t="shared" si="7"/>
        <v/>
      </c>
      <c r="G168" s="286"/>
      <c r="H168" s="287"/>
      <c r="I168" s="287"/>
      <c r="K168" s="285" t="str">
        <f t="shared" si="9"/>
        <v/>
      </c>
      <c r="L168" s="286"/>
      <c r="M168" s="287"/>
      <c r="N168" s="287"/>
      <c r="O168" s="286"/>
      <c r="P168" s="286"/>
      <c r="Q168" s="287"/>
      <c r="S168" s="254" t="str">
        <f t="shared" si="8"/>
        <v/>
      </c>
    </row>
    <row r="169" spans="1:19" ht="30" customHeight="1" x14ac:dyDescent="0.2">
      <c r="A169" s="280"/>
      <c r="B169" s="281"/>
      <c r="C169" s="281"/>
      <c r="D169" s="281"/>
      <c r="F169" s="285" t="str">
        <f t="shared" si="7"/>
        <v/>
      </c>
      <c r="G169" s="286"/>
      <c r="H169" s="287"/>
      <c r="I169" s="287"/>
      <c r="K169" s="285" t="str">
        <f t="shared" si="9"/>
        <v/>
      </c>
      <c r="L169" s="286"/>
      <c r="M169" s="287"/>
      <c r="N169" s="287"/>
      <c r="O169" s="286"/>
      <c r="P169" s="286"/>
      <c r="Q169" s="287"/>
      <c r="S169" s="254" t="str">
        <f t="shared" si="8"/>
        <v/>
      </c>
    </row>
    <row r="170" spans="1:19" ht="30" customHeight="1" x14ac:dyDescent="0.2">
      <c r="A170" s="280"/>
      <c r="B170" s="281"/>
      <c r="C170" s="281"/>
      <c r="D170" s="281"/>
      <c r="F170" s="285" t="str">
        <f t="shared" si="7"/>
        <v/>
      </c>
      <c r="G170" s="286"/>
      <c r="H170" s="287"/>
      <c r="I170" s="287"/>
      <c r="K170" s="285" t="str">
        <f t="shared" si="9"/>
        <v/>
      </c>
      <c r="L170" s="286"/>
      <c r="M170" s="287"/>
      <c r="N170" s="287"/>
      <c r="O170" s="286"/>
      <c r="P170" s="286"/>
      <c r="Q170" s="287"/>
      <c r="S170" s="254" t="str">
        <f t="shared" si="8"/>
        <v/>
      </c>
    </row>
    <row r="171" spans="1:19" ht="30" customHeight="1" x14ac:dyDescent="0.2">
      <c r="A171" s="280"/>
      <c r="B171" s="281"/>
      <c r="C171" s="281"/>
      <c r="D171" s="281"/>
      <c r="F171" s="285" t="str">
        <f t="shared" si="7"/>
        <v/>
      </c>
      <c r="G171" s="286"/>
      <c r="H171" s="287"/>
      <c r="I171" s="287"/>
      <c r="K171" s="285" t="str">
        <f t="shared" si="9"/>
        <v/>
      </c>
      <c r="L171" s="288"/>
      <c r="M171" s="289"/>
      <c r="N171" s="289"/>
      <c r="O171" s="288"/>
      <c r="P171" s="288"/>
      <c r="Q171" s="287"/>
      <c r="S171" s="254" t="str">
        <f t="shared" si="8"/>
        <v/>
      </c>
    </row>
    <row r="172" spans="1:19" ht="30" customHeight="1" x14ac:dyDescent="0.2">
      <c r="A172" s="280"/>
      <c r="B172" s="281"/>
      <c r="C172" s="281"/>
      <c r="D172" s="281"/>
      <c r="F172" s="285" t="str">
        <f t="shared" si="7"/>
        <v/>
      </c>
      <c r="G172" s="286"/>
      <c r="H172" s="287"/>
      <c r="I172" s="287"/>
      <c r="K172" s="285" t="str">
        <f t="shared" si="9"/>
        <v/>
      </c>
      <c r="L172" s="288"/>
      <c r="M172" s="289"/>
      <c r="N172" s="289"/>
      <c r="O172" s="288"/>
      <c r="P172" s="288"/>
      <c r="Q172" s="287"/>
      <c r="S172" s="254" t="str">
        <f t="shared" si="8"/>
        <v/>
      </c>
    </row>
    <row r="173" spans="1:19" ht="30" customHeight="1" x14ac:dyDescent="0.2">
      <c r="A173" s="280"/>
      <c r="B173" s="281"/>
      <c r="C173" s="281"/>
      <c r="D173" s="281"/>
      <c r="F173" s="285" t="str">
        <f t="shared" si="7"/>
        <v/>
      </c>
      <c r="G173" s="286"/>
      <c r="H173" s="287"/>
      <c r="I173" s="287"/>
      <c r="K173" s="285" t="str">
        <f t="shared" si="9"/>
        <v/>
      </c>
      <c r="L173" s="288"/>
      <c r="M173" s="289"/>
      <c r="N173" s="289"/>
      <c r="O173" s="288"/>
      <c r="P173" s="288"/>
      <c r="Q173" s="287"/>
      <c r="S173" s="254" t="str">
        <f t="shared" si="8"/>
        <v/>
      </c>
    </row>
    <row r="174" spans="1:19" ht="30" customHeight="1" x14ac:dyDescent="0.2">
      <c r="A174" s="280"/>
      <c r="B174" s="281"/>
      <c r="C174" s="281"/>
      <c r="D174" s="281"/>
      <c r="F174" s="285" t="str">
        <f t="shared" si="7"/>
        <v/>
      </c>
      <c r="G174" s="286"/>
      <c r="H174" s="287"/>
      <c r="I174" s="287"/>
      <c r="K174" s="285" t="str">
        <f t="shared" si="9"/>
        <v/>
      </c>
      <c r="L174" s="286"/>
      <c r="M174" s="287"/>
      <c r="N174" s="287"/>
      <c r="O174" s="286"/>
      <c r="P174" s="286"/>
      <c r="Q174" s="287"/>
      <c r="S174" s="254" t="str">
        <f t="shared" si="8"/>
        <v/>
      </c>
    </row>
    <row r="175" spans="1:19" ht="30" customHeight="1" x14ac:dyDescent="0.2">
      <c r="A175" s="280"/>
      <c r="B175" s="281"/>
      <c r="C175" s="281"/>
      <c r="D175" s="281"/>
      <c r="F175" s="285" t="str">
        <f t="shared" si="7"/>
        <v/>
      </c>
      <c r="G175" s="286"/>
      <c r="H175" s="287"/>
      <c r="I175" s="287"/>
      <c r="K175" s="285" t="str">
        <f t="shared" si="9"/>
        <v/>
      </c>
      <c r="L175" s="286"/>
      <c r="M175" s="287"/>
      <c r="N175" s="287"/>
      <c r="O175" s="286"/>
      <c r="P175" s="286"/>
      <c r="Q175" s="287"/>
      <c r="S175" s="254" t="str">
        <f t="shared" si="8"/>
        <v/>
      </c>
    </row>
    <row r="176" spans="1:19" ht="30" customHeight="1" x14ac:dyDescent="0.2">
      <c r="A176" s="280"/>
      <c r="B176" s="281"/>
      <c r="C176" s="281"/>
      <c r="D176" s="281"/>
      <c r="F176" s="285" t="str">
        <f t="shared" si="7"/>
        <v/>
      </c>
      <c r="G176" s="286"/>
      <c r="H176" s="287"/>
      <c r="I176" s="287"/>
      <c r="K176" s="285" t="str">
        <f t="shared" si="9"/>
        <v/>
      </c>
      <c r="L176" s="286"/>
      <c r="M176" s="287"/>
      <c r="N176" s="287"/>
      <c r="O176" s="286"/>
      <c r="P176" s="286"/>
      <c r="Q176" s="287"/>
      <c r="S176" s="254" t="str">
        <f t="shared" si="8"/>
        <v/>
      </c>
    </row>
    <row r="177" spans="1:19" ht="30" customHeight="1" x14ac:dyDescent="0.2">
      <c r="A177" s="280"/>
      <c r="B177" s="281"/>
      <c r="C177" s="281"/>
      <c r="D177" s="281"/>
      <c r="F177" s="285" t="str">
        <f t="shared" si="7"/>
        <v/>
      </c>
      <c r="G177" s="286"/>
      <c r="H177" s="287"/>
      <c r="I177" s="287"/>
      <c r="K177" s="285" t="str">
        <f t="shared" si="9"/>
        <v/>
      </c>
      <c r="L177" s="290"/>
      <c r="M177" s="291"/>
      <c r="N177" s="291"/>
      <c r="O177" s="290"/>
      <c r="P177" s="290"/>
      <c r="Q177" s="287"/>
      <c r="S177" s="254" t="str">
        <f t="shared" si="8"/>
        <v/>
      </c>
    </row>
    <row r="178" spans="1:19" ht="30" customHeight="1" x14ac:dyDescent="0.2">
      <c r="A178" s="280"/>
      <c r="B178" s="281"/>
      <c r="C178" s="281"/>
      <c r="D178" s="281"/>
      <c r="F178" s="285" t="str">
        <f t="shared" si="7"/>
        <v/>
      </c>
      <c r="G178" s="286"/>
      <c r="H178" s="287"/>
      <c r="I178" s="287"/>
      <c r="K178" s="285" t="str">
        <f t="shared" si="9"/>
        <v/>
      </c>
      <c r="L178" s="290"/>
      <c r="M178" s="291"/>
      <c r="N178" s="291"/>
      <c r="O178" s="290"/>
      <c r="P178" s="290"/>
      <c r="Q178" s="287"/>
      <c r="S178" s="254" t="str">
        <f t="shared" si="8"/>
        <v/>
      </c>
    </row>
    <row r="179" spans="1:19" ht="30" customHeight="1" x14ac:dyDescent="0.2">
      <c r="A179" s="280"/>
      <c r="B179" s="281"/>
      <c r="C179" s="281"/>
      <c r="D179" s="281"/>
      <c r="F179" s="285" t="str">
        <f t="shared" si="7"/>
        <v/>
      </c>
      <c r="G179" s="286"/>
      <c r="H179" s="287"/>
      <c r="I179" s="287"/>
      <c r="K179" s="285" t="str">
        <f t="shared" si="9"/>
        <v/>
      </c>
      <c r="L179" s="290"/>
      <c r="M179" s="291"/>
      <c r="N179" s="291"/>
      <c r="O179" s="290"/>
      <c r="P179" s="290"/>
      <c r="Q179" s="287"/>
      <c r="S179" s="254" t="str">
        <f t="shared" si="8"/>
        <v/>
      </c>
    </row>
    <row r="180" spans="1:19" ht="30" customHeight="1" x14ac:dyDescent="0.2">
      <c r="A180" s="280"/>
      <c r="B180" s="281"/>
      <c r="C180" s="281"/>
      <c r="D180" s="281"/>
      <c r="F180" s="285" t="str">
        <f t="shared" si="7"/>
        <v/>
      </c>
      <c r="G180" s="286"/>
      <c r="H180" s="287"/>
      <c r="I180" s="287"/>
      <c r="K180" s="285" t="str">
        <f t="shared" si="9"/>
        <v/>
      </c>
      <c r="L180" s="290"/>
      <c r="M180" s="291"/>
      <c r="N180" s="291"/>
      <c r="O180" s="290"/>
      <c r="P180" s="290"/>
      <c r="Q180" s="287"/>
      <c r="S180" s="254" t="str">
        <f t="shared" si="8"/>
        <v/>
      </c>
    </row>
    <row r="181" spans="1:19" ht="30" customHeight="1" x14ac:dyDescent="0.2">
      <c r="A181" s="280"/>
      <c r="B181" s="281"/>
      <c r="C181" s="281"/>
      <c r="D181" s="281"/>
      <c r="F181" s="285" t="str">
        <f t="shared" si="7"/>
        <v/>
      </c>
      <c r="G181" s="286"/>
      <c r="H181" s="287"/>
      <c r="I181" s="287"/>
      <c r="K181" s="285" t="str">
        <f t="shared" si="9"/>
        <v/>
      </c>
      <c r="L181" s="290"/>
      <c r="M181" s="291"/>
      <c r="N181" s="291"/>
      <c r="O181" s="290"/>
      <c r="P181" s="290"/>
      <c r="Q181" s="287"/>
      <c r="S181" s="254" t="str">
        <f t="shared" si="8"/>
        <v/>
      </c>
    </row>
    <row r="182" spans="1:19" ht="30" customHeight="1" x14ac:dyDescent="0.2">
      <c r="A182" s="280"/>
      <c r="B182" s="281"/>
      <c r="C182" s="281"/>
      <c r="D182" s="281"/>
      <c r="F182" s="285" t="str">
        <f t="shared" si="7"/>
        <v/>
      </c>
      <c r="G182" s="286"/>
      <c r="H182" s="287"/>
      <c r="I182" s="287"/>
      <c r="K182" s="285" t="str">
        <f t="shared" si="9"/>
        <v/>
      </c>
      <c r="L182" s="290"/>
      <c r="M182" s="291"/>
      <c r="N182" s="291"/>
      <c r="O182" s="290"/>
      <c r="P182" s="290"/>
      <c r="Q182" s="287"/>
      <c r="S182" s="254" t="str">
        <f t="shared" si="8"/>
        <v/>
      </c>
    </row>
    <row r="183" spans="1:19" ht="30" customHeight="1" x14ac:dyDescent="0.2">
      <c r="A183" s="280"/>
      <c r="B183" s="281"/>
      <c r="C183" s="281"/>
      <c r="D183" s="281"/>
      <c r="F183" s="285" t="str">
        <f t="shared" si="7"/>
        <v/>
      </c>
      <c r="G183" s="286"/>
      <c r="H183" s="287"/>
      <c r="I183" s="287"/>
      <c r="K183" s="285" t="str">
        <f t="shared" si="9"/>
        <v/>
      </c>
      <c r="L183" s="288"/>
      <c r="M183" s="289"/>
      <c r="N183" s="289"/>
      <c r="O183" s="288"/>
      <c r="P183" s="288"/>
      <c r="Q183" s="287"/>
      <c r="S183" s="254" t="str">
        <f t="shared" si="8"/>
        <v/>
      </c>
    </row>
    <row r="184" spans="1:19" ht="30" customHeight="1" x14ac:dyDescent="0.2">
      <c r="A184" s="280"/>
      <c r="B184" s="281"/>
      <c r="C184" s="281"/>
      <c r="D184" s="281"/>
      <c r="F184" s="285" t="str">
        <f t="shared" si="7"/>
        <v/>
      </c>
      <c r="G184" s="286"/>
      <c r="H184" s="287"/>
      <c r="I184" s="287"/>
      <c r="K184" s="285" t="str">
        <f t="shared" si="9"/>
        <v/>
      </c>
      <c r="L184" s="288"/>
      <c r="M184" s="289"/>
      <c r="N184" s="289"/>
      <c r="O184" s="288"/>
      <c r="P184" s="288"/>
      <c r="Q184" s="287"/>
      <c r="S184" s="254" t="str">
        <f t="shared" si="8"/>
        <v/>
      </c>
    </row>
    <row r="185" spans="1:19" ht="30" customHeight="1" x14ac:dyDescent="0.2">
      <c r="A185" s="280"/>
      <c r="B185" s="281"/>
      <c r="C185" s="281"/>
      <c r="D185" s="281"/>
      <c r="F185" s="285" t="str">
        <f t="shared" si="7"/>
        <v/>
      </c>
      <c r="G185" s="286"/>
      <c r="H185" s="287"/>
      <c r="I185" s="287"/>
      <c r="K185" s="285" t="str">
        <f t="shared" si="9"/>
        <v/>
      </c>
      <c r="L185" s="288"/>
      <c r="M185" s="289"/>
      <c r="N185" s="289"/>
      <c r="O185" s="288"/>
      <c r="P185" s="288"/>
      <c r="Q185" s="287"/>
      <c r="S185" s="254" t="str">
        <f t="shared" si="8"/>
        <v/>
      </c>
    </row>
    <row r="186" spans="1:19" ht="30" customHeight="1" x14ac:dyDescent="0.2">
      <c r="A186" s="280"/>
      <c r="B186" s="281"/>
      <c r="C186" s="281"/>
      <c r="D186" s="281"/>
      <c r="F186" s="285" t="str">
        <f t="shared" si="7"/>
        <v/>
      </c>
      <c r="G186" s="286"/>
      <c r="H186" s="287"/>
      <c r="I186" s="287"/>
      <c r="K186" s="285" t="str">
        <f t="shared" si="9"/>
        <v/>
      </c>
      <c r="L186" s="286"/>
      <c r="M186" s="287"/>
      <c r="N186" s="287"/>
      <c r="O186" s="286"/>
      <c r="P186" s="286"/>
      <c r="Q186" s="287"/>
      <c r="S186" s="254" t="str">
        <f t="shared" si="8"/>
        <v/>
      </c>
    </row>
    <row r="187" spans="1:19" ht="30" customHeight="1" x14ac:dyDescent="0.2">
      <c r="A187" s="280"/>
      <c r="B187" s="281"/>
      <c r="C187" s="281"/>
      <c r="D187" s="281"/>
      <c r="F187" s="285" t="str">
        <f t="shared" si="7"/>
        <v/>
      </c>
      <c r="G187" s="286"/>
      <c r="H187" s="287"/>
      <c r="I187" s="287"/>
      <c r="K187" s="285" t="str">
        <f t="shared" si="9"/>
        <v/>
      </c>
      <c r="L187" s="286"/>
      <c r="M187" s="287"/>
      <c r="N187" s="287"/>
      <c r="O187" s="286"/>
      <c r="P187" s="286"/>
      <c r="Q187" s="287"/>
      <c r="S187" s="254" t="str">
        <f t="shared" si="8"/>
        <v/>
      </c>
    </row>
    <row r="188" spans="1:19" ht="30" customHeight="1" x14ac:dyDescent="0.2">
      <c r="A188" s="280"/>
      <c r="B188" s="281"/>
      <c r="C188" s="281"/>
      <c r="D188" s="281"/>
      <c r="F188" s="285" t="str">
        <f t="shared" si="7"/>
        <v/>
      </c>
      <c r="G188" s="286"/>
      <c r="H188" s="287"/>
      <c r="I188" s="287"/>
      <c r="K188" s="285" t="str">
        <f t="shared" si="9"/>
        <v/>
      </c>
      <c r="L188" s="286"/>
      <c r="M188" s="287"/>
      <c r="N188" s="287"/>
      <c r="O188" s="286"/>
      <c r="P188" s="286"/>
      <c r="Q188" s="287"/>
      <c r="S188" s="254" t="str">
        <f t="shared" si="8"/>
        <v/>
      </c>
    </row>
    <row r="189" spans="1:19" ht="30" customHeight="1" x14ac:dyDescent="0.2">
      <c r="A189" s="280"/>
      <c r="B189" s="281"/>
      <c r="C189" s="281"/>
      <c r="D189" s="281"/>
      <c r="F189" s="285" t="str">
        <f t="shared" si="7"/>
        <v/>
      </c>
      <c r="G189" s="286"/>
      <c r="H189" s="287"/>
      <c r="I189" s="287"/>
      <c r="K189" s="285" t="str">
        <f t="shared" si="9"/>
        <v/>
      </c>
      <c r="L189" s="288"/>
      <c r="M189" s="289"/>
      <c r="N189" s="289"/>
      <c r="O189" s="288"/>
      <c r="P189" s="288"/>
      <c r="Q189" s="287"/>
      <c r="S189" s="254" t="str">
        <f t="shared" si="8"/>
        <v/>
      </c>
    </row>
    <row r="190" spans="1:19" ht="30" customHeight="1" x14ac:dyDescent="0.2">
      <c r="A190" s="280"/>
      <c r="B190" s="281"/>
      <c r="C190" s="281"/>
      <c r="D190" s="281"/>
      <c r="F190" s="285" t="str">
        <f t="shared" si="7"/>
        <v/>
      </c>
      <c r="G190" s="286"/>
      <c r="H190" s="287"/>
      <c r="I190" s="287"/>
      <c r="K190" s="285" t="str">
        <f t="shared" si="9"/>
        <v/>
      </c>
      <c r="L190" s="288"/>
      <c r="M190" s="289"/>
      <c r="N190" s="289"/>
      <c r="O190" s="288"/>
      <c r="P190" s="288"/>
      <c r="Q190" s="287"/>
      <c r="S190" s="254" t="str">
        <f t="shared" si="8"/>
        <v/>
      </c>
    </row>
    <row r="191" spans="1:19" ht="30" customHeight="1" x14ac:dyDescent="0.2">
      <c r="A191" s="280"/>
      <c r="B191" s="281"/>
      <c r="C191" s="281"/>
      <c r="D191" s="281"/>
      <c r="F191" s="285" t="str">
        <f t="shared" si="7"/>
        <v/>
      </c>
      <c r="G191" s="286"/>
      <c r="H191" s="287"/>
      <c r="I191" s="287"/>
      <c r="K191" s="285" t="str">
        <f t="shared" si="9"/>
        <v/>
      </c>
      <c r="L191" s="288"/>
      <c r="M191" s="289"/>
      <c r="N191" s="289"/>
      <c r="O191" s="288"/>
      <c r="P191" s="288"/>
      <c r="Q191" s="287"/>
      <c r="S191" s="254" t="str">
        <f t="shared" si="8"/>
        <v/>
      </c>
    </row>
    <row r="192" spans="1:19" ht="30" customHeight="1" x14ac:dyDescent="0.2">
      <c r="A192" s="280"/>
      <c r="B192" s="281"/>
      <c r="C192" s="281"/>
      <c r="D192" s="281"/>
      <c r="F192" s="285" t="str">
        <f t="shared" si="7"/>
        <v/>
      </c>
      <c r="G192" s="286"/>
      <c r="H192" s="287"/>
      <c r="I192" s="287"/>
      <c r="K192" s="285" t="str">
        <f t="shared" si="9"/>
        <v/>
      </c>
      <c r="L192" s="286"/>
      <c r="M192" s="287"/>
      <c r="N192" s="287"/>
      <c r="O192" s="286"/>
      <c r="P192" s="286"/>
      <c r="Q192" s="287"/>
      <c r="S192" s="254" t="str">
        <f t="shared" si="8"/>
        <v/>
      </c>
    </row>
    <row r="193" spans="1:19" ht="30" customHeight="1" x14ac:dyDescent="0.2">
      <c r="A193" s="280"/>
      <c r="B193" s="281"/>
      <c r="C193" s="281"/>
      <c r="D193" s="281"/>
      <c r="F193" s="285" t="str">
        <f t="shared" si="7"/>
        <v/>
      </c>
      <c r="G193" s="286"/>
      <c r="H193" s="287"/>
      <c r="I193" s="287"/>
      <c r="K193" s="285" t="str">
        <f t="shared" si="9"/>
        <v/>
      </c>
      <c r="L193" s="286"/>
      <c r="M193" s="287"/>
      <c r="N193" s="287"/>
      <c r="O193" s="286"/>
      <c r="P193" s="286"/>
      <c r="Q193" s="287"/>
      <c r="S193" s="254" t="str">
        <f t="shared" si="8"/>
        <v/>
      </c>
    </row>
    <row r="194" spans="1:19" ht="30" customHeight="1" x14ac:dyDescent="0.2">
      <c r="A194" s="280"/>
      <c r="B194" s="281"/>
      <c r="C194" s="281"/>
      <c r="D194" s="281"/>
      <c r="F194" s="285" t="str">
        <f t="shared" si="7"/>
        <v/>
      </c>
      <c r="G194" s="286"/>
      <c r="H194" s="287"/>
      <c r="I194" s="287"/>
      <c r="K194" s="285" t="str">
        <f t="shared" si="9"/>
        <v/>
      </c>
      <c r="L194" s="286"/>
      <c r="M194" s="287"/>
      <c r="N194" s="287"/>
      <c r="O194" s="286"/>
      <c r="P194" s="286"/>
      <c r="Q194" s="287"/>
      <c r="S194" s="254" t="str">
        <f t="shared" si="8"/>
        <v/>
      </c>
    </row>
    <row r="195" spans="1:19" ht="30" customHeight="1" x14ac:dyDescent="0.2">
      <c r="A195" s="280"/>
      <c r="B195" s="281"/>
      <c r="C195" s="281"/>
      <c r="D195" s="281"/>
      <c r="F195" s="285" t="str">
        <f t="shared" si="7"/>
        <v/>
      </c>
      <c r="G195" s="286"/>
      <c r="H195" s="287"/>
      <c r="I195" s="287"/>
      <c r="K195" s="285" t="str">
        <f t="shared" si="9"/>
        <v/>
      </c>
      <c r="L195" s="288"/>
      <c r="M195" s="289"/>
      <c r="N195" s="289"/>
      <c r="O195" s="288"/>
      <c r="P195" s="288"/>
      <c r="Q195" s="287"/>
      <c r="S195" s="254" t="str">
        <f t="shared" si="8"/>
        <v/>
      </c>
    </row>
    <row r="196" spans="1:19" ht="30" customHeight="1" x14ac:dyDescent="0.2">
      <c r="A196" s="280"/>
      <c r="B196" s="281"/>
      <c r="C196" s="281"/>
      <c r="D196" s="281"/>
      <c r="F196" s="285" t="str">
        <f t="shared" si="7"/>
        <v/>
      </c>
      <c r="G196" s="286"/>
      <c r="H196" s="287"/>
      <c r="I196" s="287"/>
      <c r="K196" s="285" t="str">
        <f t="shared" si="9"/>
        <v/>
      </c>
      <c r="L196" s="288"/>
      <c r="M196" s="289"/>
      <c r="N196" s="289"/>
      <c r="O196" s="288"/>
      <c r="P196" s="288"/>
      <c r="Q196" s="287"/>
      <c r="S196" s="254" t="str">
        <f t="shared" si="8"/>
        <v/>
      </c>
    </row>
    <row r="197" spans="1:19" ht="30" customHeight="1" x14ac:dyDescent="0.2">
      <c r="A197" s="280"/>
      <c r="B197" s="281"/>
      <c r="C197" s="281"/>
      <c r="D197" s="281"/>
      <c r="F197" s="285" t="str">
        <f t="shared" ref="F197:F260" si="10">IF(A197="","",A197)</f>
        <v/>
      </c>
      <c r="G197" s="286"/>
      <c r="H197" s="287"/>
      <c r="I197" s="287"/>
      <c r="K197" s="285" t="str">
        <f t="shared" si="9"/>
        <v/>
      </c>
      <c r="L197" s="288"/>
      <c r="M197" s="289"/>
      <c r="N197" s="289"/>
      <c r="O197" s="288"/>
      <c r="P197" s="288"/>
      <c r="Q197" s="287"/>
      <c r="S197" s="254" t="str">
        <f t="shared" si="8"/>
        <v/>
      </c>
    </row>
    <row r="198" spans="1:19" ht="30" customHeight="1" x14ac:dyDescent="0.2">
      <c r="A198" s="280"/>
      <c r="B198" s="281"/>
      <c r="C198" s="281"/>
      <c r="D198" s="281"/>
      <c r="F198" s="285" t="str">
        <f t="shared" si="10"/>
        <v/>
      </c>
      <c r="G198" s="286"/>
      <c r="H198" s="287"/>
      <c r="I198" s="287"/>
      <c r="K198" s="285" t="str">
        <f t="shared" si="9"/>
        <v/>
      </c>
      <c r="L198" s="286"/>
      <c r="M198" s="287"/>
      <c r="N198" s="287"/>
      <c r="O198" s="286"/>
      <c r="P198" s="286"/>
      <c r="Q198" s="287"/>
      <c r="S198" s="254" t="str">
        <f t="shared" si="8"/>
        <v/>
      </c>
    </row>
    <row r="199" spans="1:19" ht="30" customHeight="1" x14ac:dyDescent="0.2">
      <c r="A199" s="280"/>
      <c r="B199" s="281"/>
      <c r="C199" s="281"/>
      <c r="D199" s="281"/>
      <c r="F199" s="285" t="str">
        <f t="shared" si="10"/>
        <v/>
      </c>
      <c r="G199" s="286"/>
      <c r="H199" s="287"/>
      <c r="I199" s="287"/>
      <c r="K199" s="285" t="str">
        <f t="shared" si="9"/>
        <v/>
      </c>
      <c r="L199" s="286"/>
      <c r="M199" s="287"/>
      <c r="N199" s="287"/>
      <c r="O199" s="286"/>
      <c r="P199" s="286"/>
      <c r="Q199" s="287"/>
      <c r="S199" s="254" t="str">
        <f t="shared" ref="S199:S262" si="11">IF(P199="","",+D199-P199)</f>
        <v/>
      </c>
    </row>
    <row r="200" spans="1:19" ht="30" customHeight="1" x14ac:dyDescent="0.2">
      <c r="A200" s="280"/>
      <c r="B200" s="281"/>
      <c r="C200" s="281"/>
      <c r="D200" s="281"/>
      <c r="F200" s="285" t="str">
        <f t="shared" si="10"/>
        <v/>
      </c>
      <c r="G200" s="286"/>
      <c r="H200" s="287"/>
      <c r="I200" s="287"/>
      <c r="K200" s="285" t="str">
        <f t="shared" si="9"/>
        <v/>
      </c>
      <c r="L200" s="286"/>
      <c r="M200" s="287"/>
      <c r="N200" s="287"/>
      <c r="O200" s="286"/>
      <c r="P200" s="286"/>
      <c r="Q200" s="287"/>
      <c r="S200" s="254" t="str">
        <f t="shared" si="11"/>
        <v/>
      </c>
    </row>
    <row r="201" spans="1:19" ht="30" customHeight="1" x14ac:dyDescent="0.2">
      <c r="A201" s="280"/>
      <c r="B201" s="281"/>
      <c r="C201" s="281"/>
      <c r="D201" s="281"/>
      <c r="F201" s="285" t="str">
        <f t="shared" si="10"/>
        <v/>
      </c>
      <c r="G201" s="286"/>
      <c r="H201" s="287"/>
      <c r="I201" s="287"/>
      <c r="K201" s="285" t="str">
        <f t="shared" si="9"/>
        <v/>
      </c>
      <c r="L201" s="288"/>
      <c r="M201" s="289"/>
      <c r="N201" s="289"/>
      <c r="O201" s="288"/>
      <c r="P201" s="288"/>
      <c r="Q201" s="287"/>
      <c r="S201" s="254" t="str">
        <f t="shared" si="11"/>
        <v/>
      </c>
    </row>
    <row r="202" spans="1:19" ht="30" customHeight="1" x14ac:dyDescent="0.2">
      <c r="A202" s="280"/>
      <c r="B202" s="281"/>
      <c r="C202" s="281"/>
      <c r="D202" s="281"/>
      <c r="F202" s="285" t="str">
        <f t="shared" si="10"/>
        <v/>
      </c>
      <c r="G202" s="286"/>
      <c r="H202" s="287"/>
      <c r="I202" s="287"/>
      <c r="K202" s="285" t="str">
        <f t="shared" si="9"/>
        <v/>
      </c>
      <c r="L202" s="288"/>
      <c r="M202" s="289"/>
      <c r="N202" s="289"/>
      <c r="O202" s="288"/>
      <c r="P202" s="288"/>
      <c r="Q202" s="287"/>
      <c r="S202" s="254" t="str">
        <f t="shared" si="11"/>
        <v/>
      </c>
    </row>
    <row r="203" spans="1:19" ht="30" customHeight="1" x14ac:dyDescent="0.2">
      <c r="A203" s="280"/>
      <c r="B203" s="281"/>
      <c r="C203" s="281"/>
      <c r="D203" s="281"/>
      <c r="F203" s="285" t="str">
        <f t="shared" si="10"/>
        <v/>
      </c>
      <c r="G203" s="286"/>
      <c r="H203" s="287"/>
      <c r="I203" s="287"/>
      <c r="K203" s="285" t="str">
        <f t="shared" ref="K203:K266" si="12">IF(A203="","",A203)</f>
        <v/>
      </c>
      <c r="L203" s="288"/>
      <c r="M203" s="289"/>
      <c r="N203" s="289"/>
      <c r="O203" s="288"/>
      <c r="P203" s="288"/>
      <c r="Q203" s="287"/>
      <c r="S203" s="254" t="str">
        <f t="shared" si="11"/>
        <v/>
      </c>
    </row>
    <row r="204" spans="1:19" ht="30" customHeight="1" x14ac:dyDescent="0.2">
      <c r="A204" s="280"/>
      <c r="B204" s="281"/>
      <c r="C204" s="281"/>
      <c r="D204" s="281"/>
      <c r="F204" s="285" t="str">
        <f t="shared" si="10"/>
        <v/>
      </c>
      <c r="G204" s="286"/>
      <c r="H204" s="287"/>
      <c r="I204" s="287"/>
      <c r="K204" s="285" t="str">
        <f t="shared" si="12"/>
        <v/>
      </c>
      <c r="L204" s="286"/>
      <c r="M204" s="287"/>
      <c r="N204" s="287"/>
      <c r="O204" s="286"/>
      <c r="P204" s="286"/>
      <c r="Q204" s="287"/>
      <c r="S204" s="254" t="str">
        <f t="shared" si="11"/>
        <v/>
      </c>
    </row>
    <row r="205" spans="1:19" ht="30" customHeight="1" x14ac:dyDescent="0.2">
      <c r="A205" s="280"/>
      <c r="B205" s="281"/>
      <c r="C205" s="281"/>
      <c r="D205" s="281"/>
      <c r="F205" s="285" t="str">
        <f t="shared" si="10"/>
        <v/>
      </c>
      <c r="G205" s="286"/>
      <c r="H205" s="287"/>
      <c r="I205" s="287"/>
      <c r="K205" s="285" t="str">
        <f t="shared" si="12"/>
        <v/>
      </c>
      <c r="L205" s="286"/>
      <c r="M205" s="287"/>
      <c r="N205" s="287"/>
      <c r="O205" s="286"/>
      <c r="P205" s="286"/>
      <c r="Q205" s="287"/>
      <c r="S205" s="254" t="str">
        <f t="shared" si="11"/>
        <v/>
      </c>
    </row>
    <row r="206" spans="1:19" ht="30" customHeight="1" x14ac:dyDescent="0.2">
      <c r="A206" s="280"/>
      <c r="B206" s="281"/>
      <c r="C206" s="281"/>
      <c r="D206" s="281"/>
      <c r="F206" s="285" t="str">
        <f t="shared" si="10"/>
        <v/>
      </c>
      <c r="G206" s="286"/>
      <c r="H206" s="287"/>
      <c r="I206" s="287"/>
      <c r="K206" s="285" t="str">
        <f t="shared" si="12"/>
        <v/>
      </c>
      <c r="L206" s="286"/>
      <c r="M206" s="287"/>
      <c r="N206" s="287"/>
      <c r="O206" s="286"/>
      <c r="P206" s="286"/>
      <c r="Q206" s="287"/>
      <c r="S206" s="254" t="str">
        <f t="shared" si="11"/>
        <v/>
      </c>
    </row>
    <row r="207" spans="1:19" ht="30" customHeight="1" x14ac:dyDescent="0.2">
      <c r="A207" s="280"/>
      <c r="B207" s="281"/>
      <c r="C207" s="281"/>
      <c r="D207" s="281"/>
      <c r="F207" s="285" t="str">
        <f t="shared" si="10"/>
        <v/>
      </c>
      <c r="G207" s="286"/>
      <c r="H207" s="287"/>
      <c r="I207" s="287"/>
      <c r="K207" s="285" t="str">
        <f t="shared" si="12"/>
        <v/>
      </c>
      <c r="L207" s="288"/>
      <c r="M207" s="289"/>
      <c r="N207" s="289"/>
      <c r="O207" s="288"/>
      <c r="P207" s="288"/>
      <c r="Q207" s="287"/>
      <c r="S207" s="254" t="str">
        <f t="shared" si="11"/>
        <v/>
      </c>
    </row>
    <row r="208" spans="1:19" ht="30" customHeight="1" x14ac:dyDescent="0.2">
      <c r="A208" s="280"/>
      <c r="B208" s="281"/>
      <c r="C208" s="281"/>
      <c r="D208" s="281"/>
      <c r="F208" s="285" t="str">
        <f t="shared" si="10"/>
        <v/>
      </c>
      <c r="G208" s="286"/>
      <c r="H208" s="287"/>
      <c r="I208" s="287"/>
      <c r="K208" s="285" t="str">
        <f t="shared" si="12"/>
        <v/>
      </c>
      <c r="L208" s="288"/>
      <c r="M208" s="289"/>
      <c r="N208" s="289"/>
      <c r="O208" s="288"/>
      <c r="P208" s="288"/>
      <c r="Q208" s="287"/>
      <c r="S208" s="254" t="str">
        <f t="shared" si="11"/>
        <v/>
      </c>
    </row>
    <row r="209" spans="1:19" ht="30" customHeight="1" x14ac:dyDescent="0.2">
      <c r="A209" s="280"/>
      <c r="B209" s="281"/>
      <c r="C209" s="281"/>
      <c r="D209" s="281"/>
      <c r="F209" s="285" t="str">
        <f t="shared" si="10"/>
        <v/>
      </c>
      <c r="G209" s="286"/>
      <c r="H209" s="287"/>
      <c r="I209" s="287"/>
      <c r="K209" s="285" t="str">
        <f t="shared" si="12"/>
        <v/>
      </c>
      <c r="L209" s="288"/>
      <c r="M209" s="289"/>
      <c r="N209" s="289"/>
      <c r="O209" s="288"/>
      <c r="P209" s="288"/>
      <c r="Q209" s="287"/>
      <c r="S209" s="254" t="str">
        <f t="shared" si="11"/>
        <v/>
      </c>
    </row>
    <row r="210" spans="1:19" ht="30" customHeight="1" x14ac:dyDescent="0.2">
      <c r="A210" s="280"/>
      <c r="B210" s="281"/>
      <c r="C210" s="281"/>
      <c r="D210" s="281"/>
      <c r="F210" s="285" t="str">
        <f t="shared" si="10"/>
        <v/>
      </c>
      <c r="G210" s="286"/>
      <c r="H210" s="287"/>
      <c r="I210" s="287"/>
      <c r="K210" s="285" t="str">
        <f t="shared" si="12"/>
        <v/>
      </c>
      <c r="L210" s="286"/>
      <c r="M210" s="287"/>
      <c r="N210" s="287"/>
      <c r="O210" s="286"/>
      <c r="P210" s="286"/>
      <c r="Q210" s="287"/>
      <c r="S210" s="254" t="str">
        <f t="shared" si="11"/>
        <v/>
      </c>
    </row>
    <row r="211" spans="1:19" ht="30" customHeight="1" x14ac:dyDescent="0.2">
      <c r="A211" s="280"/>
      <c r="B211" s="281"/>
      <c r="C211" s="281"/>
      <c r="D211" s="281"/>
      <c r="F211" s="285" t="str">
        <f t="shared" si="10"/>
        <v/>
      </c>
      <c r="G211" s="286"/>
      <c r="H211" s="287"/>
      <c r="I211" s="287"/>
      <c r="K211" s="285" t="str">
        <f t="shared" si="12"/>
        <v/>
      </c>
      <c r="L211" s="286"/>
      <c r="M211" s="287"/>
      <c r="N211" s="287"/>
      <c r="O211" s="286"/>
      <c r="P211" s="286"/>
      <c r="Q211" s="287"/>
      <c r="S211" s="254" t="str">
        <f t="shared" si="11"/>
        <v/>
      </c>
    </row>
    <row r="212" spans="1:19" ht="30" customHeight="1" x14ac:dyDescent="0.2">
      <c r="A212" s="280"/>
      <c r="B212" s="281"/>
      <c r="C212" s="281"/>
      <c r="D212" s="281"/>
      <c r="F212" s="285" t="str">
        <f t="shared" si="10"/>
        <v/>
      </c>
      <c r="G212" s="286"/>
      <c r="H212" s="287"/>
      <c r="I212" s="287"/>
      <c r="K212" s="285" t="str">
        <f t="shared" si="12"/>
        <v/>
      </c>
      <c r="L212" s="286"/>
      <c r="M212" s="287"/>
      <c r="N212" s="287"/>
      <c r="O212" s="286"/>
      <c r="P212" s="286"/>
      <c r="Q212" s="287"/>
      <c r="S212" s="254" t="str">
        <f t="shared" si="11"/>
        <v/>
      </c>
    </row>
    <row r="213" spans="1:19" ht="30" customHeight="1" x14ac:dyDescent="0.2">
      <c r="A213" s="280"/>
      <c r="B213" s="281"/>
      <c r="C213" s="281"/>
      <c r="D213" s="281"/>
      <c r="F213" s="285" t="str">
        <f t="shared" si="10"/>
        <v/>
      </c>
      <c r="G213" s="286"/>
      <c r="H213" s="287"/>
      <c r="I213" s="287"/>
      <c r="K213" s="285" t="str">
        <f t="shared" si="12"/>
        <v/>
      </c>
      <c r="L213" s="288"/>
      <c r="M213" s="289"/>
      <c r="N213" s="289"/>
      <c r="O213" s="288"/>
      <c r="P213" s="288"/>
      <c r="Q213" s="287"/>
      <c r="S213" s="254" t="str">
        <f t="shared" si="11"/>
        <v/>
      </c>
    </row>
    <row r="214" spans="1:19" ht="30" customHeight="1" x14ac:dyDescent="0.2">
      <c r="A214" s="280"/>
      <c r="B214" s="281"/>
      <c r="C214" s="281"/>
      <c r="D214" s="281"/>
      <c r="F214" s="285" t="str">
        <f t="shared" si="10"/>
        <v/>
      </c>
      <c r="G214" s="286"/>
      <c r="H214" s="287"/>
      <c r="I214" s="287"/>
      <c r="K214" s="285" t="str">
        <f t="shared" si="12"/>
        <v/>
      </c>
      <c r="L214" s="288"/>
      <c r="M214" s="289"/>
      <c r="N214" s="289"/>
      <c r="O214" s="288"/>
      <c r="P214" s="288"/>
      <c r="Q214" s="287"/>
      <c r="S214" s="254" t="str">
        <f t="shared" si="11"/>
        <v/>
      </c>
    </row>
    <row r="215" spans="1:19" ht="30" customHeight="1" x14ac:dyDescent="0.2">
      <c r="A215" s="280"/>
      <c r="B215" s="281"/>
      <c r="C215" s="281"/>
      <c r="D215" s="281"/>
      <c r="F215" s="285" t="str">
        <f t="shared" si="10"/>
        <v/>
      </c>
      <c r="G215" s="286"/>
      <c r="H215" s="287"/>
      <c r="I215" s="287"/>
      <c r="K215" s="285" t="str">
        <f t="shared" si="12"/>
        <v/>
      </c>
      <c r="L215" s="288"/>
      <c r="M215" s="289"/>
      <c r="N215" s="289"/>
      <c r="O215" s="288"/>
      <c r="P215" s="288"/>
      <c r="Q215" s="287"/>
      <c r="S215" s="254" t="str">
        <f t="shared" si="11"/>
        <v/>
      </c>
    </row>
    <row r="216" spans="1:19" ht="30" customHeight="1" x14ac:dyDescent="0.2">
      <c r="A216" s="280"/>
      <c r="B216" s="281"/>
      <c r="C216" s="281"/>
      <c r="D216" s="281"/>
      <c r="F216" s="285" t="str">
        <f t="shared" si="10"/>
        <v/>
      </c>
      <c r="G216" s="286"/>
      <c r="H216" s="287"/>
      <c r="I216" s="287"/>
      <c r="K216" s="285" t="str">
        <f t="shared" si="12"/>
        <v/>
      </c>
      <c r="L216" s="286"/>
      <c r="M216" s="287"/>
      <c r="N216" s="287"/>
      <c r="O216" s="286"/>
      <c r="P216" s="286"/>
      <c r="Q216" s="287"/>
      <c r="S216" s="254" t="str">
        <f t="shared" si="11"/>
        <v/>
      </c>
    </row>
    <row r="217" spans="1:19" ht="30" customHeight="1" x14ac:dyDescent="0.2">
      <c r="A217" s="280"/>
      <c r="B217" s="281"/>
      <c r="C217" s="281"/>
      <c r="D217" s="281"/>
      <c r="F217" s="285" t="str">
        <f t="shared" si="10"/>
        <v/>
      </c>
      <c r="G217" s="286"/>
      <c r="H217" s="287"/>
      <c r="I217" s="287"/>
      <c r="K217" s="285" t="str">
        <f t="shared" si="12"/>
        <v/>
      </c>
      <c r="L217" s="286"/>
      <c r="M217" s="287"/>
      <c r="N217" s="287"/>
      <c r="O217" s="286"/>
      <c r="P217" s="286"/>
      <c r="Q217" s="287"/>
      <c r="S217" s="254" t="str">
        <f t="shared" si="11"/>
        <v/>
      </c>
    </row>
    <row r="218" spans="1:19" ht="30" customHeight="1" x14ac:dyDescent="0.2">
      <c r="A218" s="280"/>
      <c r="B218" s="281"/>
      <c r="C218" s="281"/>
      <c r="D218" s="281"/>
      <c r="F218" s="285" t="str">
        <f t="shared" si="10"/>
        <v/>
      </c>
      <c r="G218" s="286"/>
      <c r="H218" s="287"/>
      <c r="I218" s="287"/>
      <c r="K218" s="285" t="str">
        <f t="shared" si="12"/>
        <v/>
      </c>
      <c r="L218" s="286"/>
      <c r="M218" s="287"/>
      <c r="N218" s="287"/>
      <c r="O218" s="286"/>
      <c r="P218" s="286"/>
      <c r="Q218" s="287"/>
      <c r="S218" s="254" t="str">
        <f t="shared" si="11"/>
        <v/>
      </c>
    </row>
    <row r="219" spans="1:19" ht="30" customHeight="1" x14ac:dyDescent="0.2">
      <c r="A219" s="280"/>
      <c r="B219" s="281"/>
      <c r="C219" s="281"/>
      <c r="D219" s="281"/>
      <c r="F219" s="285" t="str">
        <f t="shared" si="10"/>
        <v/>
      </c>
      <c r="G219" s="286"/>
      <c r="H219" s="287"/>
      <c r="I219" s="287"/>
      <c r="K219" s="285" t="str">
        <f t="shared" si="12"/>
        <v/>
      </c>
      <c r="L219" s="288"/>
      <c r="M219" s="289"/>
      <c r="N219" s="289"/>
      <c r="O219" s="288"/>
      <c r="P219" s="288"/>
      <c r="Q219" s="287"/>
      <c r="S219" s="254" t="str">
        <f t="shared" si="11"/>
        <v/>
      </c>
    </row>
    <row r="220" spans="1:19" ht="30" customHeight="1" x14ac:dyDescent="0.2">
      <c r="A220" s="280"/>
      <c r="B220" s="281"/>
      <c r="C220" s="281"/>
      <c r="D220" s="281"/>
      <c r="F220" s="285" t="str">
        <f t="shared" si="10"/>
        <v/>
      </c>
      <c r="G220" s="286"/>
      <c r="H220" s="287"/>
      <c r="I220" s="287"/>
      <c r="K220" s="285" t="str">
        <f t="shared" si="12"/>
        <v/>
      </c>
      <c r="L220" s="288"/>
      <c r="M220" s="289"/>
      <c r="N220" s="289"/>
      <c r="O220" s="288"/>
      <c r="P220" s="288"/>
      <c r="Q220" s="287"/>
      <c r="S220" s="254" t="str">
        <f t="shared" si="11"/>
        <v/>
      </c>
    </row>
    <row r="221" spans="1:19" ht="30" customHeight="1" x14ac:dyDescent="0.2">
      <c r="A221" s="280"/>
      <c r="B221" s="281"/>
      <c r="C221" s="281"/>
      <c r="D221" s="281"/>
      <c r="F221" s="285" t="str">
        <f t="shared" si="10"/>
        <v/>
      </c>
      <c r="G221" s="286"/>
      <c r="H221" s="287"/>
      <c r="I221" s="287"/>
      <c r="K221" s="285" t="str">
        <f t="shared" si="12"/>
        <v/>
      </c>
      <c r="L221" s="288"/>
      <c r="M221" s="289"/>
      <c r="N221" s="289"/>
      <c r="O221" s="288"/>
      <c r="P221" s="288"/>
      <c r="Q221" s="287"/>
      <c r="S221" s="254" t="str">
        <f t="shared" si="11"/>
        <v/>
      </c>
    </row>
    <row r="222" spans="1:19" ht="30" customHeight="1" x14ac:dyDescent="0.2">
      <c r="A222" s="280"/>
      <c r="B222" s="281"/>
      <c r="C222" s="281"/>
      <c r="D222" s="281"/>
      <c r="F222" s="285" t="str">
        <f t="shared" si="10"/>
        <v/>
      </c>
      <c r="G222" s="286"/>
      <c r="H222" s="287"/>
      <c r="I222" s="287"/>
      <c r="K222" s="285" t="str">
        <f t="shared" si="12"/>
        <v/>
      </c>
      <c r="L222" s="286"/>
      <c r="M222" s="287"/>
      <c r="N222" s="287"/>
      <c r="O222" s="286"/>
      <c r="P222" s="286"/>
      <c r="Q222" s="287"/>
      <c r="S222" s="254" t="str">
        <f t="shared" si="11"/>
        <v/>
      </c>
    </row>
    <row r="223" spans="1:19" ht="30" customHeight="1" x14ac:dyDescent="0.2">
      <c r="A223" s="280"/>
      <c r="B223" s="281"/>
      <c r="C223" s="281"/>
      <c r="D223" s="281"/>
      <c r="F223" s="285" t="str">
        <f t="shared" si="10"/>
        <v/>
      </c>
      <c r="G223" s="286"/>
      <c r="H223" s="287"/>
      <c r="I223" s="287"/>
      <c r="K223" s="285" t="str">
        <f t="shared" si="12"/>
        <v/>
      </c>
      <c r="L223" s="286"/>
      <c r="M223" s="287"/>
      <c r="N223" s="287"/>
      <c r="O223" s="286"/>
      <c r="P223" s="286"/>
      <c r="Q223" s="287"/>
      <c r="S223" s="254" t="str">
        <f t="shared" si="11"/>
        <v/>
      </c>
    </row>
    <row r="224" spans="1:19" ht="30" customHeight="1" x14ac:dyDescent="0.2">
      <c r="A224" s="280"/>
      <c r="B224" s="281"/>
      <c r="C224" s="281"/>
      <c r="D224" s="281"/>
      <c r="F224" s="285" t="str">
        <f t="shared" si="10"/>
        <v/>
      </c>
      <c r="G224" s="286"/>
      <c r="H224" s="287"/>
      <c r="I224" s="287"/>
      <c r="K224" s="285" t="str">
        <f t="shared" si="12"/>
        <v/>
      </c>
      <c r="L224" s="286"/>
      <c r="M224" s="287"/>
      <c r="N224" s="287"/>
      <c r="O224" s="286"/>
      <c r="P224" s="286"/>
      <c r="Q224" s="287"/>
      <c r="S224" s="254" t="str">
        <f t="shared" si="11"/>
        <v/>
      </c>
    </row>
    <row r="225" spans="1:19" ht="30" customHeight="1" x14ac:dyDescent="0.2">
      <c r="A225" s="280"/>
      <c r="B225" s="281"/>
      <c r="C225" s="281"/>
      <c r="D225" s="281"/>
      <c r="F225" s="285" t="str">
        <f t="shared" si="10"/>
        <v/>
      </c>
      <c r="G225" s="286"/>
      <c r="H225" s="287"/>
      <c r="I225" s="287"/>
      <c r="K225" s="285" t="str">
        <f t="shared" si="12"/>
        <v/>
      </c>
      <c r="L225" s="288"/>
      <c r="M225" s="289"/>
      <c r="N225" s="289"/>
      <c r="O225" s="288"/>
      <c r="P225" s="288"/>
      <c r="Q225" s="287"/>
      <c r="S225" s="254" t="str">
        <f t="shared" si="11"/>
        <v/>
      </c>
    </row>
    <row r="226" spans="1:19" ht="30" customHeight="1" x14ac:dyDescent="0.2">
      <c r="A226" s="280"/>
      <c r="B226" s="281"/>
      <c r="C226" s="281"/>
      <c r="D226" s="281"/>
      <c r="F226" s="285" t="str">
        <f t="shared" si="10"/>
        <v/>
      </c>
      <c r="G226" s="286"/>
      <c r="H226" s="287"/>
      <c r="I226" s="287"/>
      <c r="K226" s="285" t="str">
        <f t="shared" si="12"/>
        <v/>
      </c>
      <c r="L226" s="288"/>
      <c r="M226" s="289"/>
      <c r="N226" s="289"/>
      <c r="O226" s="288"/>
      <c r="P226" s="288"/>
      <c r="Q226" s="287"/>
      <c r="S226" s="254" t="str">
        <f t="shared" si="11"/>
        <v/>
      </c>
    </row>
    <row r="227" spans="1:19" ht="30" customHeight="1" x14ac:dyDescent="0.2">
      <c r="A227" s="280"/>
      <c r="B227" s="281"/>
      <c r="C227" s="281"/>
      <c r="D227" s="281"/>
      <c r="F227" s="285" t="str">
        <f t="shared" si="10"/>
        <v/>
      </c>
      <c r="G227" s="286"/>
      <c r="H227" s="287"/>
      <c r="I227" s="287"/>
      <c r="K227" s="285" t="str">
        <f t="shared" si="12"/>
        <v/>
      </c>
      <c r="L227" s="288"/>
      <c r="M227" s="289"/>
      <c r="N227" s="289"/>
      <c r="O227" s="288"/>
      <c r="P227" s="288"/>
      <c r="Q227" s="287"/>
      <c r="S227" s="254" t="str">
        <f t="shared" si="11"/>
        <v/>
      </c>
    </row>
    <row r="228" spans="1:19" ht="30" customHeight="1" x14ac:dyDescent="0.2">
      <c r="A228" s="280"/>
      <c r="B228" s="281"/>
      <c r="C228" s="281"/>
      <c r="D228" s="281"/>
      <c r="F228" s="285" t="str">
        <f t="shared" si="10"/>
        <v/>
      </c>
      <c r="G228" s="286"/>
      <c r="H228" s="287"/>
      <c r="I228" s="287"/>
      <c r="K228" s="285" t="str">
        <f t="shared" si="12"/>
        <v/>
      </c>
      <c r="L228" s="286"/>
      <c r="M228" s="287"/>
      <c r="N228" s="287"/>
      <c r="O228" s="286"/>
      <c r="P228" s="286"/>
      <c r="Q228" s="287"/>
      <c r="S228" s="254" t="str">
        <f t="shared" si="11"/>
        <v/>
      </c>
    </row>
    <row r="229" spans="1:19" ht="30" customHeight="1" x14ac:dyDescent="0.2">
      <c r="A229" s="280"/>
      <c r="B229" s="281"/>
      <c r="C229" s="281"/>
      <c r="D229" s="281"/>
      <c r="F229" s="285" t="str">
        <f t="shared" si="10"/>
        <v/>
      </c>
      <c r="G229" s="286"/>
      <c r="H229" s="287"/>
      <c r="I229" s="287"/>
      <c r="K229" s="285" t="str">
        <f t="shared" si="12"/>
        <v/>
      </c>
      <c r="L229" s="286"/>
      <c r="M229" s="287"/>
      <c r="N229" s="287"/>
      <c r="O229" s="286"/>
      <c r="P229" s="286"/>
      <c r="Q229" s="287"/>
      <c r="S229" s="254" t="str">
        <f t="shared" si="11"/>
        <v/>
      </c>
    </row>
    <row r="230" spans="1:19" ht="30" customHeight="1" x14ac:dyDescent="0.2">
      <c r="A230" s="280"/>
      <c r="B230" s="281"/>
      <c r="C230" s="281"/>
      <c r="D230" s="281"/>
      <c r="F230" s="285" t="str">
        <f t="shared" si="10"/>
        <v/>
      </c>
      <c r="G230" s="286"/>
      <c r="H230" s="287"/>
      <c r="I230" s="287"/>
      <c r="K230" s="285" t="str">
        <f t="shared" si="12"/>
        <v/>
      </c>
      <c r="L230" s="286"/>
      <c r="M230" s="287"/>
      <c r="N230" s="287"/>
      <c r="O230" s="286"/>
      <c r="P230" s="286"/>
      <c r="Q230" s="287"/>
      <c r="S230" s="254" t="str">
        <f t="shared" si="11"/>
        <v/>
      </c>
    </row>
    <row r="231" spans="1:19" ht="30" customHeight="1" x14ac:dyDescent="0.2">
      <c r="A231" s="280"/>
      <c r="B231" s="281"/>
      <c r="C231" s="281"/>
      <c r="D231" s="281"/>
      <c r="F231" s="285" t="str">
        <f t="shared" si="10"/>
        <v/>
      </c>
      <c r="G231" s="286"/>
      <c r="H231" s="287"/>
      <c r="I231" s="287"/>
      <c r="K231" s="285" t="str">
        <f t="shared" si="12"/>
        <v/>
      </c>
      <c r="L231" s="288"/>
      <c r="M231" s="289"/>
      <c r="N231" s="289"/>
      <c r="O231" s="288"/>
      <c r="P231" s="288"/>
      <c r="Q231" s="287"/>
      <c r="S231" s="254" t="str">
        <f t="shared" si="11"/>
        <v/>
      </c>
    </row>
    <row r="232" spans="1:19" ht="30" customHeight="1" x14ac:dyDescent="0.2">
      <c r="A232" s="280"/>
      <c r="B232" s="281"/>
      <c r="C232" s="281"/>
      <c r="D232" s="281"/>
      <c r="F232" s="285" t="str">
        <f t="shared" si="10"/>
        <v/>
      </c>
      <c r="G232" s="286"/>
      <c r="H232" s="287"/>
      <c r="I232" s="287"/>
      <c r="K232" s="285" t="str">
        <f t="shared" si="12"/>
        <v/>
      </c>
      <c r="L232" s="288"/>
      <c r="M232" s="289"/>
      <c r="N232" s="289"/>
      <c r="O232" s="288"/>
      <c r="P232" s="288"/>
      <c r="Q232" s="287"/>
      <c r="S232" s="254" t="str">
        <f t="shared" si="11"/>
        <v/>
      </c>
    </row>
    <row r="233" spans="1:19" ht="30" customHeight="1" x14ac:dyDescent="0.2">
      <c r="A233" s="280"/>
      <c r="B233" s="281"/>
      <c r="C233" s="281"/>
      <c r="D233" s="281"/>
      <c r="F233" s="285" t="str">
        <f t="shared" si="10"/>
        <v/>
      </c>
      <c r="G233" s="286"/>
      <c r="H233" s="287"/>
      <c r="I233" s="287"/>
      <c r="K233" s="285" t="str">
        <f t="shared" si="12"/>
        <v/>
      </c>
      <c r="L233" s="288"/>
      <c r="M233" s="289"/>
      <c r="N233" s="289"/>
      <c r="O233" s="288"/>
      <c r="P233" s="288"/>
      <c r="Q233" s="287"/>
      <c r="S233" s="254" t="str">
        <f t="shared" si="11"/>
        <v/>
      </c>
    </row>
    <row r="234" spans="1:19" ht="30" customHeight="1" x14ac:dyDescent="0.2">
      <c r="A234" s="280"/>
      <c r="B234" s="281"/>
      <c r="C234" s="281"/>
      <c r="D234" s="281"/>
      <c r="F234" s="285" t="str">
        <f t="shared" si="10"/>
        <v/>
      </c>
      <c r="G234" s="286"/>
      <c r="H234" s="287"/>
      <c r="I234" s="287"/>
      <c r="K234" s="285" t="str">
        <f t="shared" si="12"/>
        <v/>
      </c>
      <c r="L234" s="286"/>
      <c r="M234" s="287"/>
      <c r="N234" s="287"/>
      <c r="O234" s="286"/>
      <c r="P234" s="286"/>
      <c r="Q234" s="287"/>
      <c r="S234" s="254" t="str">
        <f t="shared" si="11"/>
        <v/>
      </c>
    </row>
    <row r="235" spans="1:19" ht="30" customHeight="1" x14ac:dyDescent="0.2">
      <c r="A235" s="280"/>
      <c r="B235" s="281"/>
      <c r="C235" s="281"/>
      <c r="D235" s="281"/>
      <c r="F235" s="285" t="str">
        <f t="shared" si="10"/>
        <v/>
      </c>
      <c r="G235" s="286"/>
      <c r="H235" s="287"/>
      <c r="I235" s="287"/>
      <c r="K235" s="285" t="str">
        <f t="shared" si="12"/>
        <v/>
      </c>
      <c r="L235" s="286"/>
      <c r="M235" s="287"/>
      <c r="N235" s="287"/>
      <c r="O235" s="286"/>
      <c r="P235" s="286"/>
      <c r="Q235" s="287"/>
      <c r="S235" s="254" t="str">
        <f t="shared" si="11"/>
        <v/>
      </c>
    </row>
    <row r="236" spans="1:19" ht="30" customHeight="1" x14ac:dyDescent="0.2">
      <c r="A236" s="280"/>
      <c r="B236" s="281"/>
      <c r="C236" s="281"/>
      <c r="D236" s="281"/>
      <c r="F236" s="285" t="str">
        <f t="shared" si="10"/>
        <v/>
      </c>
      <c r="G236" s="286"/>
      <c r="H236" s="287"/>
      <c r="I236" s="287"/>
      <c r="K236" s="285" t="str">
        <f t="shared" si="12"/>
        <v/>
      </c>
      <c r="L236" s="286"/>
      <c r="M236" s="287"/>
      <c r="N236" s="287"/>
      <c r="O236" s="286"/>
      <c r="P236" s="286"/>
      <c r="Q236" s="287"/>
      <c r="S236" s="254" t="str">
        <f t="shared" si="11"/>
        <v/>
      </c>
    </row>
    <row r="237" spans="1:19" ht="30" customHeight="1" x14ac:dyDescent="0.2">
      <c r="A237" s="280"/>
      <c r="B237" s="281"/>
      <c r="C237" s="281"/>
      <c r="D237" s="281"/>
      <c r="F237" s="285" t="str">
        <f t="shared" si="10"/>
        <v/>
      </c>
      <c r="G237" s="286"/>
      <c r="H237" s="287"/>
      <c r="I237" s="287"/>
      <c r="K237" s="285" t="str">
        <f t="shared" si="12"/>
        <v/>
      </c>
      <c r="L237" s="286"/>
      <c r="M237" s="287"/>
      <c r="N237" s="287"/>
      <c r="O237" s="286"/>
      <c r="P237" s="286"/>
      <c r="Q237" s="287"/>
      <c r="S237" s="254" t="str">
        <f t="shared" si="11"/>
        <v/>
      </c>
    </row>
    <row r="238" spans="1:19" ht="30" customHeight="1" x14ac:dyDescent="0.2">
      <c r="A238" s="280"/>
      <c r="B238" s="281"/>
      <c r="C238" s="281"/>
      <c r="D238" s="281"/>
      <c r="F238" s="285" t="str">
        <f t="shared" si="10"/>
        <v/>
      </c>
      <c r="G238" s="286"/>
      <c r="H238" s="287"/>
      <c r="I238" s="287"/>
      <c r="K238" s="285" t="str">
        <f t="shared" si="12"/>
        <v/>
      </c>
      <c r="L238" s="286"/>
      <c r="M238" s="287"/>
      <c r="N238" s="287"/>
      <c r="O238" s="286"/>
      <c r="P238" s="286"/>
      <c r="Q238" s="287"/>
      <c r="S238" s="254" t="str">
        <f t="shared" si="11"/>
        <v/>
      </c>
    </row>
    <row r="239" spans="1:19" ht="30" customHeight="1" x14ac:dyDescent="0.2">
      <c r="A239" s="280"/>
      <c r="B239" s="281"/>
      <c r="C239" s="281"/>
      <c r="D239" s="281"/>
      <c r="F239" s="285" t="str">
        <f t="shared" si="10"/>
        <v/>
      </c>
      <c r="G239" s="286"/>
      <c r="H239" s="287"/>
      <c r="I239" s="287"/>
      <c r="K239" s="285" t="str">
        <f t="shared" si="12"/>
        <v/>
      </c>
      <c r="L239" s="286"/>
      <c r="M239" s="287"/>
      <c r="N239" s="287"/>
      <c r="O239" s="286"/>
      <c r="P239" s="286"/>
      <c r="Q239" s="287"/>
      <c r="S239" s="254" t="str">
        <f t="shared" si="11"/>
        <v/>
      </c>
    </row>
    <row r="240" spans="1:19" ht="30" customHeight="1" x14ac:dyDescent="0.2">
      <c r="A240" s="280"/>
      <c r="B240" s="281"/>
      <c r="C240" s="281"/>
      <c r="D240" s="281"/>
      <c r="F240" s="285" t="str">
        <f t="shared" si="10"/>
        <v/>
      </c>
      <c r="G240" s="286"/>
      <c r="H240" s="287"/>
      <c r="I240" s="287"/>
      <c r="K240" s="285" t="str">
        <f t="shared" si="12"/>
        <v/>
      </c>
      <c r="L240" s="286"/>
      <c r="M240" s="287"/>
      <c r="N240" s="287"/>
      <c r="O240" s="286"/>
      <c r="P240" s="286"/>
      <c r="Q240" s="287"/>
      <c r="S240" s="254" t="str">
        <f t="shared" si="11"/>
        <v/>
      </c>
    </row>
    <row r="241" spans="1:19" ht="30" customHeight="1" x14ac:dyDescent="0.2">
      <c r="A241" s="280"/>
      <c r="B241" s="281"/>
      <c r="C241" s="281"/>
      <c r="D241" s="281"/>
      <c r="F241" s="285" t="str">
        <f t="shared" si="10"/>
        <v/>
      </c>
      <c r="G241" s="286"/>
      <c r="H241" s="287"/>
      <c r="I241" s="287"/>
      <c r="K241" s="285" t="str">
        <f t="shared" si="12"/>
        <v/>
      </c>
      <c r="L241" s="286"/>
      <c r="M241" s="287"/>
      <c r="N241" s="287"/>
      <c r="O241" s="286"/>
      <c r="P241" s="286"/>
      <c r="Q241" s="287"/>
      <c r="S241" s="254" t="str">
        <f t="shared" si="11"/>
        <v/>
      </c>
    </row>
    <row r="242" spans="1:19" ht="30" customHeight="1" x14ac:dyDescent="0.2">
      <c r="A242" s="280"/>
      <c r="B242" s="281"/>
      <c r="C242" s="281"/>
      <c r="D242" s="281"/>
      <c r="F242" s="285" t="str">
        <f t="shared" si="10"/>
        <v/>
      </c>
      <c r="G242" s="286"/>
      <c r="H242" s="287"/>
      <c r="I242" s="287"/>
      <c r="K242" s="285" t="str">
        <f t="shared" si="12"/>
        <v/>
      </c>
      <c r="L242" s="286"/>
      <c r="M242" s="287"/>
      <c r="N242" s="287"/>
      <c r="O242" s="286"/>
      <c r="P242" s="286"/>
      <c r="Q242" s="287"/>
      <c r="S242" s="254" t="str">
        <f t="shared" si="11"/>
        <v/>
      </c>
    </row>
    <row r="243" spans="1:19" ht="30" customHeight="1" x14ac:dyDescent="0.2">
      <c r="A243" s="280"/>
      <c r="B243" s="281"/>
      <c r="C243" s="281"/>
      <c r="D243" s="281"/>
      <c r="F243" s="285" t="str">
        <f t="shared" si="10"/>
        <v/>
      </c>
      <c r="G243" s="286"/>
      <c r="H243" s="287"/>
      <c r="I243" s="287"/>
      <c r="K243" s="285" t="str">
        <f t="shared" si="12"/>
        <v/>
      </c>
      <c r="L243" s="286"/>
      <c r="M243" s="287"/>
      <c r="N243" s="287"/>
      <c r="O243" s="286"/>
      <c r="P243" s="286"/>
      <c r="Q243" s="287"/>
      <c r="S243" s="254" t="str">
        <f t="shared" si="11"/>
        <v/>
      </c>
    </row>
    <row r="244" spans="1:19" ht="30" customHeight="1" x14ac:dyDescent="0.2">
      <c r="A244" s="280"/>
      <c r="B244" s="281"/>
      <c r="C244" s="281"/>
      <c r="D244" s="281"/>
      <c r="F244" s="285" t="str">
        <f t="shared" si="10"/>
        <v/>
      </c>
      <c r="G244" s="286"/>
      <c r="H244" s="287"/>
      <c r="I244" s="287"/>
      <c r="K244" s="285" t="str">
        <f t="shared" si="12"/>
        <v/>
      </c>
      <c r="L244" s="286"/>
      <c r="M244" s="287"/>
      <c r="N244" s="287"/>
      <c r="O244" s="286"/>
      <c r="P244" s="286"/>
      <c r="Q244" s="287"/>
      <c r="S244" s="254" t="str">
        <f t="shared" si="11"/>
        <v/>
      </c>
    </row>
    <row r="245" spans="1:19" ht="30" customHeight="1" x14ac:dyDescent="0.2">
      <c r="A245" s="280"/>
      <c r="B245" s="281"/>
      <c r="C245" s="281"/>
      <c r="D245" s="281"/>
      <c r="F245" s="285" t="str">
        <f t="shared" si="10"/>
        <v/>
      </c>
      <c r="G245" s="286"/>
      <c r="H245" s="287"/>
      <c r="I245" s="287"/>
      <c r="K245" s="285" t="str">
        <f t="shared" si="12"/>
        <v/>
      </c>
      <c r="L245" s="286"/>
      <c r="M245" s="287"/>
      <c r="N245" s="287"/>
      <c r="O245" s="286"/>
      <c r="P245" s="286"/>
      <c r="Q245" s="287"/>
      <c r="S245" s="254" t="str">
        <f t="shared" si="11"/>
        <v/>
      </c>
    </row>
    <row r="246" spans="1:19" ht="30" customHeight="1" x14ac:dyDescent="0.2">
      <c r="A246" s="280"/>
      <c r="B246" s="281"/>
      <c r="C246" s="281"/>
      <c r="D246" s="281"/>
      <c r="F246" s="285" t="str">
        <f t="shared" si="10"/>
        <v/>
      </c>
      <c r="G246" s="286"/>
      <c r="H246" s="287"/>
      <c r="I246" s="287"/>
      <c r="K246" s="285" t="str">
        <f t="shared" si="12"/>
        <v/>
      </c>
      <c r="L246" s="286"/>
      <c r="M246" s="287"/>
      <c r="N246" s="287"/>
      <c r="O246" s="286"/>
      <c r="P246" s="286"/>
      <c r="Q246" s="287"/>
      <c r="S246" s="254" t="str">
        <f t="shared" si="11"/>
        <v/>
      </c>
    </row>
    <row r="247" spans="1:19" ht="30" customHeight="1" x14ac:dyDescent="0.2">
      <c r="A247" s="280"/>
      <c r="B247" s="281"/>
      <c r="C247" s="281"/>
      <c r="D247" s="281"/>
      <c r="F247" s="285" t="str">
        <f t="shared" si="10"/>
        <v/>
      </c>
      <c r="G247" s="286"/>
      <c r="H247" s="287"/>
      <c r="I247" s="287"/>
      <c r="K247" s="285" t="str">
        <f t="shared" si="12"/>
        <v/>
      </c>
      <c r="L247" s="286"/>
      <c r="M247" s="287"/>
      <c r="N247" s="287"/>
      <c r="O247" s="286"/>
      <c r="P247" s="286"/>
      <c r="Q247" s="287"/>
      <c r="S247" s="254" t="str">
        <f t="shared" si="11"/>
        <v/>
      </c>
    </row>
    <row r="248" spans="1:19" ht="30" customHeight="1" x14ac:dyDescent="0.2">
      <c r="A248" s="280"/>
      <c r="B248" s="281"/>
      <c r="C248" s="281"/>
      <c r="D248" s="281"/>
      <c r="F248" s="285" t="str">
        <f t="shared" si="10"/>
        <v/>
      </c>
      <c r="G248" s="286"/>
      <c r="H248" s="287"/>
      <c r="I248" s="287"/>
      <c r="K248" s="285" t="str">
        <f t="shared" si="12"/>
        <v/>
      </c>
      <c r="L248" s="286"/>
      <c r="M248" s="287"/>
      <c r="N248" s="287"/>
      <c r="O248" s="286"/>
      <c r="P248" s="286"/>
      <c r="Q248" s="287"/>
      <c r="S248" s="254" t="str">
        <f t="shared" si="11"/>
        <v/>
      </c>
    </row>
    <row r="249" spans="1:19" ht="30" customHeight="1" x14ac:dyDescent="0.2">
      <c r="A249" s="280"/>
      <c r="B249" s="281"/>
      <c r="C249" s="281"/>
      <c r="D249" s="281"/>
      <c r="F249" s="285" t="str">
        <f t="shared" si="10"/>
        <v/>
      </c>
      <c r="G249" s="286"/>
      <c r="H249" s="287"/>
      <c r="I249" s="287"/>
      <c r="K249" s="285" t="str">
        <f t="shared" si="12"/>
        <v/>
      </c>
      <c r="L249" s="286"/>
      <c r="M249" s="287"/>
      <c r="N249" s="287"/>
      <c r="O249" s="286"/>
      <c r="P249" s="286"/>
      <c r="Q249" s="287"/>
      <c r="S249" s="254" t="str">
        <f t="shared" si="11"/>
        <v/>
      </c>
    </row>
    <row r="250" spans="1:19" ht="30" customHeight="1" x14ac:dyDescent="0.2">
      <c r="A250" s="280"/>
      <c r="B250" s="281"/>
      <c r="C250" s="281"/>
      <c r="D250" s="281"/>
      <c r="F250" s="285" t="str">
        <f t="shared" si="10"/>
        <v/>
      </c>
      <c r="G250" s="286"/>
      <c r="H250" s="287"/>
      <c r="I250" s="287"/>
      <c r="K250" s="285" t="str">
        <f t="shared" si="12"/>
        <v/>
      </c>
      <c r="L250" s="286"/>
      <c r="M250" s="287"/>
      <c r="N250" s="287"/>
      <c r="O250" s="286"/>
      <c r="P250" s="286"/>
      <c r="Q250" s="287"/>
      <c r="S250" s="254" t="str">
        <f t="shared" si="11"/>
        <v/>
      </c>
    </row>
    <row r="251" spans="1:19" ht="30" customHeight="1" x14ac:dyDescent="0.2">
      <c r="A251" s="280"/>
      <c r="B251" s="281"/>
      <c r="C251" s="281"/>
      <c r="D251" s="281"/>
      <c r="F251" s="285" t="str">
        <f t="shared" si="10"/>
        <v/>
      </c>
      <c r="G251" s="286"/>
      <c r="H251" s="287"/>
      <c r="I251" s="287"/>
      <c r="K251" s="285" t="str">
        <f t="shared" si="12"/>
        <v/>
      </c>
      <c r="L251" s="286"/>
      <c r="M251" s="287"/>
      <c r="N251" s="287"/>
      <c r="O251" s="286"/>
      <c r="P251" s="286"/>
      <c r="Q251" s="287"/>
      <c r="S251" s="254" t="str">
        <f t="shared" si="11"/>
        <v/>
      </c>
    </row>
    <row r="252" spans="1:19" ht="30" customHeight="1" x14ac:dyDescent="0.2">
      <c r="A252" s="280"/>
      <c r="B252" s="281"/>
      <c r="C252" s="281"/>
      <c r="D252" s="281"/>
      <c r="F252" s="285" t="str">
        <f t="shared" si="10"/>
        <v/>
      </c>
      <c r="G252" s="286"/>
      <c r="H252" s="287"/>
      <c r="I252" s="287"/>
      <c r="K252" s="285" t="str">
        <f t="shared" si="12"/>
        <v/>
      </c>
      <c r="L252" s="286"/>
      <c r="M252" s="287"/>
      <c r="N252" s="287"/>
      <c r="O252" s="286"/>
      <c r="P252" s="286"/>
      <c r="Q252" s="287"/>
      <c r="S252" s="254" t="str">
        <f t="shared" si="11"/>
        <v/>
      </c>
    </row>
    <row r="253" spans="1:19" ht="30" customHeight="1" x14ac:dyDescent="0.2">
      <c r="A253" s="280"/>
      <c r="B253" s="281"/>
      <c r="C253" s="281"/>
      <c r="D253" s="281"/>
      <c r="F253" s="285" t="str">
        <f t="shared" si="10"/>
        <v/>
      </c>
      <c r="G253" s="286"/>
      <c r="H253" s="287"/>
      <c r="I253" s="287"/>
      <c r="K253" s="285" t="str">
        <f t="shared" si="12"/>
        <v/>
      </c>
      <c r="L253" s="286"/>
      <c r="M253" s="287"/>
      <c r="N253" s="287"/>
      <c r="O253" s="286"/>
      <c r="P253" s="286"/>
      <c r="Q253" s="287"/>
      <c r="S253" s="254" t="str">
        <f t="shared" si="11"/>
        <v/>
      </c>
    </row>
    <row r="254" spans="1:19" ht="30" customHeight="1" x14ac:dyDescent="0.2">
      <c r="A254" s="280"/>
      <c r="B254" s="281"/>
      <c r="C254" s="281"/>
      <c r="D254" s="281"/>
      <c r="F254" s="285" t="str">
        <f t="shared" si="10"/>
        <v/>
      </c>
      <c r="G254" s="286"/>
      <c r="H254" s="287"/>
      <c r="I254" s="287"/>
      <c r="K254" s="285" t="str">
        <f t="shared" si="12"/>
        <v/>
      </c>
      <c r="L254" s="286"/>
      <c r="M254" s="287"/>
      <c r="N254" s="287"/>
      <c r="O254" s="286"/>
      <c r="P254" s="286"/>
      <c r="Q254" s="287"/>
      <c r="S254" s="254" t="str">
        <f t="shared" si="11"/>
        <v/>
      </c>
    </row>
    <row r="255" spans="1:19" ht="30" customHeight="1" x14ac:dyDescent="0.2">
      <c r="A255" s="280"/>
      <c r="B255" s="281"/>
      <c r="C255" s="281"/>
      <c r="D255" s="281"/>
      <c r="F255" s="285" t="str">
        <f t="shared" si="10"/>
        <v/>
      </c>
      <c r="G255" s="286"/>
      <c r="H255" s="287"/>
      <c r="I255" s="287"/>
      <c r="K255" s="285" t="str">
        <f t="shared" si="12"/>
        <v/>
      </c>
      <c r="L255" s="286"/>
      <c r="M255" s="287"/>
      <c r="N255" s="287"/>
      <c r="O255" s="286"/>
      <c r="P255" s="286"/>
      <c r="Q255" s="287"/>
      <c r="S255" s="254" t="str">
        <f t="shared" si="11"/>
        <v/>
      </c>
    </row>
    <row r="256" spans="1:19" ht="30" customHeight="1" x14ac:dyDescent="0.2">
      <c r="A256" s="280"/>
      <c r="B256" s="281"/>
      <c r="C256" s="281"/>
      <c r="D256" s="281"/>
      <c r="F256" s="285" t="str">
        <f t="shared" si="10"/>
        <v/>
      </c>
      <c r="G256" s="286"/>
      <c r="H256" s="287"/>
      <c r="I256" s="287"/>
      <c r="K256" s="285" t="str">
        <f t="shared" si="12"/>
        <v/>
      </c>
      <c r="L256" s="286"/>
      <c r="M256" s="287"/>
      <c r="N256" s="287"/>
      <c r="O256" s="286"/>
      <c r="P256" s="286"/>
      <c r="Q256" s="287"/>
      <c r="S256" s="254" t="str">
        <f t="shared" si="11"/>
        <v/>
      </c>
    </row>
    <row r="257" spans="1:19" ht="30" customHeight="1" x14ac:dyDescent="0.2">
      <c r="A257" s="280"/>
      <c r="B257" s="281"/>
      <c r="C257" s="281"/>
      <c r="D257" s="281"/>
      <c r="F257" s="285" t="str">
        <f t="shared" si="10"/>
        <v/>
      </c>
      <c r="G257" s="286"/>
      <c r="H257" s="287"/>
      <c r="I257" s="287"/>
      <c r="K257" s="285" t="str">
        <f t="shared" si="12"/>
        <v/>
      </c>
      <c r="L257" s="286"/>
      <c r="M257" s="287"/>
      <c r="N257" s="287"/>
      <c r="O257" s="286"/>
      <c r="P257" s="286"/>
      <c r="Q257" s="287"/>
      <c r="S257" s="254" t="str">
        <f t="shared" si="11"/>
        <v/>
      </c>
    </row>
    <row r="258" spans="1:19" ht="30" customHeight="1" x14ac:dyDescent="0.2">
      <c r="A258" s="280"/>
      <c r="B258" s="281"/>
      <c r="C258" s="281"/>
      <c r="D258" s="281"/>
      <c r="F258" s="285" t="str">
        <f t="shared" si="10"/>
        <v/>
      </c>
      <c r="G258" s="286"/>
      <c r="H258" s="287"/>
      <c r="I258" s="287"/>
      <c r="K258" s="285" t="str">
        <f t="shared" si="12"/>
        <v/>
      </c>
      <c r="L258" s="286"/>
      <c r="M258" s="287"/>
      <c r="N258" s="287"/>
      <c r="O258" s="286"/>
      <c r="P258" s="286"/>
      <c r="Q258" s="287"/>
      <c r="S258" s="254" t="str">
        <f t="shared" si="11"/>
        <v/>
      </c>
    </row>
    <row r="259" spans="1:19" ht="30" customHeight="1" x14ac:dyDescent="0.2">
      <c r="A259" s="280"/>
      <c r="B259" s="281"/>
      <c r="C259" s="281"/>
      <c r="D259" s="281"/>
      <c r="F259" s="285" t="str">
        <f t="shared" si="10"/>
        <v/>
      </c>
      <c r="G259" s="286"/>
      <c r="H259" s="287"/>
      <c r="I259" s="287"/>
      <c r="K259" s="285" t="str">
        <f t="shared" si="12"/>
        <v/>
      </c>
      <c r="L259" s="286"/>
      <c r="M259" s="287"/>
      <c r="N259" s="287"/>
      <c r="O259" s="286"/>
      <c r="P259" s="286"/>
      <c r="Q259" s="287"/>
      <c r="S259" s="254" t="str">
        <f t="shared" si="11"/>
        <v/>
      </c>
    </row>
    <row r="260" spans="1:19" ht="30" customHeight="1" x14ac:dyDescent="0.2">
      <c r="A260" s="280"/>
      <c r="B260" s="281"/>
      <c r="C260" s="281"/>
      <c r="D260" s="281"/>
      <c r="F260" s="285" t="str">
        <f t="shared" si="10"/>
        <v/>
      </c>
      <c r="G260" s="286"/>
      <c r="H260" s="287"/>
      <c r="I260" s="287"/>
      <c r="K260" s="285" t="str">
        <f t="shared" si="12"/>
        <v/>
      </c>
      <c r="L260" s="286"/>
      <c r="M260" s="287"/>
      <c r="N260" s="287"/>
      <c r="O260" s="286"/>
      <c r="P260" s="286"/>
      <c r="Q260" s="287"/>
      <c r="S260" s="254" t="str">
        <f t="shared" si="11"/>
        <v/>
      </c>
    </row>
    <row r="261" spans="1:19" ht="30" customHeight="1" x14ac:dyDescent="0.2">
      <c r="A261" s="280"/>
      <c r="B261" s="281"/>
      <c r="C261" s="281"/>
      <c r="D261" s="281"/>
      <c r="F261" s="285" t="str">
        <f t="shared" ref="F261:F324" si="13">IF(A261="","",A261)</f>
        <v/>
      </c>
      <c r="G261" s="286"/>
      <c r="H261" s="287"/>
      <c r="I261" s="287"/>
      <c r="K261" s="285" t="str">
        <f t="shared" si="12"/>
        <v/>
      </c>
      <c r="L261" s="286"/>
      <c r="M261" s="287"/>
      <c r="N261" s="287"/>
      <c r="O261" s="286"/>
      <c r="P261" s="286"/>
      <c r="Q261" s="287"/>
      <c r="S261" s="254" t="str">
        <f t="shared" si="11"/>
        <v/>
      </c>
    </row>
    <row r="262" spans="1:19" ht="30" customHeight="1" x14ac:dyDescent="0.2">
      <c r="A262" s="280"/>
      <c r="B262" s="281"/>
      <c r="C262" s="281"/>
      <c r="D262" s="281"/>
      <c r="F262" s="285" t="str">
        <f t="shared" si="13"/>
        <v/>
      </c>
      <c r="G262" s="286"/>
      <c r="H262" s="287"/>
      <c r="I262" s="287"/>
      <c r="K262" s="285" t="str">
        <f t="shared" si="12"/>
        <v/>
      </c>
      <c r="L262" s="286"/>
      <c r="M262" s="287"/>
      <c r="N262" s="287"/>
      <c r="O262" s="286"/>
      <c r="P262" s="286"/>
      <c r="Q262" s="287"/>
      <c r="S262" s="254" t="str">
        <f t="shared" si="11"/>
        <v/>
      </c>
    </row>
    <row r="263" spans="1:19" ht="30" customHeight="1" x14ac:dyDescent="0.2">
      <c r="A263" s="280"/>
      <c r="B263" s="281"/>
      <c r="C263" s="281"/>
      <c r="D263" s="281"/>
      <c r="F263" s="285" t="str">
        <f t="shared" si="13"/>
        <v/>
      </c>
      <c r="G263" s="286"/>
      <c r="H263" s="287"/>
      <c r="I263" s="287"/>
      <c r="K263" s="285" t="str">
        <f t="shared" si="12"/>
        <v/>
      </c>
      <c r="L263" s="286"/>
      <c r="M263" s="287"/>
      <c r="N263" s="287"/>
      <c r="O263" s="286"/>
      <c r="P263" s="286"/>
      <c r="Q263" s="287"/>
      <c r="S263" s="254" t="str">
        <f t="shared" ref="S263:S270" si="14">IF(P263="","",+D263-P263)</f>
        <v/>
      </c>
    </row>
    <row r="264" spans="1:19" ht="30" customHeight="1" x14ac:dyDescent="0.2">
      <c r="A264" s="280"/>
      <c r="B264" s="281"/>
      <c r="C264" s="281"/>
      <c r="D264" s="281"/>
      <c r="F264" s="285" t="str">
        <f t="shared" si="13"/>
        <v/>
      </c>
      <c r="G264" s="286"/>
      <c r="H264" s="287"/>
      <c r="I264" s="287"/>
      <c r="K264" s="285" t="str">
        <f t="shared" si="12"/>
        <v/>
      </c>
      <c r="L264" s="286"/>
      <c r="M264" s="287"/>
      <c r="N264" s="287"/>
      <c r="O264" s="286"/>
      <c r="P264" s="286"/>
      <c r="Q264" s="287"/>
      <c r="S264" s="254" t="str">
        <f t="shared" si="14"/>
        <v/>
      </c>
    </row>
    <row r="265" spans="1:19" ht="30" customHeight="1" x14ac:dyDescent="0.2">
      <c r="A265" s="280"/>
      <c r="B265" s="281"/>
      <c r="C265" s="281"/>
      <c r="D265" s="281"/>
      <c r="F265" s="285" t="str">
        <f t="shared" si="13"/>
        <v/>
      </c>
      <c r="G265" s="286"/>
      <c r="H265" s="287"/>
      <c r="I265" s="287"/>
      <c r="K265" s="285" t="str">
        <f t="shared" si="12"/>
        <v/>
      </c>
      <c r="L265" s="286"/>
      <c r="M265" s="287"/>
      <c r="N265" s="287"/>
      <c r="O265" s="286"/>
      <c r="P265" s="286"/>
      <c r="Q265" s="287"/>
      <c r="S265" s="254" t="str">
        <f t="shared" si="14"/>
        <v/>
      </c>
    </row>
    <row r="266" spans="1:19" ht="30" customHeight="1" x14ac:dyDescent="0.2">
      <c r="A266" s="280"/>
      <c r="B266" s="281"/>
      <c r="C266" s="281"/>
      <c r="D266" s="281"/>
      <c r="F266" s="285" t="str">
        <f t="shared" si="13"/>
        <v/>
      </c>
      <c r="G266" s="286"/>
      <c r="H266" s="287"/>
      <c r="I266" s="287"/>
      <c r="K266" s="285" t="str">
        <f t="shared" si="12"/>
        <v/>
      </c>
      <c r="L266" s="286"/>
      <c r="M266" s="287"/>
      <c r="N266" s="287"/>
      <c r="O266" s="286"/>
      <c r="P266" s="286"/>
      <c r="Q266" s="287"/>
      <c r="S266" s="254" t="str">
        <f t="shared" si="14"/>
        <v/>
      </c>
    </row>
    <row r="267" spans="1:19" ht="30" customHeight="1" x14ac:dyDescent="0.2">
      <c r="A267" s="280"/>
      <c r="B267" s="281"/>
      <c r="C267" s="281"/>
      <c r="D267" s="281"/>
      <c r="F267" s="285" t="str">
        <f t="shared" si="13"/>
        <v/>
      </c>
      <c r="G267" s="286"/>
      <c r="H267" s="287"/>
      <c r="I267" s="287"/>
      <c r="K267" s="285" t="str">
        <f t="shared" ref="K267:K330" si="15">IF(A267="","",A267)</f>
        <v/>
      </c>
      <c r="L267" s="286"/>
      <c r="M267" s="287"/>
      <c r="N267" s="287"/>
      <c r="O267" s="286"/>
      <c r="P267" s="286"/>
      <c r="Q267" s="287"/>
      <c r="S267" s="254" t="str">
        <f t="shared" si="14"/>
        <v/>
      </c>
    </row>
    <row r="268" spans="1:19" ht="30" customHeight="1" x14ac:dyDescent="0.2">
      <c r="A268" s="280"/>
      <c r="B268" s="281"/>
      <c r="C268" s="281"/>
      <c r="D268" s="281"/>
      <c r="F268" s="285" t="str">
        <f t="shared" si="13"/>
        <v/>
      </c>
      <c r="G268" s="286"/>
      <c r="H268" s="287"/>
      <c r="I268" s="287"/>
      <c r="K268" s="285" t="str">
        <f t="shared" si="15"/>
        <v/>
      </c>
      <c r="L268" s="286"/>
      <c r="M268" s="287"/>
      <c r="N268" s="287"/>
      <c r="O268" s="286"/>
      <c r="P268" s="286"/>
      <c r="Q268" s="287"/>
      <c r="S268" s="254" t="str">
        <f t="shared" si="14"/>
        <v/>
      </c>
    </row>
    <row r="269" spans="1:19" ht="30" customHeight="1" x14ac:dyDescent="0.2">
      <c r="A269" s="280"/>
      <c r="B269" s="281"/>
      <c r="C269" s="281"/>
      <c r="D269" s="281"/>
      <c r="F269" s="285" t="str">
        <f t="shared" si="13"/>
        <v/>
      </c>
      <c r="G269" s="286"/>
      <c r="H269" s="287"/>
      <c r="I269" s="287"/>
      <c r="K269" s="285" t="str">
        <f t="shared" si="15"/>
        <v/>
      </c>
      <c r="L269" s="286"/>
      <c r="M269" s="287"/>
      <c r="N269" s="287"/>
      <c r="O269" s="286"/>
      <c r="P269" s="286"/>
      <c r="Q269" s="287"/>
      <c r="S269" s="254" t="str">
        <f t="shared" si="14"/>
        <v/>
      </c>
    </row>
    <row r="270" spans="1:19" ht="30" customHeight="1" x14ac:dyDescent="0.2">
      <c r="A270" s="280"/>
      <c r="B270" s="281"/>
      <c r="C270" s="281"/>
      <c r="D270" s="281"/>
      <c r="F270" s="285" t="str">
        <f t="shared" si="13"/>
        <v/>
      </c>
      <c r="G270" s="286"/>
      <c r="H270" s="287"/>
      <c r="I270" s="287"/>
      <c r="K270" s="285" t="str">
        <f t="shared" si="15"/>
        <v/>
      </c>
      <c r="L270" s="286"/>
      <c r="M270" s="287"/>
      <c r="N270" s="287"/>
      <c r="O270" s="286"/>
      <c r="P270" s="286"/>
      <c r="Q270" s="287"/>
      <c r="S270" s="254" t="str">
        <f t="shared" si="14"/>
        <v/>
      </c>
    </row>
    <row r="271" spans="1:19" ht="30" customHeight="1" x14ac:dyDescent="0.2">
      <c r="A271" s="280"/>
      <c r="B271" s="281"/>
      <c r="C271" s="281"/>
      <c r="D271" s="281"/>
      <c r="F271" s="285" t="str">
        <f t="shared" si="13"/>
        <v/>
      </c>
      <c r="G271" s="286"/>
      <c r="H271" s="287"/>
      <c r="I271" s="287"/>
      <c r="K271" s="285" t="str">
        <f t="shared" si="15"/>
        <v/>
      </c>
      <c r="L271" s="286"/>
      <c r="M271" s="287"/>
      <c r="N271" s="287"/>
      <c r="O271" s="286"/>
      <c r="P271" s="286"/>
      <c r="Q271" s="287"/>
    </row>
    <row r="272" spans="1:19" ht="30" customHeight="1" x14ac:dyDescent="0.2">
      <c r="A272" s="280"/>
      <c r="B272" s="281"/>
      <c r="C272" s="281"/>
      <c r="D272" s="281"/>
      <c r="F272" s="285" t="str">
        <f t="shared" si="13"/>
        <v/>
      </c>
      <c r="G272" s="286"/>
      <c r="H272" s="287"/>
      <c r="I272" s="287"/>
      <c r="K272" s="285" t="str">
        <f t="shared" si="15"/>
        <v/>
      </c>
      <c r="L272" s="286"/>
      <c r="M272" s="287"/>
      <c r="N272" s="287"/>
      <c r="O272" s="286"/>
      <c r="P272" s="286"/>
      <c r="Q272" s="287"/>
    </row>
    <row r="273" spans="1:17" ht="30" customHeight="1" x14ac:dyDescent="0.2">
      <c r="A273" s="280"/>
      <c r="B273" s="281"/>
      <c r="C273" s="281"/>
      <c r="D273" s="281"/>
      <c r="F273" s="285" t="str">
        <f t="shared" si="13"/>
        <v/>
      </c>
      <c r="G273" s="286"/>
      <c r="H273" s="287"/>
      <c r="I273" s="287"/>
      <c r="K273" s="285" t="str">
        <f t="shared" si="15"/>
        <v/>
      </c>
      <c r="L273" s="286"/>
      <c r="M273" s="287"/>
      <c r="N273" s="287"/>
      <c r="O273" s="286"/>
      <c r="P273" s="286"/>
      <c r="Q273" s="287"/>
    </row>
    <row r="274" spans="1:17" ht="30" customHeight="1" x14ac:dyDescent="0.2">
      <c r="A274" s="280"/>
      <c r="B274" s="281"/>
      <c r="C274" s="281"/>
      <c r="D274" s="281"/>
      <c r="F274" s="285" t="str">
        <f t="shared" si="13"/>
        <v/>
      </c>
      <c r="G274" s="286"/>
      <c r="H274" s="287"/>
      <c r="I274" s="287"/>
      <c r="K274" s="285" t="str">
        <f t="shared" si="15"/>
        <v/>
      </c>
      <c r="L274" s="286"/>
      <c r="M274" s="287"/>
      <c r="N274" s="287"/>
      <c r="O274" s="286"/>
      <c r="P274" s="286"/>
      <c r="Q274" s="287"/>
    </row>
    <row r="275" spans="1:17" ht="30" customHeight="1" x14ac:dyDescent="0.2">
      <c r="A275" s="280"/>
      <c r="B275" s="281"/>
      <c r="C275" s="281"/>
      <c r="D275" s="281"/>
      <c r="F275" s="285" t="str">
        <f t="shared" si="13"/>
        <v/>
      </c>
      <c r="G275" s="286"/>
      <c r="H275" s="287"/>
      <c r="I275" s="287"/>
      <c r="K275" s="285" t="str">
        <f t="shared" si="15"/>
        <v/>
      </c>
      <c r="L275" s="286"/>
      <c r="M275" s="287"/>
      <c r="N275" s="287"/>
      <c r="O275" s="286"/>
      <c r="P275" s="286"/>
      <c r="Q275" s="287"/>
    </row>
    <row r="276" spans="1:17" ht="30" customHeight="1" x14ac:dyDescent="0.2">
      <c r="A276" s="280"/>
      <c r="B276" s="281"/>
      <c r="C276" s="281"/>
      <c r="D276" s="281"/>
      <c r="F276" s="285" t="str">
        <f t="shared" si="13"/>
        <v/>
      </c>
      <c r="G276" s="286"/>
      <c r="H276" s="287"/>
      <c r="I276" s="287"/>
      <c r="K276" s="285" t="str">
        <f t="shared" si="15"/>
        <v/>
      </c>
      <c r="L276" s="286"/>
      <c r="M276" s="287"/>
      <c r="N276" s="287"/>
      <c r="O276" s="286"/>
      <c r="P276" s="286"/>
      <c r="Q276" s="287"/>
    </row>
    <row r="277" spans="1:17" ht="30" customHeight="1" x14ac:dyDescent="0.2">
      <c r="A277" s="280"/>
      <c r="B277" s="281"/>
      <c r="C277" s="281"/>
      <c r="D277" s="281"/>
      <c r="F277" s="285" t="str">
        <f t="shared" si="13"/>
        <v/>
      </c>
      <c r="G277" s="286"/>
      <c r="H277" s="287"/>
      <c r="I277" s="287"/>
      <c r="K277" s="285" t="str">
        <f t="shared" si="15"/>
        <v/>
      </c>
      <c r="L277" s="286"/>
      <c r="M277" s="287"/>
      <c r="N277" s="287"/>
      <c r="O277" s="286"/>
      <c r="P277" s="286"/>
      <c r="Q277" s="287"/>
    </row>
    <row r="278" spans="1:17" ht="30" customHeight="1" x14ac:dyDescent="0.2">
      <c r="A278" s="280"/>
      <c r="B278" s="281"/>
      <c r="C278" s="281"/>
      <c r="D278" s="281"/>
      <c r="F278" s="285" t="str">
        <f t="shared" si="13"/>
        <v/>
      </c>
      <c r="G278" s="286"/>
      <c r="H278" s="287"/>
      <c r="I278" s="287"/>
      <c r="K278" s="285" t="str">
        <f t="shared" si="15"/>
        <v/>
      </c>
      <c r="L278" s="286"/>
      <c r="M278" s="287"/>
      <c r="N278" s="287"/>
      <c r="O278" s="286"/>
      <c r="P278" s="286"/>
      <c r="Q278" s="287"/>
    </row>
    <row r="279" spans="1:17" ht="30" customHeight="1" x14ac:dyDescent="0.2">
      <c r="A279" s="280"/>
      <c r="B279" s="281"/>
      <c r="C279" s="281"/>
      <c r="D279" s="281"/>
      <c r="F279" s="285" t="str">
        <f t="shared" si="13"/>
        <v/>
      </c>
      <c r="G279" s="286"/>
      <c r="H279" s="287"/>
      <c r="I279" s="287"/>
      <c r="K279" s="285" t="str">
        <f t="shared" si="15"/>
        <v/>
      </c>
      <c r="L279" s="286"/>
      <c r="M279" s="287"/>
      <c r="N279" s="287"/>
      <c r="O279" s="286"/>
      <c r="P279" s="286"/>
      <c r="Q279" s="287"/>
    </row>
    <row r="280" spans="1:17" ht="30" customHeight="1" x14ac:dyDescent="0.2">
      <c r="A280" s="280"/>
      <c r="B280" s="281"/>
      <c r="C280" s="281"/>
      <c r="D280" s="281"/>
      <c r="F280" s="285" t="str">
        <f t="shared" si="13"/>
        <v/>
      </c>
      <c r="G280" s="286"/>
      <c r="H280" s="287"/>
      <c r="I280" s="287"/>
      <c r="K280" s="285" t="str">
        <f t="shared" si="15"/>
        <v/>
      </c>
      <c r="L280" s="286"/>
      <c r="M280" s="287"/>
      <c r="N280" s="287"/>
      <c r="O280" s="286"/>
      <c r="P280" s="286"/>
      <c r="Q280" s="287"/>
    </row>
    <row r="281" spans="1:17" ht="30" customHeight="1" x14ac:dyDescent="0.2">
      <c r="A281" s="280"/>
      <c r="B281" s="281"/>
      <c r="C281" s="281"/>
      <c r="D281" s="281"/>
      <c r="F281" s="285" t="str">
        <f t="shared" si="13"/>
        <v/>
      </c>
      <c r="G281" s="286"/>
      <c r="H281" s="287"/>
      <c r="I281" s="287"/>
      <c r="K281" s="285" t="str">
        <f t="shared" si="15"/>
        <v/>
      </c>
      <c r="L281" s="286"/>
      <c r="M281" s="287"/>
      <c r="N281" s="287"/>
      <c r="O281" s="286"/>
      <c r="P281" s="286"/>
      <c r="Q281" s="287"/>
    </row>
    <row r="282" spans="1:17" ht="30" customHeight="1" x14ac:dyDescent="0.2">
      <c r="A282" s="280"/>
      <c r="B282" s="281"/>
      <c r="C282" s="281"/>
      <c r="D282" s="281"/>
      <c r="F282" s="285" t="str">
        <f t="shared" si="13"/>
        <v/>
      </c>
      <c r="G282" s="286"/>
      <c r="H282" s="287"/>
      <c r="I282" s="287"/>
      <c r="K282" s="285" t="str">
        <f t="shared" si="15"/>
        <v/>
      </c>
      <c r="L282" s="286"/>
      <c r="M282" s="287"/>
      <c r="N282" s="287"/>
      <c r="O282" s="286"/>
      <c r="P282" s="286"/>
      <c r="Q282" s="287"/>
    </row>
    <row r="283" spans="1:17" ht="30" customHeight="1" x14ac:dyDescent="0.2">
      <c r="A283" s="280"/>
      <c r="B283" s="281"/>
      <c r="C283" s="281"/>
      <c r="D283" s="281"/>
      <c r="F283" s="285" t="str">
        <f t="shared" si="13"/>
        <v/>
      </c>
      <c r="G283" s="286"/>
      <c r="H283" s="287"/>
      <c r="I283" s="287"/>
      <c r="K283" s="285" t="str">
        <f t="shared" si="15"/>
        <v/>
      </c>
      <c r="L283" s="286"/>
      <c r="M283" s="287"/>
      <c r="N283" s="287"/>
      <c r="O283" s="286"/>
      <c r="P283" s="286"/>
      <c r="Q283" s="287"/>
    </row>
    <row r="284" spans="1:17" ht="30" customHeight="1" x14ac:dyDescent="0.2">
      <c r="A284" s="280"/>
      <c r="B284" s="281"/>
      <c r="C284" s="281"/>
      <c r="D284" s="281"/>
      <c r="F284" s="285" t="str">
        <f t="shared" si="13"/>
        <v/>
      </c>
      <c r="G284" s="286"/>
      <c r="H284" s="287"/>
      <c r="I284" s="287"/>
      <c r="K284" s="285" t="str">
        <f t="shared" si="15"/>
        <v/>
      </c>
      <c r="L284" s="286"/>
      <c r="M284" s="287"/>
      <c r="N284" s="287"/>
      <c r="O284" s="286"/>
      <c r="P284" s="286"/>
      <c r="Q284" s="287"/>
    </row>
    <row r="285" spans="1:17" ht="30" customHeight="1" x14ac:dyDescent="0.2">
      <c r="A285" s="280"/>
      <c r="B285" s="281"/>
      <c r="C285" s="281"/>
      <c r="D285" s="281"/>
      <c r="F285" s="285" t="str">
        <f t="shared" si="13"/>
        <v/>
      </c>
      <c r="G285" s="286"/>
      <c r="H285" s="287"/>
      <c r="I285" s="287"/>
      <c r="K285" s="285" t="str">
        <f t="shared" si="15"/>
        <v/>
      </c>
      <c r="L285" s="286"/>
      <c r="M285" s="287"/>
      <c r="N285" s="287"/>
      <c r="O285" s="286"/>
      <c r="P285" s="286"/>
      <c r="Q285" s="287"/>
    </row>
    <row r="286" spans="1:17" ht="30" customHeight="1" x14ac:dyDescent="0.2">
      <c r="A286" s="280"/>
      <c r="B286" s="281"/>
      <c r="C286" s="281"/>
      <c r="D286" s="281"/>
      <c r="F286" s="285" t="str">
        <f t="shared" si="13"/>
        <v/>
      </c>
      <c r="G286" s="286"/>
      <c r="H286" s="287"/>
      <c r="I286" s="287"/>
      <c r="K286" s="285" t="str">
        <f t="shared" si="15"/>
        <v/>
      </c>
      <c r="L286" s="286"/>
      <c r="M286" s="287"/>
      <c r="N286" s="287"/>
      <c r="O286" s="286"/>
      <c r="P286" s="286"/>
      <c r="Q286" s="287"/>
    </row>
    <row r="287" spans="1:17" ht="30" customHeight="1" x14ac:dyDescent="0.2">
      <c r="A287" s="280"/>
      <c r="B287" s="281"/>
      <c r="C287" s="281"/>
      <c r="D287" s="281"/>
      <c r="F287" s="285" t="str">
        <f t="shared" si="13"/>
        <v/>
      </c>
      <c r="G287" s="286"/>
      <c r="H287" s="287"/>
      <c r="I287" s="287"/>
      <c r="K287" s="285" t="str">
        <f t="shared" si="15"/>
        <v/>
      </c>
      <c r="L287" s="286"/>
      <c r="M287" s="287"/>
      <c r="N287" s="287"/>
      <c r="O287" s="286"/>
      <c r="P287" s="286"/>
      <c r="Q287" s="287"/>
    </row>
    <row r="288" spans="1:17" ht="30" customHeight="1" x14ac:dyDescent="0.2">
      <c r="A288" s="280"/>
      <c r="B288" s="281"/>
      <c r="C288" s="281"/>
      <c r="D288" s="281"/>
      <c r="F288" s="285" t="str">
        <f t="shared" si="13"/>
        <v/>
      </c>
      <c r="G288" s="286"/>
      <c r="H288" s="287"/>
      <c r="I288" s="287"/>
      <c r="K288" s="285" t="str">
        <f t="shared" si="15"/>
        <v/>
      </c>
      <c r="L288" s="286"/>
      <c r="M288" s="287"/>
      <c r="N288" s="287"/>
      <c r="O288" s="286"/>
      <c r="P288" s="286"/>
      <c r="Q288" s="287"/>
    </row>
    <row r="289" spans="1:17" ht="30" customHeight="1" x14ac:dyDescent="0.2">
      <c r="A289" s="280"/>
      <c r="B289" s="281"/>
      <c r="C289" s="281"/>
      <c r="D289" s="281"/>
      <c r="F289" s="285" t="str">
        <f t="shared" si="13"/>
        <v/>
      </c>
      <c r="G289" s="286"/>
      <c r="H289" s="287"/>
      <c r="I289" s="287"/>
      <c r="K289" s="285" t="str">
        <f t="shared" si="15"/>
        <v/>
      </c>
      <c r="L289" s="286"/>
      <c r="M289" s="287"/>
      <c r="N289" s="287"/>
      <c r="O289" s="286"/>
      <c r="P289" s="286"/>
      <c r="Q289" s="287"/>
    </row>
    <row r="290" spans="1:17" ht="30" customHeight="1" x14ac:dyDescent="0.2">
      <c r="A290" s="280"/>
      <c r="B290" s="281"/>
      <c r="C290" s="281"/>
      <c r="D290" s="281"/>
      <c r="F290" s="285" t="str">
        <f t="shared" si="13"/>
        <v/>
      </c>
      <c r="G290" s="286"/>
      <c r="H290" s="287"/>
      <c r="I290" s="287"/>
      <c r="K290" s="285" t="str">
        <f t="shared" si="15"/>
        <v/>
      </c>
      <c r="L290" s="286"/>
      <c r="M290" s="287"/>
      <c r="N290" s="287"/>
      <c r="O290" s="286"/>
      <c r="P290" s="286"/>
      <c r="Q290" s="287"/>
    </row>
    <row r="291" spans="1:17" ht="30" customHeight="1" x14ac:dyDescent="0.2">
      <c r="A291" s="280"/>
      <c r="B291" s="281"/>
      <c r="C291" s="281"/>
      <c r="D291" s="281"/>
      <c r="F291" s="285" t="str">
        <f t="shared" si="13"/>
        <v/>
      </c>
      <c r="G291" s="286"/>
      <c r="H291" s="287"/>
      <c r="I291" s="287"/>
      <c r="K291" s="285" t="str">
        <f t="shared" si="15"/>
        <v/>
      </c>
      <c r="L291" s="286"/>
      <c r="M291" s="287"/>
      <c r="N291" s="287"/>
      <c r="O291" s="286"/>
      <c r="P291" s="286"/>
      <c r="Q291" s="287"/>
    </row>
    <row r="292" spans="1:17" ht="30" customHeight="1" x14ac:dyDescent="0.2">
      <c r="A292" s="280"/>
      <c r="B292" s="281"/>
      <c r="C292" s="281"/>
      <c r="D292" s="281"/>
      <c r="F292" s="285" t="str">
        <f t="shared" si="13"/>
        <v/>
      </c>
      <c r="G292" s="286"/>
      <c r="H292" s="287"/>
      <c r="I292" s="287"/>
      <c r="K292" s="285" t="str">
        <f t="shared" si="15"/>
        <v/>
      </c>
      <c r="L292" s="286"/>
      <c r="M292" s="287"/>
      <c r="N292" s="287"/>
      <c r="O292" s="286"/>
      <c r="P292" s="286"/>
      <c r="Q292" s="287"/>
    </row>
    <row r="293" spans="1:17" ht="30" customHeight="1" x14ac:dyDescent="0.2">
      <c r="A293" s="280"/>
      <c r="B293" s="281"/>
      <c r="C293" s="281"/>
      <c r="D293" s="281"/>
      <c r="F293" s="285" t="str">
        <f t="shared" si="13"/>
        <v/>
      </c>
      <c r="G293" s="286"/>
      <c r="H293" s="287"/>
      <c r="I293" s="287"/>
      <c r="K293" s="285" t="str">
        <f t="shared" si="15"/>
        <v/>
      </c>
      <c r="L293" s="286"/>
      <c r="M293" s="287"/>
      <c r="N293" s="287"/>
      <c r="O293" s="286"/>
      <c r="P293" s="286"/>
      <c r="Q293" s="287"/>
    </row>
    <row r="294" spans="1:17" ht="30" customHeight="1" x14ac:dyDescent="0.2">
      <c r="A294" s="280"/>
      <c r="B294" s="281"/>
      <c r="C294" s="281"/>
      <c r="D294" s="281"/>
      <c r="F294" s="285" t="str">
        <f t="shared" si="13"/>
        <v/>
      </c>
      <c r="G294" s="286"/>
      <c r="H294" s="287"/>
      <c r="I294" s="287"/>
      <c r="K294" s="285" t="str">
        <f t="shared" si="15"/>
        <v/>
      </c>
      <c r="L294" s="286"/>
      <c r="M294" s="287"/>
      <c r="N294" s="287"/>
      <c r="O294" s="286"/>
      <c r="P294" s="286"/>
      <c r="Q294" s="287"/>
    </row>
    <row r="295" spans="1:17" ht="30" customHeight="1" x14ac:dyDescent="0.2">
      <c r="A295" s="280"/>
      <c r="B295" s="281"/>
      <c r="C295" s="281"/>
      <c r="D295" s="281"/>
      <c r="F295" s="285" t="str">
        <f t="shared" si="13"/>
        <v/>
      </c>
      <c r="G295" s="286"/>
      <c r="H295" s="287"/>
      <c r="I295" s="287"/>
      <c r="K295" s="285" t="str">
        <f t="shared" si="15"/>
        <v/>
      </c>
      <c r="L295" s="286"/>
      <c r="M295" s="287"/>
      <c r="N295" s="287"/>
      <c r="O295" s="286"/>
      <c r="P295" s="286"/>
      <c r="Q295" s="287"/>
    </row>
    <row r="296" spans="1:17" ht="30" customHeight="1" x14ac:dyDescent="0.2">
      <c r="A296" s="280"/>
      <c r="B296" s="281"/>
      <c r="C296" s="281"/>
      <c r="D296" s="281"/>
      <c r="F296" s="285" t="str">
        <f t="shared" si="13"/>
        <v/>
      </c>
      <c r="G296" s="286"/>
      <c r="H296" s="287"/>
      <c r="I296" s="287"/>
      <c r="K296" s="285" t="str">
        <f t="shared" si="15"/>
        <v/>
      </c>
      <c r="L296" s="286"/>
      <c r="M296" s="287"/>
      <c r="N296" s="287"/>
      <c r="O296" s="286"/>
      <c r="P296" s="286"/>
      <c r="Q296" s="287"/>
    </row>
    <row r="297" spans="1:17" ht="30" customHeight="1" x14ac:dyDescent="0.2">
      <c r="A297" s="280"/>
      <c r="B297" s="281"/>
      <c r="C297" s="281"/>
      <c r="D297" s="281"/>
      <c r="F297" s="285" t="str">
        <f t="shared" si="13"/>
        <v/>
      </c>
      <c r="G297" s="286"/>
      <c r="H297" s="287"/>
      <c r="I297" s="287"/>
      <c r="K297" s="285" t="str">
        <f t="shared" si="15"/>
        <v/>
      </c>
      <c r="L297" s="286"/>
      <c r="M297" s="287"/>
      <c r="N297" s="287"/>
      <c r="O297" s="286"/>
      <c r="P297" s="286"/>
      <c r="Q297" s="287"/>
    </row>
    <row r="298" spans="1:17" ht="30" customHeight="1" x14ac:dyDescent="0.2">
      <c r="A298" s="280"/>
      <c r="B298" s="281"/>
      <c r="C298" s="281"/>
      <c r="D298" s="281"/>
      <c r="F298" s="285" t="str">
        <f t="shared" si="13"/>
        <v/>
      </c>
      <c r="G298" s="286"/>
      <c r="H298" s="287"/>
      <c r="I298" s="287"/>
      <c r="K298" s="285" t="str">
        <f t="shared" si="15"/>
        <v/>
      </c>
      <c r="L298" s="286"/>
      <c r="M298" s="287"/>
      <c r="N298" s="287"/>
      <c r="O298" s="286"/>
      <c r="P298" s="286"/>
      <c r="Q298" s="287"/>
    </row>
    <row r="299" spans="1:17" ht="30" customHeight="1" x14ac:dyDescent="0.2">
      <c r="A299" s="280"/>
      <c r="B299" s="281"/>
      <c r="C299" s="281"/>
      <c r="D299" s="281"/>
      <c r="F299" s="285" t="str">
        <f t="shared" si="13"/>
        <v/>
      </c>
      <c r="G299" s="286"/>
      <c r="H299" s="287"/>
      <c r="I299" s="287"/>
      <c r="K299" s="285" t="str">
        <f t="shared" si="15"/>
        <v/>
      </c>
      <c r="L299" s="286"/>
      <c r="M299" s="287"/>
      <c r="N299" s="287"/>
      <c r="O299" s="286"/>
      <c r="P299" s="286"/>
      <c r="Q299" s="287"/>
    </row>
    <row r="300" spans="1:17" ht="30" customHeight="1" x14ac:dyDescent="0.2">
      <c r="A300" s="280"/>
      <c r="B300" s="281"/>
      <c r="C300" s="281"/>
      <c r="D300" s="281"/>
      <c r="F300" s="285" t="str">
        <f t="shared" si="13"/>
        <v/>
      </c>
      <c r="G300" s="286"/>
      <c r="H300" s="287"/>
      <c r="I300" s="287"/>
      <c r="K300" s="285" t="str">
        <f t="shared" si="15"/>
        <v/>
      </c>
      <c r="L300" s="286"/>
      <c r="M300" s="287"/>
      <c r="N300" s="287"/>
      <c r="O300" s="286"/>
      <c r="P300" s="286"/>
      <c r="Q300" s="287"/>
    </row>
    <row r="301" spans="1:17" ht="30" customHeight="1" x14ac:dyDescent="0.2">
      <c r="A301" s="280"/>
      <c r="B301" s="281"/>
      <c r="C301" s="281"/>
      <c r="D301" s="281"/>
      <c r="F301" s="285" t="str">
        <f t="shared" si="13"/>
        <v/>
      </c>
      <c r="G301" s="286"/>
      <c r="H301" s="287"/>
      <c r="I301" s="287"/>
      <c r="K301" s="285" t="str">
        <f t="shared" si="15"/>
        <v/>
      </c>
      <c r="L301" s="286"/>
      <c r="M301" s="287"/>
      <c r="N301" s="287"/>
      <c r="O301" s="286"/>
      <c r="P301" s="286"/>
      <c r="Q301" s="287"/>
    </row>
    <row r="302" spans="1:17" ht="30" customHeight="1" x14ac:dyDescent="0.2">
      <c r="A302" s="280"/>
      <c r="B302" s="281"/>
      <c r="C302" s="281"/>
      <c r="D302" s="281"/>
      <c r="F302" s="285" t="str">
        <f t="shared" si="13"/>
        <v/>
      </c>
      <c r="G302" s="286"/>
      <c r="H302" s="287"/>
      <c r="I302" s="287"/>
      <c r="K302" s="285" t="str">
        <f t="shared" si="15"/>
        <v/>
      </c>
      <c r="L302" s="286"/>
      <c r="M302" s="287"/>
      <c r="N302" s="287"/>
      <c r="O302" s="286"/>
      <c r="P302" s="286"/>
      <c r="Q302" s="287"/>
    </row>
    <row r="303" spans="1:17" ht="30" customHeight="1" x14ac:dyDescent="0.2">
      <c r="A303" s="280"/>
      <c r="B303" s="281"/>
      <c r="C303" s="281"/>
      <c r="D303" s="281"/>
      <c r="F303" s="285" t="str">
        <f t="shared" si="13"/>
        <v/>
      </c>
      <c r="G303" s="286"/>
      <c r="H303" s="287"/>
      <c r="I303" s="287"/>
      <c r="K303" s="285" t="str">
        <f t="shared" si="15"/>
        <v/>
      </c>
      <c r="L303" s="286"/>
      <c r="M303" s="287"/>
      <c r="N303" s="287"/>
      <c r="O303" s="286"/>
      <c r="P303" s="286"/>
      <c r="Q303" s="287"/>
    </row>
    <row r="304" spans="1:17" ht="30" customHeight="1" x14ac:dyDescent="0.2">
      <c r="A304" s="280"/>
      <c r="B304" s="281"/>
      <c r="C304" s="281"/>
      <c r="D304" s="281"/>
      <c r="F304" s="285" t="str">
        <f t="shared" si="13"/>
        <v/>
      </c>
      <c r="G304" s="286"/>
      <c r="H304" s="287"/>
      <c r="I304" s="287"/>
      <c r="K304" s="285" t="str">
        <f t="shared" si="15"/>
        <v/>
      </c>
      <c r="L304" s="286"/>
      <c r="M304" s="287"/>
      <c r="N304" s="287"/>
      <c r="O304" s="286"/>
      <c r="P304" s="286"/>
      <c r="Q304" s="287"/>
    </row>
    <row r="305" spans="1:17" ht="30" customHeight="1" x14ac:dyDescent="0.2">
      <c r="A305" s="280"/>
      <c r="B305" s="281"/>
      <c r="C305" s="281"/>
      <c r="D305" s="281"/>
      <c r="F305" s="285" t="str">
        <f t="shared" si="13"/>
        <v/>
      </c>
      <c r="G305" s="286"/>
      <c r="H305" s="287"/>
      <c r="I305" s="287"/>
      <c r="K305" s="285" t="str">
        <f t="shared" si="15"/>
        <v/>
      </c>
      <c r="L305" s="286"/>
      <c r="M305" s="287"/>
      <c r="N305" s="287"/>
      <c r="O305" s="286"/>
      <c r="P305" s="286"/>
      <c r="Q305" s="287"/>
    </row>
    <row r="306" spans="1:17" ht="30" customHeight="1" x14ac:dyDescent="0.2">
      <c r="A306" s="280"/>
      <c r="B306" s="281"/>
      <c r="C306" s="281"/>
      <c r="D306" s="281"/>
      <c r="F306" s="285" t="str">
        <f t="shared" si="13"/>
        <v/>
      </c>
      <c r="G306" s="286"/>
      <c r="H306" s="287"/>
      <c r="I306" s="287"/>
      <c r="K306" s="285" t="str">
        <f t="shared" si="15"/>
        <v/>
      </c>
      <c r="L306" s="286"/>
      <c r="M306" s="287"/>
      <c r="N306" s="287"/>
      <c r="O306" s="286"/>
      <c r="P306" s="286"/>
      <c r="Q306" s="287"/>
    </row>
    <row r="307" spans="1:17" ht="30" customHeight="1" x14ac:dyDescent="0.2">
      <c r="A307" s="280"/>
      <c r="B307" s="281"/>
      <c r="C307" s="281"/>
      <c r="D307" s="281"/>
      <c r="F307" s="285" t="str">
        <f t="shared" si="13"/>
        <v/>
      </c>
      <c r="G307" s="286"/>
      <c r="H307" s="287"/>
      <c r="I307" s="287"/>
      <c r="K307" s="285" t="str">
        <f t="shared" si="15"/>
        <v/>
      </c>
      <c r="L307" s="286"/>
      <c r="M307" s="287"/>
      <c r="N307" s="287"/>
      <c r="O307" s="286"/>
      <c r="P307" s="286"/>
      <c r="Q307" s="287"/>
    </row>
    <row r="308" spans="1:17" ht="30" customHeight="1" x14ac:dyDescent="0.2">
      <c r="A308" s="280"/>
      <c r="B308" s="281"/>
      <c r="C308" s="281"/>
      <c r="D308" s="281"/>
      <c r="F308" s="285" t="str">
        <f t="shared" si="13"/>
        <v/>
      </c>
      <c r="G308" s="286"/>
      <c r="H308" s="287"/>
      <c r="I308" s="287"/>
      <c r="K308" s="285" t="str">
        <f t="shared" si="15"/>
        <v/>
      </c>
      <c r="L308" s="286"/>
      <c r="M308" s="287"/>
      <c r="N308" s="287"/>
      <c r="O308" s="286"/>
      <c r="P308" s="286"/>
      <c r="Q308" s="287"/>
    </row>
    <row r="309" spans="1:17" ht="30" customHeight="1" x14ac:dyDescent="0.2">
      <c r="A309" s="280"/>
      <c r="B309" s="281"/>
      <c r="C309" s="281"/>
      <c r="D309" s="281"/>
      <c r="F309" s="285" t="str">
        <f t="shared" si="13"/>
        <v/>
      </c>
      <c r="G309" s="286"/>
      <c r="H309" s="287"/>
      <c r="I309" s="287"/>
      <c r="K309" s="285" t="str">
        <f t="shared" si="15"/>
        <v/>
      </c>
      <c r="L309" s="286"/>
      <c r="M309" s="287"/>
      <c r="N309" s="287"/>
      <c r="O309" s="286"/>
      <c r="P309" s="286"/>
      <c r="Q309" s="287"/>
    </row>
    <row r="310" spans="1:17" ht="30" customHeight="1" x14ac:dyDescent="0.2">
      <c r="A310" s="280"/>
      <c r="B310" s="281"/>
      <c r="C310" s="281"/>
      <c r="D310" s="281"/>
      <c r="F310" s="285" t="str">
        <f t="shared" si="13"/>
        <v/>
      </c>
      <c r="G310" s="286"/>
      <c r="H310" s="287"/>
      <c r="I310" s="287"/>
      <c r="K310" s="285" t="str">
        <f t="shared" si="15"/>
        <v/>
      </c>
      <c r="L310" s="286"/>
      <c r="M310" s="287"/>
      <c r="N310" s="287"/>
      <c r="O310" s="286"/>
      <c r="P310" s="286"/>
      <c r="Q310" s="287"/>
    </row>
    <row r="311" spans="1:17" ht="30" customHeight="1" x14ac:dyDescent="0.2">
      <c r="A311" s="280"/>
      <c r="B311" s="281"/>
      <c r="C311" s="281"/>
      <c r="D311" s="281"/>
      <c r="F311" s="285" t="str">
        <f t="shared" si="13"/>
        <v/>
      </c>
      <c r="G311" s="286"/>
      <c r="H311" s="287"/>
      <c r="I311" s="287"/>
      <c r="K311" s="285" t="str">
        <f t="shared" si="15"/>
        <v/>
      </c>
      <c r="L311" s="286"/>
      <c r="M311" s="287"/>
      <c r="N311" s="287"/>
      <c r="O311" s="286"/>
      <c r="P311" s="286"/>
      <c r="Q311" s="287"/>
    </row>
    <row r="312" spans="1:17" ht="30" customHeight="1" x14ac:dyDescent="0.2">
      <c r="A312" s="280"/>
      <c r="B312" s="281"/>
      <c r="C312" s="281"/>
      <c r="D312" s="281"/>
      <c r="F312" s="285" t="str">
        <f t="shared" si="13"/>
        <v/>
      </c>
      <c r="G312" s="286"/>
      <c r="H312" s="287"/>
      <c r="I312" s="287"/>
      <c r="K312" s="285" t="str">
        <f t="shared" si="15"/>
        <v/>
      </c>
      <c r="L312" s="286"/>
      <c r="M312" s="287"/>
      <c r="N312" s="287"/>
      <c r="O312" s="286"/>
      <c r="P312" s="286"/>
      <c r="Q312" s="287"/>
    </row>
    <row r="313" spans="1:17" ht="30" customHeight="1" x14ac:dyDescent="0.2">
      <c r="A313" s="280"/>
      <c r="B313" s="281"/>
      <c r="C313" s="281"/>
      <c r="D313" s="281"/>
      <c r="F313" s="285" t="str">
        <f t="shared" si="13"/>
        <v/>
      </c>
      <c r="G313" s="286"/>
      <c r="H313" s="287"/>
      <c r="I313" s="287"/>
      <c r="K313" s="285" t="str">
        <f t="shared" si="15"/>
        <v/>
      </c>
      <c r="L313" s="286"/>
      <c r="M313" s="287"/>
      <c r="N313" s="287"/>
      <c r="O313" s="286"/>
      <c r="P313" s="286"/>
      <c r="Q313" s="287"/>
    </row>
    <row r="314" spans="1:17" ht="30" customHeight="1" x14ac:dyDescent="0.2">
      <c r="A314" s="280"/>
      <c r="B314" s="281"/>
      <c r="C314" s="281"/>
      <c r="D314" s="281"/>
      <c r="F314" s="285" t="str">
        <f t="shared" si="13"/>
        <v/>
      </c>
      <c r="G314" s="286"/>
      <c r="H314" s="287"/>
      <c r="I314" s="287"/>
      <c r="K314" s="285" t="str">
        <f t="shared" si="15"/>
        <v/>
      </c>
      <c r="L314" s="286"/>
      <c r="M314" s="287"/>
      <c r="N314" s="287"/>
      <c r="O314" s="286"/>
      <c r="P314" s="286"/>
      <c r="Q314" s="287"/>
    </row>
    <row r="315" spans="1:17" ht="30" customHeight="1" x14ac:dyDescent="0.2">
      <c r="A315" s="280"/>
      <c r="B315" s="281"/>
      <c r="C315" s="281"/>
      <c r="D315" s="281"/>
      <c r="F315" s="285" t="str">
        <f t="shared" si="13"/>
        <v/>
      </c>
      <c r="G315" s="286"/>
      <c r="H315" s="287"/>
      <c r="I315" s="287"/>
      <c r="K315" s="285" t="str">
        <f t="shared" si="15"/>
        <v/>
      </c>
      <c r="L315" s="286"/>
      <c r="M315" s="287"/>
      <c r="N315" s="287"/>
      <c r="O315" s="286"/>
      <c r="P315" s="286"/>
      <c r="Q315" s="287"/>
    </row>
    <row r="316" spans="1:17" ht="30" customHeight="1" x14ac:dyDescent="0.2">
      <c r="A316" s="280"/>
      <c r="B316" s="281"/>
      <c r="C316" s="281"/>
      <c r="D316" s="281"/>
      <c r="F316" s="285" t="str">
        <f t="shared" si="13"/>
        <v/>
      </c>
      <c r="G316" s="286"/>
      <c r="H316" s="287"/>
      <c r="I316" s="287"/>
      <c r="K316" s="285" t="str">
        <f t="shared" si="15"/>
        <v/>
      </c>
      <c r="L316" s="286"/>
      <c r="M316" s="287"/>
      <c r="N316" s="287"/>
      <c r="O316" s="286"/>
      <c r="P316" s="286"/>
      <c r="Q316" s="287"/>
    </row>
    <row r="317" spans="1:17" ht="30" customHeight="1" x14ac:dyDescent="0.2">
      <c r="A317" s="280"/>
      <c r="B317" s="281"/>
      <c r="C317" s="281"/>
      <c r="D317" s="281"/>
      <c r="F317" s="285" t="str">
        <f t="shared" si="13"/>
        <v/>
      </c>
      <c r="G317" s="286"/>
      <c r="H317" s="287"/>
      <c r="I317" s="287"/>
      <c r="K317" s="285" t="str">
        <f t="shared" si="15"/>
        <v/>
      </c>
      <c r="L317" s="286"/>
      <c r="M317" s="287"/>
      <c r="N317" s="287"/>
      <c r="O317" s="286"/>
      <c r="P317" s="286"/>
      <c r="Q317" s="287"/>
    </row>
    <row r="318" spans="1:17" ht="30" customHeight="1" x14ac:dyDescent="0.2">
      <c r="A318" s="280"/>
      <c r="B318" s="281"/>
      <c r="C318" s="281"/>
      <c r="D318" s="281"/>
      <c r="F318" s="285" t="str">
        <f t="shared" si="13"/>
        <v/>
      </c>
      <c r="G318" s="286"/>
      <c r="H318" s="287"/>
      <c r="I318" s="287"/>
      <c r="K318" s="285" t="str">
        <f t="shared" si="15"/>
        <v/>
      </c>
      <c r="L318" s="286"/>
      <c r="M318" s="287"/>
      <c r="N318" s="287"/>
      <c r="O318" s="286"/>
      <c r="P318" s="286"/>
      <c r="Q318" s="287"/>
    </row>
    <row r="319" spans="1:17" ht="30" customHeight="1" x14ac:dyDescent="0.2">
      <c r="A319" s="280"/>
      <c r="B319" s="281"/>
      <c r="C319" s="281"/>
      <c r="D319" s="281"/>
      <c r="F319" s="285" t="str">
        <f t="shared" si="13"/>
        <v/>
      </c>
      <c r="G319" s="286"/>
      <c r="H319" s="287"/>
      <c r="I319" s="287"/>
      <c r="K319" s="285" t="str">
        <f t="shared" si="15"/>
        <v/>
      </c>
      <c r="L319" s="286"/>
      <c r="M319" s="287"/>
      <c r="N319" s="287"/>
      <c r="O319" s="286"/>
      <c r="P319" s="286"/>
      <c r="Q319" s="287"/>
    </row>
    <row r="320" spans="1:17" ht="30" customHeight="1" x14ac:dyDescent="0.2">
      <c r="A320" s="280"/>
      <c r="B320" s="281"/>
      <c r="C320" s="281"/>
      <c r="D320" s="281"/>
      <c r="F320" s="285" t="str">
        <f t="shared" si="13"/>
        <v/>
      </c>
      <c r="G320" s="286"/>
      <c r="H320" s="287"/>
      <c r="I320" s="287"/>
      <c r="K320" s="285" t="str">
        <f t="shared" si="15"/>
        <v/>
      </c>
      <c r="L320" s="286"/>
      <c r="M320" s="287"/>
      <c r="N320" s="287"/>
      <c r="O320" s="286"/>
      <c r="P320" s="286"/>
      <c r="Q320" s="287"/>
    </row>
    <row r="321" spans="1:17" ht="30" customHeight="1" x14ac:dyDescent="0.2">
      <c r="A321" s="280"/>
      <c r="B321" s="281"/>
      <c r="C321" s="281"/>
      <c r="D321" s="281"/>
      <c r="F321" s="285" t="str">
        <f t="shared" si="13"/>
        <v/>
      </c>
      <c r="G321" s="286"/>
      <c r="H321" s="287"/>
      <c r="I321" s="287"/>
      <c r="K321" s="285" t="str">
        <f t="shared" si="15"/>
        <v/>
      </c>
      <c r="L321" s="286"/>
      <c r="M321" s="287"/>
      <c r="N321" s="287"/>
      <c r="O321" s="286"/>
      <c r="P321" s="286"/>
      <c r="Q321" s="287"/>
    </row>
    <row r="322" spans="1:17" ht="30" customHeight="1" x14ac:dyDescent="0.2">
      <c r="A322" s="280"/>
      <c r="B322" s="281"/>
      <c r="C322" s="281"/>
      <c r="D322" s="281"/>
      <c r="F322" s="285" t="str">
        <f t="shared" si="13"/>
        <v/>
      </c>
      <c r="G322" s="286"/>
      <c r="H322" s="287"/>
      <c r="I322" s="287"/>
      <c r="K322" s="285" t="str">
        <f t="shared" si="15"/>
        <v/>
      </c>
      <c r="L322" s="286"/>
      <c r="M322" s="287"/>
      <c r="N322" s="287"/>
      <c r="O322" s="286"/>
      <c r="P322" s="286"/>
      <c r="Q322" s="287"/>
    </row>
    <row r="323" spans="1:17" ht="30" customHeight="1" x14ac:dyDescent="0.2">
      <c r="A323" s="280"/>
      <c r="B323" s="281"/>
      <c r="C323" s="281"/>
      <c r="D323" s="281"/>
      <c r="F323" s="285" t="str">
        <f t="shared" si="13"/>
        <v/>
      </c>
      <c r="G323" s="286"/>
      <c r="H323" s="287"/>
      <c r="I323" s="287"/>
      <c r="K323" s="285" t="str">
        <f t="shared" si="15"/>
        <v/>
      </c>
      <c r="L323" s="286"/>
      <c r="M323" s="287"/>
      <c r="N323" s="287"/>
      <c r="O323" s="286"/>
      <c r="P323" s="286"/>
      <c r="Q323" s="287"/>
    </row>
    <row r="324" spans="1:17" ht="30" customHeight="1" x14ac:dyDescent="0.2">
      <c r="A324" s="280"/>
      <c r="B324" s="281"/>
      <c r="C324" s="281"/>
      <c r="D324" s="281"/>
      <c r="F324" s="285" t="str">
        <f t="shared" si="13"/>
        <v/>
      </c>
      <c r="G324" s="286"/>
      <c r="H324" s="287"/>
      <c r="I324" s="287"/>
      <c r="K324" s="285" t="str">
        <f t="shared" si="15"/>
        <v/>
      </c>
      <c r="L324" s="286"/>
      <c r="M324" s="287"/>
      <c r="N324" s="287"/>
      <c r="O324" s="286"/>
      <c r="P324" s="286"/>
      <c r="Q324" s="287"/>
    </row>
    <row r="325" spans="1:17" ht="30" customHeight="1" x14ac:dyDescent="0.2">
      <c r="A325" s="280"/>
      <c r="B325" s="281"/>
      <c r="C325" s="281"/>
      <c r="D325" s="281"/>
      <c r="F325" s="285" t="str">
        <f t="shared" ref="F325:F388" si="16">IF(A325="","",A325)</f>
        <v/>
      </c>
      <c r="G325" s="286"/>
      <c r="H325" s="287"/>
      <c r="I325" s="287"/>
      <c r="K325" s="285" t="str">
        <f t="shared" si="15"/>
        <v/>
      </c>
      <c r="L325" s="286"/>
      <c r="M325" s="287"/>
      <c r="N325" s="287"/>
      <c r="O325" s="286"/>
      <c r="P325" s="286"/>
      <c r="Q325" s="287"/>
    </row>
    <row r="326" spans="1:17" ht="30" customHeight="1" x14ac:dyDescent="0.2">
      <c r="A326" s="280"/>
      <c r="B326" s="281"/>
      <c r="C326" s="281"/>
      <c r="D326" s="281"/>
      <c r="F326" s="285" t="str">
        <f t="shared" si="16"/>
        <v/>
      </c>
      <c r="G326" s="286"/>
      <c r="H326" s="287"/>
      <c r="I326" s="287"/>
      <c r="K326" s="285" t="str">
        <f t="shared" si="15"/>
        <v/>
      </c>
      <c r="L326" s="286"/>
      <c r="M326" s="287"/>
      <c r="N326" s="287"/>
      <c r="O326" s="286"/>
      <c r="P326" s="286"/>
      <c r="Q326" s="287"/>
    </row>
    <row r="327" spans="1:17" ht="30" customHeight="1" x14ac:dyDescent="0.2">
      <c r="A327" s="280"/>
      <c r="B327" s="281"/>
      <c r="C327" s="281"/>
      <c r="D327" s="281"/>
      <c r="F327" s="285" t="str">
        <f t="shared" si="16"/>
        <v/>
      </c>
      <c r="G327" s="286"/>
      <c r="H327" s="287"/>
      <c r="I327" s="287"/>
      <c r="K327" s="285" t="str">
        <f t="shared" si="15"/>
        <v/>
      </c>
      <c r="L327" s="286"/>
      <c r="M327" s="287"/>
      <c r="N327" s="287"/>
      <c r="O327" s="286"/>
      <c r="P327" s="286"/>
      <c r="Q327" s="287"/>
    </row>
    <row r="328" spans="1:17" ht="30" customHeight="1" x14ac:dyDescent="0.2">
      <c r="A328" s="280"/>
      <c r="B328" s="281"/>
      <c r="C328" s="281"/>
      <c r="D328" s="281"/>
      <c r="F328" s="285" t="str">
        <f t="shared" si="16"/>
        <v/>
      </c>
      <c r="G328" s="286"/>
      <c r="H328" s="287"/>
      <c r="I328" s="287"/>
      <c r="K328" s="285" t="str">
        <f t="shared" si="15"/>
        <v/>
      </c>
      <c r="L328" s="286"/>
      <c r="M328" s="287"/>
      <c r="N328" s="287"/>
      <c r="O328" s="286"/>
      <c r="P328" s="286"/>
      <c r="Q328" s="287"/>
    </row>
    <row r="329" spans="1:17" ht="30" customHeight="1" x14ac:dyDescent="0.2">
      <c r="A329" s="280"/>
      <c r="B329" s="281"/>
      <c r="C329" s="281"/>
      <c r="D329" s="281"/>
      <c r="F329" s="285" t="str">
        <f t="shared" si="16"/>
        <v/>
      </c>
      <c r="G329" s="286"/>
      <c r="H329" s="287"/>
      <c r="I329" s="287"/>
      <c r="K329" s="285" t="str">
        <f t="shared" si="15"/>
        <v/>
      </c>
      <c r="L329" s="286"/>
      <c r="M329" s="287"/>
      <c r="N329" s="287"/>
      <c r="O329" s="286"/>
      <c r="P329" s="286"/>
      <c r="Q329" s="287"/>
    </row>
    <row r="330" spans="1:17" ht="30" customHeight="1" x14ac:dyDescent="0.2">
      <c r="A330" s="280"/>
      <c r="B330" s="281"/>
      <c r="C330" s="281"/>
      <c r="D330" s="281"/>
      <c r="F330" s="285" t="str">
        <f t="shared" si="16"/>
        <v/>
      </c>
      <c r="G330" s="286"/>
      <c r="H330" s="287"/>
      <c r="I330" s="287"/>
      <c r="K330" s="285" t="str">
        <f t="shared" si="15"/>
        <v/>
      </c>
      <c r="L330" s="286"/>
      <c r="M330" s="287"/>
      <c r="N330" s="287"/>
      <c r="O330" s="286"/>
      <c r="P330" s="286"/>
      <c r="Q330" s="287"/>
    </row>
    <row r="331" spans="1:17" ht="30" customHeight="1" x14ac:dyDescent="0.2">
      <c r="A331" s="280"/>
      <c r="B331" s="281"/>
      <c r="C331" s="281"/>
      <c r="D331" s="281"/>
      <c r="F331" s="285" t="str">
        <f t="shared" si="16"/>
        <v/>
      </c>
      <c r="G331" s="286"/>
      <c r="H331" s="287"/>
      <c r="I331" s="287"/>
      <c r="K331" s="285" t="str">
        <f t="shared" ref="K331:K394" si="17">IF(A331="","",A331)</f>
        <v/>
      </c>
      <c r="L331" s="286"/>
      <c r="M331" s="287"/>
      <c r="N331" s="287"/>
      <c r="O331" s="286"/>
      <c r="P331" s="286"/>
      <c r="Q331" s="287"/>
    </row>
    <row r="332" spans="1:17" ht="30" customHeight="1" x14ac:dyDescent="0.2">
      <c r="A332" s="280"/>
      <c r="B332" s="281"/>
      <c r="C332" s="281"/>
      <c r="D332" s="281"/>
      <c r="F332" s="285" t="str">
        <f t="shared" si="16"/>
        <v/>
      </c>
      <c r="G332" s="286"/>
      <c r="H332" s="287"/>
      <c r="I332" s="287"/>
      <c r="K332" s="285" t="str">
        <f t="shared" si="17"/>
        <v/>
      </c>
      <c r="L332" s="286"/>
      <c r="M332" s="287"/>
      <c r="N332" s="287"/>
      <c r="O332" s="286"/>
      <c r="P332" s="286"/>
      <c r="Q332" s="287"/>
    </row>
    <row r="333" spans="1:17" ht="30" customHeight="1" x14ac:dyDescent="0.2">
      <c r="A333" s="280"/>
      <c r="B333" s="281"/>
      <c r="C333" s="281"/>
      <c r="D333" s="281"/>
      <c r="F333" s="285" t="str">
        <f t="shared" si="16"/>
        <v/>
      </c>
      <c r="G333" s="286"/>
      <c r="H333" s="287"/>
      <c r="I333" s="287"/>
      <c r="K333" s="285" t="str">
        <f t="shared" si="17"/>
        <v/>
      </c>
      <c r="L333" s="286"/>
      <c r="M333" s="287"/>
      <c r="N333" s="287"/>
      <c r="O333" s="286"/>
      <c r="P333" s="286"/>
      <c r="Q333" s="287"/>
    </row>
    <row r="334" spans="1:17" ht="30" customHeight="1" x14ac:dyDescent="0.2">
      <c r="A334" s="280"/>
      <c r="B334" s="281"/>
      <c r="C334" s="281"/>
      <c r="D334" s="281"/>
      <c r="F334" s="285" t="str">
        <f t="shared" si="16"/>
        <v/>
      </c>
      <c r="G334" s="286"/>
      <c r="H334" s="287"/>
      <c r="I334" s="287"/>
      <c r="K334" s="285" t="str">
        <f t="shared" si="17"/>
        <v/>
      </c>
      <c r="L334" s="286"/>
      <c r="M334" s="287"/>
      <c r="N334" s="287"/>
      <c r="O334" s="286"/>
      <c r="P334" s="286"/>
      <c r="Q334" s="287"/>
    </row>
    <row r="335" spans="1:17" ht="30" customHeight="1" x14ac:dyDescent="0.2">
      <c r="A335" s="280"/>
      <c r="B335" s="281"/>
      <c r="C335" s="281"/>
      <c r="D335" s="281"/>
      <c r="F335" s="285" t="str">
        <f t="shared" si="16"/>
        <v/>
      </c>
      <c r="G335" s="286"/>
      <c r="H335" s="287"/>
      <c r="I335" s="287"/>
      <c r="K335" s="285" t="str">
        <f t="shared" si="17"/>
        <v/>
      </c>
      <c r="L335" s="286"/>
      <c r="M335" s="287"/>
      <c r="N335" s="287"/>
      <c r="O335" s="286"/>
      <c r="P335" s="286"/>
      <c r="Q335" s="287"/>
    </row>
    <row r="336" spans="1:17" ht="30" customHeight="1" x14ac:dyDescent="0.2">
      <c r="A336" s="280"/>
      <c r="B336" s="281"/>
      <c r="C336" s="281"/>
      <c r="D336" s="281"/>
      <c r="F336" s="285" t="str">
        <f t="shared" si="16"/>
        <v/>
      </c>
      <c r="G336" s="286"/>
      <c r="H336" s="287"/>
      <c r="I336" s="287"/>
      <c r="K336" s="285" t="str">
        <f t="shared" si="17"/>
        <v/>
      </c>
      <c r="L336" s="286"/>
      <c r="M336" s="287"/>
      <c r="N336" s="287"/>
      <c r="O336" s="286"/>
      <c r="P336" s="286"/>
      <c r="Q336" s="287"/>
    </row>
    <row r="337" spans="1:17" ht="30" customHeight="1" x14ac:dyDescent="0.2">
      <c r="A337" s="280"/>
      <c r="B337" s="281"/>
      <c r="C337" s="281"/>
      <c r="D337" s="281"/>
      <c r="F337" s="285" t="str">
        <f t="shared" si="16"/>
        <v/>
      </c>
      <c r="G337" s="286"/>
      <c r="H337" s="287"/>
      <c r="I337" s="287"/>
      <c r="K337" s="285" t="str">
        <f t="shared" si="17"/>
        <v/>
      </c>
      <c r="L337" s="286"/>
      <c r="M337" s="287"/>
      <c r="N337" s="287"/>
      <c r="O337" s="286"/>
      <c r="P337" s="286"/>
      <c r="Q337" s="287"/>
    </row>
    <row r="338" spans="1:17" ht="30" customHeight="1" x14ac:dyDescent="0.2">
      <c r="A338" s="280"/>
      <c r="B338" s="281"/>
      <c r="C338" s="281"/>
      <c r="D338" s="281"/>
      <c r="F338" s="285" t="str">
        <f t="shared" si="16"/>
        <v/>
      </c>
      <c r="G338" s="286"/>
      <c r="H338" s="287"/>
      <c r="I338" s="287"/>
      <c r="K338" s="285" t="str">
        <f t="shared" si="17"/>
        <v/>
      </c>
      <c r="L338" s="286"/>
      <c r="M338" s="287"/>
      <c r="N338" s="287"/>
      <c r="O338" s="286"/>
      <c r="P338" s="286"/>
      <c r="Q338" s="287"/>
    </row>
    <row r="339" spans="1:17" ht="30" customHeight="1" x14ac:dyDescent="0.2">
      <c r="A339" s="280"/>
      <c r="B339" s="281"/>
      <c r="C339" s="281"/>
      <c r="D339" s="281"/>
      <c r="F339" s="285" t="str">
        <f t="shared" si="16"/>
        <v/>
      </c>
      <c r="G339" s="286"/>
      <c r="H339" s="287"/>
      <c r="I339" s="287"/>
      <c r="K339" s="285" t="str">
        <f t="shared" si="17"/>
        <v/>
      </c>
      <c r="L339" s="286"/>
      <c r="M339" s="287"/>
      <c r="N339" s="287"/>
      <c r="O339" s="286"/>
      <c r="P339" s="286"/>
      <c r="Q339" s="287"/>
    </row>
    <row r="340" spans="1:17" ht="30" customHeight="1" x14ac:dyDescent="0.2">
      <c r="A340" s="280"/>
      <c r="B340" s="281"/>
      <c r="C340" s="281"/>
      <c r="D340" s="281"/>
      <c r="F340" s="285" t="str">
        <f t="shared" si="16"/>
        <v/>
      </c>
      <c r="G340" s="286"/>
      <c r="H340" s="287"/>
      <c r="I340" s="287"/>
      <c r="K340" s="285" t="str">
        <f t="shared" si="17"/>
        <v/>
      </c>
      <c r="L340" s="286"/>
      <c r="M340" s="287"/>
      <c r="N340" s="287"/>
      <c r="O340" s="286"/>
      <c r="P340" s="286"/>
      <c r="Q340" s="287"/>
    </row>
    <row r="341" spans="1:17" ht="30" customHeight="1" x14ac:dyDescent="0.2">
      <c r="A341" s="280"/>
      <c r="B341" s="281"/>
      <c r="C341" s="281"/>
      <c r="D341" s="281"/>
      <c r="F341" s="285" t="str">
        <f t="shared" si="16"/>
        <v/>
      </c>
      <c r="G341" s="286"/>
      <c r="H341" s="287"/>
      <c r="I341" s="287"/>
      <c r="K341" s="285" t="str">
        <f t="shared" si="17"/>
        <v/>
      </c>
      <c r="L341" s="286"/>
      <c r="M341" s="287"/>
      <c r="N341" s="287"/>
      <c r="O341" s="286"/>
      <c r="P341" s="286"/>
      <c r="Q341" s="287"/>
    </row>
    <row r="342" spans="1:17" ht="30" customHeight="1" x14ac:dyDescent="0.2">
      <c r="A342" s="280"/>
      <c r="B342" s="281"/>
      <c r="C342" s="281"/>
      <c r="D342" s="281"/>
      <c r="F342" s="285" t="str">
        <f t="shared" si="16"/>
        <v/>
      </c>
      <c r="G342" s="286"/>
      <c r="H342" s="287"/>
      <c r="I342" s="287"/>
      <c r="K342" s="285" t="str">
        <f t="shared" si="17"/>
        <v/>
      </c>
      <c r="L342" s="286"/>
      <c r="M342" s="287"/>
      <c r="N342" s="287"/>
      <c r="O342" s="286"/>
      <c r="P342" s="286"/>
      <c r="Q342" s="287"/>
    </row>
    <row r="343" spans="1:17" ht="30" customHeight="1" x14ac:dyDescent="0.2">
      <c r="A343" s="280"/>
      <c r="B343" s="281"/>
      <c r="C343" s="281"/>
      <c r="D343" s="281"/>
      <c r="F343" s="285" t="str">
        <f t="shared" si="16"/>
        <v/>
      </c>
      <c r="G343" s="286"/>
      <c r="H343" s="287"/>
      <c r="I343" s="287"/>
      <c r="K343" s="285" t="str">
        <f t="shared" si="17"/>
        <v/>
      </c>
      <c r="L343" s="286"/>
      <c r="M343" s="287"/>
      <c r="N343" s="287"/>
      <c r="O343" s="286"/>
      <c r="P343" s="286"/>
      <c r="Q343" s="287"/>
    </row>
    <row r="344" spans="1:17" ht="30" customHeight="1" x14ac:dyDescent="0.2">
      <c r="A344" s="280"/>
      <c r="B344" s="281"/>
      <c r="C344" s="281"/>
      <c r="D344" s="281"/>
      <c r="F344" s="285" t="str">
        <f t="shared" si="16"/>
        <v/>
      </c>
      <c r="G344" s="286"/>
      <c r="H344" s="287"/>
      <c r="I344" s="287"/>
      <c r="K344" s="285" t="str">
        <f t="shared" si="17"/>
        <v/>
      </c>
      <c r="L344" s="286"/>
      <c r="M344" s="287"/>
      <c r="N344" s="287"/>
      <c r="O344" s="286"/>
      <c r="P344" s="286"/>
      <c r="Q344" s="287"/>
    </row>
    <row r="345" spans="1:17" ht="30" customHeight="1" x14ac:dyDescent="0.2">
      <c r="A345" s="280"/>
      <c r="B345" s="281"/>
      <c r="C345" s="281"/>
      <c r="D345" s="281"/>
      <c r="F345" s="285" t="str">
        <f t="shared" si="16"/>
        <v/>
      </c>
      <c r="G345" s="286"/>
      <c r="H345" s="287"/>
      <c r="I345" s="287"/>
      <c r="K345" s="285" t="str">
        <f t="shared" si="17"/>
        <v/>
      </c>
      <c r="L345" s="286"/>
      <c r="M345" s="287"/>
      <c r="N345" s="287"/>
      <c r="O345" s="286"/>
      <c r="P345" s="286"/>
      <c r="Q345" s="287"/>
    </row>
    <row r="346" spans="1:17" ht="30" customHeight="1" x14ac:dyDescent="0.2">
      <c r="A346" s="280"/>
      <c r="B346" s="281"/>
      <c r="C346" s="281"/>
      <c r="D346" s="281"/>
      <c r="F346" s="285" t="str">
        <f t="shared" si="16"/>
        <v/>
      </c>
      <c r="G346" s="286"/>
      <c r="H346" s="287"/>
      <c r="I346" s="287"/>
      <c r="K346" s="285" t="str">
        <f t="shared" si="17"/>
        <v/>
      </c>
      <c r="L346" s="286"/>
      <c r="M346" s="287"/>
      <c r="N346" s="287"/>
      <c r="O346" s="286"/>
      <c r="P346" s="286"/>
      <c r="Q346" s="287"/>
    </row>
    <row r="347" spans="1:17" ht="30" customHeight="1" x14ac:dyDescent="0.2">
      <c r="A347" s="280"/>
      <c r="B347" s="281"/>
      <c r="C347" s="281"/>
      <c r="D347" s="281"/>
      <c r="F347" s="285" t="str">
        <f t="shared" si="16"/>
        <v/>
      </c>
      <c r="G347" s="286"/>
      <c r="H347" s="287"/>
      <c r="I347" s="287"/>
      <c r="K347" s="285" t="str">
        <f t="shared" si="17"/>
        <v/>
      </c>
      <c r="L347" s="286"/>
      <c r="M347" s="287"/>
      <c r="N347" s="287"/>
      <c r="O347" s="286"/>
      <c r="P347" s="286"/>
      <c r="Q347" s="287"/>
    </row>
    <row r="348" spans="1:17" ht="30" customHeight="1" x14ac:dyDescent="0.2">
      <c r="A348" s="280"/>
      <c r="B348" s="281"/>
      <c r="C348" s="281"/>
      <c r="D348" s="281"/>
      <c r="F348" s="285" t="str">
        <f t="shared" si="16"/>
        <v/>
      </c>
      <c r="G348" s="286"/>
      <c r="H348" s="287"/>
      <c r="I348" s="287"/>
      <c r="K348" s="285" t="str">
        <f t="shared" si="17"/>
        <v/>
      </c>
      <c r="L348" s="286"/>
      <c r="M348" s="287"/>
      <c r="N348" s="287"/>
      <c r="O348" s="286"/>
      <c r="P348" s="286"/>
      <c r="Q348" s="287"/>
    </row>
    <row r="349" spans="1:17" ht="30" customHeight="1" x14ac:dyDescent="0.2">
      <c r="A349" s="280"/>
      <c r="B349" s="281"/>
      <c r="C349" s="281"/>
      <c r="D349" s="281"/>
      <c r="F349" s="285" t="str">
        <f t="shared" si="16"/>
        <v/>
      </c>
      <c r="G349" s="286"/>
      <c r="H349" s="287"/>
      <c r="I349" s="287"/>
      <c r="K349" s="285" t="str">
        <f t="shared" si="17"/>
        <v/>
      </c>
      <c r="L349" s="286"/>
      <c r="M349" s="287"/>
      <c r="N349" s="287"/>
      <c r="O349" s="286"/>
      <c r="P349" s="286"/>
      <c r="Q349" s="287"/>
    </row>
    <row r="350" spans="1:17" ht="30" customHeight="1" x14ac:dyDescent="0.2">
      <c r="A350" s="280"/>
      <c r="B350" s="281"/>
      <c r="C350" s="281"/>
      <c r="D350" s="281"/>
      <c r="F350" s="285" t="str">
        <f t="shared" si="16"/>
        <v/>
      </c>
      <c r="G350" s="286"/>
      <c r="H350" s="287"/>
      <c r="I350" s="287"/>
      <c r="K350" s="285" t="str">
        <f t="shared" si="17"/>
        <v/>
      </c>
      <c r="L350" s="286"/>
      <c r="M350" s="287"/>
      <c r="N350" s="287"/>
      <c r="O350" s="286"/>
      <c r="P350" s="286"/>
      <c r="Q350" s="287"/>
    </row>
    <row r="351" spans="1:17" ht="30" customHeight="1" x14ac:dyDescent="0.2">
      <c r="A351" s="280"/>
      <c r="B351" s="281"/>
      <c r="C351" s="281"/>
      <c r="D351" s="281"/>
      <c r="F351" s="285" t="str">
        <f t="shared" si="16"/>
        <v/>
      </c>
      <c r="G351" s="286"/>
      <c r="H351" s="287"/>
      <c r="I351" s="287"/>
      <c r="K351" s="285" t="str">
        <f t="shared" si="17"/>
        <v/>
      </c>
      <c r="L351" s="286"/>
      <c r="M351" s="287"/>
      <c r="N351" s="287"/>
      <c r="O351" s="286"/>
      <c r="P351" s="286"/>
      <c r="Q351" s="287"/>
    </row>
    <row r="352" spans="1:17" ht="30" customHeight="1" x14ac:dyDescent="0.2">
      <c r="A352" s="280"/>
      <c r="B352" s="281"/>
      <c r="C352" s="281"/>
      <c r="D352" s="281"/>
      <c r="F352" s="285" t="str">
        <f t="shared" si="16"/>
        <v/>
      </c>
      <c r="G352" s="286"/>
      <c r="H352" s="287"/>
      <c r="I352" s="287"/>
      <c r="K352" s="285" t="str">
        <f t="shared" si="17"/>
        <v/>
      </c>
      <c r="L352" s="286"/>
      <c r="M352" s="287"/>
      <c r="N352" s="287"/>
      <c r="O352" s="286"/>
      <c r="P352" s="286"/>
      <c r="Q352" s="287"/>
    </row>
    <row r="353" spans="1:17" ht="30" customHeight="1" x14ac:dyDescent="0.2">
      <c r="A353" s="280"/>
      <c r="B353" s="281"/>
      <c r="C353" s="281"/>
      <c r="D353" s="281"/>
      <c r="F353" s="285" t="str">
        <f t="shared" si="16"/>
        <v/>
      </c>
      <c r="G353" s="286"/>
      <c r="H353" s="287"/>
      <c r="I353" s="287"/>
      <c r="K353" s="285" t="str">
        <f t="shared" si="17"/>
        <v/>
      </c>
      <c r="L353" s="286"/>
      <c r="M353" s="287"/>
      <c r="N353" s="287"/>
      <c r="O353" s="286"/>
      <c r="P353" s="286"/>
      <c r="Q353" s="287"/>
    </row>
    <row r="354" spans="1:17" ht="30" customHeight="1" x14ac:dyDescent="0.2">
      <c r="A354" s="280"/>
      <c r="B354" s="281"/>
      <c r="C354" s="281"/>
      <c r="D354" s="281"/>
      <c r="F354" s="285" t="str">
        <f t="shared" si="16"/>
        <v/>
      </c>
      <c r="G354" s="286"/>
      <c r="H354" s="287"/>
      <c r="I354" s="287"/>
      <c r="K354" s="285" t="str">
        <f t="shared" si="17"/>
        <v/>
      </c>
      <c r="L354" s="286"/>
      <c r="M354" s="287"/>
      <c r="N354" s="287"/>
      <c r="O354" s="286"/>
      <c r="P354" s="286"/>
      <c r="Q354" s="287"/>
    </row>
    <row r="355" spans="1:17" ht="30" customHeight="1" x14ac:dyDescent="0.2">
      <c r="A355" s="280"/>
      <c r="B355" s="281"/>
      <c r="C355" s="281"/>
      <c r="D355" s="281"/>
      <c r="F355" s="285" t="str">
        <f t="shared" si="16"/>
        <v/>
      </c>
      <c r="G355" s="286"/>
      <c r="H355" s="287"/>
      <c r="I355" s="287"/>
      <c r="K355" s="285" t="str">
        <f t="shared" si="17"/>
        <v/>
      </c>
      <c r="L355" s="286"/>
      <c r="M355" s="287"/>
      <c r="N355" s="287"/>
      <c r="O355" s="286"/>
      <c r="P355" s="286"/>
      <c r="Q355" s="287"/>
    </row>
    <row r="356" spans="1:17" ht="30" customHeight="1" x14ac:dyDescent="0.2">
      <c r="A356" s="280"/>
      <c r="B356" s="281"/>
      <c r="C356" s="281"/>
      <c r="D356" s="281"/>
      <c r="F356" s="285" t="str">
        <f t="shared" si="16"/>
        <v/>
      </c>
      <c r="G356" s="286"/>
      <c r="H356" s="287"/>
      <c r="I356" s="287"/>
      <c r="K356" s="285" t="str">
        <f t="shared" si="17"/>
        <v/>
      </c>
      <c r="L356" s="286"/>
      <c r="M356" s="287"/>
      <c r="N356" s="287"/>
      <c r="O356" s="286"/>
      <c r="P356" s="286"/>
      <c r="Q356" s="287"/>
    </row>
    <row r="357" spans="1:17" ht="30" customHeight="1" x14ac:dyDescent="0.2">
      <c r="A357" s="280"/>
      <c r="B357" s="281"/>
      <c r="C357" s="281"/>
      <c r="D357" s="281"/>
      <c r="F357" s="285" t="str">
        <f t="shared" si="16"/>
        <v/>
      </c>
      <c r="G357" s="286"/>
      <c r="H357" s="287"/>
      <c r="I357" s="287"/>
      <c r="K357" s="285" t="str">
        <f t="shared" si="17"/>
        <v/>
      </c>
      <c r="L357" s="286"/>
      <c r="M357" s="287"/>
      <c r="N357" s="287"/>
      <c r="O357" s="286"/>
      <c r="P357" s="286"/>
      <c r="Q357" s="287"/>
    </row>
    <row r="358" spans="1:17" ht="30" customHeight="1" x14ac:dyDescent="0.2">
      <c r="A358" s="280"/>
      <c r="B358" s="281"/>
      <c r="C358" s="281"/>
      <c r="D358" s="281"/>
      <c r="F358" s="285" t="str">
        <f t="shared" si="16"/>
        <v/>
      </c>
      <c r="G358" s="286"/>
      <c r="H358" s="287"/>
      <c r="I358" s="287"/>
      <c r="K358" s="285" t="str">
        <f t="shared" si="17"/>
        <v/>
      </c>
      <c r="L358" s="286"/>
      <c r="M358" s="287"/>
      <c r="N358" s="287"/>
      <c r="O358" s="286"/>
      <c r="P358" s="286"/>
      <c r="Q358" s="287"/>
    </row>
    <row r="359" spans="1:17" ht="30" customHeight="1" x14ac:dyDescent="0.2">
      <c r="A359" s="280"/>
      <c r="B359" s="281"/>
      <c r="C359" s="281"/>
      <c r="D359" s="281"/>
      <c r="F359" s="285" t="str">
        <f t="shared" si="16"/>
        <v/>
      </c>
      <c r="G359" s="286"/>
      <c r="H359" s="287"/>
      <c r="I359" s="287"/>
      <c r="K359" s="285" t="str">
        <f t="shared" si="17"/>
        <v/>
      </c>
      <c r="L359" s="286"/>
      <c r="M359" s="287"/>
      <c r="N359" s="287"/>
      <c r="O359" s="286"/>
      <c r="P359" s="286"/>
      <c r="Q359" s="287"/>
    </row>
    <row r="360" spans="1:17" ht="30" customHeight="1" x14ac:dyDescent="0.2">
      <c r="A360" s="280"/>
      <c r="B360" s="281"/>
      <c r="C360" s="281"/>
      <c r="D360" s="281"/>
      <c r="F360" s="285" t="str">
        <f t="shared" si="16"/>
        <v/>
      </c>
      <c r="G360" s="286"/>
      <c r="H360" s="287"/>
      <c r="I360" s="287"/>
      <c r="K360" s="285" t="str">
        <f t="shared" si="17"/>
        <v/>
      </c>
      <c r="L360" s="286"/>
      <c r="M360" s="287"/>
      <c r="N360" s="287"/>
      <c r="O360" s="286"/>
      <c r="P360" s="286"/>
      <c r="Q360" s="287"/>
    </row>
    <row r="361" spans="1:17" ht="30" customHeight="1" x14ac:dyDescent="0.2">
      <c r="A361" s="280"/>
      <c r="B361" s="281"/>
      <c r="C361" s="281"/>
      <c r="D361" s="281"/>
      <c r="F361" s="285" t="str">
        <f t="shared" si="16"/>
        <v/>
      </c>
      <c r="G361" s="286"/>
      <c r="H361" s="287"/>
      <c r="I361" s="287"/>
      <c r="K361" s="285" t="str">
        <f t="shared" si="17"/>
        <v/>
      </c>
      <c r="L361" s="286"/>
      <c r="M361" s="287"/>
      <c r="N361" s="287"/>
      <c r="O361" s="286"/>
      <c r="P361" s="286"/>
      <c r="Q361" s="287"/>
    </row>
    <row r="362" spans="1:17" ht="30" customHeight="1" x14ac:dyDescent="0.2">
      <c r="A362" s="280"/>
      <c r="B362" s="281"/>
      <c r="C362" s="281"/>
      <c r="D362" s="281"/>
      <c r="F362" s="285" t="str">
        <f t="shared" si="16"/>
        <v/>
      </c>
      <c r="G362" s="286"/>
      <c r="H362" s="287"/>
      <c r="I362" s="287"/>
      <c r="K362" s="285" t="str">
        <f t="shared" si="17"/>
        <v/>
      </c>
      <c r="L362" s="286"/>
      <c r="M362" s="287"/>
      <c r="N362" s="287"/>
      <c r="O362" s="286"/>
      <c r="P362" s="286"/>
      <c r="Q362" s="287"/>
    </row>
    <row r="363" spans="1:17" ht="30" customHeight="1" x14ac:dyDescent="0.2">
      <c r="A363" s="280"/>
      <c r="B363" s="281"/>
      <c r="C363" s="281"/>
      <c r="D363" s="281"/>
      <c r="F363" s="285" t="str">
        <f t="shared" si="16"/>
        <v/>
      </c>
      <c r="G363" s="286"/>
      <c r="H363" s="287"/>
      <c r="I363" s="287"/>
      <c r="K363" s="285" t="str">
        <f t="shared" si="17"/>
        <v/>
      </c>
      <c r="L363" s="286"/>
      <c r="M363" s="287"/>
      <c r="N363" s="287"/>
      <c r="O363" s="286"/>
      <c r="P363" s="286"/>
      <c r="Q363" s="287"/>
    </row>
    <row r="364" spans="1:17" ht="30" customHeight="1" x14ac:dyDescent="0.2">
      <c r="A364" s="280"/>
      <c r="B364" s="281"/>
      <c r="C364" s="281"/>
      <c r="D364" s="281"/>
      <c r="F364" s="285" t="str">
        <f t="shared" si="16"/>
        <v/>
      </c>
      <c r="G364" s="286"/>
      <c r="H364" s="287"/>
      <c r="I364" s="287"/>
      <c r="K364" s="285" t="str">
        <f t="shared" si="17"/>
        <v/>
      </c>
      <c r="L364" s="286"/>
      <c r="M364" s="287"/>
      <c r="N364" s="287"/>
      <c r="O364" s="286"/>
      <c r="P364" s="286"/>
      <c r="Q364" s="287"/>
    </row>
    <row r="365" spans="1:17" ht="30" customHeight="1" x14ac:dyDescent="0.2">
      <c r="A365" s="280"/>
      <c r="B365" s="281"/>
      <c r="C365" s="281"/>
      <c r="D365" s="281"/>
      <c r="F365" s="285" t="str">
        <f t="shared" si="16"/>
        <v/>
      </c>
      <c r="G365" s="286"/>
      <c r="H365" s="287"/>
      <c r="I365" s="287"/>
      <c r="K365" s="285" t="str">
        <f t="shared" si="17"/>
        <v/>
      </c>
      <c r="L365" s="286"/>
      <c r="M365" s="287"/>
      <c r="N365" s="287"/>
      <c r="O365" s="286"/>
      <c r="P365" s="286"/>
      <c r="Q365" s="287"/>
    </row>
    <row r="366" spans="1:17" ht="30" customHeight="1" x14ac:dyDescent="0.2">
      <c r="A366" s="280"/>
      <c r="B366" s="281"/>
      <c r="C366" s="281"/>
      <c r="D366" s="281"/>
      <c r="F366" s="285" t="str">
        <f t="shared" si="16"/>
        <v/>
      </c>
      <c r="G366" s="286"/>
      <c r="H366" s="287"/>
      <c r="I366" s="287"/>
      <c r="K366" s="285" t="str">
        <f t="shared" si="17"/>
        <v/>
      </c>
      <c r="L366" s="286"/>
      <c r="M366" s="287"/>
      <c r="N366" s="287"/>
      <c r="O366" s="286"/>
      <c r="P366" s="286"/>
      <c r="Q366" s="287"/>
    </row>
    <row r="367" spans="1:17" ht="30" customHeight="1" x14ac:dyDescent="0.2">
      <c r="A367" s="280"/>
      <c r="B367" s="281"/>
      <c r="C367" s="281"/>
      <c r="D367" s="281"/>
      <c r="F367" s="285" t="str">
        <f t="shared" si="16"/>
        <v/>
      </c>
      <c r="G367" s="286"/>
      <c r="H367" s="287"/>
      <c r="I367" s="287"/>
      <c r="K367" s="285" t="str">
        <f t="shared" si="17"/>
        <v/>
      </c>
      <c r="L367" s="286"/>
      <c r="M367" s="287"/>
      <c r="N367" s="287"/>
      <c r="O367" s="286"/>
      <c r="P367" s="286"/>
      <c r="Q367" s="287"/>
    </row>
    <row r="368" spans="1:17" ht="30" customHeight="1" x14ac:dyDescent="0.2">
      <c r="A368" s="280"/>
      <c r="B368" s="281"/>
      <c r="C368" s="281"/>
      <c r="D368" s="281"/>
      <c r="F368" s="285" t="str">
        <f t="shared" si="16"/>
        <v/>
      </c>
      <c r="G368" s="286"/>
      <c r="H368" s="287"/>
      <c r="I368" s="287"/>
      <c r="K368" s="285" t="str">
        <f t="shared" si="17"/>
        <v/>
      </c>
      <c r="L368" s="286"/>
      <c r="M368" s="287"/>
      <c r="N368" s="287"/>
      <c r="O368" s="286"/>
      <c r="P368" s="286"/>
      <c r="Q368" s="287"/>
    </row>
    <row r="369" spans="1:17" ht="30" customHeight="1" x14ac:dyDescent="0.2">
      <c r="A369" s="280"/>
      <c r="B369" s="281"/>
      <c r="C369" s="281"/>
      <c r="D369" s="281"/>
      <c r="F369" s="285" t="str">
        <f t="shared" si="16"/>
        <v/>
      </c>
      <c r="G369" s="286"/>
      <c r="H369" s="287"/>
      <c r="I369" s="287"/>
      <c r="K369" s="285" t="str">
        <f t="shared" si="17"/>
        <v/>
      </c>
      <c r="L369" s="286"/>
      <c r="M369" s="287"/>
      <c r="N369" s="287"/>
      <c r="O369" s="286"/>
      <c r="P369" s="286"/>
      <c r="Q369" s="287"/>
    </row>
    <row r="370" spans="1:17" ht="30" customHeight="1" x14ac:dyDescent="0.2">
      <c r="A370" s="280"/>
      <c r="B370" s="281"/>
      <c r="C370" s="281"/>
      <c r="D370" s="281"/>
      <c r="F370" s="285" t="str">
        <f t="shared" si="16"/>
        <v/>
      </c>
      <c r="G370" s="286"/>
      <c r="H370" s="287"/>
      <c r="I370" s="287"/>
      <c r="K370" s="285" t="str">
        <f t="shared" si="17"/>
        <v/>
      </c>
      <c r="L370" s="286"/>
      <c r="M370" s="287"/>
      <c r="N370" s="287"/>
      <c r="O370" s="286"/>
      <c r="P370" s="286"/>
      <c r="Q370" s="287"/>
    </row>
    <row r="371" spans="1:17" ht="30" customHeight="1" x14ac:dyDescent="0.2">
      <c r="A371" s="280"/>
      <c r="B371" s="281"/>
      <c r="C371" s="281"/>
      <c r="D371" s="281"/>
      <c r="F371" s="285" t="str">
        <f t="shared" si="16"/>
        <v/>
      </c>
      <c r="G371" s="286"/>
      <c r="H371" s="287"/>
      <c r="I371" s="287"/>
      <c r="K371" s="285" t="str">
        <f t="shared" si="17"/>
        <v/>
      </c>
      <c r="L371" s="286"/>
      <c r="M371" s="287"/>
      <c r="N371" s="287"/>
      <c r="O371" s="286"/>
      <c r="P371" s="286"/>
      <c r="Q371" s="287"/>
    </row>
    <row r="372" spans="1:17" ht="30" customHeight="1" x14ac:dyDescent="0.2">
      <c r="A372" s="280"/>
      <c r="B372" s="281"/>
      <c r="C372" s="281"/>
      <c r="D372" s="281"/>
      <c r="F372" s="285" t="str">
        <f t="shared" si="16"/>
        <v/>
      </c>
      <c r="G372" s="286"/>
      <c r="H372" s="287"/>
      <c r="I372" s="287"/>
      <c r="K372" s="285" t="str">
        <f t="shared" si="17"/>
        <v/>
      </c>
      <c r="L372" s="286"/>
      <c r="M372" s="287"/>
      <c r="N372" s="287"/>
      <c r="O372" s="286"/>
      <c r="P372" s="286"/>
      <c r="Q372" s="287"/>
    </row>
    <row r="373" spans="1:17" ht="30" customHeight="1" x14ac:dyDescent="0.2">
      <c r="A373" s="280"/>
      <c r="B373" s="281"/>
      <c r="C373" s="281"/>
      <c r="D373" s="281"/>
      <c r="F373" s="285" t="str">
        <f t="shared" si="16"/>
        <v/>
      </c>
      <c r="G373" s="286"/>
      <c r="H373" s="287"/>
      <c r="I373" s="287"/>
      <c r="K373" s="285" t="str">
        <f t="shared" si="17"/>
        <v/>
      </c>
      <c r="L373" s="286"/>
      <c r="M373" s="287"/>
      <c r="N373" s="287"/>
      <c r="O373" s="286"/>
      <c r="P373" s="286"/>
      <c r="Q373" s="287"/>
    </row>
    <row r="374" spans="1:17" ht="30" customHeight="1" x14ac:dyDescent="0.2">
      <c r="A374" s="280"/>
      <c r="B374" s="281"/>
      <c r="C374" s="281"/>
      <c r="D374" s="281"/>
      <c r="F374" s="285" t="str">
        <f t="shared" si="16"/>
        <v/>
      </c>
      <c r="G374" s="286"/>
      <c r="H374" s="287"/>
      <c r="I374" s="287"/>
      <c r="K374" s="285" t="str">
        <f t="shared" si="17"/>
        <v/>
      </c>
      <c r="L374" s="286"/>
      <c r="M374" s="287"/>
      <c r="N374" s="287"/>
      <c r="O374" s="286"/>
      <c r="P374" s="286"/>
      <c r="Q374" s="287"/>
    </row>
    <row r="375" spans="1:17" ht="30" customHeight="1" x14ac:dyDescent="0.2">
      <c r="A375" s="280"/>
      <c r="B375" s="281"/>
      <c r="C375" s="281"/>
      <c r="D375" s="281"/>
      <c r="F375" s="285" t="str">
        <f t="shared" si="16"/>
        <v/>
      </c>
      <c r="G375" s="286"/>
      <c r="H375" s="287"/>
      <c r="I375" s="287"/>
      <c r="K375" s="285" t="str">
        <f t="shared" si="17"/>
        <v/>
      </c>
      <c r="L375" s="286"/>
      <c r="M375" s="287"/>
      <c r="N375" s="287"/>
      <c r="O375" s="286"/>
      <c r="P375" s="286"/>
      <c r="Q375" s="287"/>
    </row>
    <row r="376" spans="1:17" ht="30" customHeight="1" x14ac:dyDescent="0.2">
      <c r="A376" s="280"/>
      <c r="B376" s="281"/>
      <c r="C376" s="281"/>
      <c r="D376" s="281"/>
      <c r="F376" s="285" t="str">
        <f t="shared" si="16"/>
        <v/>
      </c>
      <c r="G376" s="286"/>
      <c r="H376" s="287"/>
      <c r="I376" s="287"/>
      <c r="K376" s="285" t="str">
        <f t="shared" si="17"/>
        <v/>
      </c>
      <c r="L376" s="286"/>
      <c r="M376" s="287"/>
      <c r="N376" s="287"/>
      <c r="O376" s="286"/>
      <c r="P376" s="286"/>
      <c r="Q376" s="287"/>
    </row>
    <row r="377" spans="1:17" ht="30" customHeight="1" x14ac:dyDescent="0.2">
      <c r="A377" s="280"/>
      <c r="B377" s="281"/>
      <c r="C377" s="281"/>
      <c r="D377" s="281"/>
      <c r="F377" s="285" t="str">
        <f t="shared" si="16"/>
        <v/>
      </c>
      <c r="G377" s="286"/>
      <c r="H377" s="287"/>
      <c r="I377" s="287"/>
      <c r="K377" s="285" t="str">
        <f t="shared" si="17"/>
        <v/>
      </c>
      <c r="L377" s="286"/>
      <c r="M377" s="287"/>
      <c r="N377" s="287"/>
      <c r="O377" s="286"/>
      <c r="P377" s="286"/>
      <c r="Q377" s="287"/>
    </row>
    <row r="378" spans="1:17" ht="30" customHeight="1" x14ac:dyDescent="0.2">
      <c r="A378" s="280"/>
      <c r="B378" s="281"/>
      <c r="C378" s="281"/>
      <c r="D378" s="281"/>
      <c r="F378" s="285" t="str">
        <f t="shared" si="16"/>
        <v/>
      </c>
      <c r="G378" s="286"/>
      <c r="H378" s="287"/>
      <c r="I378" s="287"/>
      <c r="K378" s="285" t="str">
        <f t="shared" si="17"/>
        <v/>
      </c>
      <c r="L378" s="286"/>
      <c r="M378" s="287"/>
      <c r="N378" s="287"/>
      <c r="O378" s="286"/>
      <c r="P378" s="286"/>
      <c r="Q378" s="287"/>
    </row>
    <row r="379" spans="1:17" ht="30" customHeight="1" x14ac:dyDescent="0.2">
      <c r="A379" s="280"/>
      <c r="B379" s="281"/>
      <c r="C379" s="281"/>
      <c r="D379" s="281"/>
      <c r="F379" s="285" t="str">
        <f t="shared" si="16"/>
        <v/>
      </c>
      <c r="G379" s="286"/>
      <c r="H379" s="287"/>
      <c r="I379" s="287"/>
      <c r="K379" s="285" t="str">
        <f t="shared" si="17"/>
        <v/>
      </c>
      <c r="L379" s="286"/>
      <c r="M379" s="287"/>
      <c r="N379" s="287"/>
      <c r="O379" s="286"/>
      <c r="P379" s="286"/>
      <c r="Q379" s="287"/>
    </row>
    <row r="380" spans="1:17" ht="30" customHeight="1" x14ac:dyDescent="0.2">
      <c r="A380" s="280"/>
      <c r="B380" s="281"/>
      <c r="C380" s="281"/>
      <c r="D380" s="281"/>
      <c r="F380" s="285" t="str">
        <f t="shared" si="16"/>
        <v/>
      </c>
      <c r="G380" s="286"/>
      <c r="H380" s="287"/>
      <c r="I380" s="287"/>
      <c r="K380" s="285" t="str">
        <f t="shared" si="17"/>
        <v/>
      </c>
      <c r="L380" s="286"/>
      <c r="M380" s="287"/>
      <c r="N380" s="287"/>
      <c r="O380" s="286"/>
      <c r="P380" s="286"/>
      <c r="Q380" s="287"/>
    </row>
    <row r="381" spans="1:17" ht="30" customHeight="1" x14ac:dyDescent="0.2">
      <c r="A381" s="280"/>
      <c r="B381" s="281"/>
      <c r="C381" s="281"/>
      <c r="D381" s="281"/>
      <c r="F381" s="285" t="str">
        <f t="shared" si="16"/>
        <v/>
      </c>
      <c r="G381" s="286"/>
      <c r="H381" s="287"/>
      <c r="I381" s="287"/>
      <c r="K381" s="285" t="str">
        <f t="shared" si="17"/>
        <v/>
      </c>
      <c r="L381" s="286"/>
      <c r="M381" s="287"/>
      <c r="N381" s="287"/>
      <c r="O381" s="286"/>
      <c r="P381" s="286"/>
      <c r="Q381" s="287"/>
    </row>
    <row r="382" spans="1:17" ht="30" customHeight="1" x14ac:dyDescent="0.2">
      <c r="A382" s="280"/>
      <c r="B382" s="281"/>
      <c r="C382" s="281"/>
      <c r="D382" s="281"/>
      <c r="F382" s="285" t="str">
        <f t="shared" si="16"/>
        <v/>
      </c>
      <c r="G382" s="286"/>
      <c r="H382" s="287"/>
      <c r="I382" s="287"/>
      <c r="K382" s="285" t="str">
        <f t="shared" si="17"/>
        <v/>
      </c>
      <c r="L382" s="286"/>
      <c r="M382" s="287"/>
      <c r="N382" s="287"/>
      <c r="O382" s="286"/>
      <c r="P382" s="286"/>
      <c r="Q382" s="287"/>
    </row>
    <row r="383" spans="1:17" ht="30" customHeight="1" x14ac:dyDescent="0.2">
      <c r="A383" s="280"/>
      <c r="B383" s="281"/>
      <c r="C383" s="281"/>
      <c r="D383" s="281"/>
      <c r="F383" s="285" t="str">
        <f t="shared" si="16"/>
        <v/>
      </c>
      <c r="G383" s="286"/>
      <c r="H383" s="287"/>
      <c r="I383" s="287"/>
      <c r="K383" s="285" t="str">
        <f t="shared" si="17"/>
        <v/>
      </c>
      <c r="L383" s="286"/>
      <c r="M383" s="287"/>
      <c r="N383" s="287"/>
      <c r="O383" s="286"/>
      <c r="P383" s="286"/>
      <c r="Q383" s="287"/>
    </row>
    <row r="384" spans="1:17" ht="30" customHeight="1" x14ac:dyDescent="0.2">
      <c r="A384" s="280"/>
      <c r="B384" s="281"/>
      <c r="C384" s="281"/>
      <c r="D384" s="281"/>
      <c r="F384" s="285" t="str">
        <f t="shared" si="16"/>
        <v/>
      </c>
      <c r="G384" s="286"/>
      <c r="H384" s="287"/>
      <c r="I384" s="287"/>
      <c r="K384" s="285" t="str">
        <f t="shared" si="17"/>
        <v/>
      </c>
      <c r="L384" s="286"/>
      <c r="M384" s="287"/>
      <c r="N384" s="287"/>
      <c r="O384" s="286"/>
      <c r="P384" s="286"/>
      <c r="Q384" s="287"/>
    </row>
    <row r="385" spans="1:17" ht="30" customHeight="1" x14ac:dyDescent="0.2">
      <c r="A385" s="280"/>
      <c r="B385" s="281"/>
      <c r="C385" s="281"/>
      <c r="D385" s="281"/>
      <c r="F385" s="285" t="str">
        <f t="shared" si="16"/>
        <v/>
      </c>
      <c r="G385" s="286"/>
      <c r="H385" s="287"/>
      <c r="I385" s="287"/>
      <c r="K385" s="285" t="str">
        <f t="shared" si="17"/>
        <v/>
      </c>
      <c r="L385" s="286"/>
      <c r="M385" s="287"/>
      <c r="N385" s="287"/>
      <c r="O385" s="286"/>
      <c r="P385" s="286"/>
      <c r="Q385" s="287"/>
    </row>
    <row r="386" spans="1:17" ht="30" customHeight="1" x14ac:dyDescent="0.2">
      <c r="A386" s="280"/>
      <c r="B386" s="281"/>
      <c r="C386" s="281"/>
      <c r="D386" s="281"/>
      <c r="F386" s="285" t="str">
        <f t="shared" si="16"/>
        <v/>
      </c>
      <c r="G386" s="286"/>
      <c r="H386" s="287"/>
      <c r="I386" s="287"/>
      <c r="K386" s="285" t="str">
        <f t="shared" si="17"/>
        <v/>
      </c>
      <c r="L386" s="286"/>
      <c r="M386" s="287"/>
      <c r="N386" s="287"/>
      <c r="O386" s="286"/>
      <c r="P386" s="286"/>
      <c r="Q386" s="287"/>
    </row>
    <row r="387" spans="1:17" ht="30" customHeight="1" x14ac:dyDescent="0.2">
      <c r="A387" s="280"/>
      <c r="B387" s="281"/>
      <c r="C387" s="281"/>
      <c r="D387" s="281"/>
      <c r="F387" s="285" t="str">
        <f t="shared" si="16"/>
        <v/>
      </c>
      <c r="G387" s="286"/>
      <c r="H387" s="287"/>
      <c r="I387" s="287"/>
      <c r="K387" s="285" t="str">
        <f t="shared" si="17"/>
        <v/>
      </c>
      <c r="L387" s="286"/>
      <c r="M387" s="287"/>
      <c r="N387" s="287"/>
      <c r="O387" s="286"/>
      <c r="P387" s="286"/>
      <c r="Q387" s="287"/>
    </row>
    <row r="388" spans="1:17" ht="30" customHeight="1" x14ac:dyDescent="0.2">
      <c r="A388" s="280"/>
      <c r="B388" s="281"/>
      <c r="C388" s="281"/>
      <c r="D388" s="281"/>
      <c r="F388" s="285" t="str">
        <f t="shared" si="16"/>
        <v/>
      </c>
      <c r="G388" s="286"/>
      <c r="H388" s="287"/>
      <c r="I388" s="287"/>
      <c r="K388" s="285" t="str">
        <f t="shared" si="17"/>
        <v/>
      </c>
      <c r="L388" s="286"/>
      <c r="M388" s="287"/>
      <c r="N388" s="287"/>
      <c r="O388" s="286"/>
      <c r="P388" s="286"/>
      <c r="Q388" s="287"/>
    </row>
    <row r="389" spans="1:17" ht="30" customHeight="1" x14ac:dyDescent="0.2">
      <c r="A389" s="280"/>
      <c r="B389" s="281"/>
      <c r="C389" s="281"/>
      <c r="D389" s="281"/>
      <c r="F389" s="285" t="str">
        <f t="shared" ref="F389:F452" si="18">IF(A389="","",A389)</f>
        <v/>
      </c>
      <c r="G389" s="286"/>
      <c r="H389" s="287"/>
      <c r="I389" s="287"/>
      <c r="K389" s="285" t="str">
        <f t="shared" si="17"/>
        <v/>
      </c>
      <c r="L389" s="286"/>
      <c r="M389" s="287"/>
      <c r="N389" s="287"/>
      <c r="O389" s="286"/>
      <c r="P389" s="286"/>
      <c r="Q389" s="287"/>
    </row>
    <row r="390" spans="1:17" ht="30" customHeight="1" x14ac:dyDescent="0.2">
      <c r="A390" s="280"/>
      <c r="B390" s="281"/>
      <c r="C390" s="281"/>
      <c r="D390" s="281"/>
      <c r="F390" s="285" t="str">
        <f t="shared" si="18"/>
        <v/>
      </c>
      <c r="G390" s="286"/>
      <c r="H390" s="287"/>
      <c r="I390" s="287"/>
      <c r="K390" s="285" t="str">
        <f t="shared" si="17"/>
        <v/>
      </c>
      <c r="L390" s="286"/>
      <c r="M390" s="287"/>
      <c r="N390" s="287"/>
      <c r="O390" s="286"/>
      <c r="P390" s="286"/>
      <c r="Q390" s="287"/>
    </row>
    <row r="391" spans="1:17" ht="30" customHeight="1" x14ac:dyDescent="0.2">
      <c r="A391" s="280"/>
      <c r="B391" s="281"/>
      <c r="C391" s="281"/>
      <c r="D391" s="281"/>
      <c r="F391" s="285" t="str">
        <f t="shared" si="18"/>
        <v/>
      </c>
      <c r="G391" s="286"/>
      <c r="H391" s="287"/>
      <c r="I391" s="287"/>
      <c r="K391" s="285" t="str">
        <f t="shared" si="17"/>
        <v/>
      </c>
      <c r="L391" s="286"/>
      <c r="M391" s="287"/>
      <c r="N391" s="287"/>
      <c r="O391" s="286"/>
      <c r="P391" s="286"/>
      <c r="Q391" s="287"/>
    </row>
    <row r="392" spans="1:17" ht="30" customHeight="1" x14ac:dyDescent="0.2">
      <c r="A392" s="280"/>
      <c r="B392" s="281"/>
      <c r="C392" s="281"/>
      <c r="D392" s="281"/>
      <c r="F392" s="285" t="str">
        <f t="shared" si="18"/>
        <v/>
      </c>
      <c r="G392" s="286"/>
      <c r="H392" s="287"/>
      <c r="I392" s="287"/>
      <c r="K392" s="285" t="str">
        <f t="shared" si="17"/>
        <v/>
      </c>
      <c r="L392" s="286"/>
      <c r="M392" s="287"/>
      <c r="N392" s="287"/>
      <c r="O392" s="286"/>
      <c r="P392" s="286"/>
      <c r="Q392" s="287"/>
    </row>
    <row r="393" spans="1:17" ht="30" customHeight="1" x14ac:dyDescent="0.2">
      <c r="A393" s="280"/>
      <c r="B393" s="281"/>
      <c r="C393" s="281"/>
      <c r="D393" s="281"/>
      <c r="F393" s="285" t="str">
        <f t="shared" si="18"/>
        <v/>
      </c>
      <c r="G393" s="286"/>
      <c r="H393" s="287"/>
      <c r="I393" s="287"/>
      <c r="K393" s="285" t="str">
        <f t="shared" si="17"/>
        <v/>
      </c>
      <c r="L393" s="286"/>
      <c r="M393" s="287"/>
      <c r="N393" s="287"/>
      <c r="O393" s="286"/>
      <c r="P393" s="286"/>
      <c r="Q393" s="287"/>
    </row>
    <row r="394" spans="1:17" ht="30" customHeight="1" x14ac:dyDescent="0.2">
      <c r="A394" s="280"/>
      <c r="B394" s="281"/>
      <c r="C394" s="281"/>
      <c r="D394" s="281"/>
      <c r="F394" s="285" t="str">
        <f t="shared" si="18"/>
        <v/>
      </c>
      <c r="G394" s="286"/>
      <c r="H394" s="287"/>
      <c r="I394" s="287"/>
      <c r="K394" s="285" t="str">
        <f t="shared" si="17"/>
        <v/>
      </c>
      <c r="L394" s="286"/>
      <c r="M394" s="287"/>
      <c r="N394" s="287"/>
      <c r="O394" s="286"/>
      <c r="P394" s="286"/>
      <c r="Q394" s="287"/>
    </row>
    <row r="395" spans="1:17" ht="30" customHeight="1" x14ac:dyDescent="0.2">
      <c r="A395" s="280"/>
      <c r="B395" s="281"/>
      <c r="C395" s="281"/>
      <c r="D395" s="281"/>
      <c r="F395" s="285" t="str">
        <f t="shared" si="18"/>
        <v/>
      </c>
      <c r="G395" s="286"/>
      <c r="H395" s="287"/>
      <c r="I395" s="287"/>
      <c r="K395" s="285" t="str">
        <f t="shared" ref="K395:K458" si="19">IF(A395="","",A395)</f>
        <v/>
      </c>
      <c r="L395" s="286"/>
      <c r="M395" s="287"/>
      <c r="N395" s="287"/>
      <c r="O395" s="286"/>
      <c r="P395" s="286"/>
      <c r="Q395" s="287"/>
    </row>
    <row r="396" spans="1:17" ht="30" customHeight="1" x14ac:dyDescent="0.2">
      <c r="A396" s="280"/>
      <c r="B396" s="281"/>
      <c r="C396" s="281"/>
      <c r="D396" s="281"/>
      <c r="F396" s="285" t="str">
        <f t="shared" si="18"/>
        <v/>
      </c>
      <c r="G396" s="286"/>
      <c r="H396" s="287"/>
      <c r="I396" s="287"/>
      <c r="K396" s="285" t="str">
        <f t="shared" si="19"/>
        <v/>
      </c>
      <c r="L396" s="286"/>
      <c r="M396" s="287"/>
      <c r="N396" s="287"/>
      <c r="O396" s="286"/>
      <c r="P396" s="286"/>
      <c r="Q396" s="287"/>
    </row>
    <row r="397" spans="1:17" ht="30" customHeight="1" x14ac:dyDescent="0.2">
      <c r="A397" s="280"/>
      <c r="B397" s="281"/>
      <c r="C397" s="281"/>
      <c r="D397" s="281"/>
      <c r="F397" s="285" t="str">
        <f t="shared" si="18"/>
        <v/>
      </c>
      <c r="G397" s="286"/>
      <c r="H397" s="287"/>
      <c r="I397" s="287"/>
      <c r="K397" s="285" t="str">
        <f t="shared" si="19"/>
        <v/>
      </c>
      <c r="L397" s="286"/>
      <c r="M397" s="287"/>
      <c r="N397" s="287"/>
      <c r="O397" s="286"/>
      <c r="P397" s="286"/>
      <c r="Q397" s="287"/>
    </row>
    <row r="398" spans="1:17" ht="30" customHeight="1" x14ac:dyDescent="0.2">
      <c r="A398" s="280"/>
      <c r="B398" s="281"/>
      <c r="C398" s="281"/>
      <c r="D398" s="281"/>
      <c r="F398" s="285" t="str">
        <f t="shared" si="18"/>
        <v/>
      </c>
      <c r="G398" s="286"/>
      <c r="H398" s="287"/>
      <c r="I398" s="287"/>
      <c r="K398" s="285" t="str">
        <f t="shared" si="19"/>
        <v/>
      </c>
      <c r="L398" s="286"/>
      <c r="M398" s="287"/>
      <c r="N398" s="287"/>
      <c r="O398" s="286"/>
      <c r="P398" s="286"/>
      <c r="Q398" s="287"/>
    </row>
    <row r="399" spans="1:17" ht="30" customHeight="1" x14ac:dyDescent="0.2">
      <c r="A399" s="280"/>
      <c r="B399" s="281"/>
      <c r="C399" s="281"/>
      <c r="D399" s="281"/>
      <c r="F399" s="285" t="str">
        <f t="shared" si="18"/>
        <v/>
      </c>
      <c r="G399" s="286"/>
      <c r="H399" s="287"/>
      <c r="I399" s="287"/>
      <c r="K399" s="285" t="str">
        <f t="shared" si="19"/>
        <v/>
      </c>
      <c r="L399" s="286"/>
      <c r="M399" s="287"/>
      <c r="N399" s="287"/>
      <c r="O399" s="286"/>
      <c r="P399" s="286"/>
      <c r="Q399" s="287"/>
    </row>
    <row r="400" spans="1:17" ht="30" customHeight="1" x14ac:dyDescent="0.2">
      <c r="A400" s="280"/>
      <c r="B400" s="281"/>
      <c r="C400" s="281"/>
      <c r="D400" s="281"/>
      <c r="F400" s="285" t="str">
        <f t="shared" si="18"/>
        <v/>
      </c>
      <c r="G400" s="286"/>
      <c r="H400" s="287"/>
      <c r="I400" s="287"/>
      <c r="K400" s="285" t="str">
        <f t="shared" si="19"/>
        <v/>
      </c>
      <c r="L400" s="286"/>
      <c r="M400" s="287"/>
      <c r="N400" s="287"/>
      <c r="O400" s="286"/>
      <c r="P400" s="286"/>
      <c r="Q400" s="287"/>
    </row>
    <row r="401" spans="1:17" ht="30" customHeight="1" x14ac:dyDescent="0.2">
      <c r="A401" s="280"/>
      <c r="B401" s="281"/>
      <c r="C401" s="281"/>
      <c r="D401" s="281"/>
      <c r="F401" s="285" t="str">
        <f t="shared" si="18"/>
        <v/>
      </c>
      <c r="G401" s="286"/>
      <c r="H401" s="287"/>
      <c r="I401" s="287"/>
      <c r="K401" s="285" t="str">
        <f t="shared" si="19"/>
        <v/>
      </c>
      <c r="L401" s="286"/>
      <c r="M401" s="287"/>
      <c r="N401" s="287"/>
      <c r="O401" s="286"/>
      <c r="P401" s="286"/>
      <c r="Q401" s="287"/>
    </row>
    <row r="402" spans="1:17" ht="30" customHeight="1" x14ac:dyDescent="0.2">
      <c r="A402" s="280"/>
      <c r="B402" s="281"/>
      <c r="C402" s="281"/>
      <c r="D402" s="281"/>
      <c r="F402" s="285" t="str">
        <f t="shared" si="18"/>
        <v/>
      </c>
      <c r="G402" s="286"/>
      <c r="H402" s="287"/>
      <c r="I402" s="287"/>
      <c r="K402" s="285" t="str">
        <f t="shared" si="19"/>
        <v/>
      </c>
      <c r="L402" s="286"/>
      <c r="M402" s="287"/>
      <c r="N402" s="287"/>
      <c r="O402" s="286"/>
      <c r="P402" s="286"/>
      <c r="Q402" s="287"/>
    </row>
    <row r="403" spans="1:17" ht="30" customHeight="1" x14ac:dyDescent="0.2">
      <c r="A403" s="280"/>
      <c r="B403" s="281"/>
      <c r="C403" s="281"/>
      <c r="D403" s="281"/>
      <c r="F403" s="285" t="str">
        <f t="shared" si="18"/>
        <v/>
      </c>
      <c r="G403" s="286"/>
      <c r="H403" s="287"/>
      <c r="I403" s="287"/>
      <c r="K403" s="285" t="str">
        <f t="shared" si="19"/>
        <v/>
      </c>
      <c r="L403" s="286"/>
      <c r="M403" s="287"/>
      <c r="N403" s="287"/>
      <c r="O403" s="286"/>
      <c r="P403" s="286"/>
      <c r="Q403" s="287"/>
    </row>
    <row r="404" spans="1:17" ht="30" customHeight="1" x14ac:dyDescent="0.2">
      <c r="A404" s="280"/>
      <c r="B404" s="281"/>
      <c r="C404" s="281"/>
      <c r="D404" s="281"/>
      <c r="F404" s="285" t="str">
        <f t="shared" si="18"/>
        <v/>
      </c>
      <c r="G404" s="286"/>
      <c r="H404" s="287"/>
      <c r="I404" s="287"/>
      <c r="K404" s="285" t="str">
        <f t="shared" si="19"/>
        <v/>
      </c>
      <c r="L404" s="286"/>
      <c r="M404" s="287"/>
      <c r="N404" s="287"/>
      <c r="O404" s="286"/>
      <c r="P404" s="286"/>
      <c r="Q404" s="287"/>
    </row>
    <row r="405" spans="1:17" ht="30" customHeight="1" x14ac:dyDescent="0.2">
      <c r="A405" s="280"/>
      <c r="B405" s="281"/>
      <c r="C405" s="281"/>
      <c r="D405" s="281"/>
      <c r="F405" s="285" t="str">
        <f t="shared" si="18"/>
        <v/>
      </c>
      <c r="G405" s="286"/>
      <c r="H405" s="287"/>
      <c r="I405" s="287"/>
      <c r="K405" s="285" t="str">
        <f t="shared" si="19"/>
        <v/>
      </c>
      <c r="L405" s="286"/>
      <c r="M405" s="287"/>
      <c r="N405" s="287"/>
      <c r="O405" s="286"/>
      <c r="P405" s="286"/>
      <c r="Q405" s="287"/>
    </row>
    <row r="406" spans="1:17" ht="30" customHeight="1" x14ac:dyDescent="0.2">
      <c r="A406" s="280"/>
      <c r="B406" s="281"/>
      <c r="C406" s="281"/>
      <c r="D406" s="281"/>
      <c r="F406" s="285" t="str">
        <f t="shared" si="18"/>
        <v/>
      </c>
      <c r="G406" s="286"/>
      <c r="H406" s="287"/>
      <c r="I406" s="287"/>
      <c r="K406" s="285" t="str">
        <f t="shared" si="19"/>
        <v/>
      </c>
      <c r="L406" s="286"/>
      <c r="M406" s="287"/>
      <c r="N406" s="287"/>
      <c r="O406" s="286"/>
      <c r="P406" s="286"/>
      <c r="Q406" s="287"/>
    </row>
    <row r="407" spans="1:17" ht="30" customHeight="1" x14ac:dyDescent="0.2">
      <c r="A407" s="280"/>
      <c r="B407" s="281"/>
      <c r="C407" s="281"/>
      <c r="D407" s="281"/>
      <c r="F407" s="285" t="str">
        <f t="shared" si="18"/>
        <v/>
      </c>
      <c r="G407" s="286"/>
      <c r="H407" s="287"/>
      <c r="I407" s="287"/>
      <c r="K407" s="285" t="str">
        <f t="shared" si="19"/>
        <v/>
      </c>
      <c r="L407" s="286"/>
      <c r="M407" s="287"/>
      <c r="N407" s="287"/>
      <c r="O407" s="286"/>
      <c r="P407" s="286"/>
      <c r="Q407" s="287"/>
    </row>
    <row r="408" spans="1:17" ht="30" customHeight="1" x14ac:dyDescent="0.2">
      <c r="A408" s="280"/>
      <c r="B408" s="281"/>
      <c r="C408" s="281"/>
      <c r="D408" s="281"/>
      <c r="F408" s="285" t="str">
        <f t="shared" si="18"/>
        <v/>
      </c>
      <c r="G408" s="286"/>
      <c r="H408" s="287"/>
      <c r="I408" s="287"/>
      <c r="K408" s="285" t="str">
        <f t="shared" si="19"/>
        <v/>
      </c>
      <c r="L408" s="286"/>
      <c r="M408" s="287"/>
      <c r="N408" s="287"/>
      <c r="O408" s="286"/>
      <c r="P408" s="286"/>
      <c r="Q408" s="287"/>
    </row>
    <row r="409" spans="1:17" ht="30" customHeight="1" x14ac:dyDescent="0.2">
      <c r="A409" s="280"/>
      <c r="B409" s="281"/>
      <c r="C409" s="281"/>
      <c r="D409" s="281"/>
      <c r="F409" s="285" t="str">
        <f t="shared" si="18"/>
        <v/>
      </c>
      <c r="G409" s="286"/>
      <c r="H409" s="287"/>
      <c r="I409" s="287"/>
      <c r="K409" s="285" t="str">
        <f t="shared" si="19"/>
        <v/>
      </c>
      <c r="L409" s="286"/>
      <c r="M409" s="287"/>
      <c r="N409" s="287"/>
      <c r="O409" s="286"/>
      <c r="P409" s="286"/>
      <c r="Q409" s="287"/>
    </row>
    <row r="410" spans="1:17" ht="30" customHeight="1" x14ac:dyDescent="0.2">
      <c r="A410" s="280"/>
      <c r="B410" s="281"/>
      <c r="C410" s="281"/>
      <c r="D410" s="281"/>
      <c r="F410" s="285" t="str">
        <f t="shared" si="18"/>
        <v/>
      </c>
      <c r="G410" s="286"/>
      <c r="H410" s="287"/>
      <c r="I410" s="287"/>
      <c r="K410" s="285" t="str">
        <f t="shared" si="19"/>
        <v/>
      </c>
      <c r="L410" s="286"/>
      <c r="M410" s="287"/>
      <c r="N410" s="287"/>
      <c r="O410" s="286"/>
      <c r="P410" s="286"/>
      <c r="Q410" s="287"/>
    </row>
    <row r="411" spans="1:17" ht="30" customHeight="1" x14ac:dyDescent="0.2">
      <c r="A411" s="280"/>
      <c r="B411" s="281"/>
      <c r="C411" s="281"/>
      <c r="D411" s="281"/>
      <c r="F411" s="285" t="str">
        <f t="shared" si="18"/>
        <v/>
      </c>
      <c r="G411" s="286"/>
      <c r="H411" s="287"/>
      <c r="I411" s="287"/>
      <c r="K411" s="285" t="str">
        <f t="shared" si="19"/>
        <v/>
      </c>
      <c r="L411" s="286"/>
      <c r="M411" s="287"/>
      <c r="N411" s="287"/>
      <c r="O411" s="286"/>
      <c r="P411" s="286"/>
      <c r="Q411" s="287"/>
    </row>
    <row r="412" spans="1:17" ht="30" customHeight="1" x14ac:dyDescent="0.2">
      <c r="A412" s="280"/>
      <c r="B412" s="281"/>
      <c r="C412" s="281"/>
      <c r="D412" s="281"/>
      <c r="F412" s="285" t="str">
        <f t="shared" si="18"/>
        <v/>
      </c>
      <c r="G412" s="286"/>
      <c r="H412" s="287"/>
      <c r="I412" s="287"/>
      <c r="K412" s="285" t="str">
        <f t="shared" si="19"/>
        <v/>
      </c>
      <c r="L412" s="286"/>
      <c r="M412" s="287"/>
      <c r="N412" s="287"/>
      <c r="O412" s="286"/>
      <c r="P412" s="286"/>
      <c r="Q412" s="287"/>
    </row>
    <row r="413" spans="1:17" ht="30" customHeight="1" x14ac:dyDescent="0.2">
      <c r="A413" s="280"/>
      <c r="B413" s="281"/>
      <c r="C413" s="281"/>
      <c r="D413" s="281"/>
      <c r="F413" s="285" t="str">
        <f t="shared" si="18"/>
        <v/>
      </c>
      <c r="G413" s="286"/>
      <c r="H413" s="287"/>
      <c r="I413" s="287"/>
      <c r="K413" s="285" t="str">
        <f t="shared" si="19"/>
        <v/>
      </c>
      <c r="L413" s="286"/>
      <c r="M413" s="287"/>
      <c r="N413" s="287"/>
      <c r="O413" s="286"/>
      <c r="P413" s="286"/>
      <c r="Q413" s="287"/>
    </row>
    <row r="414" spans="1:17" ht="30" customHeight="1" x14ac:dyDescent="0.2">
      <c r="A414" s="280"/>
      <c r="B414" s="281"/>
      <c r="C414" s="281"/>
      <c r="D414" s="281"/>
      <c r="F414" s="285" t="str">
        <f t="shared" si="18"/>
        <v/>
      </c>
      <c r="G414" s="286"/>
      <c r="H414" s="287"/>
      <c r="I414" s="287"/>
      <c r="K414" s="285" t="str">
        <f t="shared" si="19"/>
        <v/>
      </c>
      <c r="L414" s="286"/>
      <c r="M414" s="287"/>
      <c r="N414" s="287"/>
      <c r="O414" s="286"/>
      <c r="P414" s="286"/>
      <c r="Q414" s="287"/>
    </row>
    <row r="415" spans="1:17" ht="30" customHeight="1" x14ac:dyDescent="0.2">
      <c r="A415" s="280"/>
      <c r="B415" s="281"/>
      <c r="C415" s="281"/>
      <c r="D415" s="281"/>
      <c r="F415" s="285" t="str">
        <f t="shared" si="18"/>
        <v/>
      </c>
      <c r="G415" s="286"/>
      <c r="H415" s="287"/>
      <c r="I415" s="287"/>
      <c r="K415" s="285" t="str">
        <f t="shared" si="19"/>
        <v/>
      </c>
      <c r="L415" s="286"/>
      <c r="M415" s="287"/>
      <c r="N415" s="287"/>
      <c r="O415" s="286"/>
      <c r="P415" s="286"/>
      <c r="Q415" s="287"/>
    </row>
    <row r="416" spans="1:17" ht="30" customHeight="1" x14ac:dyDescent="0.2">
      <c r="A416" s="280"/>
      <c r="B416" s="281"/>
      <c r="C416" s="281"/>
      <c r="D416" s="281"/>
      <c r="F416" s="285" t="str">
        <f t="shared" si="18"/>
        <v/>
      </c>
      <c r="G416" s="286"/>
      <c r="H416" s="287"/>
      <c r="I416" s="287"/>
      <c r="K416" s="285" t="str">
        <f t="shared" si="19"/>
        <v/>
      </c>
      <c r="L416" s="286"/>
      <c r="M416" s="287"/>
      <c r="N416" s="287"/>
      <c r="O416" s="286"/>
      <c r="P416" s="286"/>
      <c r="Q416" s="287"/>
    </row>
    <row r="417" spans="1:17" ht="30" customHeight="1" x14ac:dyDescent="0.2">
      <c r="A417" s="280"/>
      <c r="B417" s="281"/>
      <c r="C417" s="281"/>
      <c r="D417" s="281"/>
      <c r="F417" s="285" t="str">
        <f t="shared" si="18"/>
        <v/>
      </c>
      <c r="G417" s="286"/>
      <c r="H417" s="287"/>
      <c r="I417" s="287"/>
      <c r="K417" s="285" t="str">
        <f t="shared" si="19"/>
        <v/>
      </c>
      <c r="L417" s="286"/>
      <c r="M417" s="287"/>
      <c r="N417" s="287"/>
      <c r="O417" s="286"/>
      <c r="P417" s="286"/>
      <c r="Q417" s="287"/>
    </row>
    <row r="418" spans="1:17" ht="30" customHeight="1" x14ac:dyDescent="0.2">
      <c r="A418" s="280"/>
      <c r="B418" s="281"/>
      <c r="C418" s="281"/>
      <c r="D418" s="281"/>
      <c r="F418" s="285" t="str">
        <f t="shared" si="18"/>
        <v/>
      </c>
      <c r="G418" s="286"/>
      <c r="H418" s="287"/>
      <c r="I418" s="287"/>
      <c r="K418" s="285" t="str">
        <f t="shared" si="19"/>
        <v/>
      </c>
      <c r="L418" s="286"/>
      <c r="M418" s="287"/>
      <c r="N418" s="287"/>
      <c r="O418" s="286"/>
      <c r="P418" s="286"/>
      <c r="Q418" s="287"/>
    </row>
    <row r="419" spans="1:17" ht="30" customHeight="1" x14ac:dyDescent="0.2">
      <c r="A419" s="280"/>
      <c r="B419" s="281"/>
      <c r="C419" s="281"/>
      <c r="D419" s="281"/>
      <c r="F419" s="285" t="str">
        <f t="shared" si="18"/>
        <v/>
      </c>
      <c r="G419" s="286"/>
      <c r="H419" s="287"/>
      <c r="I419" s="287"/>
      <c r="K419" s="285" t="str">
        <f t="shared" si="19"/>
        <v/>
      </c>
      <c r="L419" s="286"/>
      <c r="M419" s="287"/>
      <c r="N419" s="287"/>
      <c r="O419" s="286"/>
      <c r="P419" s="286"/>
      <c r="Q419" s="287"/>
    </row>
    <row r="420" spans="1:17" ht="30" customHeight="1" x14ac:dyDescent="0.2">
      <c r="A420" s="280"/>
      <c r="B420" s="281"/>
      <c r="C420" s="281"/>
      <c r="D420" s="281"/>
      <c r="F420" s="285" t="str">
        <f t="shared" si="18"/>
        <v/>
      </c>
      <c r="G420" s="286"/>
      <c r="H420" s="287"/>
      <c r="I420" s="287"/>
      <c r="K420" s="285" t="str">
        <f t="shared" si="19"/>
        <v/>
      </c>
      <c r="L420" s="286"/>
      <c r="M420" s="287"/>
      <c r="N420" s="287"/>
      <c r="O420" s="286"/>
      <c r="P420" s="286"/>
      <c r="Q420" s="287"/>
    </row>
    <row r="421" spans="1:17" ht="30" customHeight="1" x14ac:dyDescent="0.2">
      <c r="A421" s="280"/>
      <c r="B421" s="281"/>
      <c r="C421" s="281"/>
      <c r="D421" s="281"/>
      <c r="F421" s="285" t="str">
        <f t="shared" si="18"/>
        <v/>
      </c>
      <c r="G421" s="286"/>
      <c r="H421" s="287"/>
      <c r="I421" s="287"/>
      <c r="K421" s="285" t="str">
        <f t="shared" si="19"/>
        <v/>
      </c>
      <c r="L421" s="286"/>
      <c r="M421" s="287"/>
      <c r="N421" s="287"/>
      <c r="O421" s="286"/>
      <c r="P421" s="286"/>
      <c r="Q421" s="287"/>
    </row>
    <row r="422" spans="1:17" ht="30" customHeight="1" x14ac:dyDescent="0.2">
      <c r="A422" s="280"/>
      <c r="B422" s="281"/>
      <c r="C422" s="281"/>
      <c r="D422" s="281"/>
      <c r="F422" s="285" t="str">
        <f t="shared" si="18"/>
        <v/>
      </c>
      <c r="G422" s="286"/>
      <c r="H422" s="287"/>
      <c r="I422" s="287"/>
      <c r="K422" s="285" t="str">
        <f t="shared" si="19"/>
        <v/>
      </c>
      <c r="L422" s="286"/>
      <c r="M422" s="287"/>
      <c r="N422" s="287"/>
      <c r="O422" s="286"/>
      <c r="P422" s="286"/>
      <c r="Q422" s="287"/>
    </row>
    <row r="423" spans="1:17" ht="30" customHeight="1" x14ac:dyDescent="0.2">
      <c r="A423" s="280"/>
      <c r="B423" s="281"/>
      <c r="C423" s="281"/>
      <c r="D423" s="281"/>
      <c r="F423" s="285" t="str">
        <f t="shared" si="18"/>
        <v/>
      </c>
      <c r="G423" s="286"/>
      <c r="H423" s="287"/>
      <c r="I423" s="287"/>
      <c r="K423" s="285" t="str">
        <f t="shared" si="19"/>
        <v/>
      </c>
      <c r="L423" s="286"/>
      <c r="M423" s="287"/>
      <c r="N423" s="287"/>
      <c r="O423" s="286"/>
      <c r="P423" s="286"/>
      <c r="Q423" s="287"/>
    </row>
    <row r="424" spans="1:17" ht="30" customHeight="1" x14ac:dyDescent="0.2">
      <c r="A424" s="280"/>
      <c r="B424" s="281"/>
      <c r="C424" s="281"/>
      <c r="D424" s="281"/>
      <c r="F424" s="285" t="str">
        <f t="shared" si="18"/>
        <v/>
      </c>
      <c r="G424" s="286"/>
      <c r="H424" s="287"/>
      <c r="I424" s="287"/>
      <c r="K424" s="285" t="str">
        <f t="shared" si="19"/>
        <v/>
      </c>
      <c r="L424" s="286"/>
      <c r="M424" s="287"/>
      <c r="N424" s="287"/>
      <c r="O424" s="286"/>
      <c r="P424" s="286"/>
      <c r="Q424" s="287"/>
    </row>
    <row r="425" spans="1:17" ht="30" customHeight="1" x14ac:dyDescent="0.2">
      <c r="A425" s="280"/>
      <c r="B425" s="281"/>
      <c r="C425" s="281"/>
      <c r="D425" s="281"/>
      <c r="F425" s="285" t="str">
        <f t="shared" si="18"/>
        <v/>
      </c>
      <c r="G425" s="286"/>
      <c r="H425" s="287"/>
      <c r="I425" s="287"/>
      <c r="K425" s="285" t="str">
        <f t="shared" si="19"/>
        <v/>
      </c>
      <c r="L425" s="286"/>
      <c r="M425" s="287"/>
      <c r="N425" s="287"/>
      <c r="O425" s="286"/>
      <c r="P425" s="286"/>
      <c r="Q425" s="287"/>
    </row>
    <row r="426" spans="1:17" ht="30" customHeight="1" x14ac:dyDescent="0.2">
      <c r="A426" s="280"/>
      <c r="B426" s="281"/>
      <c r="C426" s="281"/>
      <c r="D426" s="281"/>
      <c r="F426" s="285" t="str">
        <f t="shared" si="18"/>
        <v/>
      </c>
      <c r="G426" s="286"/>
      <c r="H426" s="287"/>
      <c r="I426" s="287"/>
      <c r="K426" s="285" t="str">
        <f t="shared" si="19"/>
        <v/>
      </c>
      <c r="L426" s="286"/>
      <c r="M426" s="287"/>
      <c r="N426" s="287"/>
      <c r="O426" s="286"/>
      <c r="P426" s="286"/>
      <c r="Q426" s="287"/>
    </row>
    <row r="427" spans="1:17" ht="30" customHeight="1" x14ac:dyDescent="0.2">
      <c r="A427" s="280"/>
      <c r="B427" s="281"/>
      <c r="C427" s="281"/>
      <c r="D427" s="281"/>
      <c r="F427" s="285" t="str">
        <f t="shared" si="18"/>
        <v/>
      </c>
      <c r="G427" s="286"/>
      <c r="H427" s="287"/>
      <c r="I427" s="287"/>
      <c r="K427" s="285" t="str">
        <f t="shared" si="19"/>
        <v/>
      </c>
      <c r="L427" s="286"/>
      <c r="M427" s="287"/>
      <c r="N427" s="287"/>
      <c r="O427" s="286"/>
      <c r="P427" s="286"/>
      <c r="Q427" s="287"/>
    </row>
    <row r="428" spans="1:17" ht="30" customHeight="1" x14ac:dyDescent="0.2">
      <c r="A428" s="280"/>
      <c r="B428" s="281"/>
      <c r="C428" s="281"/>
      <c r="D428" s="281"/>
      <c r="F428" s="285" t="str">
        <f t="shared" si="18"/>
        <v/>
      </c>
      <c r="G428" s="286"/>
      <c r="H428" s="287"/>
      <c r="I428" s="287"/>
      <c r="K428" s="285" t="str">
        <f t="shared" si="19"/>
        <v/>
      </c>
      <c r="L428" s="286"/>
      <c r="M428" s="287"/>
      <c r="N428" s="287"/>
      <c r="O428" s="286"/>
      <c r="P428" s="286"/>
      <c r="Q428" s="287"/>
    </row>
    <row r="429" spans="1:17" ht="30" customHeight="1" x14ac:dyDescent="0.2">
      <c r="A429" s="280"/>
      <c r="B429" s="281"/>
      <c r="C429" s="281"/>
      <c r="D429" s="281"/>
      <c r="F429" s="285" t="str">
        <f t="shared" si="18"/>
        <v/>
      </c>
      <c r="G429" s="286"/>
      <c r="H429" s="287"/>
      <c r="I429" s="287"/>
      <c r="K429" s="285" t="str">
        <f t="shared" si="19"/>
        <v/>
      </c>
      <c r="L429" s="286"/>
      <c r="M429" s="287"/>
      <c r="N429" s="287"/>
      <c r="O429" s="286"/>
      <c r="P429" s="286"/>
      <c r="Q429" s="287"/>
    </row>
    <row r="430" spans="1:17" ht="30" customHeight="1" x14ac:dyDescent="0.2">
      <c r="A430" s="280"/>
      <c r="B430" s="281"/>
      <c r="C430" s="281"/>
      <c r="D430" s="281"/>
      <c r="F430" s="285" t="str">
        <f t="shared" si="18"/>
        <v/>
      </c>
      <c r="G430" s="286"/>
      <c r="H430" s="287"/>
      <c r="I430" s="287"/>
      <c r="K430" s="285" t="str">
        <f t="shared" si="19"/>
        <v/>
      </c>
      <c r="L430" s="286"/>
      <c r="M430" s="287"/>
      <c r="N430" s="287"/>
      <c r="O430" s="286"/>
      <c r="P430" s="286"/>
      <c r="Q430" s="287"/>
    </row>
    <row r="431" spans="1:17" ht="30" customHeight="1" x14ac:dyDescent="0.2">
      <c r="A431" s="280"/>
      <c r="B431" s="281"/>
      <c r="C431" s="281"/>
      <c r="D431" s="281"/>
      <c r="F431" s="285" t="str">
        <f t="shared" si="18"/>
        <v/>
      </c>
      <c r="G431" s="286"/>
      <c r="H431" s="287"/>
      <c r="I431" s="287"/>
      <c r="K431" s="285" t="str">
        <f t="shared" si="19"/>
        <v/>
      </c>
      <c r="L431" s="286"/>
      <c r="M431" s="287"/>
      <c r="N431" s="287"/>
      <c r="O431" s="286"/>
      <c r="P431" s="286"/>
      <c r="Q431" s="287"/>
    </row>
    <row r="432" spans="1:17" ht="30" customHeight="1" x14ac:dyDescent="0.2">
      <c r="A432" s="280"/>
      <c r="B432" s="281"/>
      <c r="C432" s="281"/>
      <c r="D432" s="281"/>
      <c r="F432" s="285" t="str">
        <f t="shared" si="18"/>
        <v/>
      </c>
      <c r="G432" s="286"/>
      <c r="H432" s="287"/>
      <c r="I432" s="287"/>
      <c r="K432" s="285" t="str">
        <f t="shared" si="19"/>
        <v/>
      </c>
      <c r="L432" s="286"/>
      <c r="M432" s="287"/>
      <c r="N432" s="287"/>
      <c r="O432" s="286"/>
      <c r="P432" s="286"/>
      <c r="Q432" s="287"/>
    </row>
    <row r="433" spans="1:17" ht="30" customHeight="1" x14ac:dyDescent="0.2">
      <c r="A433" s="280"/>
      <c r="B433" s="281"/>
      <c r="C433" s="281"/>
      <c r="D433" s="281"/>
      <c r="F433" s="285" t="str">
        <f t="shared" si="18"/>
        <v/>
      </c>
      <c r="G433" s="286"/>
      <c r="H433" s="287"/>
      <c r="I433" s="287"/>
      <c r="K433" s="285" t="str">
        <f t="shared" si="19"/>
        <v/>
      </c>
      <c r="L433" s="286"/>
      <c r="M433" s="287"/>
      <c r="N433" s="287"/>
      <c r="O433" s="286"/>
      <c r="P433" s="286"/>
      <c r="Q433" s="287"/>
    </row>
    <row r="434" spans="1:17" ht="30" customHeight="1" x14ac:dyDescent="0.2">
      <c r="A434" s="280"/>
      <c r="B434" s="281"/>
      <c r="C434" s="281"/>
      <c r="D434" s="281"/>
      <c r="F434" s="285" t="str">
        <f t="shared" si="18"/>
        <v/>
      </c>
      <c r="G434" s="286"/>
      <c r="H434" s="287"/>
      <c r="I434" s="287"/>
      <c r="K434" s="285" t="str">
        <f t="shared" si="19"/>
        <v/>
      </c>
      <c r="L434" s="286"/>
      <c r="M434" s="287"/>
      <c r="N434" s="287"/>
      <c r="O434" s="286"/>
      <c r="P434" s="286"/>
      <c r="Q434" s="287"/>
    </row>
    <row r="435" spans="1:17" ht="30" customHeight="1" x14ac:dyDescent="0.2">
      <c r="A435" s="280"/>
      <c r="B435" s="281"/>
      <c r="C435" s="281"/>
      <c r="D435" s="281"/>
      <c r="F435" s="285" t="str">
        <f t="shared" si="18"/>
        <v/>
      </c>
      <c r="G435" s="286"/>
      <c r="H435" s="287"/>
      <c r="I435" s="287"/>
      <c r="K435" s="285" t="str">
        <f t="shared" si="19"/>
        <v/>
      </c>
      <c r="L435" s="286"/>
      <c r="M435" s="287"/>
      <c r="N435" s="287"/>
      <c r="O435" s="286"/>
      <c r="P435" s="286"/>
      <c r="Q435" s="287"/>
    </row>
    <row r="436" spans="1:17" ht="30" customHeight="1" x14ac:dyDescent="0.2">
      <c r="A436" s="280"/>
      <c r="B436" s="281"/>
      <c r="C436" s="281"/>
      <c r="D436" s="281"/>
      <c r="F436" s="285" t="str">
        <f t="shared" si="18"/>
        <v/>
      </c>
      <c r="G436" s="286"/>
      <c r="H436" s="287"/>
      <c r="I436" s="287"/>
      <c r="K436" s="285" t="str">
        <f t="shared" si="19"/>
        <v/>
      </c>
      <c r="L436" s="286"/>
      <c r="M436" s="287"/>
      <c r="N436" s="287"/>
      <c r="O436" s="286"/>
      <c r="P436" s="286"/>
      <c r="Q436" s="287"/>
    </row>
    <row r="437" spans="1:17" ht="30" customHeight="1" x14ac:dyDescent="0.2">
      <c r="A437" s="280"/>
      <c r="B437" s="281"/>
      <c r="C437" s="281"/>
      <c r="D437" s="281"/>
      <c r="F437" s="285" t="str">
        <f t="shared" si="18"/>
        <v/>
      </c>
      <c r="G437" s="286"/>
      <c r="H437" s="287"/>
      <c r="I437" s="287"/>
      <c r="K437" s="285" t="str">
        <f t="shared" si="19"/>
        <v/>
      </c>
      <c r="L437" s="286"/>
      <c r="M437" s="287"/>
      <c r="N437" s="287"/>
      <c r="O437" s="286"/>
      <c r="P437" s="286"/>
      <c r="Q437" s="287"/>
    </row>
    <row r="438" spans="1:17" ht="30" customHeight="1" x14ac:dyDescent="0.2">
      <c r="A438" s="280"/>
      <c r="B438" s="281"/>
      <c r="C438" s="281"/>
      <c r="D438" s="281"/>
      <c r="F438" s="285" t="str">
        <f t="shared" si="18"/>
        <v/>
      </c>
      <c r="G438" s="286"/>
      <c r="H438" s="287"/>
      <c r="I438" s="287"/>
      <c r="K438" s="285" t="str">
        <f t="shared" si="19"/>
        <v/>
      </c>
      <c r="L438" s="286"/>
      <c r="M438" s="287"/>
      <c r="N438" s="287"/>
      <c r="O438" s="286"/>
      <c r="P438" s="286"/>
      <c r="Q438" s="287"/>
    </row>
    <row r="439" spans="1:17" ht="30" customHeight="1" x14ac:dyDescent="0.2">
      <c r="A439" s="280"/>
      <c r="B439" s="281"/>
      <c r="C439" s="281"/>
      <c r="D439" s="281"/>
      <c r="F439" s="285" t="str">
        <f t="shared" si="18"/>
        <v/>
      </c>
      <c r="G439" s="286"/>
      <c r="H439" s="287"/>
      <c r="I439" s="287"/>
      <c r="K439" s="285" t="str">
        <f t="shared" si="19"/>
        <v/>
      </c>
      <c r="L439" s="286"/>
      <c r="M439" s="287"/>
      <c r="N439" s="287"/>
      <c r="O439" s="286"/>
      <c r="P439" s="286"/>
      <c r="Q439" s="287"/>
    </row>
    <row r="440" spans="1:17" ht="30" customHeight="1" x14ac:dyDescent="0.2">
      <c r="A440" s="280"/>
      <c r="B440" s="281"/>
      <c r="C440" s="281"/>
      <c r="D440" s="281"/>
      <c r="F440" s="285" t="str">
        <f t="shared" si="18"/>
        <v/>
      </c>
      <c r="G440" s="286"/>
      <c r="H440" s="287"/>
      <c r="I440" s="287"/>
      <c r="K440" s="285" t="str">
        <f t="shared" si="19"/>
        <v/>
      </c>
      <c r="L440" s="286"/>
      <c r="M440" s="287"/>
      <c r="N440" s="287"/>
      <c r="O440" s="286"/>
      <c r="P440" s="286"/>
      <c r="Q440" s="287"/>
    </row>
    <row r="441" spans="1:17" ht="30" customHeight="1" x14ac:dyDescent="0.2">
      <c r="A441" s="280"/>
      <c r="B441" s="281"/>
      <c r="C441" s="281"/>
      <c r="D441" s="281"/>
      <c r="F441" s="285" t="str">
        <f t="shared" si="18"/>
        <v/>
      </c>
      <c r="G441" s="286"/>
      <c r="H441" s="287"/>
      <c r="I441" s="287"/>
      <c r="K441" s="285" t="str">
        <f t="shared" si="19"/>
        <v/>
      </c>
      <c r="L441" s="286"/>
      <c r="M441" s="287"/>
      <c r="N441" s="287"/>
      <c r="O441" s="286"/>
      <c r="P441" s="286"/>
      <c r="Q441" s="287"/>
    </row>
    <row r="442" spans="1:17" ht="30" customHeight="1" x14ac:dyDescent="0.2">
      <c r="A442" s="280"/>
      <c r="B442" s="281"/>
      <c r="C442" s="281"/>
      <c r="D442" s="281"/>
      <c r="F442" s="285" t="str">
        <f t="shared" si="18"/>
        <v/>
      </c>
      <c r="G442" s="286"/>
      <c r="H442" s="287"/>
      <c r="I442" s="287"/>
      <c r="K442" s="285" t="str">
        <f t="shared" si="19"/>
        <v/>
      </c>
      <c r="L442" s="286"/>
      <c r="M442" s="287"/>
      <c r="N442" s="287"/>
      <c r="O442" s="286"/>
      <c r="P442" s="286"/>
      <c r="Q442" s="287"/>
    </row>
    <row r="443" spans="1:17" ht="30" customHeight="1" x14ac:dyDescent="0.2">
      <c r="A443" s="280"/>
      <c r="B443" s="281"/>
      <c r="C443" s="281"/>
      <c r="D443" s="281"/>
      <c r="F443" s="285" t="str">
        <f t="shared" si="18"/>
        <v/>
      </c>
      <c r="G443" s="286"/>
      <c r="H443" s="287"/>
      <c r="I443" s="287"/>
      <c r="K443" s="285" t="str">
        <f t="shared" si="19"/>
        <v/>
      </c>
      <c r="L443" s="286"/>
      <c r="M443" s="287"/>
      <c r="N443" s="287"/>
      <c r="O443" s="286"/>
      <c r="P443" s="286"/>
      <c r="Q443" s="287"/>
    </row>
    <row r="444" spans="1:17" ht="30" customHeight="1" x14ac:dyDescent="0.2">
      <c r="A444" s="280"/>
      <c r="B444" s="281"/>
      <c r="C444" s="281"/>
      <c r="D444" s="281"/>
      <c r="F444" s="285" t="str">
        <f t="shared" si="18"/>
        <v/>
      </c>
      <c r="G444" s="286"/>
      <c r="H444" s="287"/>
      <c r="I444" s="287"/>
      <c r="K444" s="285" t="str">
        <f t="shared" si="19"/>
        <v/>
      </c>
      <c r="L444" s="286"/>
      <c r="M444" s="287"/>
      <c r="N444" s="287"/>
      <c r="O444" s="286"/>
      <c r="P444" s="286"/>
      <c r="Q444" s="287"/>
    </row>
    <row r="445" spans="1:17" ht="30" customHeight="1" x14ac:dyDescent="0.2">
      <c r="A445" s="280"/>
      <c r="B445" s="281"/>
      <c r="C445" s="281"/>
      <c r="D445" s="281"/>
      <c r="F445" s="285" t="str">
        <f t="shared" si="18"/>
        <v/>
      </c>
      <c r="G445" s="286"/>
      <c r="H445" s="287"/>
      <c r="I445" s="287"/>
      <c r="K445" s="285" t="str">
        <f t="shared" si="19"/>
        <v/>
      </c>
      <c r="L445" s="286"/>
      <c r="M445" s="287"/>
      <c r="N445" s="287"/>
      <c r="O445" s="286"/>
      <c r="P445" s="286"/>
      <c r="Q445" s="287"/>
    </row>
    <row r="446" spans="1:17" ht="30" customHeight="1" x14ac:dyDescent="0.2">
      <c r="A446" s="280"/>
      <c r="B446" s="281"/>
      <c r="C446" s="281"/>
      <c r="D446" s="281"/>
      <c r="F446" s="285" t="str">
        <f t="shared" si="18"/>
        <v/>
      </c>
      <c r="G446" s="286"/>
      <c r="H446" s="287"/>
      <c r="I446" s="287"/>
      <c r="K446" s="285" t="str">
        <f t="shared" si="19"/>
        <v/>
      </c>
      <c r="L446" s="286"/>
      <c r="M446" s="287"/>
      <c r="N446" s="287"/>
      <c r="O446" s="286"/>
      <c r="P446" s="286"/>
      <c r="Q446" s="287"/>
    </row>
    <row r="447" spans="1:17" ht="30" customHeight="1" x14ac:dyDescent="0.2">
      <c r="A447" s="280"/>
      <c r="B447" s="281"/>
      <c r="C447" s="281"/>
      <c r="D447" s="281"/>
      <c r="F447" s="285" t="str">
        <f t="shared" si="18"/>
        <v/>
      </c>
      <c r="G447" s="286"/>
      <c r="H447" s="287"/>
      <c r="I447" s="287"/>
      <c r="K447" s="285" t="str">
        <f t="shared" si="19"/>
        <v/>
      </c>
      <c r="L447" s="286"/>
      <c r="M447" s="287"/>
      <c r="N447" s="287"/>
      <c r="O447" s="286"/>
      <c r="P447" s="286"/>
      <c r="Q447" s="287"/>
    </row>
    <row r="448" spans="1:17" ht="30" customHeight="1" x14ac:dyDescent="0.2">
      <c r="A448" s="280"/>
      <c r="B448" s="281"/>
      <c r="C448" s="281"/>
      <c r="D448" s="281"/>
      <c r="F448" s="285" t="str">
        <f t="shared" si="18"/>
        <v/>
      </c>
      <c r="G448" s="286"/>
      <c r="H448" s="287"/>
      <c r="I448" s="287"/>
      <c r="K448" s="285" t="str">
        <f t="shared" si="19"/>
        <v/>
      </c>
      <c r="L448" s="286"/>
      <c r="M448" s="287"/>
      <c r="N448" s="287"/>
      <c r="O448" s="286"/>
      <c r="P448" s="286"/>
      <c r="Q448" s="287"/>
    </row>
    <row r="449" spans="1:17" ht="30" customHeight="1" x14ac:dyDescent="0.2">
      <c r="A449" s="280"/>
      <c r="B449" s="281"/>
      <c r="C449" s="281"/>
      <c r="D449" s="281"/>
      <c r="F449" s="285" t="str">
        <f t="shared" si="18"/>
        <v/>
      </c>
      <c r="G449" s="286"/>
      <c r="H449" s="287"/>
      <c r="I449" s="287"/>
      <c r="K449" s="285" t="str">
        <f t="shared" si="19"/>
        <v/>
      </c>
      <c r="L449" s="286"/>
      <c r="M449" s="287"/>
      <c r="N449" s="287"/>
      <c r="O449" s="286"/>
      <c r="P449" s="286"/>
      <c r="Q449" s="287"/>
    </row>
    <row r="450" spans="1:17" ht="30" customHeight="1" x14ac:dyDescent="0.2">
      <c r="A450" s="280"/>
      <c r="B450" s="281"/>
      <c r="C450" s="281"/>
      <c r="D450" s="281"/>
      <c r="F450" s="285" t="str">
        <f t="shared" si="18"/>
        <v/>
      </c>
      <c r="G450" s="286"/>
      <c r="H450" s="287"/>
      <c r="I450" s="287"/>
      <c r="K450" s="285" t="str">
        <f t="shared" si="19"/>
        <v/>
      </c>
      <c r="L450" s="286"/>
      <c r="M450" s="287"/>
      <c r="N450" s="287"/>
      <c r="O450" s="286"/>
      <c r="P450" s="286"/>
      <c r="Q450" s="287"/>
    </row>
    <row r="451" spans="1:17" ht="30" customHeight="1" x14ac:dyDescent="0.2">
      <c r="A451" s="280"/>
      <c r="B451" s="281"/>
      <c r="C451" s="281"/>
      <c r="D451" s="281"/>
      <c r="F451" s="285" t="str">
        <f t="shared" si="18"/>
        <v/>
      </c>
      <c r="G451" s="286"/>
      <c r="H451" s="287"/>
      <c r="I451" s="287"/>
      <c r="K451" s="285" t="str">
        <f t="shared" si="19"/>
        <v/>
      </c>
      <c r="L451" s="286"/>
      <c r="M451" s="287"/>
      <c r="N451" s="287"/>
      <c r="O451" s="286"/>
      <c r="P451" s="286"/>
      <c r="Q451" s="287"/>
    </row>
    <row r="452" spans="1:17" ht="30" customHeight="1" x14ac:dyDescent="0.2">
      <c r="A452" s="280"/>
      <c r="B452" s="281"/>
      <c r="C452" s="281"/>
      <c r="D452" s="281"/>
      <c r="F452" s="285" t="str">
        <f t="shared" si="18"/>
        <v/>
      </c>
      <c r="G452" s="286"/>
      <c r="H452" s="287"/>
      <c r="I452" s="287"/>
      <c r="K452" s="285" t="str">
        <f t="shared" si="19"/>
        <v/>
      </c>
      <c r="L452" s="286"/>
      <c r="M452" s="287"/>
      <c r="N452" s="287"/>
      <c r="O452" s="286"/>
      <c r="P452" s="286"/>
      <c r="Q452" s="287"/>
    </row>
    <row r="453" spans="1:17" ht="30" customHeight="1" x14ac:dyDescent="0.2">
      <c r="A453" s="280"/>
      <c r="B453" s="281"/>
      <c r="C453" s="281"/>
      <c r="D453" s="281"/>
      <c r="F453" s="285" t="str">
        <f t="shared" ref="F453:F516" si="20">IF(A453="","",A453)</f>
        <v/>
      </c>
      <c r="G453" s="286"/>
      <c r="H453" s="287"/>
      <c r="I453" s="287"/>
      <c r="K453" s="285" t="str">
        <f t="shared" si="19"/>
        <v/>
      </c>
      <c r="L453" s="286"/>
      <c r="M453" s="287"/>
      <c r="N453" s="287"/>
      <c r="O453" s="286"/>
      <c r="P453" s="286"/>
      <c r="Q453" s="287"/>
    </row>
    <row r="454" spans="1:17" ht="30" customHeight="1" x14ac:dyDescent="0.2">
      <c r="A454" s="280"/>
      <c r="B454" s="281"/>
      <c r="C454" s="281"/>
      <c r="D454" s="281"/>
      <c r="F454" s="285" t="str">
        <f t="shared" si="20"/>
        <v/>
      </c>
      <c r="G454" s="286"/>
      <c r="H454" s="287"/>
      <c r="I454" s="287"/>
      <c r="K454" s="285" t="str">
        <f t="shared" si="19"/>
        <v/>
      </c>
      <c r="L454" s="286"/>
      <c r="M454" s="287"/>
      <c r="N454" s="287"/>
      <c r="O454" s="286"/>
      <c r="P454" s="286"/>
      <c r="Q454" s="287"/>
    </row>
    <row r="455" spans="1:17" ht="30" customHeight="1" x14ac:dyDescent="0.2">
      <c r="A455" s="280"/>
      <c r="B455" s="281"/>
      <c r="C455" s="281"/>
      <c r="D455" s="281"/>
      <c r="F455" s="285" t="str">
        <f t="shared" si="20"/>
        <v/>
      </c>
      <c r="G455" s="286"/>
      <c r="H455" s="287"/>
      <c r="I455" s="287"/>
      <c r="K455" s="285" t="str">
        <f t="shared" si="19"/>
        <v/>
      </c>
      <c r="L455" s="286"/>
      <c r="M455" s="287"/>
      <c r="N455" s="287"/>
      <c r="O455" s="286"/>
      <c r="P455" s="286"/>
      <c r="Q455" s="287"/>
    </row>
    <row r="456" spans="1:17" ht="30" customHeight="1" x14ac:dyDescent="0.2">
      <c r="A456" s="280"/>
      <c r="B456" s="281"/>
      <c r="C456" s="281"/>
      <c r="D456" s="281"/>
      <c r="F456" s="285" t="str">
        <f t="shared" si="20"/>
        <v/>
      </c>
      <c r="G456" s="286"/>
      <c r="H456" s="287"/>
      <c r="I456" s="287"/>
      <c r="K456" s="285" t="str">
        <f t="shared" si="19"/>
        <v/>
      </c>
      <c r="L456" s="286"/>
      <c r="M456" s="287"/>
      <c r="N456" s="287"/>
      <c r="O456" s="286"/>
      <c r="P456" s="286"/>
      <c r="Q456" s="287"/>
    </row>
    <row r="457" spans="1:17" ht="30" customHeight="1" x14ac:dyDescent="0.2">
      <c r="A457" s="280"/>
      <c r="B457" s="281"/>
      <c r="C457" s="281"/>
      <c r="D457" s="281"/>
      <c r="F457" s="285" t="str">
        <f t="shared" si="20"/>
        <v/>
      </c>
      <c r="G457" s="286"/>
      <c r="H457" s="287"/>
      <c r="I457" s="287"/>
      <c r="K457" s="285" t="str">
        <f t="shared" si="19"/>
        <v/>
      </c>
      <c r="L457" s="286"/>
      <c r="M457" s="287"/>
      <c r="N457" s="287"/>
      <c r="O457" s="286"/>
      <c r="P457" s="286"/>
      <c r="Q457" s="287"/>
    </row>
    <row r="458" spans="1:17" ht="30" customHeight="1" x14ac:dyDescent="0.2">
      <c r="A458" s="280"/>
      <c r="B458" s="281"/>
      <c r="C458" s="281"/>
      <c r="D458" s="281"/>
      <c r="F458" s="285" t="str">
        <f t="shared" si="20"/>
        <v/>
      </c>
      <c r="G458" s="286"/>
      <c r="H458" s="287"/>
      <c r="I458" s="287"/>
      <c r="K458" s="285" t="str">
        <f t="shared" si="19"/>
        <v/>
      </c>
      <c r="L458" s="286"/>
      <c r="M458" s="287"/>
      <c r="N458" s="287"/>
      <c r="O458" s="286"/>
      <c r="P458" s="286"/>
      <c r="Q458" s="287"/>
    </row>
    <row r="459" spans="1:17" ht="30" customHeight="1" x14ac:dyDescent="0.2">
      <c r="A459" s="280"/>
      <c r="B459" s="281"/>
      <c r="C459" s="281"/>
      <c r="D459" s="281"/>
      <c r="F459" s="285" t="str">
        <f t="shared" si="20"/>
        <v/>
      </c>
      <c r="G459" s="286"/>
      <c r="H459" s="287"/>
      <c r="I459" s="287"/>
      <c r="K459" s="285" t="str">
        <f t="shared" ref="K459:K522" si="21">IF(A459="","",A459)</f>
        <v/>
      </c>
      <c r="L459" s="286"/>
      <c r="M459" s="287"/>
      <c r="N459" s="287"/>
      <c r="O459" s="286"/>
      <c r="P459" s="286"/>
      <c r="Q459" s="287"/>
    </row>
    <row r="460" spans="1:17" ht="30" customHeight="1" x14ac:dyDescent="0.2">
      <c r="A460" s="280"/>
      <c r="B460" s="281"/>
      <c r="C460" s="281"/>
      <c r="D460" s="281"/>
      <c r="F460" s="285" t="str">
        <f t="shared" si="20"/>
        <v/>
      </c>
      <c r="G460" s="286"/>
      <c r="H460" s="287"/>
      <c r="I460" s="287"/>
      <c r="K460" s="285" t="str">
        <f t="shared" si="21"/>
        <v/>
      </c>
      <c r="L460" s="286"/>
      <c r="M460" s="287"/>
      <c r="N460" s="287"/>
      <c r="O460" s="286"/>
      <c r="P460" s="286"/>
      <c r="Q460" s="287"/>
    </row>
    <row r="461" spans="1:17" ht="30" customHeight="1" x14ac:dyDescent="0.2">
      <c r="A461" s="280"/>
      <c r="B461" s="281"/>
      <c r="C461" s="281"/>
      <c r="D461" s="281"/>
      <c r="F461" s="285" t="str">
        <f t="shared" si="20"/>
        <v/>
      </c>
      <c r="G461" s="286"/>
      <c r="H461" s="287"/>
      <c r="I461" s="287"/>
      <c r="K461" s="285" t="str">
        <f t="shared" si="21"/>
        <v/>
      </c>
      <c r="L461" s="286"/>
      <c r="M461" s="287"/>
      <c r="N461" s="287"/>
      <c r="O461" s="286"/>
      <c r="P461" s="286"/>
      <c r="Q461" s="287"/>
    </row>
    <row r="462" spans="1:17" ht="30" customHeight="1" x14ac:dyDescent="0.2">
      <c r="A462" s="280"/>
      <c r="B462" s="281"/>
      <c r="C462" s="281"/>
      <c r="D462" s="281"/>
      <c r="F462" s="285" t="str">
        <f t="shared" si="20"/>
        <v/>
      </c>
      <c r="G462" s="286"/>
      <c r="H462" s="287"/>
      <c r="I462" s="287"/>
      <c r="K462" s="285" t="str">
        <f t="shared" si="21"/>
        <v/>
      </c>
      <c r="L462" s="286"/>
      <c r="M462" s="287"/>
      <c r="N462" s="287"/>
      <c r="O462" s="286"/>
      <c r="P462" s="286"/>
      <c r="Q462" s="287"/>
    </row>
    <row r="463" spans="1:17" ht="30" customHeight="1" x14ac:dyDescent="0.2">
      <c r="A463" s="280"/>
      <c r="B463" s="281"/>
      <c r="C463" s="281"/>
      <c r="D463" s="281"/>
      <c r="F463" s="285" t="str">
        <f t="shared" si="20"/>
        <v/>
      </c>
      <c r="G463" s="286"/>
      <c r="H463" s="287"/>
      <c r="I463" s="287"/>
      <c r="K463" s="285" t="str">
        <f t="shared" si="21"/>
        <v/>
      </c>
      <c r="L463" s="286"/>
      <c r="M463" s="287"/>
      <c r="N463" s="287"/>
      <c r="O463" s="286"/>
      <c r="P463" s="286"/>
      <c r="Q463" s="287"/>
    </row>
    <row r="464" spans="1:17" ht="30" customHeight="1" x14ac:dyDescent="0.2">
      <c r="A464" s="280"/>
      <c r="B464" s="281"/>
      <c r="C464" s="281"/>
      <c r="D464" s="281"/>
      <c r="F464" s="285" t="str">
        <f t="shared" si="20"/>
        <v/>
      </c>
      <c r="G464" s="286"/>
      <c r="H464" s="287"/>
      <c r="I464" s="287"/>
      <c r="K464" s="285" t="str">
        <f t="shared" si="21"/>
        <v/>
      </c>
      <c r="L464" s="286"/>
      <c r="M464" s="287"/>
      <c r="N464" s="287"/>
      <c r="O464" s="286"/>
      <c r="P464" s="286"/>
      <c r="Q464" s="287"/>
    </row>
    <row r="465" spans="1:17" ht="30" customHeight="1" x14ac:dyDescent="0.2">
      <c r="A465" s="280"/>
      <c r="B465" s="281"/>
      <c r="C465" s="281"/>
      <c r="D465" s="281"/>
      <c r="F465" s="285" t="str">
        <f t="shared" si="20"/>
        <v/>
      </c>
      <c r="G465" s="286"/>
      <c r="H465" s="287"/>
      <c r="I465" s="287"/>
      <c r="K465" s="285" t="str">
        <f t="shared" si="21"/>
        <v/>
      </c>
      <c r="L465" s="286"/>
      <c r="M465" s="287"/>
      <c r="N465" s="287"/>
      <c r="O465" s="286"/>
      <c r="P465" s="286"/>
      <c r="Q465" s="287"/>
    </row>
    <row r="466" spans="1:17" ht="30" customHeight="1" x14ac:dyDescent="0.2">
      <c r="A466" s="280"/>
      <c r="B466" s="281"/>
      <c r="C466" s="281"/>
      <c r="D466" s="281"/>
      <c r="F466" s="285" t="str">
        <f t="shared" si="20"/>
        <v/>
      </c>
      <c r="G466" s="286"/>
      <c r="H466" s="287"/>
      <c r="I466" s="287"/>
      <c r="K466" s="285" t="str">
        <f t="shared" si="21"/>
        <v/>
      </c>
      <c r="L466" s="286"/>
      <c r="M466" s="287"/>
      <c r="N466" s="287"/>
      <c r="O466" s="286"/>
      <c r="P466" s="286"/>
      <c r="Q466" s="287"/>
    </row>
    <row r="467" spans="1:17" ht="30" customHeight="1" x14ac:dyDescent="0.2">
      <c r="A467" s="280"/>
      <c r="B467" s="281"/>
      <c r="C467" s="281"/>
      <c r="D467" s="281"/>
      <c r="F467" s="285" t="str">
        <f t="shared" si="20"/>
        <v/>
      </c>
      <c r="G467" s="286"/>
      <c r="H467" s="287"/>
      <c r="I467" s="287"/>
      <c r="K467" s="285" t="str">
        <f t="shared" si="21"/>
        <v/>
      </c>
      <c r="L467" s="286"/>
      <c r="M467" s="287"/>
      <c r="N467" s="287"/>
      <c r="O467" s="286"/>
      <c r="P467" s="286"/>
      <c r="Q467" s="287"/>
    </row>
    <row r="468" spans="1:17" ht="30" customHeight="1" x14ac:dyDescent="0.2">
      <c r="A468" s="280"/>
      <c r="B468" s="281"/>
      <c r="C468" s="281"/>
      <c r="D468" s="281"/>
      <c r="F468" s="285" t="str">
        <f t="shared" si="20"/>
        <v/>
      </c>
      <c r="G468" s="286"/>
      <c r="H468" s="287"/>
      <c r="I468" s="287"/>
      <c r="K468" s="285" t="str">
        <f t="shared" si="21"/>
        <v/>
      </c>
      <c r="L468" s="286"/>
      <c r="M468" s="287"/>
      <c r="N468" s="287"/>
      <c r="O468" s="286"/>
      <c r="P468" s="286"/>
      <c r="Q468" s="287"/>
    </row>
    <row r="469" spans="1:17" ht="30" customHeight="1" x14ac:dyDescent="0.2">
      <c r="A469" s="280"/>
      <c r="B469" s="281"/>
      <c r="C469" s="281"/>
      <c r="D469" s="281"/>
      <c r="F469" s="285" t="str">
        <f t="shared" si="20"/>
        <v/>
      </c>
      <c r="G469" s="286"/>
      <c r="H469" s="287"/>
      <c r="I469" s="287"/>
      <c r="K469" s="285" t="str">
        <f t="shared" si="21"/>
        <v/>
      </c>
      <c r="L469" s="286"/>
      <c r="M469" s="287"/>
      <c r="N469" s="287"/>
      <c r="O469" s="286"/>
      <c r="P469" s="286"/>
      <c r="Q469" s="287"/>
    </row>
    <row r="470" spans="1:17" ht="30" customHeight="1" x14ac:dyDescent="0.2">
      <c r="A470" s="280"/>
      <c r="B470" s="281"/>
      <c r="C470" s="281"/>
      <c r="D470" s="281"/>
      <c r="F470" s="285" t="str">
        <f t="shared" si="20"/>
        <v/>
      </c>
      <c r="G470" s="286"/>
      <c r="H470" s="287"/>
      <c r="I470" s="287"/>
      <c r="K470" s="285" t="str">
        <f t="shared" si="21"/>
        <v/>
      </c>
      <c r="L470" s="286"/>
      <c r="M470" s="287"/>
      <c r="N470" s="287"/>
      <c r="O470" s="286"/>
      <c r="P470" s="286"/>
      <c r="Q470" s="287"/>
    </row>
    <row r="471" spans="1:17" ht="30" customHeight="1" x14ac:dyDescent="0.2">
      <c r="A471" s="280"/>
      <c r="B471" s="281"/>
      <c r="C471" s="281"/>
      <c r="D471" s="281"/>
      <c r="F471" s="285" t="str">
        <f t="shared" si="20"/>
        <v/>
      </c>
      <c r="G471" s="286"/>
      <c r="H471" s="287"/>
      <c r="I471" s="287"/>
      <c r="K471" s="285" t="str">
        <f t="shared" si="21"/>
        <v/>
      </c>
      <c r="L471" s="286"/>
      <c r="M471" s="287"/>
      <c r="N471" s="287"/>
      <c r="O471" s="286"/>
      <c r="P471" s="286"/>
      <c r="Q471" s="287"/>
    </row>
    <row r="472" spans="1:17" ht="30" customHeight="1" x14ac:dyDescent="0.2">
      <c r="A472" s="280"/>
      <c r="B472" s="281"/>
      <c r="C472" s="281"/>
      <c r="D472" s="281"/>
      <c r="F472" s="285" t="str">
        <f t="shared" si="20"/>
        <v/>
      </c>
      <c r="G472" s="286"/>
      <c r="H472" s="287"/>
      <c r="I472" s="287"/>
      <c r="K472" s="285" t="str">
        <f t="shared" si="21"/>
        <v/>
      </c>
      <c r="L472" s="286"/>
      <c r="M472" s="287"/>
      <c r="N472" s="287"/>
      <c r="O472" s="286"/>
      <c r="P472" s="286"/>
      <c r="Q472" s="287"/>
    </row>
    <row r="473" spans="1:17" ht="30" customHeight="1" x14ac:dyDescent="0.2">
      <c r="A473" s="280"/>
      <c r="B473" s="281"/>
      <c r="C473" s="281"/>
      <c r="D473" s="281"/>
      <c r="F473" s="285" t="str">
        <f t="shared" si="20"/>
        <v/>
      </c>
      <c r="G473" s="286"/>
      <c r="H473" s="287"/>
      <c r="I473" s="287"/>
      <c r="K473" s="285" t="str">
        <f t="shared" si="21"/>
        <v/>
      </c>
      <c r="L473" s="286"/>
      <c r="M473" s="287"/>
      <c r="N473" s="287"/>
      <c r="O473" s="286"/>
      <c r="P473" s="286"/>
      <c r="Q473" s="287"/>
    </row>
    <row r="474" spans="1:17" ht="30" customHeight="1" x14ac:dyDescent="0.2">
      <c r="A474" s="280"/>
      <c r="B474" s="281"/>
      <c r="C474" s="281"/>
      <c r="D474" s="281"/>
      <c r="F474" s="285" t="str">
        <f t="shared" si="20"/>
        <v/>
      </c>
      <c r="G474" s="286"/>
      <c r="H474" s="287"/>
      <c r="I474" s="287"/>
      <c r="K474" s="285" t="str">
        <f t="shared" si="21"/>
        <v/>
      </c>
      <c r="L474" s="286"/>
      <c r="M474" s="287"/>
      <c r="N474" s="287"/>
      <c r="O474" s="286"/>
      <c r="P474" s="286"/>
      <c r="Q474" s="287"/>
    </row>
    <row r="475" spans="1:17" ht="30" customHeight="1" x14ac:dyDescent="0.2">
      <c r="A475" s="280"/>
      <c r="B475" s="281"/>
      <c r="C475" s="281"/>
      <c r="D475" s="281"/>
      <c r="F475" s="285" t="str">
        <f t="shared" si="20"/>
        <v/>
      </c>
      <c r="G475" s="286"/>
      <c r="H475" s="287"/>
      <c r="I475" s="287"/>
      <c r="K475" s="285" t="str">
        <f t="shared" si="21"/>
        <v/>
      </c>
      <c r="L475" s="286"/>
      <c r="M475" s="287"/>
      <c r="N475" s="287"/>
      <c r="O475" s="286"/>
      <c r="P475" s="286"/>
      <c r="Q475" s="287"/>
    </row>
    <row r="476" spans="1:17" ht="30" customHeight="1" x14ac:dyDescent="0.2">
      <c r="A476" s="280"/>
      <c r="B476" s="281"/>
      <c r="C476" s="281"/>
      <c r="D476" s="281"/>
      <c r="F476" s="285" t="str">
        <f t="shared" si="20"/>
        <v/>
      </c>
      <c r="G476" s="286"/>
      <c r="H476" s="287"/>
      <c r="I476" s="287"/>
      <c r="K476" s="285" t="str">
        <f t="shared" si="21"/>
        <v/>
      </c>
      <c r="L476" s="286"/>
      <c r="M476" s="287"/>
      <c r="N476" s="287"/>
      <c r="O476" s="286"/>
      <c r="P476" s="286"/>
      <c r="Q476" s="287"/>
    </row>
    <row r="477" spans="1:17" ht="30" customHeight="1" x14ac:dyDescent="0.2">
      <c r="A477" s="280"/>
      <c r="B477" s="281"/>
      <c r="C477" s="281"/>
      <c r="D477" s="281"/>
      <c r="F477" s="285" t="str">
        <f t="shared" si="20"/>
        <v/>
      </c>
      <c r="G477" s="286"/>
      <c r="H477" s="287"/>
      <c r="I477" s="287"/>
      <c r="K477" s="285" t="str">
        <f t="shared" si="21"/>
        <v/>
      </c>
      <c r="L477" s="286"/>
      <c r="M477" s="287"/>
      <c r="N477" s="287"/>
      <c r="O477" s="286"/>
      <c r="P477" s="286"/>
      <c r="Q477" s="287"/>
    </row>
    <row r="478" spans="1:17" ht="30" customHeight="1" x14ac:dyDescent="0.2">
      <c r="A478" s="280"/>
      <c r="B478" s="281"/>
      <c r="C478" s="281"/>
      <c r="D478" s="281"/>
      <c r="F478" s="285" t="str">
        <f t="shared" si="20"/>
        <v/>
      </c>
      <c r="G478" s="286"/>
      <c r="H478" s="287"/>
      <c r="I478" s="287"/>
      <c r="K478" s="285" t="str">
        <f t="shared" si="21"/>
        <v/>
      </c>
      <c r="L478" s="286"/>
      <c r="M478" s="287"/>
      <c r="N478" s="287"/>
      <c r="O478" s="286"/>
      <c r="P478" s="286"/>
      <c r="Q478" s="287"/>
    </row>
    <row r="479" spans="1:17" ht="30" customHeight="1" x14ac:dyDescent="0.2">
      <c r="A479" s="280"/>
      <c r="B479" s="281"/>
      <c r="C479" s="281"/>
      <c r="D479" s="281"/>
      <c r="F479" s="285" t="str">
        <f t="shared" si="20"/>
        <v/>
      </c>
      <c r="G479" s="286"/>
      <c r="H479" s="287"/>
      <c r="I479" s="287"/>
      <c r="K479" s="285" t="str">
        <f t="shared" si="21"/>
        <v/>
      </c>
      <c r="L479" s="286"/>
      <c r="M479" s="287"/>
      <c r="N479" s="287"/>
      <c r="O479" s="286"/>
      <c r="P479" s="286"/>
      <c r="Q479" s="287"/>
    </row>
    <row r="480" spans="1:17" ht="30" customHeight="1" x14ac:dyDescent="0.2">
      <c r="A480" s="280"/>
      <c r="B480" s="281"/>
      <c r="C480" s="281"/>
      <c r="D480" s="281"/>
      <c r="F480" s="285" t="str">
        <f t="shared" si="20"/>
        <v/>
      </c>
      <c r="G480" s="286"/>
      <c r="H480" s="287"/>
      <c r="I480" s="287"/>
      <c r="K480" s="285" t="str">
        <f t="shared" si="21"/>
        <v/>
      </c>
      <c r="L480" s="286"/>
      <c r="M480" s="287"/>
      <c r="N480" s="287"/>
      <c r="O480" s="286"/>
      <c r="P480" s="286"/>
      <c r="Q480" s="287"/>
    </row>
    <row r="481" spans="1:17" ht="30" customHeight="1" x14ac:dyDescent="0.2">
      <c r="A481" s="280"/>
      <c r="B481" s="281"/>
      <c r="C481" s="281"/>
      <c r="D481" s="281"/>
      <c r="F481" s="285" t="str">
        <f t="shared" si="20"/>
        <v/>
      </c>
      <c r="G481" s="286"/>
      <c r="H481" s="287"/>
      <c r="I481" s="287"/>
      <c r="K481" s="285" t="str">
        <f t="shared" si="21"/>
        <v/>
      </c>
      <c r="L481" s="286"/>
      <c r="M481" s="287"/>
      <c r="N481" s="287"/>
      <c r="O481" s="286"/>
      <c r="P481" s="286"/>
      <c r="Q481" s="287"/>
    </row>
    <row r="482" spans="1:17" ht="30" customHeight="1" x14ac:dyDescent="0.2">
      <c r="A482" s="280"/>
      <c r="B482" s="281"/>
      <c r="C482" s="281"/>
      <c r="D482" s="281"/>
      <c r="F482" s="285" t="str">
        <f t="shared" si="20"/>
        <v/>
      </c>
      <c r="G482" s="286"/>
      <c r="H482" s="287"/>
      <c r="I482" s="287"/>
      <c r="K482" s="285" t="str">
        <f t="shared" si="21"/>
        <v/>
      </c>
      <c r="L482" s="286"/>
      <c r="M482" s="287"/>
      <c r="N482" s="287"/>
      <c r="O482" s="286"/>
      <c r="P482" s="286"/>
      <c r="Q482" s="287"/>
    </row>
    <row r="483" spans="1:17" ht="30" customHeight="1" x14ac:dyDescent="0.2">
      <c r="A483" s="280"/>
      <c r="B483" s="281"/>
      <c r="C483" s="281"/>
      <c r="D483" s="281"/>
      <c r="F483" s="285" t="str">
        <f t="shared" si="20"/>
        <v/>
      </c>
      <c r="G483" s="286"/>
      <c r="H483" s="287"/>
      <c r="I483" s="287"/>
      <c r="K483" s="285" t="str">
        <f t="shared" si="21"/>
        <v/>
      </c>
      <c r="L483" s="286"/>
      <c r="M483" s="287"/>
      <c r="N483" s="287"/>
      <c r="O483" s="286"/>
      <c r="P483" s="286"/>
      <c r="Q483" s="287"/>
    </row>
    <row r="484" spans="1:17" ht="30" customHeight="1" x14ac:dyDescent="0.2">
      <c r="A484" s="280"/>
      <c r="B484" s="281"/>
      <c r="C484" s="281"/>
      <c r="D484" s="281"/>
      <c r="F484" s="285" t="str">
        <f t="shared" si="20"/>
        <v/>
      </c>
      <c r="G484" s="286"/>
      <c r="H484" s="287"/>
      <c r="I484" s="287"/>
      <c r="K484" s="285" t="str">
        <f t="shared" si="21"/>
        <v/>
      </c>
      <c r="L484" s="286"/>
      <c r="M484" s="287"/>
      <c r="N484" s="287"/>
      <c r="O484" s="286"/>
      <c r="P484" s="286"/>
      <c r="Q484" s="287"/>
    </row>
    <row r="485" spans="1:17" ht="30" customHeight="1" x14ac:dyDescent="0.2">
      <c r="A485" s="280"/>
      <c r="B485" s="281"/>
      <c r="C485" s="281"/>
      <c r="D485" s="281"/>
      <c r="F485" s="285" t="str">
        <f t="shared" si="20"/>
        <v/>
      </c>
      <c r="G485" s="286"/>
      <c r="H485" s="287"/>
      <c r="I485" s="287"/>
      <c r="K485" s="285" t="str">
        <f t="shared" si="21"/>
        <v/>
      </c>
      <c r="L485" s="286"/>
      <c r="M485" s="287"/>
      <c r="N485" s="287"/>
      <c r="O485" s="286"/>
      <c r="P485" s="286"/>
      <c r="Q485" s="287"/>
    </row>
    <row r="486" spans="1:17" ht="30" customHeight="1" x14ac:dyDescent="0.2">
      <c r="A486" s="280"/>
      <c r="B486" s="281"/>
      <c r="C486" s="281"/>
      <c r="D486" s="281"/>
      <c r="F486" s="285" t="str">
        <f t="shared" si="20"/>
        <v/>
      </c>
      <c r="G486" s="286"/>
      <c r="H486" s="287"/>
      <c r="I486" s="287"/>
      <c r="K486" s="285" t="str">
        <f t="shared" si="21"/>
        <v/>
      </c>
      <c r="L486" s="286"/>
      <c r="M486" s="287"/>
      <c r="N486" s="287"/>
      <c r="O486" s="286"/>
      <c r="P486" s="286"/>
      <c r="Q486" s="287"/>
    </row>
    <row r="487" spans="1:17" ht="30" customHeight="1" x14ac:dyDescent="0.2">
      <c r="A487" s="280"/>
      <c r="B487" s="281"/>
      <c r="C487" s="281"/>
      <c r="D487" s="281"/>
      <c r="F487" s="285" t="str">
        <f t="shared" si="20"/>
        <v/>
      </c>
      <c r="G487" s="286"/>
      <c r="H487" s="287"/>
      <c r="I487" s="287"/>
      <c r="K487" s="285" t="str">
        <f t="shared" si="21"/>
        <v/>
      </c>
      <c r="L487" s="286"/>
      <c r="M487" s="287"/>
      <c r="N487" s="287"/>
      <c r="O487" s="286"/>
      <c r="P487" s="286"/>
      <c r="Q487" s="287"/>
    </row>
    <row r="488" spans="1:17" ht="30" customHeight="1" x14ac:dyDescent="0.2">
      <c r="A488" s="280"/>
      <c r="B488" s="281"/>
      <c r="C488" s="281"/>
      <c r="D488" s="281"/>
      <c r="F488" s="285" t="str">
        <f t="shared" si="20"/>
        <v/>
      </c>
      <c r="G488" s="286"/>
      <c r="H488" s="287"/>
      <c r="I488" s="287"/>
      <c r="K488" s="285" t="str">
        <f t="shared" si="21"/>
        <v/>
      </c>
      <c r="L488" s="286"/>
      <c r="M488" s="287"/>
      <c r="N488" s="287"/>
      <c r="O488" s="286"/>
      <c r="P488" s="286"/>
      <c r="Q488" s="287"/>
    </row>
    <row r="489" spans="1:17" ht="30" customHeight="1" x14ac:dyDescent="0.2">
      <c r="A489" s="280"/>
      <c r="B489" s="281"/>
      <c r="C489" s="281"/>
      <c r="D489" s="281"/>
      <c r="F489" s="285" t="str">
        <f t="shared" si="20"/>
        <v/>
      </c>
      <c r="G489" s="286"/>
      <c r="H489" s="287"/>
      <c r="I489" s="287"/>
      <c r="K489" s="285" t="str">
        <f t="shared" si="21"/>
        <v/>
      </c>
      <c r="L489" s="286"/>
      <c r="M489" s="287"/>
      <c r="N489" s="287"/>
      <c r="O489" s="286"/>
      <c r="P489" s="286"/>
      <c r="Q489" s="287"/>
    </row>
    <row r="490" spans="1:17" ht="30" customHeight="1" x14ac:dyDescent="0.2">
      <c r="A490" s="280"/>
      <c r="B490" s="281"/>
      <c r="C490" s="281"/>
      <c r="D490" s="281"/>
      <c r="F490" s="285" t="str">
        <f t="shared" si="20"/>
        <v/>
      </c>
      <c r="G490" s="286"/>
      <c r="H490" s="287"/>
      <c r="I490" s="287"/>
      <c r="K490" s="285" t="str">
        <f t="shared" si="21"/>
        <v/>
      </c>
      <c r="L490" s="286"/>
      <c r="M490" s="287"/>
      <c r="N490" s="287"/>
      <c r="O490" s="286"/>
      <c r="P490" s="286"/>
      <c r="Q490" s="287"/>
    </row>
    <row r="491" spans="1:17" ht="30" customHeight="1" x14ac:dyDescent="0.2">
      <c r="A491" s="280"/>
      <c r="B491" s="281"/>
      <c r="C491" s="281"/>
      <c r="D491" s="281"/>
      <c r="F491" s="285" t="str">
        <f t="shared" si="20"/>
        <v/>
      </c>
      <c r="G491" s="286"/>
      <c r="H491" s="287"/>
      <c r="I491" s="287"/>
      <c r="K491" s="285" t="str">
        <f t="shared" si="21"/>
        <v/>
      </c>
      <c r="L491" s="286"/>
      <c r="M491" s="287"/>
      <c r="N491" s="287"/>
      <c r="O491" s="286"/>
      <c r="P491" s="286"/>
      <c r="Q491" s="287"/>
    </row>
    <row r="492" spans="1:17" ht="30" customHeight="1" x14ac:dyDescent="0.2">
      <c r="A492" s="280"/>
      <c r="B492" s="281"/>
      <c r="C492" s="281"/>
      <c r="D492" s="281"/>
      <c r="F492" s="285" t="str">
        <f t="shared" si="20"/>
        <v/>
      </c>
      <c r="G492" s="286"/>
      <c r="H492" s="287"/>
      <c r="I492" s="287"/>
      <c r="K492" s="285" t="str">
        <f t="shared" si="21"/>
        <v/>
      </c>
      <c r="L492" s="286"/>
      <c r="M492" s="287"/>
      <c r="N492" s="287"/>
      <c r="O492" s="286"/>
      <c r="P492" s="286"/>
      <c r="Q492" s="287"/>
    </row>
    <row r="493" spans="1:17" ht="30" customHeight="1" x14ac:dyDescent="0.2">
      <c r="A493" s="280"/>
      <c r="B493" s="281"/>
      <c r="C493" s="281"/>
      <c r="D493" s="281"/>
      <c r="F493" s="285" t="str">
        <f t="shared" si="20"/>
        <v/>
      </c>
      <c r="G493" s="286"/>
      <c r="H493" s="287"/>
      <c r="I493" s="287"/>
      <c r="K493" s="285" t="str">
        <f t="shared" si="21"/>
        <v/>
      </c>
      <c r="L493" s="286"/>
      <c r="M493" s="287"/>
      <c r="N493" s="287"/>
      <c r="O493" s="286"/>
      <c r="P493" s="286"/>
      <c r="Q493" s="287"/>
    </row>
    <row r="494" spans="1:17" ht="30" customHeight="1" x14ac:dyDescent="0.2">
      <c r="A494" s="280"/>
      <c r="B494" s="281"/>
      <c r="C494" s="281"/>
      <c r="D494" s="281"/>
      <c r="F494" s="285" t="str">
        <f t="shared" si="20"/>
        <v/>
      </c>
      <c r="G494" s="286"/>
      <c r="H494" s="287"/>
      <c r="I494" s="287"/>
      <c r="K494" s="285" t="str">
        <f t="shared" si="21"/>
        <v/>
      </c>
      <c r="L494" s="286"/>
      <c r="M494" s="287"/>
      <c r="N494" s="287"/>
      <c r="O494" s="286"/>
      <c r="P494" s="286"/>
      <c r="Q494" s="287"/>
    </row>
    <row r="495" spans="1:17" ht="30" customHeight="1" x14ac:dyDescent="0.2">
      <c r="A495" s="280"/>
      <c r="B495" s="281"/>
      <c r="C495" s="281"/>
      <c r="D495" s="281"/>
      <c r="F495" s="285" t="str">
        <f t="shared" si="20"/>
        <v/>
      </c>
      <c r="G495" s="286"/>
      <c r="H495" s="287"/>
      <c r="I495" s="287"/>
      <c r="K495" s="285" t="str">
        <f t="shared" si="21"/>
        <v/>
      </c>
      <c r="L495" s="286"/>
      <c r="M495" s="287"/>
      <c r="N495" s="287"/>
      <c r="O495" s="286"/>
      <c r="P495" s="286"/>
      <c r="Q495" s="287"/>
    </row>
    <row r="496" spans="1:17" ht="30" customHeight="1" x14ac:dyDescent="0.2">
      <c r="A496" s="280"/>
      <c r="B496" s="281"/>
      <c r="C496" s="281"/>
      <c r="D496" s="281"/>
      <c r="F496" s="285" t="str">
        <f t="shared" si="20"/>
        <v/>
      </c>
      <c r="G496" s="286"/>
      <c r="H496" s="287"/>
      <c r="I496" s="287"/>
      <c r="K496" s="285" t="str">
        <f t="shared" si="21"/>
        <v/>
      </c>
      <c r="L496" s="286"/>
      <c r="M496" s="287"/>
      <c r="N496" s="287"/>
      <c r="O496" s="286"/>
      <c r="P496" s="286"/>
      <c r="Q496" s="287"/>
    </row>
    <row r="497" spans="1:17" ht="30" customHeight="1" x14ac:dyDescent="0.2">
      <c r="A497" s="280"/>
      <c r="B497" s="281"/>
      <c r="C497" s="281"/>
      <c r="D497" s="281"/>
      <c r="F497" s="285" t="str">
        <f t="shared" si="20"/>
        <v/>
      </c>
      <c r="G497" s="286"/>
      <c r="H497" s="287"/>
      <c r="I497" s="287"/>
      <c r="K497" s="285" t="str">
        <f t="shared" si="21"/>
        <v/>
      </c>
      <c r="L497" s="286"/>
      <c r="M497" s="287"/>
      <c r="N497" s="287"/>
      <c r="O497" s="286"/>
      <c r="P497" s="286"/>
      <c r="Q497" s="287"/>
    </row>
    <row r="498" spans="1:17" ht="30" customHeight="1" x14ac:dyDescent="0.2">
      <c r="A498" s="280"/>
      <c r="B498" s="281"/>
      <c r="C498" s="281"/>
      <c r="D498" s="281"/>
      <c r="F498" s="285" t="str">
        <f t="shared" si="20"/>
        <v/>
      </c>
      <c r="G498" s="286"/>
      <c r="H498" s="287"/>
      <c r="I498" s="287"/>
      <c r="K498" s="285" t="str">
        <f t="shared" si="21"/>
        <v/>
      </c>
      <c r="L498" s="286"/>
      <c r="M498" s="287"/>
      <c r="N498" s="287"/>
      <c r="O498" s="286"/>
      <c r="P498" s="286"/>
      <c r="Q498" s="287"/>
    </row>
    <row r="499" spans="1:17" ht="30" customHeight="1" x14ac:dyDescent="0.2">
      <c r="A499" s="280"/>
      <c r="B499" s="281"/>
      <c r="C499" s="281"/>
      <c r="D499" s="281"/>
      <c r="F499" s="285" t="str">
        <f t="shared" si="20"/>
        <v/>
      </c>
      <c r="G499" s="286"/>
      <c r="H499" s="287"/>
      <c r="I499" s="287"/>
      <c r="K499" s="285" t="str">
        <f t="shared" si="21"/>
        <v/>
      </c>
      <c r="L499" s="286"/>
      <c r="M499" s="287"/>
      <c r="N499" s="287"/>
      <c r="O499" s="286"/>
      <c r="P499" s="286"/>
      <c r="Q499" s="287"/>
    </row>
    <row r="500" spans="1:17" ht="30" customHeight="1" x14ac:dyDescent="0.2">
      <c r="A500" s="280"/>
      <c r="B500" s="281"/>
      <c r="C500" s="281"/>
      <c r="D500" s="281"/>
      <c r="F500" s="285" t="str">
        <f t="shared" si="20"/>
        <v/>
      </c>
      <c r="G500" s="286"/>
      <c r="H500" s="287"/>
      <c r="I500" s="287"/>
      <c r="K500" s="285" t="str">
        <f t="shared" si="21"/>
        <v/>
      </c>
      <c r="L500" s="286"/>
      <c r="M500" s="287"/>
      <c r="N500" s="287"/>
      <c r="O500" s="286"/>
      <c r="P500" s="286"/>
      <c r="Q500" s="287"/>
    </row>
    <row r="501" spans="1:17" ht="30" customHeight="1" x14ac:dyDescent="0.2">
      <c r="A501" s="280"/>
      <c r="B501" s="281"/>
      <c r="C501" s="281"/>
      <c r="D501" s="281"/>
      <c r="F501" s="285" t="str">
        <f t="shared" si="20"/>
        <v/>
      </c>
      <c r="G501" s="286"/>
      <c r="H501" s="287"/>
      <c r="I501" s="287"/>
      <c r="K501" s="285" t="str">
        <f t="shared" si="21"/>
        <v/>
      </c>
      <c r="L501" s="286"/>
      <c r="M501" s="287"/>
      <c r="N501" s="287"/>
      <c r="O501" s="286"/>
      <c r="P501" s="286"/>
      <c r="Q501" s="287"/>
    </row>
    <row r="502" spans="1:17" ht="30" customHeight="1" x14ac:dyDescent="0.2">
      <c r="A502" s="280"/>
      <c r="B502" s="281"/>
      <c r="C502" s="281"/>
      <c r="D502" s="281"/>
      <c r="F502" s="285" t="str">
        <f t="shared" si="20"/>
        <v/>
      </c>
      <c r="G502" s="286"/>
      <c r="H502" s="287"/>
      <c r="I502" s="287"/>
      <c r="K502" s="285" t="str">
        <f t="shared" si="21"/>
        <v/>
      </c>
      <c r="L502" s="286"/>
      <c r="M502" s="287"/>
      <c r="N502" s="287"/>
      <c r="O502" s="286"/>
      <c r="P502" s="286"/>
      <c r="Q502" s="287"/>
    </row>
    <row r="503" spans="1:17" ht="30" customHeight="1" x14ac:dyDescent="0.2">
      <c r="A503" s="280"/>
      <c r="B503" s="281"/>
      <c r="C503" s="281"/>
      <c r="D503" s="281"/>
      <c r="F503" s="285" t="str">
        <f t="shared" si="20"/>
        <v/>
      </c>
      <c r="G503" s="286"/>
      <c r="H503" s="287"/>
      <c r="I503" s="287"/>
      <c r="K503" s="285" t="str">
        <f t="shared" si="21"/>
        <v/>
      </c>
      <c r="L503" s="286"/>
      <c r="M503" s="287"/>
      <c r="N503" s="287"/>
      <c r="O503" s="286"/>
      <c r="P503" s="286"/>
      <c r="Q503" s="287"/>
    </row>
    <row r="504" spans="1:17" ht="30" customHeight="1" x14ac:dyDescent="0.2">
      <c r="A504" s="280"/>
      <c r="B504" s="281"/>
      <c r="C504" s="281"/>
      <c r="D504" s="281"/>
      <c r="F504" s="285" t="str">
        <f t="shared" si="20"/>
        <v/>
      </c>
      <c r="G504" s="286"/>
      <c r="H504" s="287"/>
      <c r="I504" s="287"/>
      <c r="K504" s="285" t="str">
        <f t="shared" si="21"/>
        <v/>
      </c>
      <c r="L504" s="286"/>
      <c r="M504" s="287"/>
      <c r="N504" s="287"/>
      <c r="O504" s="286"/>
      <c r="P504" s="286"/>
      <c r="Q504" s="287"/>
    </row>
    <row r="505" spans="1:17" ht="30" customHeight="1" x14ac:dyDescent="0.2">
      <c r="A505" s="280"/>
      <c r="B505" s="281"/>
      <c r="C505" s="281"/>
      <c r="D505" s="281"/>
      <c r="F505" s="285" t="str">
        <f t="shared" si="20"/>
        <v/>
      </c>
      <c r="G505" s="286"/>
      <c r="H505" s="287"/>
      <c r="I505" s="287"/>
      <c r="K505" s="285" t="str">
        <f t="shared" si="21"/>
        <v/>
      </c>
      <c r="L505" s="286"/>
      <c r="M505" s="287"/>
      <c r="N505" s="287"/>
      <c r="O505" s="286"/>
      <c r="P505" s="286"/>
      <c r="Q505" s="287"/>
    </row>
    <row r="506" spans="1:17" ht="30" customHeight="1" x14ac:dyDescent="0.2">
      <c r="A506" s="280"/>
      <c r="B506" s="281"/>
      <c r="C506" s="281"/>
      <c r="D506" s="281"/>
      <c r="F506" s="285" t="str">
        <f t="shared" si="20"/>
        <v/>
      </c>
      <c r="G506" s="286"/>
      <c r="H506" s="287"/>
      <c r="I506" s="287"/>
      <c r="K506" s="285" t="str">
        <f t="shared" si="21"/>
        <v/>
      </c>
      <c r="L506" s="286"/>
      <c r="M506" s="287"/>
      <c r="N506" s="287"/>
      <c r="O506" s="286"/>
      <c r="P506" s="286"/>
      <c r="Q506" s="287"/>
    </row>
    <row r="507" spans="1:17" ht="30" customHeight="1" x14ac:dyDescent="0.2">
      <c r="A507" s="280"/>
      <c r="B507" s="281"/>
      <c r="C507" s="281"/>
      <c r="D507" s="281"/>
      <c r="F507" s="285" t="str">
        <f t="shared" si="20"/>
        <v/>
      </c>
      <c r="G507" s="286"/>
      <c r="H507" s="287"/>
      <c r="I507" s="287"/>
      <c r="K507" s="285" t="str">
        <f t="shared" si="21"/>
        <v/>
      </c>
      <c r="L507" s="286"/>
      <c r="M507" s="287"/>
      <c r="N507" s="287"/>
      <c r="O507" s="286"/>
      <c r="P507" s="286"/>
      <c r="Q507" s="287"/>
    </row>
    <row r="508" spans="1:17" ht="30" customHeight="1" x14ac:dyDescent="0.2">
      <c r="A508" s="280"/>
      <c r="B508" s="281"/>
      <c r="C508" s="281"/>
      <c r="D508" s="281"/>
      <c r="F508" s="285" t="str">
        <f t="shared" si="20"/>
        <v/>
      </c>
      <c r="G508" s="286"/>
      <c r="H508" s="287"/>
      <c r="I508" s="287"/>
      <c r="K508" s="285" t="str">
        <f t="shared" si="21"/>
        <v/>
      </c>
      <c r="L508" s="286"/>
      <c r="M508" s="287"/>
      <c r="N508" s="287"/>
      <c r="O508" s="286"/>
      <c r="P508" s="286"/>
      <c r="Q508" s="287"/>
    </row>
    <row r="509" spans="1:17" ht="30" customHeight="1" x14ac:dyDescent="0.2">
      <c r="A509" s="280"/>
      <c r="B509" s="281"/>
      <c r="C509" s="281"/>
      <c r="D509" s="281"/>
      <c r="F509" s="285" t="str">
        <f t="shared" si="20"/>
        <v/>
      </c>
      <c r="G509" s="286"/>
      <c r="H509" s="287"/>
      <c r="I509" s="287"/>
      <c r="K509" s="285" t="str">
        <f t="shared" si="21"/>
        <v/>
      </c>
      <c r="L509" s="286"/>
      <c r="M509" s="287"/>
      <c r="N509" s="287"/>
      <c r="O509" s="286"/>
      <c r="P509" s="286"/>
      <c r="Q509" s="287"/>
    </row>
    <row r="510" spans="1:17" ht="30" customHeight="1" x14ac:dyDescent="0.2">
      <c r="A510" s="280"/>
      <c r="B510" s="281"/>
      <c r="C510" s="281"/>
      <c r="D510" s="281"/>
      <c r="F510" s="285" t="str">
        <f t="shared" si="20"/>
        <v/>
      </c>
      <c r="G510" s="286"/>
      <c r="H510" s="287"/>
      <c r="I510" s="287"/>
      <c r="K510" s="285" t="str">
        <f t="shared" si="21"/>
        <v/>
      </c>
      <c r="L510" s="286"/>
      <c r="M510" s="287"/>
      <c r="N510" s="287"/>
      <c r="O510" s="286"/>
      <c r="P510" s="286"/>
      <c r="Q510" s="287"/>
    </row>
    <row r="511" spans="1:17" ht="30" customHeight="1" x14ac:dyDescent="0.2">
      <c r="A511" s="280"/>
      <c r="B511" s="281"/>
      <c r="C511" s="281"/>
      <c r="D511" s="281"/>
      <c r="F511" s="285" t="str">
        <f t="shared" si="20"/>
        <v/>
      </c>
      <c r="G511" s="286"/>
      <c r="H511" s="287"/>
      <c r="I511" s="287"/>
      <c r="K511" s="285" t="str">
        <f t="shared" si="21"/>
        <v/>
      </c>
      <c r="L511" s="286"/>
      <c r="M511" s="287"/>
      <c r="N511" s="287"/>
      <c r="O511" s="286"/>
      <c r="P511" s="286"/>
      <c r="Q511" s="287"/>
    </row>
    <row r="512" spans="1:17" ht="30" customHeight="1" x14ac:dyDescent="0.2">
      <c r="A512" s="280"/>
      <c r="B512" s="281"/>
      <c r="C512" s="281"/>
      <c r="D512" s="281"/>
      <c r="F512" s="285" t="str">
        <f t="shared" si="20"/>
        <v/>
      </c>
      <c r="G512" s="286"/>
      <c r="H512" s="287"/>
      <c r="I512" s="287"/>
      <c r="K512" s="285" t="str">
        <f t="shared" si="21"/>
        <v/>
      </c>
      <c r="L512" s="286"/>
      <c r="M512" s="287"/>
      <c r="N512" s="287"/>
      <c r="O512" s="286"/>
      <c r="P512" s="286"/>
      <c r="Q512" s="287"/>
    </row>
    <row r="513" spans="1:17" ht="30" customHeight="1" x14ac:dyDescent="0.2">
      <c r="A513" s="280"/>
      <c r="B513" s="281"/>
      <c r="C513" s="281"/>
      <c r="D513" s="281"/>
      <c r="F513" s="285" t="str">
        <f t="shared" si="20"/>
        <v/>
      </c>
      <c r="G513" s="286"/>
      <c r="H513" s="287"/>
      <c r="I513" s="287"/>
      <c r="K513" s="285" t="str">
        <f t="shared" si="21"/>
        <v/>
      </c>
      <c r="L513" s="286"/>
      <c r="M513" s="287"/>
      <c r="N513" s="287"/>
      <c r="O513" s="286"/>
      <c r="P513" s="286"/>
      <c r="Q513" s="287"/>
    </row>
    <row r="514" spans="1:17" ht="30" customHeight="1" x14ac:dyDescent="0.2">
      <c r="A514" s="280"/>
      <c r="B514" s="281"/>
      <c r="C514" s="281"/>
      <c r="D514" s="281"/>
      <c r="F514" s="285" t="str">
        <f t="shared" si="20"/>
        <v/>
      </c>
      <c r="G514" s="286"/>
      <c r="H514" s="287"/>
      <c r="I514" s="287"/>
      <c r="K514" s="285" t="str">
        <f t="shared" si="21"/>
        <v/>
      </c>
      <c r="L514" s="286"/>
      <c r="M514" s="287"/>
      <c r="N514" s="287"/>
      <c r="O514" s="286"/>
      <c r="P514" s="286"/>
      <c r="Q514" s="287"/>
    </row>
    <row r="515" spans="1:17" ht="30" customHeight="1" x14ac:dyDescent="0.2">
      <c r="A515" s="280"/>
      <c r="B515" s="281"/>
      <c r="C515" s="281"/>
      <c r="D515" s="281"/>
      <c r="F515" s="285" t="str">
        <f t="shared" si="20"/>
        <v/>
      </c>
      <c r="G515" s="286"/>
      <c r="H515" s="287"/>
      <c r="I515" s="287"/>
      <c r="K515" s="285" t="str">
        <f t="shared" si="21"/>
        <v/>
      </c>
      <c r="L515" s="286"/>
      <c r="M515" s="287"/>
      <c r="N515" s="287"/>
      <c r="O515" s="286"/>
      <c r="P515" s="286"/>
      <c r="Q515" s="287"/>
    </row>
    <row r="516" spans="1:17" ht="30" customHeight="1" x14ac:dyDescent="0.2">
      <c r="A516" s="280"/>
      <c r="B516" s="281"/>
      <c r="C516" s="281"/>
      <c r="D516" s="281"/>
      <c r="F516" s="285" t="str">
        <f t="shared" si="20"/>
        <v/>
      </c>
      <c r="G516" s="286"/>
      <c r="H516" s="287"/>
      <c r="I516" s="287"/>
      <c r="K516" s="285" t="str">
        <f t="shared" si="21"/>
        <v/>
      </c>
      <c r="L516" s="286"/>
      <c r="M516" s="287"/>
      <c r="N516" s="287"/>
      <c r="O516" s="286"/>
      <c r="P516" s="286"/>
      <c r="Q516" s="287"/>
    </row>
    <row r="517" spans="1:17" ht="30" customHeight="1" x14ac:dyDescent="0.2">
      <c r="A517" s="280"/>
      <c r="B517" s="281"/>
      <c r="C517" s="281"/>
      <c r="D517" s="281"/>
      <c r="F517" s="285" t="str">
        <f t="shared" ref="F517:F580" si="22">IF(A517="","",A517)</f>
        <v/>
      </c>
      <c r="G517" s="286"/>
      <c r="H517" s="287"/>
      <c r="I517" s="287"/>
      <c r="K517" s="285" t="str">
        <f t="shared" si="21"/>
        <v/>
      </c>
      <c r="L517" s="286"/>
      <c r="M517" s="287"/>
      <c r="N517" s="287"/>
      <c r="O517" s="286"/>
      <c r="P517" s="286"/>
      <c r="Q517" s="287"/>
    </row>
    <row r="518" spans="1:17" ht="30" customHeight="1" x14ac:dyDescent="0.2">
      <c r="A518" s="280"/>
      <c r="B518" s="281"/>
      <c r="C518" s="281"/>
      <c r="D518" s="281"/>
      <c r="F518" s="285" t="str">
        <f t="shared" si="22"/>
        <v/>
      </c>
      <c r="G518" s="286"/>
      <c r="H518" s="287"/>
      <c r="I518" s="287"/>
      <c r="K518" s="285" t="str">
        <f t="shared" si="21"/>
        <v/>
      </c>
      <c r="L518" s="286"/>
      <c r="M518" s="287"/>
      <c r="N518" s="287"/>
      <c r="O518" s="286"/>
      <c r="P518" s="286"/>
      <c r="Q518" s="287"/>
    </row>
    <row r="519" spans="1:17" ht="30" customHeight="1" x14ac:dyDescent="0.2">
      <c r="A519" s="280"/>
      <c r="B519" s="281"/>
      <c r="C519" s="281"/>
      <c r="D519" s="281"/>
      <c r="F519" s="285" t="str">
        <f t="shared" si="22"/>
        <v/>
      </c>
      <c r="G519" s="286"/>
      <c r="H519" s="287"/>
      <c r="I519" s="287"/>
      <c r="K519" s="285" t="str">
        <f t="shared" si="21"/>
        <v/>
      </c>
      <c r="L519" s="286"/>
      <c r="M519" s="287"/>
      <c r="N519" s="287"/>
      <c r="O519" s="286"/>
      <c r="P519" s="286"/>
      <c r="Q519" s="287"/>
    </row>
    <row r="520" spans="1:17" ht="30" customHeight="1" x14ac:dyDescent="0.2">
      <c r="A520" s="280"/>
      <c r="B520" s="281"/>
      <c r="C520" s="281"/>
      <c r="D520" s="281"/>
      <c r="F520" s="285" t="str">
        <f t="shared" si="22"/>
        <v/>
      </c>
      <c r="G520" s="286"/>
      <c r="H520" s="287"/>
      <c r="I520" s="287"/>
      <c r="K520" s="285" t="str">
        <f t="shared" si="21"/>
        <v/>
      </c>
      <c r="L520" s="286"/>
      <c r="M520" s="287"/>
      <c r="N520" s="287"/>
      <c r="O520" s="286"/>
      <c r="P520" s="286"/>
      <c r="Q520" s="287"/>
    </row>
    <row r="521" spans="1:17" ht="30" customHeight="1" x14ac:dyDescent="0.2">
      <c r="A521" s="280"/>
      <c r="B521" s="281"/>
      <c r="C521" s="281"/>
      <c r="D521" s="281"/>
      <c r="F521" s="285" t="str">
        <f t="shared" si="22"/>
        <v/>
      </c>
      <c r="G521" s="286"/>
      <c r="H521" s="287"/>
      <c r="I521" s="287"/>
      <c r="K521" s="285" t="str">
        <f t="shared" si="21"/>
        <v/>
      </c>
      <c r="L521" s="286"/>
      <c r="M521" s="287"/>
      <c r="N521" s="287"/>
      <c r="O521" s="286"/>
      <c r="P521" s="286"/>
      <c r="Q521" s="287"/>
    </row>
    <row r="522" spans="1:17" ht="30" customHeight="1" x14ac:dyDescent="0.2">
      <c r="A522" s="280"/>
      <c r="B522" s="281"/>
      <c r="C522" s="281"/>
      <c r="D522" s="281"/>
      <c r="F522" s="285" t="str">
        <f t="shared" si="22"/>
        <v/>
      </c>
      <c r="G522" s="286"/>
      <c r="H522" s="287"/>
      <c r="I522" s="287"/>
      <c r="K522" s="285" t="str">
        <f t="shared" si="21"/>
        <v/>
      </c>
      <c r="L522" s="286"/>
      <c r="M522" s="287"/>
      <c r="N522" s="287"/>
      <c r="O522" s="286"/>
      <c r="P522" s="286"/>
      <c r="Q522" s="287"/>
    </row>
    <row r="523" spans="1:17" ht="30" customHeight="1" x14ac:dyDescent="0.2">
      <c r="A523" s="280"/>
      <c r="B523" s="281"/>
      <c r="C523" s="281"/>
      <c r="D523" s="281"/>
      <c r="F523" s="285" t="str">
        <f t="shared" si="22"/>
        <v/>
      </c>
      <c r="G523" s="286"/>
      <c r="H523" s="287"/>
      <c r="I523" s="287"/>
      <c r="K523" s="285" t="str">
        <f t="shared" ref="K523:K586" si="23">IF(A523="","",A523)</f>
        <v/>
      </c>
      <c r="L523" s="286"/>
      <c r="M523" s="287"/>
      <c r="N523" s="287"/>
      <c r="O523" s="286"/>
      <c r="P523" s="286"/>
      <c r="Q523" s="287"/>
    </row>
    <row r="524" spans="1:17" ht="30" customHeight="1" x14ac:dyDescent="0.2">
      <c r="A524" s="280"/>
      <c r="B524" s="281"/>
      <c r="C524" s="281"/>
      <c r="D524" s="281"/>
      <c r="F524" s="285" t="str">
        <f t="shared" si="22"/>
        <v/>
      </c>
      <c r="G524" s="286"/>
      <c r="H524" s="287"/>
      <c r="I524" s="287"/>
      <c r="K524" s="285" t="str">
        <f t="shared" si="23"/>
        <v/>
      </c>
      <c r="L524" s="286"/>
      <c r="M524" s="287"/>
      <c r="N524" s="287"/>
      <c r="O524" s="286"/>
      <c r="P524" s="286"/>
      <c r="Q524" s="287"/>
    </row>
    <row r="525" spans="1:17" ht="30" customHeight="1" x14ac:dyDescent="0.2">
      <c r="A525" s="280"/>
      <c r="B525" s="281"/>
      <c r="C525" s="281"/>
      <c r="D525" s="281"/>
      <c r="F525" s="285" t="str">
        <f t="shared" si="22"/>
        <v/>
      </c>
      <c r="G525" s="286"/>
      <c r="H525" s="287"/>
      <c r="I525" s="287"/>
      <c r="K525" s="285" t="str">
        <f t="shared" si="23"/>
        <v/>
      </c>
      <c r="L525" s="286"/>
      <c r="M525" s="287"/>
      <c r="N525" s="287"/>
      <c r="O525" s="286"/>
      <c r="P525" s="286"/>
      <c r="Q525" s="287"/>
    </row>
    <row r="526" spans="1:17" ht="30" customHeight="1" x14ac:dyDescent="0.2">
      <c r="A526" s="280"/>
      <c r="B526" s="281"/>
      <c r="C526" s="281"/>
      <c r="D526" s="281"/>
      <c r="F526" s="285" t="str">
        <f t="shared" si="22"/>
        <v/>
      </c>
      <c r="G526" s="286"/>
      <c r="H526" s="287"/>
      <c r="I526" s="287"/>
      <c r="K526" s="285" t="str">
        <f t="shared" si="23"/>
        <v/>
      </c>
      <c r="L526" s="286"/>
      <c r="M526" s="287"/>
      <c r="N526" s="287"/>
      <c r="O526" s="286"/>
      <c r="P526" s="286"/>
      <c r="Q526" s="287"/>
    </row>
    <row r="527" spans="1:17" ht="30" customHeight="1" x14ac:dyDescent="0.2">
      <c r="A527" s="280"/>
      <c r="B527" s="281"/>
      <c r="C527" s="281"/>
      <c r="D527" s="281"/>
      <c r="F527" s="285" t="str">
        <f t="shared" si="22"/>
        <v/>
      </c>
      <c r="G527" s="286"/>
      <c r="H527" s="287"/>
      <c r="I527" s="287"/>
      <c r="K527" s="285" t="str">
        <f t="shared" si="23"/>
        <v/>
      </c>
      <c r="L527" s="286"/>
      <c r="M527" s="287"/>
      <c r="N527" s="287"/>
      <c r="O527" s="286"/>
      <c r="P527" s="286"/>
      <c r="Q527" s="287"/>
    </row>
    <row r="528" spans="1:17" ht="30" customHeight="1" x14ac:dyDescent="0.2">
      <c r="A528" s="280"/>
      <c r="B528" s="281"/>
      <c r="C528" s="281"/>
      <c r="D528" s="281"/>
      <c r="F528" s="285" t="str">
        <f t="shared" si="22"/>
        <v/>
      </c>
      <c r="G528" s="286"/>
      <c r="H528" s="287"/>
      <c r="I528" s="287"/>
      <c r="K528" s="285" t="str">
        <f t="shared" si="23"/>
        <v/>
      </c>
      <c r="L528" s="286"/>
      <c r="M528" s="287"/>
      <c r="N528" s="287"/>
      <c r="O528" s="286"/>
      <c r="P528" s="286"/>
      <c r="Q528" s="287"/>
    </row>
    <row r="529" spans="1:17" ht="30" customHeight="1" x14ac:dyDescent="0.2">
      <c r="A529" s="280"/>
      <c r="B529" s="281"/>
      <c r="C529" s="281"/>
      <c r="D529" s="281"/>
      <c r="F529" s="285" t="str">
        <f t="shared" si="22"/>
        <v/>
      </c>
      <c r="G529" s="286"/>
      <c r="H529" s="287"/>
      <c r="I529" s="287"/>
      <c r="K529" s="285" t="str">
        <f t="shared" si="23"/>
        <v/>
      </c>
      <c r="L529" s="286"/>
      <c r="M529" s="287"/>
      <c r="N529" s="287"/>
      <c r="O529" s="286"/>
      <c r="P529" s="286"/>
      <c r="Q529" s="287"/>
    </row>
    <row r="530" spans="1:17" ht="30" customHeight="1" x14ac:dyDescent="0.2">
      <c r="A530" s="280"/>
      <c r="B530" s="281"/>
      <c r="C530" s="281"/>
      <c r="D530" s="281"/>
      <c r="F530" s="285" t="str">
        <f t="shared" si="22"/>
        <v/>
      </c>
      <c r="G530" s="286"/>
      <c r="H530" s="287"/>
      <c r="I530" s="287"/>
      <c r="K530" s="285" t="str">
        <f t="shared" si="23"/>
        <v/>
      </c>
      <c r="L530" s="286"/>
      <c r="M530" s="287"/>
      <c r="N530" s="287"/>
      <c r="O530" s="286"/>
      <c r="P530" s="286"/>
      <c r="Q530" s="287"/>
    </row>
    <row r="531" spans="1:17" ht="30" customHeight="1" x14ac:dyDescent="0.2">
      <c r="A531" s="280"/>
      <c r="B531" s="281"/>
      <c r="C531" s="281"/>
      <c r="D531" s="281"/>
      <c r="F531" s="285" t="str">
        <f t="shared" si="22"/>
        <v/>
      </c>
      <c r="G531" s="286"/>
      <c r="H531" s="287"/>
      <c r="I531" s="287"/>
      <c r="K531" s="285" t="str">
        <f t="shared" si="23"/>
        <v/>
      </c>
      <c r="L531" s="286"/>
      <c r="M531" s="287"/>
      <c r="N531" s="287"/>
      <c r="O531" s="286"/>
      <c r="P531" s="286"/>
      <c r="Q531" s="287"/>
    </row>
    <row r="532" spans="1:17" ht="30" customHeight="1" x14ac:dyDescent="0.2">
      <c r="A532" s="280"/>
      <c r="B532" s="281"/>
      <c r="C532" s="281"/>
      <c r="D532" s="281"/>
      <c r="F532" s="285" t="str">
        <f t="shared" si="22"/>
        <v/>
      </c>
      <c r="G532" s="286"/>
      <c r="H532" s="287"/>
      <c r="I532" s="287"/>
      <c r="K532" s="285" t="str">
        <f t="shared" si="23"/>
        <v/>
      </c>
      <c r="L532" s="286"/>
      <c r="M532" s="287"/>
      <c r="N532" s="287"/>
      <c r="O532" s="286"/>
      <c r="P532" s="286"/>
      <c r="Q532" s="287"/>
    </row>
    <row r="533" spans="1:17" ht="30" customHeight="1" x14ac:dyDescent="0.2">
      <c r="A533" s="280"/>
      <c r="B533" s="281"/>
      <c r="C533" s="281"/>
      <c r="D533" s="281"/>
      <c r="F533" s="285" t="str">
        <f t="shared" si="22"/>
        <v/>
      </c>
      <c r="G533" s="286"/>
      <c r="H533" s="287"/>
      <c r="I533" s="287"/>
      <c r="K533" s="285" t="str">
        <f t="shared" si="23"/>
        <v/>
      </c>
      <c r="L533" s="286"/>
      <c r="M533" s="287"/>
      <c r="N533" s="287"/>
      <c r="O533" s="286"/>
      <c r="P533" s="286"/>
      <c r="Q533" s="287"/>
    </row>
    <row r="534" spans="1:17" ht="30" customHeight="1" x14ac:dyDescent="0.2">
      <c r="A534" s="280"/>
      <c r="B534" s="281"/>
      <c r="C534" s="281"/>
      <c r="D534" s="281"/>
      <c r="F534" s="285" t="str">
        <f t="shared" si="22"/>
        <v/>
      </c>
      <c r="G534" s="286"/>
      <c r="H534" s="287"/>
      <c r="I534" s="287"/>
      <c r="K534" s="285" t="str">
        <f t="shared" si="23"/>
        <v/>
      </c>
      <c r="L534" s="286"/>
      <c r="M534" s="287"/>
      <c r="N534" s="287"/>
      <c r="O534" s="286"/>
      <c r="P534" s="286"/>
      <c r="Q534" s="287"/>
    </row>
    <row r="535" spans="1:17" ht="30" customHeight="1" x14ac:dyDescent="0.2">
      <c r="A535" s="280"/>
      <c r="B535" s="281"/>
      <c r="C535" s="281"/>
      <c r="D535" s="281"/>
      <c r="F535" s="285" t="str">
        <f t="shared" si="22"/>
        <v/>
      </c>
      <c r="G535" s="286"/>
      <c r="H535" s="287"/>
      <c r="I535" s="287"/>
      <c r="K535" s="285" t="str">
        <f t="shared" si="23"/>
        <v/>
      </c>
      <c r="L535" s="286"/>
      <c r="M535" s="287"/>
      <c r="N535" s="287"/>
      <c r="O535" s="286"/>
      <c r="P535" s="286"/>
      <c r="Q535" s="287"/>
    </row>
    <row r="536" spans="1:17" ht="30" customHeight="1" x14ac:dyDescent="0.2">
      <c r="A536" s="280"/>
      <c r="B536" s="281"/>
      <c r="C536" s="281"/>
      <c r="D536" s="281"/>
      <c r="F536" s="285" t="str">
        <f t="shared" si="22"/>
        <v/>
      </c>
      <c r="G536" s="286"/>
      <c r="H536" s="287"/>
      <c r="I536" s="287"/>
      <c r="K536" s="285" t="str">
        <f t="shared" si="23"/>
        <v/>
      </c>
      <c r="L536" s="286"/>
      <c r="M536" s="287"/>
      <c r="N536" s="287"/>
      <c r="O536" s="286"/>
      <c r="P536" s="286"/>
      <c r="Q536" s="287"/>
    </row>
    <row r="537" spans="1:17" ht="30" customHeight="1" x14ac:dyDescent="0.2">
      <c r="A537" s="280"/>
      <c r="B537" s="281"/>
      <c r="C537" s="281"/>
      <c r="D537" s="281"/>
      <c r="F537" s="285" t="str">
        <f t="shared" si="22"/>
        <v/>
      </c>
      <c r="G537" s="286"/>
      <c r="H537" s="287"/>
      <c r="I537" s="287"/>
      <c r="K537" s="285" t="str">
        <f t="shared" si="23"/>
        <v/>
      </c>
      <c r="L537" s="286"/>
      <c r="M537" s="287"/>
      <c r="N537" s="287"/>
      <c r="O537" s="286"/>
      <c r="P537" s="286"/>
      <c r="Q537" s="287"/>
    </row>
    <row r="538" spans="1:17" ht="30" customHeight="1" x14ac:dyDescent="0.2">
      <c r="A538" s="280"/>
      <c r="B538" s="281"/>
      <c r="C538" s="281"/>
      <c r="D538" s="281"/>
      <c r="F538" s="285" t="str">
        <f t="shared" si="22"/>
        <v/>
      </c>
      <c r="G538" s="286"/>
      <c r="H538" s="287"/>
      <c r="I538" s="287"/>
      <c r="K538" s="285" t="str">
        <f t="shared" si="23"/>
        <v/>
      </c>
      <c r="L538" s="286"/>
      <c r="M538" s="287"/>
      <c r="N538" s="287"/>
      <c r="O538" s="286"/>
      <c r="P538" s="286"/>
      <c r="Q538" s="287"/>
    </row>
    <row r="539" spans="1:17" ht="30" customHeight="1" x14ac:dyDescent="0.2">
      <c r="A539" s="280"/>
      <c r="B539" s="281"/>
      <c r="C539" s="281"/>
      <c r="D539" s="281"/>
      <c r="F539" s="285" t="str">
        <f t="shared" si="22"/>
        <v/>
      </c>
      <c r="G539" s="286"/>
      <c r="H539" s="287"/>
      <c r="I539" s="287"/>
      <c r="K539" s="285" t="str">
        <f t="shared" si="23"/>
        <v/>
      </c>
      <c r="L539" s="286"/>
      <c r="M539" s="287"/>
      <c r="N539" s="287"/>
      <c r="O539" s="286"/>
      <c r="P539" s="286"/>
      <c r="Q539" s="287"/>
    </row>
    <row r="540" spans="1:17" ht="30" customHeight="1" x14ac:dyDescent="0.2">
      <c r="A540" s="280"/>
      <c r="B540" s="281"/>
      <c r="C540" s="281"/>
      <c r="D540" s="281"/>
      <c r="F540" s="285" t="str">
        <f t="shared" si="22"/>
        <v/>
      </c>
      <c r="G540" s="286"/>
      <c r="H540" s="287"/>
      <c r="I540" s="287"/>
      <c r="K540" s="285" t="str">
        <f t="shared" si="23"/>
        <v/>
      </c>
      <c r="L540" s="286"/>
      <c r="M540" s="287"/>
      <c r="N540" s="287"/>
      <c r="O540" s="286"/>
      <c r="P540" s="286"/>
      <c r="Q540" s="287"/>
    </row>
    <row r="541" spans="1:17" ht="30" customHeight="1" x14ac:dyDescent="0.2">
      <c r="A541" s="280"/>
      <c r="B541" s="281"/>
      <c r="C541" s="281"/>
      <c r="D541" s="281"/>
      <c r="F541" s="285" t="str">
        <f t="shared" si="22"/>
        <v/>
      </c>
      <c r="G541" s="286"/>
      <c r="H541" s="287"/>
      <c r="I541" s="287"/>
      <c r="K541" s="285" t="str">
        <f t="shared" si="23"/>
        <v/>
      </c>
      <c r="L541" s="286"/>
      <c r="M541" s="287"/>
      <c r="N541" s="287"/>
      <c r="O541" s="286"/>
      <c r="P541" s="286"/>
      <c r="Q541" s="287"/>
    </row>
    <row r="542" spans="1:17" ht="30" customHeight="1" x14ac:dyDescent="0.2">
      <c r="A542" s="280"/>
      <c r="B542" s="281"/>
      <c r="C542" s="281"/>
      <c r="D542" s="281"/>
      <c r="F542" s="285" t="str">
        <f t="shared" si="22"/>
        <v/>
      </c>
      <c r="G542" s="286"/>
      <c r="H542" s="287"/>
      <c r="I542" s="287"/>
      <c r="K542" s="285" t="str">
        <f t="shared" si="23"/>
        <v/>
      </c>
      <c r="L542" s="286"/>
      <c r="M542" s="287"/>
      <c r="N542" s="287"/>
      <c r="O542" s="286"/>
      <c r="P542" s="286"/>
      <c r="Q542" s="287"/>
    </row>
    <row r="543" spans="1:17" ht="30" customHeight="1" x14ac:dyDescent="0.2">
      <c r="A543" s="280"/>
      <c r="B543" s="281"/>
      <c r="C543" s="281"/>
      <c r="D543" s="281"/>
      <c r="F543" s="285" t="str">
        <f t="shared" si="22"/>
        <v/>
      </c>
      <c r="G543" s="286"/>
      <c r="H543" s="287"/>
      <c r="I543" s="287"/>
      <c r="K543" s="285" t="str">
        <f t="shared" si="23"/>
        <v/>
      </c>
      <c r="L543" s="286"/>
      <c r="M543" s="287"/>
      <c r="N543" s="287"/>
      <c r="O543" s="286"/>
      <c r="P543" s="286"/>
      <c r="Q543" s="287"/>
    </row>
    <row r="544" spans="1:17" ht="30" customHeight="1" x14ac:dyDescent="0.2">
      <c r="A544" s="280"/>
      <c r="B544" s="281"/>
      <c r="C544" s="281"/>
      <c r="D544" s="281"/>
      <c r="F544" s="285" t="str">
        <f t="shared" si="22"/>
        <v/>
      </c>
      <c r="G544" s="286"/>
      <c r="H544" s="287"/>
      <c r="I544" s="287"/>
      <c r="K544" s="285" t="str">
        <f t="shared" si="23"/>
        <v/>
      </c>
      <c r="L544" s="286"/>
      <c r="M544" s="287"/>
      <c r="N544" s="287"/>
      <c r="O544" s="286"/>
      <c r="P544" s="286"/>
      <c r="Q544" s="287"/>
    </row>
    <row r="545" spans="1:17" ht="30" customHeight="1" x14ac:dyDescent="0.2">
      <c r="A545" s="280"/>
      <c r="B545" s="281"/>
      <c r="C545" s="281"/>
      <c r="D545" s="281"/>
      <c r="F545" s="285" t="str">
        <f t="shared" si="22"/>
        <v/>
      </c>
      <c r="G545" s="286"/>
      <c r="H545" s="287"/>
      <c r="I545" s="287"/>
      <c r="K545" s="285" t="str">
        <f t="shared" si="23"/>
        <v/>
      </c>
      <c r="L545" s="286"/>
      <c r="M545" s="287"/>
      <c r="N545" s="287"/>
      <c r="O545" s="286"/>
      <c r="P545" s="286"/>
      <c r="Q545" s="287"/>
    </row>
    <row r="546" spans="1:17" ht="30" customHeight="1" x14ac:dyDescent="0.2">
      <c r="A546" s="280"/>
      <c r="B546" s="281"/>
      <c r="C546" s="281"/>
      <c r="D546" s="281"/>
      <c r="F546" s="285" t="str">
        <f t="shared" si="22"/>
        <v/>
      </c>
      <c r="G546" s="286"/>
      <c r="H546" s="287"/>
      <c r="I546" s="287"/>
      <c r="K546" s="285" t="str">
        <f t="shared" si="23"/>
        <v/>
      </c>
      <c r="L546" s="286"/>
      <c r="M546" s="287"/>
      <c r="N546" s="287"/>
      <c r="O546" s="286"/>
      <c r="P546" s="286"/>
      <c r="Q546" s="287"/>
    </row>
    <row r="547" spans="1:17" ht="30" customHeight="1" x14ac:dyDescent="0.2">
      <c r="A547" s="280"/>
      <c r="B547" s="281"/>
      <c r="C547" s="281"/>
      <c r="D547" s="281"/>
      <c r="F547" s="285" t="str">
        <f t="shared" si="22"/>
        <v/>
      </c>
      <c r="G547" s="286"/>
      <c r="H547" s="287"/>
      <c r="I547" s="287"/>
      <c r="K547" s="285" t="str">
        <f t="shared" si="23"/>
        <v/>
      </c>
      <c r="L547" s="286"/>
      <c r="M547" s="287"/>
      <c r="N547" s="287"/>
      <c r="O547" s="286"/>
      <c r="P547" s="286"/>
      <c r="Q547" s="287"/>
    </row>
    <row r="548" spans="1:17" ht="30" customHeight="1" x14ac:dyDescent="0.2">
      <c r="A548" s="280"/>
      <c r="B548" s="281"/>
      <c r="C548" s="281"/>
      <c r="D548" s="281"/>
      <c r="F548" s="285" t="str">
        <f t="shared" si="22"/>
        <v/>
      </c>
      <c r="G548" s="286"/>
      <c r="H548" s="287"/>
      <c r="I548" s="287"/>
      <c r="K548" s="285" t="str">
        <f t="shared" si="23"/>
        <v/>
      </c>
      <c r="L548" s="286"/>
      <c r="M548" s="287"/>
      <c r="N548" s="287"/>
      <c r="O548" s="286"/>
      <c r="P548" s="286"/>
      <c r="Q548" s="287"/>
    </row>
    <row r="549" spans="1:17" ht="30" customHeight="1" x14ac:dyDescent="0.2">
      <c r="A549" s="280"/>
      <c r="B549" s="281"/>
      <c r="C549" s="281"/>
      <c r="D549" s="281"/>
      <c r="F549" s="285" t="str">
        <f t="shared" si="22"/>
        <v/>
      </c>
      <c r="G549" s="286"/>
      <c r="H549" s="287"/>
      <c r="I549" s="287"/>
      <c r="K549" s="285" t="str">
        <f t="shared" si="23"/>
        <v/>
      </c>
      <c r="L549" s="286"/>
      <c r="M549" s="287"/>
      <c r="N549" s="287"/>
      <c r="O549" s="286"/>
      <c r="P549" s="286"/>
      <c r="Q549" s="287"/>
    </row>
    <row r="550" spans="1:17" ht="30" customHeight="1" x14ac:dyDescent="0.2">
      <c r="A550" s="280"/>
      <c r="B550" s="281"/>
      <c r="C550" s="281"/>
      <c r="D550" s="281"/>
      <c r="F550" s="285" t="str">
        <f t="shared" si="22"/>
        <v/>
      </c>
      <c r="G550" s="286"/>
      <c r="H550" s="287"/>
      <c r="I550" s="287"/>
      <c r="K550" s="285" t="str">
        <f t="shared" si="23"/>
        <v/>
      </c>
      <c r="L550" s="286"/>
      <c r="M550" s="287"/>
      <c r="N550" s="287"/>
      <c r="O550" s="286"/>
      <c r="P550" s="286"/>
      <c r="Q550" s="287"/>
    </row>
    <row r="551" spans="1:17" ht="30" customHeight="1" x14ac:dyDescent="0.2">
      <c r="A551" s="280"/>
      <c r="B551" s="281"/>
      <c r="C551" s="281"/>
      <c r="D551" s="281"/>
      <c r="F551" s="285" t="str">
        <f t="shared" si="22"/>
        <v/>
      </c>
      <c r="G551" s="286"/>
      <c r="H551" s="287"/>
      <c r="I551" s="287"/>
      <c r="K551" s="285" t="str">
        <f t="shared" si="23"/>
        <v/>
      </c>
      <c r="L551" s="286"/>
      <c r="M551" s="287"/>
      <c r="N551" s="287"/>
      <c r="O551" s="286"/>
      <c r="P551" s="286"/>
      <c r="Q551" s="287"/>
    </row>
    <row r="552" spans="1:17" ht="30" customHeight="1" x14ac:dyDescent="0.2">
      <c r="A552" s="280"/>
      <c r="B552" s="281"/>
      <c r="C552" s="281"/>
      <c r="D552" s="281"/>
      <c r="F552" s="285" t="str">
        <f t="shared" si="22"/>
        <v/>
      </c>
      <c r="G552" s="286"/>
      <c r="H552" s="287"/>
      <c r="I552" s="287"/>
      <c r="K552" s="285" t="str">
        <f t="shared" si="23"/>
        <v/>
      </c>
      <c r="L552" s="286"/>
      <c r="M552" s="287"/>
      <c r="N552" s="287"/>
      <c r="O552" s="286"/>
      <c r="P552" s="286"/>
      <c r="Q552" s="287"/>
    </row>
    <row r="553" spans="1:17" ht="30" customHeight="1" x14ac:dyDescent="0.2">
      <c r="A553" s="280"/>
      <c r="B553" s="281"/>
      <c r="C553" s="281"/>
      <c r="D553" s="281"/>
      <c r="F553" s="285" t="str">
        <f t="shared" si="22"/>
        <v/>
      </c>
      <c r="G553" s="286"/>
      <c r="H553" s="287"/>
      <c r="I553" s="287"/>
      <c r="K553" s="285" t="str">
        <f t="shared" si="23"/>
        <v/>
      </c>
      <c r="L553" s="286"/>
      <c r="M553" s="287"/>
      <c r="N553" s="287"/>
      <c r="O553" s="286"/>
      <c r="P553" s="286"/>
      <c r="Q553" s="287"/>
    </row>
    <row r="554" spans="1:17" ht="30" customHeight="1" x14ac:dyDescent="0.2">
      <c r="A554" s="280"/>
      <c r="B554" s="281"/>
      <c r="C554" s="281"/>
      <c r="D554" s="281"/>
      <c r="F554" s="285" t="str">
        <f t="shared" si="22"/>
        <v/>
      </c>
      <c r="G554" s="286"/>
      <c r="H554" s="287"/>
      <c r="I554" s="287"/>
      <c r="K554" s="285" t="str">
        <f t="shared" si="23"/>
        <v/>
      </c>
      <c r="L554" s="286"/>
      <c r="M554" s="287"/>
      <c r="N554" s="287"/>
      <c r="O554" s="286"/>
      <c r="P554" s="286"/>
      <c r="Q554" s="287"/>
    </row>
    <row r="555" spans="1:17" ht="30" customHeight="1" x14ac:dyDescent="0.2">
      <c r="A555" s="280"/>
      <c r="B555" s="281"/>
      <c r="C555" s="281"/>
      <c r="D555" s="281"/>
      <c r="F555" s="285" t="str">
        <f t="shared" si="22"/>
        <v/>
      </c>
      <c r="G555" s="286"/>
      <c r="H555" s="287"/>
      <c r="I555" s="287"/>
      <c r="K555" s="285" t="str">
        <f t="shared" si="23"/>
        <v/>
      </c>
      <c r="L555" s="286"/>
      <c r="M555" s="287"/>
      <c r="N555" s="287"/>
      <c r="O555" s="286"/>
      <c r="P555" s="286"/>
      <c r="Q555" s="287"/>
    </row>
    <row r="556" spans="1:17" ht="30" customHeight="1" x14ac:dyDescent="0.2">
      <c r="A556" s="280"/>
      <c r="B556" s="281"/>
      <c r="C556" s="281"/>
      <c r="D556" s="281"/>
      <c r="F556" s="285" t="str">
        <f t="shared" si="22"/>
        <v/>
      </c>
      <c r="G556" s="286"/>
      <c r="H556" s="287"/>
      <c r="I556" s="287"/>
      <c r="K556" s="285" t="str">
        <f t="shared" si="23"/>
        <v/>
      </c>
      <c r="L556" s="286"/>
      <c r="M556" s="287"/>
      <c r="N556" s="287"/>
      <c r="O556" s="286"/>
      <c r="P556" s="286"/>
      <c r="Q556" s="287"/>
    </row>
    <row r="557" spans="1:17" ht="30" customHeight="1" x14ac:dyDescent="0.2">
      <c r="A557" s="280"/>
      <c r="B557" s="281"/>
      <c r="C557" s="281"/>
      <c r="D557" s="281"/>
      <c r="F557" s="285" t="str">
        <f t="shared" si="22"/>
        <v/>
      </c>
      <c r="G557" s="286"/>
      <c r="H557" s="287"/>
      <c r="I557" s="287"/>
      <c r="K557" s="285" t="str">
        <f t="shared" si="23"/>
        <v/>
      </c>
      <c r="L557" s="286"/>
      <c r="M557" s="287"/>
      <c r="N557" s="287"/>
      <c r="O557" s="286"/>
      <c r="P557" s="286"/>
      <c r="Q557" s="287"/>
    </row>
    <row r="558" spans="1:17" ht="30" customHeight="1" x14ac:dyDescent="0.2">
      <c r="A558" s="280"/>
      <c r="B558" s="281"/>
      <c r="C558" s="281"/>
      <c r="D558" s="281"/>
      <c r="F558" s="285" t="str">
        <f t="shared" si="22"/>
        <v/>
      </c>
      <c r="G558" s="286"/>
      <c r="H558" s="287"/>
      <c r="I558" s="287"/>
      <c r="K558" s="285" t="str">
        <f t="shared" si="23"/>
        <v/>
      </c>
      <c r="L558" s="286"/>
      <c r="M558" s="287"/>
      <c r="N558" s="287"/>
      <c r="O558" s="286"/>
      <c r="P558" s="286"/>
      <c r="Q558" s="287"/>
    </row>
    <row r="559" spans="1:17" ht="30" customHeight="1" x14ac:dyDescent="0.2">
      <c r="A559" s="280"/>
      <c r="B559" s="281"/>
      <c r="C559" s="281"/>
      <c r="D559" s="281"/>
      <c r="F559" s="285" t="str">
        <f t="shared" si="22"/>
        <v/>
      </c>
      <c r="G559" s="286"/>
      <c r="H559" s="287"/>
      <c r="I559" s="287"/>
      <c r="K559" s="285" t="str">
        <f t="shared" si="23"/>
        <v/>
      </c>
      <c r="L559" s="286"/>
      <c r="M559" s="287"/>
      <c r="N559" s="287"/>
      <c r="O559" s="286"/>
      <c r="P559" s="286"/>
      <c r="Q559" s="287"/>
    </row>
    <row r="560" spans="1:17" ht="30" customHeight="1" x14ac:dyDescent="0.2">
      <c r="A560" s="280"/>
      <c r="B560" s="281"/>
      <c r="C560" s="281"/>
      <c r="D560" s="281"/>
      <c r="F560" s="285" t="str">
        <f t="shared" si="22"/>
        <v/>
      </c>
      <c r="G560" s="286"/>
      <c r="H560" s="287"/>
      <c r="I560" s="287"/>
      <c r="K560" s="285" t="str">
        <f t="shared" si="23"/>
        <v/>
      </c>
      <c r="L560" s="286"/>
      <c r="M560" s="287"/>
      <c r="N560" s="287"/>
      <c r="O560" s="286"/>
      <c r="P560" s="286"/>
      <c r="Q560" s="287"/>
    </row>
    <row r="561" spans="1:17" ht="30" customHeight="1" x14ac:dyDescent="0.2">
      <c r="A561" s="280"/>
      <c r="B561" s="281"/>
      <c r="C561" s="281"/>
      <c r="D561" s="281"/>
      <c r="F561" s="285" t="str">
        <f t="shared" si="22"/>
        <v/>
      </c>
      <c r="G561" s="286"/>
      <c r="H561" s="287"/>
      <c r="I561" s="287"/>
      <c r="K561" s="285" t="str">
        <f t="shared" si="23"/>
        <v/>
      </c>
      <c r="L561" s="286"/>
      <c r="M561" s="287"/>
      <c r="N561" s="287"/>
      <c r="O561" s="286"/>
      <c r="P561" s="286"/>
      <c r="Q561" s="287"/>
    </row>
    <row r="562" spans="1:17" ht="30" customHeight="1" x14ac:dyDescent="0.2">
      <c r="A562" s="280"/>
      <c r="B562" s="281"/>
      <c r="C562" s="281"/>
      <c r="D562" s="281"/>
      <c r="F562" s="285" t="str">
        <f t="shared" si="22"/>
        <v/>
      </c>
      <c r="G562" s="286"/>
      <c r="H562" s="287"/>
      <c r="I562" s="287"/>
      <c r="K562" s="285" t="str">
        <f t="shared" si="23"/>
        <v/>
      </c>
      <c r="L562" s="286"/>
      <c r="M562" s="287"/>
      <c r="N562" s="287"/>
      <c r="O562" s="286"/>
      <c r="P562" s="286"/>
      <c r="Q562" s="287"/>
    </row>
    <row r="563" spans="1:17" ht="30" customHeight="1" x14ac:dyDescent="0.2">
      <c r="A563" s="280"/>
      <c r="B563" s="281"/>
      <c r="C563" s="281"/>
      <c r="D563" s="281"/>
      <c r="F563" s="285" t="str">
        <f t="shared" si="22"/>
        <v/>
      </c>
      <c r="G563" s="286"/>
      <c r="H563" s="287"/>
      <c r="I563" s="287"/>
      <c r="K563" s="285" t="str">
        <f t="shared" si="23"/>
        <v/>
      </c>
      <c r="L563" s="286"/>
      <c r="M563" s="287"/>
      <c r="N563" s="287"/>
      <c r="O563" s="286"/>
      <c r="P563" s="286"/>
      <c r="Q563" s="287"/>
    </row>
    <row r="564" spans="1:17" ht="30" customHeight="1" x14ac:dyDescent="0.2">
      <c r="A564" s="280"/>
      <c r="B564" s="281"/>
      <c r="C564" s="281"/>
      <c r="D564" s="281"/>
      <c r="F564" s="285" t="str">
        <f t="shared" si="22"/>
        <v/>
      </c>
      <c r="G564" s="286"/>
      <c r="H564" s="287"/>
      <c r="I564" s="287"/>
      <c r="K564" s="285" t="str">
        <f t="shared" si="23"/>
        <v/>
      </c>
      <c r="L564" s="286"/>
      <c r="M564" s="287"/>
      <c r="N564" s="287"/>
      <c r="O564" s="286"/>
      <c r="P564" s="286"/>
      <c r="Q564" s="287"/>
    </row>
    <row r="565" spans="1:17" ht="30" customHeight="1" x14ac:dyDescent="0.2">
      <c r="A565" s="280"/>
      <c r="B565" s="281"/>
      <c r="C565" s="281"/>
      <c r="D565" s="281"/>
      <c r="F565" s="285" t="str">
        <f t="shared" si="22"/>
        <v/>
      </c>
      <c r="G565" s="286"/>
      <c r="H565" s="287"/>
      <c r="I565" s="287"/>
      <c r="K565" s="285" t="str">
        <f t="shared" si="23"/>
        <v/>
      </c>
      <c r="L565" s="286"/>
      <c r="M565" s="287"/>
      <c r="N565" s="287"/>
      <c r="O565" s="286"/>
      <c r="P565" s="286"/>
      <c r="Q565" s="287"/>
    </row>
    <row r="566" spans="1:17" ht="30" customHeight="1" x14ac:dyDescent="0.2">
      <c r="A566" s="280"/>
      <c r="B566" s="281"/>
      <c r="C566" s="281"/>
      <c r="D566" s="281"/>
      <c r="F566" s="285" t="str">
        <f t="shared" si="22"/>
        <v/>
      </c>
      <c r="G566" s="286"/>
      <c r="H566" s="287"/>
      <c r="I566" s="287"/>
      <c r="K566" s="285" t="str">
        <f t="shared" si="23"/>
        <v/>
      </c>
      <c r="L566" s="286"/>
      <c r="M566" s="287"/>
      <c r="N566" s="287"/>
      <c r="O566" s="286"/>
      <c r="P566" s="286"/>
      <c r="Q566" s="287"/>
    </row>
    <row r="567" spans="1:17" ht="30" customHeight="1" x14ac:dyDescent="0.2">
      <c r="A567" s="280"/>
      <c r="B567" s="281"/>
      <c r="C567" s="281"/>
      <c r="D567" s="281"/>
      <c r="F567" s="285" t="str">
        <f t="shared" si="22"/>
        <v/>
      </c>
      <c r="G567" s="286"/>
      <c r="H567" s="287"/>
      <c r="I567" s="287"/>
      <c r="K567" s="285" t="str">
        <f t="shared" si="23"/>
        <v/>
      </c>
      <c r="L567" s="286"/>
      <c r="M567" s="287"/>
      <c r="N567" s="287"/>
      <c r="O567" s="286"/>
      <c r="P567" s="286"/>
      <c r="Q567" s="287"/>
    </row>
    <row r="568" spans="1:17" ht="30" customHeight="1" x14ac:dyDescent="0.2">
      <c r="A568" s="280"/>
      <c r="B568" s="281"/>
      <c r="C568" s="281"/>
      <c r="D568" s="281"/>
      <c r="F568" s="285" t="str">
        <f t="shared" si="22"/>
        <v/>
      </c>
      <c r="G568" s="286"/>
      <c r="H568" s="287"/>
      <c r="I568" s="287"/>
      <c r="K568" s="285" t="str">
        <f t="shared" si="23"/>
        <v/>
      </c>
      <c r="L568" s="286"/>
      <c r="M568" s="287"/>
      <c r="N568" s="287"/>
      <c r="O568" s="286"/>
      <c r="P568" s="286"/>
      <c r="Q568" s="287"/>
    </row>
    <row r="569" spans="1:17" ht="30" customHeight="1" x14ac:dyDescent="0.2">
      <c r="A569" s="280"/>
      <c r="B569" s="281"/>
      <c r="C569" s="281"/>
      <c r="D569" s="281"/>
      <c r="F569" s="285" t="str">
        <f t="shared" si="22"/>
        <v/>
      </c>
      <c r="G569" s="286"/>
      <c r="H569" s="287"/>
      <c r="I569" s="287"/>
      <c r="K569" s="285" t="str">
        <f t="shared" si="23"/>
        <v/>
      </c>
      <c r="L569" s="286"/>
      <c r="M569" s="287"/>
      <c r="N569" s="287"/>
      <c r="O569" s="286"/>
      <c r="P569" s="286"/>
      <c r="Q569" s="287"/>
    </row>
    <row r="570" spans="1:17" ht="30" customHeight="1" x14ac:dyDescent="0.2">
      <c r="A570" s="280"/>
      <c r="B570" s="281"/>
      <c r="C570" s="281"/>
      <c r="D570" s="281"/>
      <c r="F570" s="285" t="str">
        <f t="shared" si="22"/>
        <v/>
      </c>
      <c r="G570" s="286"/>
      <c r="H570" s="287"/>
      <c r="I570" s="287"/>
      <c r="K570" s="285" t="str">
        <f t="shared" si="23"/>
        <v/>
      </c>
      <c r="L570" s="286"/>
      <c r="M570" s="287"/>
      <c r="N570" s="287"/>
      <c r="O570" s="286"/>
      <c r="P570" s="286"/>
      <c r="Q570" s="287"/>
    </row>
    <row r="571" spans="1:17" ht="30" customHeight="1" x14ac:dyDescent="0.2">
      <c r="A571" s="280"/>
      <c r="B571" s="281"/>
      <c r="C571" s="281"/>
      <c r="D571" s="281"/>
      <c r="F571" s="285" t="str">
        <f t="shared" si="22"/>
        <v/>
      </c>
      <c r="G571" s="286"/>
      <c r="H571" s="287"/>
      <c r="I571" s="287"/>
      <c r="K571" s="285" t="str">
        <f t="shared" si="23"/>
        <v/>
      </c>
      <c r="L571" s="286"/>
      <c r="M571" s="287"/>
      <c r="N571" s="287"/>
      <c r="O571" s="286"/>
      <c r="P571" s="286"/>
      <c r="Q571" s="287"/>
    </row>
    <row r="572" spans="1:17" ht="30" customHeight="1" x14ac:dyDescent="0.2">
      <c r="A572" s="280"/>
      <c r="B572" s="281"/>
      <c r="C572" s="281"/>
      <c r="D572" s="281"/>
      <c r="F572" s="285" t="str">
        <f t="shared" si="22"/>
        <v/>
      </c>
      <c r="G572" s="286"/>
      <c r="H572" s="287"/>
      <c r="I572" s="287"/>
      <c r="K572" s="285" t="str">
        <f t="shared" si="23"/>
        <v/>
      </c>
      <c r="L572" s="286"/>
      <c r="M572" s="287"/>
      <c r="N572" s="287"/>
      <c r="O572" s="286"/>
      <c r="P572" s="286"/>
      <c r="Q572" s="287"/>
    </row>
    <row r="573" spans="1:17" ht="30" customHeight="1" x14ac:dyDescent="0.2">
      <c r="A573" s="280"/>
      <c r="B573" s="281"/>
      <c r="C573" s="281"/>
      <c r="D573" s="281"/>
      <c r="F573" s="285" t="str">
        <f t="shared" si="22"/>
        <v/>
      </c>
      <c r="G573" s="286"/>
      <c r="H573" s="287"/>
      <c r="I573" s="287"/>
      <c r="K573" s="285" t="str">
        <f t="shared" si="23"/>
        <v/>
      </c>
      <c r="L573" s="286"/>
      <c r="M573" s="287"/>
      <c r="N573" s="287"/>
      <c r="O573" s="286"/>
      <c r="P573" s="286"/>
      <c r="Q573" s="287"/>
    </row>
    <row r="574" spans="1:17" ht="30" customHeight="1" x14ac:dyDescent="0.2">
      <c r="A574" s="280"/>
      <c r="B574" s="281"/>
      <c r="C574" s="281"/>
      <c r="D574" s="281"/>
      <c r="F574" s="285" t="str">
        <f t="shared" si="22"/>
        <v/>
      </c>
      <c r="G574" s="286"/>
      <c r="H574" s="287"/>
      <c r="I574" s="287"/>
      <c r="K574" s="285" t="str">
        <f t="shared" si="23"/>
        <v/>
      </c>
      <c r="L574" s="286"/>
      <c r="M574" s="287"/>
      <c r="N574" s="287"/>
      <c r="O574" s="286"/>
      <c r="P574" s="286"/>
      <c r="Q574" s="287"/>
    </row>
    <row r="575" spans="1:17" ht="30" customHeight="1" x14ac:dyDescent="0.2">
      <c r="A575" s="280"/>
      <c r="B575" s="281"/>
      <c r="C575" s="281"/>
      <c r="D575" s="281"/>
      <c r="F575" s="285" t="str">
        <f t="shared" si="22"/>
        <v/>
      </c>
      <c r="G575" s="286"/>
      <c r="H575" s="287"/>
      <c r="I575" s="287"/>
      <c r="K575" s="285" t="str">
        <f t="shared" si="23"/>
        <v/>
      </c>
      <c r="L575" s="286"/>
      <c r="M575" s="287"/>
      <c r="N575" s="287"/>
      <c r="O575" s="286"/>
      <c r="P575" s="286"/>
      <c r="Q575" s="287"/>
    </row>
    <row r="576" spans="1:17" ht="30" customHeight="1" x14ac:dyDescent="0.2">
      <c r="A576" s="280"/>
      <c r="B576" s="281"/>
      <c r="C576" s="281"/>
      <c r="D576" s="281"/>
      <c r="F576" s="285" t="str">
        <f t="shared" si="22"/>
        <v/>
      </c>
      <c r="G576" s="286"/>
      <c r="H576" s="287"/>
      <c r="I576" s="287"/>
      <c r="K576" s="285" t="str">
        <f t="shared" si="23"/>
        <v/>
      </c>
      <c r="L576" s="286"/>
      <c r="M576" s="287"/>
      <c r="N576" s="287"/>
      <c r="O576" s="286"/>
      <c r="P576" s="286"/>
      <c r="Q576" s="287"/>
    </row>
    <row r="577" spans="1:17" ht="30" customHeight="1" x14ac:dyDescent="0.2">
      <c r="A577" s="280"/>
      <c r="B577" s="281"/>
      <c r="C577" s="281"/>
      <c r="D577" s="281"/>
      <c r="F577" s="285" t="str">
        <f t="shared" si="22"/>
        <v/>
      </c>
      <c r="G577" s="286"/>
      <c r="H577" s="287"/>
      <c r="I577" s="287"/>
      <c r="K577" s="285" t="str">
        <f t="shared" si="23"/>
        <v/>
      </c>
      <c r="L577" s="286"/>
      <c r="M577" s="287"/>
      <c r="N577" s="287"/>
      <c r="O577" s="286"/>
      <c r="P577" s="286"/>
      <c r="Q577" s="287"/>
    </row>
    <row r="578" spans="1:17" ht="30" customHeight="1" x14ac:dyDescent="0.2">
      <c r="A578" s="280"/>
      <c r="B578" s="281"/>
      <c r="C578" s="281"/>
      <c r="D578" s="281"/>
      <c r="F578" s="285" t="str">
        <f t="shared" si="22"/>
        <v/>
      </c>
      <c r="G578" s="286"/>
      <c r="H578" s="287"/>
      <c r="I578" s="287"/>
      <c r="K578" s="285" t="str">
        <f t="shared" si="23"/>
        <v/>
      </c>
      <c r="L578" s="286"/>
      <c r="M578" s="287"/>
      <c r="N578" s="287"/>
      <c r="O578" s="286"/>
      <c r="P578" s="286"/>
      <c r="Q578" s="287"/>
    </row>
    <row r="579" spans="1:17" ht="30" customHeight="1" x14ac:dyDescent="0.2">
      <c r="A579" s="280"/>
      <c r="B579" s="281"/>
      <c r="C579" s="281"/>
      <c r="D579" s="281"/>
      <c r="F579" s="285" t="str">
        <f t="shared" si="22"/>
        <v/>
      </c>
      <c r="G579" s="286"/>
      <c r="H579" s="287"/>
      <c r="I579" s="287"/>
      <c r="K579" s="285" t="str">
        <f t="shared" si="23"/>
        <v/>
      </c>
      <c r="L579" s="286"/>
      <c r="M579" s="287"/>
      <c r="N579" s="287"/>
      <c r="O579" s="286"/>
      <c r="P579" s="286"/>
      <c r="Q579" s="287"/>
    </row>
    <row r="580" spans="1:17" ht="30" customHeight="1" x14ac:dyDescent="0.2">
      <c r="A580" s="280"/>
      <c r="B580" s="281"/>
      <c r="C580" s="281"/>
      <c r="D580" s="281"/>
      <c r="F580" s="285" t="str">
        <f t="shared" si="22"/>
        <v/>
      </c>
      <c r="G580" s="286"/>
      <c r="H580" s="287"/>
      <c r="I580" s="287"/>
      <c r="K580" s="285" t="str">
        <f t="shared" si="23"/>
        <v/>
      </c>
      <c r="L580" s="286"/>
      <c r="M580" s="287"/>
      <c r="N580" s="287"/>
      <c r="O580" s="286"/>
      <c r="P580" s="286"/>
      <c r="Q580" s="287"/>
    </row>
    <row r="581" spans="1:17" ht="30" customHeight="1" x14ac:dyDescent="0.2">
      <c r="A581" s="280"/>
      <c r="B581" s="281"/>
      <c r="C581" s="281"/>
      <c r="D581" s="281"/>
      <c r="F581" s="285" t="str">
        <f t="shared" ref="F581:F644" si="24">IF(A581="","",A581)</f>
        <v/>
      </c>
      <c r="G581" s="286"/>
      <c r="H581" s="287"/>
      <c r="I581" s="287"/>
      <c r="K581" s="285" t="str">
        <f t="shared" si="23"/>
        <v/>
      </c>
      <c r="L581" s="286"/>
      <c r="M581" s="287"/>
      <c r="N581" s="287"/>
      <c r="O581" s="286"/>
      <c r="P581" s="286"/>
      <c r="Q581" s="287"/>
    </row>
    <row r="582" spans="1:17" ht="30" customHeight="1" x14ac:dyDescent="0.2">
      <c r="A582" s="280"/>
      <c r="B582" s="281"/>
      <c r="C582" s="281"/>
      <c r="D582" s="281"/>
      <c r="F582" s="285" t="str">
        <f t="shared" si="24"/>
        <v/>
      </c>
      <c r="G582" s="286"/>
      <c r="H582" s="287"/>
      <c r="I582" s="287"/>
      <c r="K582" s="285" t="str">
        <f t="shared" si="23"/>
        <v/>
      </c>
      <c r="L582" s="286"/>
      <c r="M582" s="287"/>
      <c r="N582" s="287"/>
      <c r="O582" s="286"/>
      <c r="P582" s="286"/>
      <c r="Q582" s="287"/>
    </row>
    <row r="583" spans="1:17" ht="30" customHeight="1" x14ac:dyDescent="0.2">
      <c r="A583" s="280"/>
      <c r="B583" s="281"/>
      <c r="C583" s="281"/>
      <c r="D583" s="281"/>
      <c r="F583" s="285" t="str">
        <f t="shared" si="24"/>
        <v/>
      </c>
      <c r="G583" s="286"/>
      <c r="H583" s="287"/>
      <c r="I583" s="287"/>
      <c r="K583" s="285" t="str">
        <f t="shared" si="23"/>
        <v/>
      </c>
      <c r="L583" s="286"/>
      <c r="M583" s="287"/>
      <c r="N583" s="287"/>
      <c r="O583" s="286"/>
      <c r="P583" s="286"/>
      <c r="Q583" s="287"/>
    </row>
    <row r="584" spans="1:17" ht="30" customHeight="1" x14ac:dyDescent="0.2">
      <c r="A584" s="280"/>
      <c r="B584" s="281"/>
      <c r="C584" s="281"/>
      <c r="D584" s="281"/>
      <c r="F584" s="285" t="str">
        <f t="shared" si="24"/>
        <v/>
      </c>
      <c r="G584" s="286"/>
      <c r="H584" s="287"/>
      <c r="I584" s="287"/>
      <c r="K584" s="285" t="str">
        <f t="shared" si="23"/>
        <v/>
      </c>
      <c r="L584" s="286"/>
      <c r="M584" s="287"/>
      <c r="N584" s="287"/>
      <c r="O584" s="286"/>
      <c r="P584" s="286"/>
      <c r="Q584" s="287"/>
    </row>
    <row r="585" spans="1:17" ht="30" customHeight="1" x14ac:dyDescent="0.2">
      <c r="A585" s="280"/>
      <c r="B585" s="281"/>
      <c r="C585" s="281"/>
      <c r="D585" s="281"/>
      <c r="F585" s="285" t="str">
        <f t="shared" si="24"/>
        <v/>
      </c>
      <c r="G585" s="286"/>
      <c r="H585" s="287"/>
      <c r="I585" s="287"/>
      <c r="K585" s="285" t="str">
        <f t="shared" si="23"/>
        <v/>
      </c>
      <c r="L585" s="286"/>
      <c r="M585" s="287"/>
      <c r="N585" s="287"/>
      <c r="O585" s="286"/>
      <c r="P585" s="286"/>
      <c r="Q585" s="287"/>
    </row>
    <row r="586" spans="1:17" ht="30" customHeight="1" x14ac:dyDescent="0.2">
      <c r="A586" s="280"/>
      <c r="B586" s="281"/>
      <c r="C586" s="281"/>
      <c r="D586" s="281"/>
      <c r="F586" s="285" t="str">
        <f t="shared" si="24"/>
        <v/>
      </c>
      <c r="G586" s="286"/>
      <c r="H586" s="287"/>
      <c r="I586" s="287"/>
      <c r="K586" s="285" t="str">
        <f t="shared" si="23"/>
        <v/>
      </c>
      <c r="L586" s="286"/>
      <c r="M586" s="287"/>
      <c r="N586" s="287"/>
      <c r="O586" s="286"/>
      <c r="P586" s="286"/>
      <c r="Q586" s="287"/>
    </row>
    <row r="587" spans="1:17" ht="30" customHeight="1" x14ac:dyDescent="0.2">
      <c r="A587" s="280"/>
      <c r="B587" s="281"/>
      <c r="C587" s="281"/>
      <c r="D587" s="281"/>
      <c r="F587" s="285" t="str">
        <f t="shared" si="24"/>
        <v/>
      </c>
      <c r="G587" s="286"/>
      <c r="H587" s="287"/>
      <c r="I587" s="287"/>
      <c r="K587" s="285" t="str">
        <f t="shared" ref="K587:K650" si="25">IF(A587="","",A587)</f>
        <v/>
      </c>
      <c r="L587" s="286"/>
      <c r="M587" s="287"/>
      <c r="N587" s="287"/>
      <c r="O587" s="286"/>
      <c r="P587" s="286"/>
      <c r="Q587" s="287"/>
    </row>
    <row r="588" spans="1:17" ht="30" customHeight="1" x14ac:dyDescent="0.2">
      <c r="A588" s="280"/>
      <c r="B588" s="281"/>
      <c r="C588" s="281"/>
      <c r="D588" s="281"/>
      <c r="F588" s="285" t="str">
        <f t="shared" si="24"/>
        <v/>
      </c>
      <c r="G588" s="286"/>
      <c r="H588" s="287"/>
      <c r="I588" s="287"/>
      <c r="K588" s="285" t="str">
        <f t="shared" si="25"/>
        <v/>
      </c>
      <c r="L588" s="286"/>
      <c r="M588" s="287"/>
      <c r="N588" s="287"/>
      <c r="O588" s="286"/>
      <c r="P588" s="286"/>
      <c r="Q588" s="287"/>
    </row>
    <row r="589" spans="1:17" ht="30" customHeight="1" x14ac:dyDescent="0.2">
      <c r="A589" s="280"/>
      <c r="B589" s="281"/>
      <c r="C589" s="281"/>
      <c r="D589" s="281"/>
      <c r="F589" s="285" t="str">
        <f t="shared" si="24"/>
        <v/>
      </c>
      <c r="G589" s="286"/>
      <c r="H589" s="287"/>
      <c r="I589" s="287"/>
      <c r="K589" s="285" t="str">
        <f t="shared" si="25"/>
        <v/>
      </c>
      <c r="L589" s="286"/>
      <c r="M589" s="287"/>
      <c r="N589" s="287"/>
      <c r="O589" s="286"/>
      <c r="P589" s="286"/>
      <c r="Q589" s="287"/>
    </row>
    <row r="590" spans="1:17" ht="30" customHeight="1" x14ac:dyDescent="0.2">
      <c r="A590" s="280"/>
      <c r="B590" s="281"/>
      <c r="C590" s="281"/>
      <c r="D590" s="281"/>
      <c r="F590" s="285" t="str">
        <f t="shared" si="24"/>
        <v/>
      </c>
      <c r="G590" s="286"/>
      <c r="H590" s="287"/>
      <c r="I590" s="287"/>
      <c r="K590" s="285" t="str">
        <f t="shared" si="25"/>
        <v/>
      </c>
      <c r="L590" s="286"/>
      <c r="M590" s="287"/>
      <c r="N590" s="287"/>
      <c r="O590" s="286"/>
      <c r="P590" s="286"/>
      <c r="Q590" s="287"/>
    </row>
    <row r="591" spans="1:17" ht="30" customHeight="1" x14ac:dyDescent="0.2">
      <c r="A591" s="280"/>
      <c r="B591" s="281"/>
      <c r="C591" s="281"/>
      <c r="D591" s="281"/>
      <c r="F591" s="285" t="str">
        <f t="shared" si="24"/>
        <v/>
      </c>
      <c r="G591" s="286"/>
      <c r="H591" s="287"/>
      <c r="I591" s="287"/>
      <c r="K591" s="285" t="str">
        <f t="shared" si="25"/>
        <v/>
      </c>
      <c r="L591" s="286"/>
      <c r="M591" s="287"/>
      <c r="N591" s="287"/>
      <c r="O591" s="286"/>
      <c r="P591" s="286"/>
      <c r="Q591" s="287"/>
    </row>
    <row r="592" spans="1:17" ht="30" customHeight="1" x14ac:dyDescent="0.2">
      <c r="A592" s="280"/>
      <c r="B592" s="281"/>
      <c r="C592" s="281"/>
      <c r="D592" s="281"/>
      <c r="F592" s="285" t="str">
        <f t="shared" si="24"/>
        <v/>
      </c>
      <c r="G592" s="286"/>
      <c r="H592" s="287"/>
      <c r="I592" s="287"/>
      <c r="K592" s="285" t="str">
        <f t="shared" si="25"/>
        <v/>
      </c>
      <c r="L592" s="286"/>
      <c r="M592" s="287"/>
      <c r="N592" s="287"/>
      <c r="O592" s="286"/>
      <c r="P592" s="286"/>
      <c r="Q592" s="287"/>
    </row>
    <row r="593" spans="1:17" ht="30" customHeight="1" x14ac:dyDescent="0.2">
      <c r="A593" s="280"/>
      <c r="B593" s="281"/>
      <c r="C593" s="281"/>
      <c r="D593" s="281"/>
      <c r="F593" s="285" t="str">
        <f t="shared" si="24"/>
        <v/>
      </c>
      <c r="G593" s="286"/>
      <c r="H593" s="287"/>
      <c r="I593" s="287"/>
      <c r="K593" s="285" t="str">
        <f t="shared" si="25"/>
        <v/>
      </c>
      <c r="L593" s="286"/>
      <c r="M593" s="287"/>
      <c r="N593" s="287"/>
      <c r="O593" s="286"/>
      <c r="P593" s="286"/>
      <c r="Q593" s="287"/>
    </row>
    <row r="594" spans="1:17" ht="30" customHeight="1" x14ac:dyDescent="0.2">
      <c r="A594" s="280"/>
      <c r="B594" s="281"/>
      <c r="C594" s="281"/>
      <c r="D594" s="281"/>
      <c r="F594" s="285" t="str">
        <f t="shared" si="24"/>
        <v/>
      </c>
      <c r="G594" s="286"/>
      <c r="H594" s="287"/>
      <c r="I594" s="287"/>
      <c r="K594" s="285" t="str">
        <f t="shared" si="25"/>
        <v/>
      </c>
      <c r="L594" s="286"/>
      <c r="M594" s="287"/>
      <c r="N594" s="287"/>
      <c r="O594" s="286"/>
      <c r="P594" s="286"/>
      <c r="Q594" s="287"/>
    </row>
    <row r="595" spans="1:17" ht="30" customHeight="1" x14ac:dyDescent="0.2">
      <c r="A595" s="280"/>
      <c r="B595" s="281"/>
      <c r="C595" s="281"/>
      <c r="D595" s="281"/>
      <c r="F595" s="285" t="str">
        <f t="shared" si="24"/>
        <v/>
      </c>
      <c r="G595" s="286"/>
      <c r="H595" s="287"/>
      <c r="I595" s="287"/>
      <c r="K595" s="285" t="str">
        <f t="shared" si="25"/>
        <v/>
      </c>
      <c r="L595" s="286"/>
      <c r="M595" s="287"/>
      <c r="N595" s="287"/>
      <c r="O595" s="286"/>
      <c r="P595" s="286"/>
      <c r="Q595" s="287"/>
    </row>
    <row r="596" spans="1:17" ht="30" customHeight="1" x14ac:dyDescent="0.2">
      <c r="A596" s="280"/>
      <c r="B596" s="281"/>
      <c r="C596" s="281"/>
      <c r="D596" s="281"/>
      <c r="F596" s="285" t="str">
        <f t="shared" si="24"/>
        <v/>
      </c>
      <c r="G596" s="286"/>
      <c r="H596" s="287"/>
      <c r="I596" s="287"/>
      <c r="K596" s="285" t="str">
        <f t="shared" si="25"/>
        <v/>
      </c>
      <c r="L596" s="286"/>
      <c r="M596" s="287"/>
      <c r="N596" s="287"/>
      <c r="O596" s="286"/>
      <c r="P596" s="286"/>
      <c r="Q596" s="287"/>
    </row>
    <row r="597" spans="1:17" ht="30" customHeight="1" x14ac:dyDescent="0.2">
      <c r="A597" s="280"/>
      <c r="B597" s="281"/>
      <c r="C597" s="281"/>
      <c r="D597" s="281"/>
      <c r="F597" s="285" t="str">
        <f t="shared" si="24"/>
        <v/>
      </c>
      <c r="G597" s="286"/>
      <c r="H597" s="287"/>
      <c r="I597" s="287"/>
      <c r="K597" s="285" t="str">
        <f t="shared" si="25"/>
        <v/>
      </c>
      <c r="L597" s="286"/>
      <c r="M597" s="287"/>
      <c r="N597" s="287"/>
      <c r="O597" s="286"/>
      <c r="P597" s="286"/>
      <c r="Q597" s="287"/>
    </row>
    <row r="598" spans="1:17" ht="30" customHeight="1" x14ac:dyDescent="0.2">
      <c r="A598" s="280"/>
      <c r="B598" s="281"/>
      <c r="C598" s="281"/>
      <c r="D598" s="281"/>
      <c r="F598" s="285" t="str">
        <f t="shared" si="24"/>
        <v/>
      </c>
      <c r="G598" s="286"/>
      <c r="H598" s="287"/>
      <c r="I598" s="287"/>
      <c r="K598" s="285" t="str">
        <f t="shared" si="25"/>
        <v/>
      </c>
      <c r="L598" s="286"/>
      <c r="M598" s="287"/>
      <c r="N598" s="287"/>
      <c r="O598" s="286"/>
      <c r="P598" s="286"/>
      <c r="Q598" s="287"/>
    </row>
    <row r="599" spans="1:17" ht="30" customHeight="1" x14ac:dyDescent="0.2">
      <c r="A599" s="280"/>
      <c r="B599" s="281"/>
      <c r="C599" s="281"/>
      <c r="D599" s="281"/>
      <c r="F599" s="285" t="str">
        <f t="shared" si="24"/>
        <v/>
      </c>
      <c r="G599" s="286"/>
      <c r="H599" s="287"/>
      <c r="I599" s="287"/>
      <c r="K599" s="285" t="str">
        <f t="shared" si="25"/>
        <v/>
      </c>
      <c r="L599" s="286"/>
      <c r="M599" s="287"/>
      <c r="N599" s="287"/>
      <c r="O599" s="286"/>
      <c r="P599" s="286"/>
      <c r="Q599" s="287"/>
    </row>
    <row r="600" spans="1:17" ht="30" customHeight="1" x14ac:dyDescent="0.2">
      <c r="A600" s="280"/>
      <c r="B600" s="281"/>
      <c r="C600" s="281"/>
      <c r="D600" s="281"/>
      <c r="F600" s="285" t="str">
        <f t="shared" si="24"/>
        <v/>
      </c>
      <c r="G600" s="286"/>
      <c r="H600" s="287"/>
      <c r="I600" s="287"/>
      <c r="K600" s="285" t="str">
        <f t="shared" si="25"/>
        <v/>
      </c>
      <c r="L600" s="286"/>
      <c r="M600" s="287"/>
      <c r="N600" s="287"/>
      <c r="O600" s="286"/>
      <c r="P600" s="286"/>
      <c r="Q600" s="287"/>
    </row>
    <row r="601" spans="1:17" ht="30" customHeight="1" x14ac:dyDescent="0.2">
      <c r="A601" s="280"/>
      <c r="B601" s="281"/>
      <c r="C601" s="281"/>
      <c r="D601" s="281"/>
      <c r="F601" s="285" t="str">
        <f t="shared" si="24"/>
        <v/>
      </c>
      <c r="G601" s="286"/>
      <c r="H601" s="287"/>
      <c r="I601" s="287"/>
      <c r="K601" s="285" t="str">
        <f t="shared" si="25"/>
        <v/>
      </c>
      <c r="L601" s="286"/>
      <c r="M601" s="287"/>
      <c r="N601" s="287"/>
      <c r="O601" s="286"/>
      <c r="P601" s="286"/>
      <c r="Q601" s="287"/>
    </row>
    <row r="602" spans="1:17" ht="30" customHeight="1" x14ac:dyDescent="0.2">
      <c r="A602" s="280"/>
      <c r="B602" s="281"/>
      <c r="C602" s="281"/>
      <c r="D602" s="281"/>
      <c r="F602" s="285" t="str">
        <f t="shared" si="24"/>
        <v/>
      </c>
      <c r="G602" s="286"/>
      <c r="H602" s="287"/>
      <c r="I602" s="287"/>
      <c r="K602" s="285" t="str">
        <f t="shared" si="25"/>
        <v/>
      </c>
      <c r="L602" s="286"/>
      <c r="M602" s="287"/>
      <c r="N602" s="287"/>
      <c r="O602" s="286"/>
      <c r="P602" s="286"/>
      <c r="Q602" s="287"/>
    </row>
    <row r="603" spans="1:17" ht="30" customHeight="1" x14ac:dyDescent="0.2">
      <c r="A603" s="280"/>
      <c r="B603" s="281"/>
      <c r="C603" s="281"/>
      <c r="D603" s="281"/>
      <c r="F603" s="285" t="str">
        <f t="shared" si="24"/>
        <v/>
      </c>
      <c r="G603" s="286"/>
      <c r="H603" s="287"/>
      <c r="I603" s="287"/>
      <c r="K603" s="285" t="str">
        <f t="shared" si="25"/>
        <v/>
      </c>
      <c r="L603" s="286"/>
      <c r="M603" s="287"/>
      <c r="N603" s="287"/>
      <c r="O603" s="286"/>
      <c r="P603" s="286"/>
      <c r="Q603" s="287"/>
    </row>
    <row r="604" spans="1:17" ht="30" customHeight="1" x14ac:dyDescent="0.2">
      <c r="A604" s="280"/>
      <c r="B604" s="281"/>
      <c r="C604" s="281"/>
      <c r="D604" s="281"/>
      <c r="F604" s="285" t="str">
        <f t="shared" si="24"/>
        <v/>
      </c>
      <c r="G604" s="286"/>
      <c r="H604" s="287"/>
      <c r="I604" s="287"/>
      <c r="K604" s="285" t="str">
        <f t="shared" si="25"/>
        <v/>
      </c>
      <c r="L604" s="286"/>
      <c r="M604" s="287"/>
      <c r="N604" s="287"/>
      <c r="O604" s="286"/>
      <c r="P604" s="286"/>
      <c r="Q604" s="287"/>
    </row>
    <row r="605" spans="1:17" ht="30" customHeight="1" x14ac:dyDescent="0.2">
      <c r="A605" s="280"/>
      <c r="B605" s="281"/>
      <c r="C605" s="281"/>
      <c r="D605" s="281"/>
      <c r="F605" s="285" t="str">
        <f t="shared" si="24"/>
        <v/>
      </c>
      <c r="G605" s="286"/>
      <c r="H605" s="287"/>
      <c r="I605" s="287"/>
      <c r="K605" s="285" t="str">
        <f t="shared" si="25"/>
        <v/>
      </c>
      <c r="L605" s="286"/>
      <c r="M605" s="287"/>
      <c r="N605" s="287"/>
      <c r="O605" s="286"/>
      <c r="P605" s="286"/>
      <c r="Q605" s="287"/>
    </row>
    <row r="606" spans="1:17" ht="30" customHeight="1" x14ac:dyDescent="0.2">
      <c r="A606" s="280"/>
      <c r="B606" s="281"/>
      <c r="C606" s="281"/>
      <c r="D606" s="281"/>
      <c r="F606" s="285" t="str">
        <f t="shared" si="24"/>
        <v/>
      </c>
      <c r="G606" s="286"/>
      <c r="H606" s="287"/>
      <c r="I606" s="287"/>
      <c r="K606" s="285" t="str">
        <f t="shared" si="25"/>
        <v/>
      </c>
      <c r="L606" s="286"/>
      <c r="M606" s="287"/>
      <c r="N606" s="287"/>
      <c r="O606" s="286"/>
      <c r="P606" s="286"/>
      <c r="Q606" s="287"/>
    </row>
    <row r="607" spans="1:17" ht="30" customHeight="1" x14ac:dyDescent="0.2">
      <c r="A607" s="280"/>
      <c r="B607" s="281"/>
      <c r="C607" s="281"/>
      <c r="D607" s="281"/>
      <c r="F607" s="285" t="str">
        <f t="shared" si="24"/>
        <v/>
      </c>
      <c r="G607" s="286"/>
      <c r="H607" s="287"/>
      <c r="I607" s="287"/>
      <c r="K607" s="285" t="str">
        <f t="shared" si="25"/>
        <v/>
      </c>
      <c r="L607" s="286"/>
      <c r="M607" s="287"/>
      <c r="N607" s="287"/>
      <c r="O607" s="286"/>
      <c r="P607" s="286"/>
      <c r="Q607" s="287"/>
    </row>
    <row r="608" spans="1:17" ht="30" customHeight="1" x14ac:dyDescent="0.2">
      <c r="A608" s="280"/>
      <c r="B608" s="281"/>
      <c r="C608" s="281"/>
      <c r="D608" s="281"/>
      <c r="F608" s="285" t="str">
        <f t="shared" si="24"/>
        <v/>
      </c>
      <c r="G608" s="286"/>
      <c r="H608" s="287"/>
      <c r="I608" s="287"/>
      <c r="K608" s="285" t="str">
        <f t="shared" si="25"/>
        <v/>
      </c>
      <c r="L608" s="286"/>
      <c r="M608" s="287"/>
      <c r="N608" s="287"/>
      <c r="O608" s="286"/>
      <c r="P608" s="286"/>
      <c r="Q608" s="287"/>
    </row>
    <row r="609" spans="1:17" ht="30" customHeight="1" x14ac:dyDescent="0.2">
      <c r="A609" s="280"/>
      <c r="B609" s="281"/>
      <c r="C609" s="281"/>
      <c r="D609" s="281"/>
      <c r="F609" s="285" t="str">
        <f t="shared" si="24"/>
        <v/>
      </c>
      <c r="G609" s="286"/>
      <c r="H609" s="287"/>
      <c r="I609" s="287"/>
      <c r="K609" s="285" t="str">
        <f t="shared" si="25"/>
        <v/>
      </c>
      <c r="L609" s="286"/>
      <c r="M609" s="287"/>
      <c r="N609" s="287"/>
      <c r="O609" s="286"/>
      <c r="P609" s="286"/>
      <c r="Q609" s="287"/>
    </row>
    <row r="610" spans="1:17" ht="30" customHeight="1" x14ac:dyDescent="0.2">
      <c r="A610" s="280"/>
      <c r="B610" s="281"/>
      <c r="C610" s="281"/>
      <c r="D610" s="281"/>
      <c r="F610" s="285" t="str">
        <f t="shared" si="24"/>
        <v/>
      </c>
      <c r="G610" s="286"/>
      <c r="H610" s="287"/>
      <c r="I610" s="287"/>
      <c r="K610" s="285" t="str">
        <f t="shared" si="25"/>
        <v/>
      </c>
      <c r="L610" s="286"/>
      <c r="M610" s="287"/>
      <c r="N610" s="287"/>
      <c r="O610" s="286"/>
      <c r="P610" s="286"/>
      <c r="Q610" s="287"/>
    </row>
    <row r="611" spans="1:17" ht="30" customHeight="1" x14ac:dyDescent="0.2">
      <c r="A611" s="280"/>
      <c r="B611" s="281"/>
      <c r="C611" s="281"/>
      <c r="D611" s="281"/>
      <c r="F611" s="285" t="str">
        <f t="shared" si="24"/>
        <v/>
      </c>
      <c r="G611" s="286"/>
      <c r="H611" s="287"/>
      <c r="I611" s="287"/>
      <c r="K611" s="285" t="str">
        <f t="shared" si="25"/>
        <v/>
      </c>
      <c r="L611" s="286"/>
      <c r="M611" s="287"/>
      <c r="N611" s="287"/>
      <c r="O611" s="286"/>
      <c r="P611" s="286"/>
      <c r="Q611" s="287"/>
    </row>
    <row r="612" spans="1:17" ht="30" customHeight="1" x14ac:dyDescent="0.2">
      <c r="A612" s="280"/>
      <c r="B612" s="281"/>
      <c r="C612" s="281"/>
      <c r="D612" s="281"/>
      <c r="F612" s="285" t="str">
        <f t="shared" si="24"/>
        <v/>
      </c>
      <c r="G612" s="286"/>
      <c r="H612" s="287"/>
      <c r="I612" s="287"/>
      <c r="K612" s="285" t="str">
        <f t="shared" si="25"/>
        <v/>
      </c>
      <c r="L612" s="286"/>
      <c r="M612" s="287"/>
      <c r="N612" s="287"/>
      <c r="O612" s="286"/>
      <c r="P612" s="286"/>
      <c r="Q612" s="287"/>
    </row>
    <row r="613" spans="1:17" ht="30" customHeight="1" x14ac:dyDescent="0.2">
      <c r="A613" s="280"/>
      <c r="B613" s="281"/>
      <c r="C613" s="281"/>
      <c r="D613" s="281"/>
      <c r="F613" s="285" t="str">
        <f t="shared" si="24"/>
        <v/>
      </c>
      <c r="G613" s="286"/>
      <c r="H613" s="287"/>
      <c r="I613" s="287"/>
      <c r="K613" s="285" t="str">
        <f t="shared" si="25"/>
        <v/>
      </c>
      <c r="L613" s="286"/>
      <c r="M613" s="287"/>
      <c r="N613" s="287"/>
      <c r="O613" s="286"/>
      <c r="P613" s="286"/>
      <c r="Q613" s="287"/>
    </row>
    <row r="614" spans="1:17" ht="30" customHeight="1" x14ac:dyDescent="0.2">
      <c r="A614" s="280"/>
      <c r="B614" s="281"/>
      <c r="C614" s="281"/>
      <c r="D614" s="281"/>
      <c r="F614" s="285" t="str">
        <f t="shared" si="24"/>
        <v/>
      </c>
      <c r="G614" s="286"/>
      <c r="H614" s="287"/>
      <c r="I614" s="287"/>
      <c r="K614" s="285" t="str">
        <f t="shared" si="25"/>
        <v/>
      </c>
      <c r="L614" s="286"/>
      <c r="M614" s="287"/>
      <c r="N614" s="287"/>
      <c r="O614" s="286"/>
      <c r="P614" s="286"/>
      <c r="Q614" s="287"/>
    </row>
    <row r="615" spans="1:17" ht="30" customHeight="1" x14ac:dyDescent="0.2">
      <c r="A615" s="280"/>
      <c r="B615" s="281"/>
      <c r="C615" s="281"/>
      <c r="D615" s="281"/>
      <c r="F615" s="285" t="str">
        <f t="shared" si="24"/>
        <v/>
      </c>
      <c r="G615" s="286"/>
      <c r="H615" s="287"/>
      <c r="I615" s="287"/>
      <c r="K615" s="285" t="str">
        <f t="shared" si="25"/>
        <v/>
      </c>
      <c r="L615" s="286"/>
      <c r="M615" s="287"/>
      <c r="N615" s="287"/>
      <c r="O615" s="286"/>
      <c r="P615" s="286"/>
      <c r="Q615" s="287"/>
    </row>
    <row r="616" spans="1:17" ht="30" customHeight="1" x14ac:dyDescent="0.2">
      <c r="A616" s="280"/>
      <c r="B616" s="281"/>
      <c r="C616" s="281"/>
      <c r="D616" s="281"/>
      <c r="F616" s="285" t="str">
        <f t="shared" si="24"/>
        <v/>
      </c>
      <c r="G616" s="286"/>
      <c r="H616" s="287"/>
      <c r="I616" s="287"/>
      <c r="K616" s="285" t="str">
        <f t="shared" si="25"/>
        <v/>
      </c>
      <c r="L616" s="286"/>
      <c r="M616" s="287"/>
      <c r="N616" s="287"/>
      <c r="O616" s="286"/>
      <c r="P616" s="286"/>
      <c r="Q616" s="287"/>
    </row>
    <row r="617" spans="1:17" ht="30" customHeight="1" x14ac:dyDescent="0.2">
      <c r="A617" s="280"/>
      <c r="B617" s="281"/>
      <c r="C617" s="281"/>
      <c r="D617" s="281"/>
      <c r="F617" s="285" t="str">
        <f t="shared" si="24"/>
        <v/>
      </c>
      <c r="G617" s="286"/>
      <c r="H617" s="287"/>
      <c r="I617" s="287"/>
      <c r="K617" s="285" t="str">
        <f t="shared" si="25"/>
        <v/>
      </c>
      <c r="L617" s="286"/>
      <c r="M617" s="287"/>
      <c r="N617" s="287"/>
      <c r="O617" s="286"/>
      <c r="P617" s="286"/>
      <c r="Q617" s="287"/>
    </row>
    <row r="618" spans="1:17" ht="30" customHeight="1" x14ac:dyDescent="0.2">
      <c r="A618" s="280"/>
      <c r="B618" s="281"/>
      <c r="C618" s="281"/>
      <c r="D618" s="281"/>
      <c r="F618" s="285" t="str">
        <f t="shared" si="24"/>
        <v/>
      </c>
      <c r="G618" s="286"/>
      <c r="H618" s="287"/>
      <c r="I618" s="287"/>
      <c r="K618" s="285" t="str">
        <f t="shared" si="25"/>
        <v/>
      </c>
      <c r="L618" s="286"/>
      <c r="M618" s="287"/>
      <c r="N618" s="287"/>
      <c r="O618" s="286"/>
      <c r="P618" s="286"/>
      <c r="Q618" s="287"/>
    </row>
    <row r="619" spans="1:17" ht="30" customHeight="1" x14ac:dyDescent="0.2">
      <c r="A619" s="280"/>
      <c r="B619" s="281"/>
      <c r="C619" s="281"/>
      <c r="D619" s="281"/>
      <c r="F619" s="285" t="str">
        <f t="shared" si="24"/>
        <v/>
      </c>
      <c r="G619" s="286"/>
      <c r="H619" s="287"/>
      <c r="I619" s="287"/>
      <c r="K619" s="285" t="str">
        <f t="shared" si="25"/>
        <v/>
      </c>
      <c r="L619" s="286"/>
      <c r="M619" s="287"/>
      <c r="N619" s="287"/>
      <c r="O619" s="286"/>
      <c r="P619" s="286"/>
      <c r="Q619" s="287"/>
    </row>
    <row r="620" spans="1:17" ht="30" customHeight="1" x14ac:dyDescent="0.2">
      <c r="A620" s="280"/>
      <c r="B620" s="281"/>
      <c r="C620" s="281"/>
      <c r="D620" s="281"/>
      <c r="F620" s="285" t="str">
        <f t="shared" si="24"/>
        <v/>
      </c>
      <c r="G620" s="286"/>
      <c r="H620" s="287"/>
      <c r="I620" s="287"/>
      <c r="K620" s="285" t="str">
        <f t="shared" si="25"/>
        <v/>
      </c>
      <c r="L620" s="286"/>
      <c r="M620" s="287"/>
      <c r="N620" s="287"/>
      <c r="O620" s="286"/>
      <c r="P620" s="286"/>
      <c r="Q620" s="287"/>
    </row>
    <row r="621" spans="1:17" ht="30" customHeight="1" x14ac:dyDescent="0.2">
      <c r="A621" s="280"/>
      <c r="B621" s="281"/>
      <c r="C621" s="281"/>
      <c r="D621" s="281"/>
      <c r="F621" s="285" t="str">
        <f t="shared" si="24"/>
        <v/>
      </c>
      <c r="G621" s="286"/>
      <c r="H621" s="287"/>
      <c r="I621" s="287"/>
      <c r="K621" s="285" t="str">
        <f t="shared" si="25"/>
        <v/>
      </c>
      <c r="L621" s="286"/>
      <c r="M621" s="287"/>
      <c r="N621" s="287"/>
      <c r="O621" s="286"/>
      <c r="P621" s="286"/>
      <c r="Q621" s="287"/>
    </row>
    <row r="622" spans="1:17" ht="30" customHeight="1" x14ac:dyDescent="0.2">
      <c r="A622" s="280"/>
      <c r="B622" s="281"/>
      <c r="C622" s="281"/>
      <c r="D622" s="281"/>
      <c r="F622" s="285" t="str">
        <f t="shared" si="24"/>
        <v/>
      </c>
      <c r="G622" s="286"/>
      <c r="H622" s="287"/>
      <c r="I622" s="287"/>
      <c r="K622" s="285" t="str">
        <f t="shared" si="25"/>
        <v/>
      </c>
      <c r="L622" s="286"/>
      <c r="M622" s="287"/>
      <c r="N622" s="287"/>
      <c r="O622" s="286"/>
      <c r="P622" s="286"/>
      <c r="Q622" s="287"/>
    </row>
    <row r="623" spans="1:17" ht="30" customHeight="1" x14ac:dyDescent="0.2">
      <c r="A623" s="280"/>
      <c r="B623" s="281"/>
      <c r="C623" s="281"/>
      <c r="D623" s="281"/>
      <c r="F623" s="285" t="str">
        <f t="shared" si="24"/>
        <v/>
      </c>
      <c r="G623" s="286"/>
      <c r="H623" s="287"/>
      <c r="I623" s="287"/>
      <c r="K623" s="285" t="str">
        <f t="shared" si="25"/>
        <v/>
      </c>
      <c r="L623" s="286"/>
      <c r="M623" s="287"/>
      <c r="N623" s="287"/>
      <c r="O623" s="286"/>
      <c r="P623" s="286"/>
      <c r="Q623" s="287"/>
    </row>
    <row r="624" spans="1:17" ht="30" customHeight="1" x14ac:dyDescent="0.2">
      <c r="A624" s="280"/>
      <c r="B624" s="281"/>
      <c r="C624" s="281"/>
      <c r="D624" s="281"/>
      <c r="F624" s="285" t="str">
        <f t="shared" si="24"/>
        <v/>
      </c>
      <c r="G624" s="286"/>
      <c r="H624" s="287"/>
      <c r="I624" s="287"/>
      <c r="K624" s="285" t="str">
        <f t="shared" si="25"/>
        <v/>
      </c>
      <c r="L624" s="286"/>
      <c r="M624" s="287"/>
      <c r="N624" s="287"/>
      <c r="O624" s="286"/>
      <c r="P624" s="286"/>
      <c r="Q624" s="287"/>
    </row>
    <row r="625" spans="1:17" ht="30" customHeight="1" x14ac:dyDescent="0.2">
      <c r="A625" s="280"/>
      <c r="B625" s="281"/>
      <c r="C625" s="281"/>
      <c r="D625" s="281"/>
      <c r="F625" s="285" t="str">
        <f t="shared" si="24"/>
        <v/>
      </c>
      <c r="G625" s="286"/>
      <c r="H625" s="287"/>
      <c r="I625" s="287"/>
      <c r="K625" s="285" t="str">
        <f t="shared" si="25"/>
        <v/>
      </c>
      <c r="L625" s="286"/>
      <c r="M625" s="287"/>
      <c r="N625" s="287"/>
      <c r="O625" s="286"/>
      <c r="P625" s="286"/>
      <c r="Q625" s="287"/>
    </row>
    <row r="626" spans="1:17" ht="30" customHeight="1" x14ac:dyDescent="0.2">
      <c r="A626" s="280"/>
      <c r="B626" s="281"/>
      <c r="C626" s="281"/>
      <c r="D626" s="281"/>
      <c r="F626" s="285" t="str">
        <f t="shared" si="24"/>
        <v/>
      </c>
      <c r="G626" s="286"/>
      <c r="H626" s="287"/>
      <c r="I626" s="287"/>
      <c r="K626" s="285" t="str">
        <f t="shared" si="25"/>
        <v/>
      </c>
      <c r="L626" s="286"/>
      <c r="M626" s="287"/>
      <c r="N626" s="287"/>
      <c r="O626" s="286"/>
      <c r="P626" s="286"/>
      <c r="Q626" s="287"/>
    </row>
    <row r="627" spans="1:17" ht="30" customHeight="1" x14ac:dyDescent="0.2">
      <c r="A627" s="280"/>
      <c r="B627" s="281"/>
      <c r="C627" s="281"/>
      <c r="D627" s="281"/>
      <c r="F627" s="285" t="str">
        <f t="shared" si="24"/>
        <v/>
      </c>
      <c r="G627" s="286"/>
      <c r="H627" s="287"/>
      <c r="I627" s="287"/>
      <c r="K627" s="285" t="str">
        <f t="shared" si="25"/>
        <v/>
      </c>
      <c r="L627" s="286"/>
      <c r="M627" s="287"/>
      <c r="N627" s="287"/>
      <c r="O627" s="286"/>
      <c r="P627" s="286"/>
      <c r="Q627" s="287"/>
    </row>
    <row r="628" spans="1:17" ht="30" customHeight="1" x14ac:dyDescent="0.2">
      <c r="A628" s="280"/>
      <c r="B628" s="281"/>
      <c r="C628" s="281"/>
      <c r="D628" s="281"/>
      <c r="F628" s="285" t="str">
        <f t="shared" si="24"/>
        <v/>
      </c>
      <c r="G628" s="286"/>
      <c r="H628" s="287"/>
      <c r="I628" s="287"/>
      <c r="K628" s="285" t="str">
        <f t="shared" si="25"/>
        <v/>
      </c>
      <c r="L628" s="286"/>
      <c r="M628" s="287"/>
      <c r="N628" s="287"/>
      <c r="O628" s="286"/>
      <c r="P628" s="286"/>
      <c r="Q628" s="287"/>
    </row>
    <row r="629" spans="1:17" ht="30" customHeight="1" x14ac:dyDescent="0.2">
      <c r="A629" s="280"/>
      <c r="B629" s="281"/>
      <c r="C629" s="281"/>
      <c r="D629" s="281"/>
      <c r="F629" s="285" t="str">
        <f t="shared" si="24"/>
        <v/>
      </c>
      <c r="G629" s="286"/>
      <c r="H629" s="287"/>
      <c r="I629" s="287"/>
      <c r="K629" s="285" t="str">
        <f t="shared" si="25"/>
        <v/>
      </c>
      <c r="L629" s="286"/>
      <c r="M629" s="287"/>
      <c r="N629" s="287"/>
      <c r="O629" s="286"/>
      <c r="P629" s="286"/>
      <c r="Q629" s="287"/>
    </row>
    <row r="630" spans="1:17" ht="30" customHeight="1" x14ac:dyDescent="0.2">
      <c r="A630" s="280"/>
      <c r="B630" s="281"/>
      <c r="C630" s="281"/>
      <c r="D630" s="281"/>
      <c r="F630" s="285" t="str">
        <f t="shared" si="24"/>
        <v/>
      </c>
      <c r="G630" s="286"/>
      <c r="H630" s="287"/>
      <c r="I630" s="287"/>
      <c r="K630" s="285" t="str">
        <f t="shared" si="25"/>
        <v/>
      </c>
      <c r="L630" s="286"/>
      <c r="M630" s="287"/>
      <c r="N630" s="287"/>
      <c r="O630" s="286"/>
      <c r="P630" s="286"/>
      <c r="Q630" s="287"/>
    </row>
    <row r="631" spans="1:17" ht="30" customHeight="1" x14ac:dyDescent="0.2">
      <c r="A631" s="280"/>
      <c r="B631" s="281"/>
      <c r="C631" s="281"/>
      <c r="D631" s="281"/>
      <c r="F631" s="285" t="str">
        <f t="shared" si="24"/>
        <v/>
      </c>
      <c r="G631" s="286"/>
      <c r="H631" s="287"/>
      <c r="I631" s="287"/>
      <c r="K631" s="285" t="str">
        <f t="shared" si="25"/>
        <v/>
      </c>
      <c r="L631" s="286"/>
      <c r="M631" s="287"/>
      <c r="N631" s="287"/>
      <c r="O631" s="286"/>
      <c r="P631" s="286"/>
      <c r="Q631" s="287"/>
    </row>
    <row r="632" spans="1:17" ht="30" customHeight="1" x14ac:dyDescent="0.2">
      <c r="A632" s="280"/>
      <c r="B632" s="281"/>
      <c r="C632" s="281"/>
      <c r="D632" s="281"/>
      <c r="F632" s="285" t="str">
        <f t="shared" si="24"/>
        <v/>
      </c>
      <c r="G632" s="286"/>
      <c r="H632" s="287"/>
      <c r="I632" s="287"/>
      <c r="K632" s="285" t="str">
        <f t="shared" si="25"/>
        <v/>
      </c>
      <c r="L632" s="286"/>
      <c r="M632" s="287"/>
      <c r="N632" s="287"/>
      <c r="O632" s="286"/>
      <c r="P632" s="286"/>
      <c r="Q632" s="287"/>
    </row>
    <row r="633" spans="1:17" ht="30" customHeight="1" x14ac:dyDescent="0.2">
      <c r="A633" s="280"/>
      <c r="B633" s="281"/>
      <c r="C633" s="281"/>
      <c r="D633" s="281"/>
      <c r="F633" s="285" t="str">
        <f t="shared" si="24"/>
        <v/>
      </c>
      <c r="G633" s="286"/>
      <c r="H633" s="287"/>
      <c r="I633" s="287"/>
      <c r="K633" s="285" t="str">
        <f t="shared" si="25"/>
        <v/>
      </c>
      <c r="L633" s="286"/>
      <c r="M633" s="287"/>
      <c r="N633" s="287"/>
      <c r="O633" s="286"/>
      <c r="P633" s="286"/>
      <c r="Q633" s="287"/>
    </row>
    <row r="634" spans="1:17" ht="30" customHeight="1" x14ac:dyDescent="0.2">
      <c r="A634" s="280"/>
      <c r="B634" s="281"/>
      <c r="C634" s="281"/>
      <c r="D634" s="281"/>
      <c r="F634" s="285" t="str">
        <f t="shared" si="24"/>
        <v/>
      </c>
      <c r="G634" s="286"/>
      <c r="H634" s="287"/>
      <c r="I634" s="287"/>
      <c r="K634" s="285" t="str">
        <f t="shared" si="25"/>
        <v/>
      </c>
      <c r="L634" s="286"/>
      <c r="M634" s="287"/>
      <c r="N634" s="287"/>
      <c r="O634" s="286"/>
      <c r="P634" s="286"/>
      <c r="Q634" s="287"/>
    </row>
    <row r="635" spans="1:17" ht="30" customHeight="1" x14ac:dyDescent="0.2">
      <c r="A635" s="280"/>
      <c r="B635" s="281"/>
      <c r="C635" s="281"/>
      <c r="D635" s="281"/>
      <c r="F635" s="285" t="str">
        <f t="shared" si="24"/>
        <v/>
      </c>
      <c r="G635" s="286"/>
      <c r="H635" s="287"/>
      <c r="I635" s="287"/>
      <c r="K635" s="285" t="str">
        <f t="shared" si="25"/>
        <v/>
      </c>
      <c r="L635" s="286"/>
      <c r="M635" s="287"/>
      <c r="N635" s="287"/>
      <c r="O635" s="286"/>
      <c r="P635" s="286"/>
      <c r="Q635" s="287"/>
    </row>
    <row r="636" spans="1:17" ht="30" customHeight="1" x14ac:dyDescent="0.2">
      <c r="A636" s="280"/>
      <c r="B636" s="281"/>
      <c r="C636" s="281"/>
      <c r="D636" s="281"/>
      <c r="F636" s="285" t="str">
        <f t="shared" si="24"/>
        <v/>
      </c>
      <c r="G636" s="286"/>
      <c r="H636" s="287"/>
      <c r="I636" s="287"/>
      <c r="K636" s="285" t="str">
        <f t="shared" si="25"/>
        <v/>
      </c>
      <c r="L636" s="286"/>
      <c r="M636" s="287"/>
      <c r="N636" s="287"/>
      <c r="O636" s="286"/>
      <c r="P636" s="286"/>
      <c r="Q636" s="287"/>
    </row>
    <row r="637" spans="1:17" ht="30" customHeight="1" x14ac:dyDescent="0.2">
      <c r="A637" s="280"/>
      <c r="B637" s="281"/>
      <c r="C637" s="281"/>
      <c r="D637" s="281"/>
      <c r="F637" s="285" t="str">
        <f t="shared" si="24"/>
        <v/>
      </c>
      <c r="G637" s="286"/>
      <c r="H637" s="287"/>
      <c r="I637" s="287"/>
      <c r="K637" s="285" t="str">
        <f t="shared" si="25"/>
        <v/>
      </c>
      <c r="L637" s="286"/>
      <c r="M637" s="287"/>
      <c r="N637" s="287"/>
      <c r="O637" s="286"/>
      <c r="P637" s="286"/>
      <c r="Q637" s="287"/>
    </row>
    <row r="638" spans="1:17" ht="30" customHeight="1" x14ac:dyDescent="0.2">
      <c r="A638" s="280"/>
      <c r="B638" s="281"/>
      <c r="C638" s="281"/>
      <c r="D638" s="281"/>
      <c r="F638" s="285" t="str">
        <f t="shared" si="24"/>
        <v/>
      </c>
      <c r="G638" s="286"/>
      <c r="H638" s="287"/>
      <c r="I638" s="287"/>
      <c r="K638" s="285" t="str">
        <f t="shared" si="25"/>
        <v/>
      </c>
      <c r="L638" s="286"/>
      <c r="M638" s="287"/>
      <c r="N638" s="287"/>
      <c r="O638" s="286"/>
      <c r="P638" s="286"/>
      <c r="Q638" s="287"/>
    </row>
    <row r="639" spans="1:17" ht="30" customHeight="1" x14ac:dyDescent="0.2">
      <c r="A639" s="280"/>
      <c r="B639" s="281"/>
      <c r="C639" s="281"/>
      <c r="D639" s="281"/>
      <c r="F639" s="285" t="str">
        <f t="shared" si="24"/>
        <v/>
      </c>
      <c r="G639" s="286"/>
      <c r="H639" s="287"/>
      <c r="I639" s="287"/>
      <c r="K639" s="285" t="str">
        <f t="shared" si="25"/>
        <v/>
      </c>
      <c r="L639" s="286"/>
      <c r="M639" s="287"/>
      <c r="N639" s="287"/>
      <c r="O639" s="286"/>
      <c r="P639" s="286"/>
      <c r="Q639" s="287"/>
    </row>
    <row r="640" spans="1:17" ht="30" customHeight="1" x14ac:dyDescent="0.2">
      <c r="A640" s="280"/>
      <c r="B640" s="281"/>
      <c r="C640" s="281"/>
      <c r="D640" s="281"/>
      <c r="F640" s="285" t="str">
        <f t="shared" si="24"/>
        <v/>
      </c>
      <c r="G640" s="286"/>
      <c r="H640" s="287"/>
      <c r="I640" s="287"/>
      <c r="K640" s="285" t="str">
        <f t="shared" si="25"/>
        <v/>
      </c>
      <c r="L640" s="286"/>
      <c r="M640" s="287"/>
      <c r="N640" s="287"/>
      <c r="O640" s="286"/>
      <c r="P640" s="286"/>
      <c r="Q640" s="287"/>
    </row>
    <row r="641" spans="1:17" ht="30" customHeight="1" x14ac:dyDescent="0.2">
      <c r="A641" s="280"/>
      <c r="B641" s="281"/>
      <c r="C641" s="281"/>
      <c r="D641" s="281"/>
      <c r="F641" s="285" t="str">
        <f t="shared" si="24"/>
        <v/>
      </c>
      <c r="G641" s="286"/>
      <c r="H641" s="287"/>
      <c r="I641" s="287"/>
      <c r="K641" s="285" t="str">
        <f t="shared" si="25"/>
        <v/>
      </c>
      <c r="L641" s="286"/>
      <c r="M641" s="287"/>
      <c r="N641" s="287"/>
      <c r="O641" s="286"/>
      <c r="P641" s="286"/>
      <c r="Q641" s="287"/>
    </row>
    <row r="642" spans="1:17" ht="30" customHeight="1" x14ac:dyDescent="0.2">
      <c r="A642" s="280"/>
      <c r="B642" s="281"/>
      <c r="C642" s="281"/>
      <c r="D642" s="281"/>
      <c r="F642" s="285" t="str">
        <f t="shared" si="24"/>
        <v/>
      </c>
      <c r="G642" s="286"/>
      <c r="H642" s="287"/>
      <c r="I642" s="287"/>
      <c r="K642" s="285" t="str">
        <f t="shared" si="25"/>
        <v/>
      </c>
      <c r="L642" s="286"/>
      <c r="M642" s="287"/>
      <c r="N642" s="287"/>
      <c r="O642" s="286"/>
      <c r="P642" s="286"/>
      <c r="Q642" s="287"/>
    </row>
    <row r="643" spans="1:17" ht="30" customHeight="1" x14ac:dyDescent="0.2">
      <c r="A643" s="280"/>
      <c r="B643" s="281"/>
      <c r="C643" s="281"/>
      <c r="D643" s="281"/>
      <c r="F643" s="285" t="str">
        <f t="shared" si="24"/>
        <v/>
      </c>
      <c r="G643" s="286"/>
      <c r="H643" s="287"/>
      <c r="I643" s="287"/>
      <c r="K643" s="285" t="str">
        <f t="shared" si="25"/>
        <v/>
      </c>
      <c r="L643" s="286"/>
      <c r="M643" s="287"/>
      <c r="N643" s="287"/>
      <c r="O643" s="286"/>
      <c r="P643" s="286"/>
      <c r="Q643" s="287"/>
    </row>
    <row r="644" spans="1:17" ht="30" customHeight="1" x14ac:dyDescent="0.2">
      <c r="A644" s="280"/>
      <c r="B644" s="281"/>
      <c r="C644" s="281"/>
      <c r="D644" s="281"/>
      <c r="F644" s="285" t="str">
        <f t="shared" si="24"/>
        <v/>
      </c>
      <c r="G644" s="286"/>
      <c r="H644" s="287"/>
      <c r="I644" s="287"/>
      <c r="K644" s="285" t="str">
        <f t="shared" si="25"/>
        <v/>
      </c>
      <c r="L644" s="286"/>
      <c r="M644" s="287"/>
      <c r="N644" s="287"/>
      <c r="O644" s="286"/>
      <c r="P644" s="286"/>
      <c r="Q644" s="287"/>
    </row>
    <row r="645" spans="1:17" ht="30" customHeight="1" x14ac:dyDescent="0.2">
      <c r="A645" s="280"/>
      <c r="B645" s="281"/>
      <c r="C645" s="281"/>
      <c r="D645" s="281"/>
      <c r="F645" s="285" t="str">
        <f t="shared" ref="F645:F708" si="26">IF(A645="","",A645)</f>
        <v/>
      </c>
      <c r="G645" s="286"/>
      <c r="H645" s="287"/>
      <c r="I645" s="287"/>
      <c r="K645" s="285" t="str">
        <f t="shared" si="25"/>
        <v/>
      </c>
      <c r="L645" s="286"/>
      <c r="M645" s="287"/>
      <c r="N645" s="287"/>
      <c r="O645" s="286"/>
      <c r="P645" s="286"/>
      <c r="Q645" s="287"/>
    </row>
    <row r="646" spans="1:17" ht="30" customHeight="1" x14ac:dyDescent="0.2">
      <c r="A646" s="280"/>
      <c r="B646" s="281"/>
      <c r="C646" s="281"/>
      <c r="D646" s="281"/>
      <c r="F646" s="285" t="str">
        <f t="shared" si="26"/>
        <v/>
      </c>
      <c r="G646" s="286"/>
      <c r="H646" s="287"/>
      <c r="I646" s="287"/>
      <c r="K646" s="285" t="str">
        <f t="shared" si="25"/>
        <v/>
      </c>
      <c r="L646" s="286"/>
      <c r="M646" s="287"/>
      <c r="N646" s="287"/>
      <c r="O646" s="286"/>
      <c r="P646" s="286"/>
      <c r="Q646" s="287"/>
    </row>
    <row r="647" spans="1:17" ht="30" customHeight="1" x14ac:dyDescent="0.2">
      <c r="A647" s="280"/>
      <c r="B647" s="281"/>
      <c r="C647" s="281"/>
      <c r="D647" s="281"/>
      <c r="F647" s="285" t="str">
        <f t="shared" si="26"/>
        <v/>
      </c>
      <c r="G647" s="286"/>
      <c r="H647" s="287"/>
      <c r="I647" s="287"/>
      <c r="K647" s="285" t="str">
        <f t="shared" si="25"/>
        <v/>
      </c>
      <c r="L647" s="286"/>
      <c r="M647" s="287"/>
      <c r="N647" s="287"/>
      <c r="O647" s="286"/>
      <c r="P647" s="286"/>
      <c r="Q647" s="287"/>
    </row>
    <row r="648" spans="1:17" ht="30" customHeight="1" x14ac:dyDescent="0.2">
      <c r="A648" s="280"/>
      <c r="B648" s="281"/>
      <c r="C648" s="281"/>
      <c r="D648" s="281"/>
      <c r="F648" s="285" t="str">
        <f t="shared" si="26"/>
        <v/>
      </c>
      <c r="G648" s="286"/>
      <c r="H648" s="287"/>
      <c r="I648" s="287"/>
      <c r="K648" s="285" t="str">
        <f t="shared" si="25"/>
        <v/>
      </c>
      <c r="L648" s="286"/>
      <c r="M648" s="287"/>
      <c r="N648" s="287"/>
      <c r="O648" s="286"/>
      <c r="P648" s="286"/>
      <c r="Q648" s="287"/>
    </row>
    <row r="649" spans="1:17" ht="30" customHeight="1" x14ac:dyDescent="0.2">
      <c r="A649" s="280"/>
      <c r="B649" s="281"/>
      <c r="C649" s="281"/>
      <c r="D649" s="281"/>
      <c r="F649" s="285" t="str">
        <f t="shared" si="26"/>
        <v/>
      </c>
      <c r="G649" s="286"/>
      <c r="H649" s="287"/>
      <c r="I649" s="287"/>
      <c r="K649" s="285" t="str">
        <f t="shared" si="25"/>
        <v/>
      </c>
      <c r="L649" s="286"/>
      <c r="M649" s="287"/>
      <c r="N649" s="287"/>
      <c r="O649" s="286"/>
      <c r="P649" s="286"/>
      <c r="Q649" s="287"/>
    </row>
    <row r="650" spans="1:17" ht="30" customHeight="1" x14ac:dyDescent="0.2">
      <c r="A650" s="280"/>
      <c r="B650" s="281"/>
      <c r="C650" s="281"/>
      <c r="D650" s="281"/>
      <c r="F650" s="285" t="str">
        <f t="shared" si="26"/>
        <v/>
      </c>
      <c r="G650" s="286"/>
      <c r="H650" s="287"/>
      <c r="I650" s="287"/>
      <c r="K650" s="285" t="str">
        <f t="shared" si="25"/>
        <v/>
      </c>
      <c r="L650" s="286"/>
      <c r="M650" s="287"/>
      <c r="N650" s="287"/>
      <c r="O650" s="286"/>
      <c r="P650" s="286"/>
      <c r="Q650" s="287"/>
    </row>
    <row r="651" spans="1:17" ht="30" customHeight="1" x14ac:dyDescent="0.2">
      <c r="A651" s="280"/>
      <c r="B651" s="281"/>
      <c r="C651" s="281"/>
      <c r="D651" s="281"/>
      <c r="F651" s="285" t="str">
        <f t="shared" si="26"/>
        <v/>
      </c>
      <c r="G651" s="286"/>
      <c r="H651" s="287"/>
      <c r="I651" s="287"/>
      <c r="K651" s="285" t="str">
        <f t="shared" ref="K651:K714" si="27">IF(A651="","",A651)</f>
        <v/>
      </c>
      <c r="L651" s="286"/>
      <c r="M651" s="287"/>
      <c r="N651" s="287"/>
      <c r="O651" s="286"/>
      <c r="P651" s="286"/>
      <c r="Q651" s="287"/>
    </row>
    <row r="652" spans="1:17" ht="30" customHeight="1" x14ac:dyDescent="0.2">
      <c r="A652" s="280"/>
      <c r="B652" s="281"/>
      <c r="C652" s="281"/>
      <c r="D652" s="281"/>
      <c r="F652" s="285" t="str">
        <f t="shared" si="26"/>
        <v/>
      </c>
      <c r="G652" s="286"/>
      <c r="H652" s="287"/>
      <c r="I652" s="287"/>
      <c r="K652" s="285" t="str">
        <f t="shared" si="27"/>
        <v/>
      </c>
      <c r="L652" s="286"/>
      <c r="M652" s="287"/>
      <c r="N652" s="287"/>
      <c r="O652" s="286"/>
      <c r="P652" s="286"/>
      <c r="Q652" s="287"/>
    </row>
    <row r="653" spans="1:17" ht="30" customHeight="1" x14ac:dyDescent="0.2">
      <c r="A653" s="280"/>
      <c r="B653" s="281"/>
      <c r="C653" s="281"/>
      <c r="D653" s="281"/>
      <c r="F653" s="285" t="str">
        <f t="shared" si="26"/>
        <v/>
      </c>
      <c r="G653" s="286"/>
      <c r="H653" s="287"/>
      <c r="I653" s="287"/>
      <c r="K653" s="285" t="str">
        <f t="shared" si="27"/>
        <v/>
      </c>
      <c r="L653" s="286"/>
      <c r="M653" s="287"/>
      <c r="N653" s="287"/>
      <c r="O653" s="286"/>
      <c r="P653" s="286"/>
      <c r="Q653" s="287"/>
    </row>
    <row r="654" spans="1:17" ht="30" customHeight="1" x14ac:dyDescent="0.2">
      <c r="A654" s="280"/>
      <c r="B654" s="281"/>
      <c r="C654" s="281"/>
      <c r="D654" s="281"/>
      <c r="F654" s="285" t="str">
        <f t="shared" si="26"/>
        <v/>
      </c>
      <c r="G654" s="286"/>
      <c r="H654" s="287"/>
      <c r="I654" s="287"/>
      <c r="K654" s="285" t="str">
        <f t="shared" si="27"/>
        <v/>
      </c>
      <c r="L654" s="286"/>
      <c r="M654" s="287"/>
      <c r="N654" s="287"/>
      <c r="O654" s="286"/>
      <c r="P654" s="286"/>
      <c r="Q654" s="287"/>
    </row>
    <row r="655" spans="1:17" ht="30" customHeight="1" x14ac:dyDescent="0.2">
      <c r="A655" s="280"/>
      <c r="B655" s="281"/>
      <c r="C655" s="281"/>
      <c r="D655" s="281"/>
      <c r="F655" s="285" t="str">
        <f t="shared" si="26"/>
        <v/>
      </c>
      <c r="G655" s="286"/>
      <c r="H655" s="287"/>
      <c r="I655" s="287"/>
      <c r="K655" s="285" t="str">
        <f t="shared" si="27"/>
        <v/>
      </c>
      <c r="L655" s="286"/>
      <c r="M655" s="287"/>
      <c r="N655" s="287"/>
      <c r="O655" s="286"/>
      <c r="P655" s="286"/>
      <c r="Q655" s="287"/>
    </row>
    <row r="656" spans="1:17" ht="30" customHeight="1" x14ac:dyDescent="0.2">
      <c r="A656" s="280"/>
      <c r="B656" s="281"/>
      <c r="C656" s="281"/>
      <c r="D656" s="281"/>
      <c r="F656" s="285" t="str">
        <f t="shared" si="26"/>
        <v/>
      </c>
      <c r="G656" s="286"/>
      <c r="H656" s="287"/>
      <c r="I656" s="287"/>
      <c r="K656" s="285" t="str">
        <f t="shared" si="27"/>
        <v/>
      </c>
      <c r="L656" s="286"/>
      <c r="M656" s="287"/>
      <c r="N656" s="287"/>
      <c r="O656" s="286"/>
      <c r="P656" s="286"/>
      <c r="Q656" s="287"/>
    </row>
    <row r="657" spans="1:17" ht="30" customHeight="1" x14ac:dyDescent="0.2">
      <c r="A657" s="280"/>
      <c r="B657" s="281"/>
      <c r="C657" s="281"/>
      <c r="D657" s="281"/>
      <c r="F657" s="285" t="str">
        <f t="shared" si="26"/>
        <v/>
      </c>
      <c r="G657" s="286"/>
      <c r="H657" s="287"/>
      <c r="I657" s="287"/>
      <c r="K657" s="285" t="str">
        <f t="shared" si="27"/>
        <v/>
      </c>
      <c r="L657" s="286"/>
      <c r="M657" s="287"/>
      <c r="N657" s="287"/>
      <c r="O657" s="286"/>
      <c r="P657" s="286"/>
      <c r="Q657" s="287"/>
    </row>
    <row r="658" spans="1:17" ht="30" customHeight="1" x14ac:dyDescent="0.2">
      <c r="A658" s="280"/>
      <c r="B658" s="281"/>
      <c r="C658" s="281"/>
      <c r="D658" s="281"/>
      <c r="F658" s="285" t="str">
        <f t="shared" si="26"/>
        <v/>
      </c>
      <c r="G658" s="286"/>
      <c r="H658" s="287"/>
      <c r="I658" s="287"/>
      <c r="K658" s="285" t="str">
        <f t="shared" si="27"/>
        <v/>
      </c>
      <c r="L658" s="286"/>
      <c r="M658" s="287"/>
      <c r="N658" s="287"/>
      <c r="O658" s="286"/>
      <c r="P658" s="286"/>
      <c r="Q658" s="287"/>
    </row>
    <row r="659" spans="1:17" ht="30" customHeight="1" x14ac:dyDescent="0.2">
      <c r="A659" s="280"/>
      <c r="B659" s="281"/>
      <c r="C659" s="281"/>
      <c r="D659" s="281"/>
      <c r="F659" s="285" t="str">
        <f t="shared" si="26"/>
        <v/>
      </c>
      <c r="G659" s="286"/>
      <c r="H659" s="287"/>
      <c r="I659" s="287"/>
      <c r="K659" s="285" t="str">
        <f t="shared" si="27"/>
        <v/>
      </c>
      <c r="L659" s="286"/>
      <c r="M659" s="287"/>
      <c r="N659" s="287"/>
      <c r="O659" s="286"/>
      <c r="P659" s="286"/>
      <c r="Q659" s="287"/>
    </row>
    <row r="660" spans="1:17" ht="30" customHeight="1" x14ac:dyDescent="0.2">
      <c r="A660" s="280"/>
      <c r="B660" s="281"/>
      <c r="C660" s="281"/>
      <c r="D660" s="281"/>
      <c r="F660" s="285" t="str">
        <f t="shared" si="26"/>
        <v/>
      </c>
      <c r="G660" s="286"/>
      <c r="H660" s="287"/>
      <c r="I660" s="287"/>
      <c r="K660" s="285" t="str">
        <f t="shared" si="27"/>
        <v/>
      </c>
      <c r="L660" s="286"/>
      <c r="M660" s="287"/>
      <c r="N660" s="287"/>
      <c r="O660" s="286"/>
      <c r="P660" s="286"/>
      <c r="Q660" s="287"/>
    </row>
    <row r="661" spans="1:17" ht="30" customHeight="1" x14ac:dyDescent="0.2">
      <c r="A661" s="280"/>
      <c r="B661" s="281"/>
      <c r="C661" s="281"/>
      <c r="D661" s="281"/>
      <c r="F661" s="285" t="str">
        <f t="shared" si="26"/>
        <v/>
      </c>
      <c r="G661" s="286"/>
      <c r="H661" s="287"/>
      <c r="I661" s="287"/>
      <c r="K661" s="285" t="str">
        <f t="shared" si="27"/>
        <v/>
      </c>
      <c r="L661" s="286"/>
      <c r="M661" s="287"/>
      <c r="N661" s="287"/>
      <c r="O661" s="286"/>
      <c r="P661" s="286"/>
      <c r="Q661" s="287"/>
    </row>
    <row r="662" spans="1:17" ht="30" customHeight="1" x14ac:dyDescent="0.2">
      <c r="A662" s="280"/>
      <c r="B662" s="281"/>
      <c r="C662" s="281"/>
      <c r="D662" s="281"/>
      <c r="F662" s="285" t="str">
        <f t="shared" si="26"/>
        <v/>
      </c>
      <c r="G662" s="286"/>
      <c r="H662" s="287"/>
      <c r="I662" s="287"/>
      <c r="K662" s="285" t="str">
        <f t="shared" si="27"/>
        <v/>
      </c>
      <c r="L662" s="286"/>
      <c r="M662" s="287"/>
      <c r="N662" s="287"/>
      <c r="O662" s="286"/>
      <c r="P662" s="286"/>
      <c r="Q662" s="287"/>
    </row>
    <row r="663" spans="1:17" ht="30" customHeight="1" x14ac:dyDescent="0.2">
      <c r="A663" s="280"/>
      <c r="B663" s="281"/>
      <c r="C663" s="281"/>
      <c r="D663" s="281"/>
      <c r="F663" s="285" t="str">
        <f t="shared" si="26"/>
        <v/>
      </c>
      <c r="G663" s="286"/>
      <c r="H663" s="287"/>
      <c r="I663" s="287"/>
      <c r="K663" s="285" t="str">
        <f t="shared" si="27"/>
        <v/>
      </c>
      <c r="L663" s="286"/>
      <c r="M663" s="287"/>
      <c r="N663" s="287"/>
      <c r="O663" s="286"/>
      <c r="P663" s="286"/>
      <c r="Q663" s="287"/>
    </row>
    <row r="664" spans="1:17" ht="30" customHeight="1" x14ac:dyDescent="0.2">
      <c r="A664" s="280"/>
      <c r="B664" s="281"/>
      <c r="C664" s="281"/>
      <c r="D664" s="281"/>
      <c r="F664" s="285" t="str">
        <f t="shared" si="26"/>
        <v/>
      </c>
      <c r="G664" s="286"/>
      <c r="H664" s="287"/>
      <c r="I664" s="287"/>
      <c r="K664" s="285" t="str">
        <f t="shared" si="27"/>
        <v/>
      </c>
      <c r="L664" s="286"/>
      <c r="M664" s="287"/>
      <c r="N664" s="287"/>
      <c r="O664" s="286"/>
      <c r="P664" s="286"/>
      <c r="Q664" s="287"/>
    </row>
    <row r="665" spans="1:17" ht="30" customHeight="1" x14ac:dyDescent="0.2">
      <c r="A665" s="280"/>
      <c r="B665" s="281"/>
      <c r="C665" s="281"/>
      <c r="D665" s="281"/>
      <c r="F665" s="285" t="str">
        <f t="shared" si="26"/>
        <v/>
      </c>
      <c r="G665" s="286"/>
      <c r="H665" s="287"/>
      <c r="I665" s="287"/>
      <c r="K665" s="285" t="str">
        <f t="shared" si="27"/>
        <v/>
      </c>
      <c r="L665" s="286"/>
      <c r="M665" s="287"/>
      <c r="N665" s="287"/>
      <c r="O665" s="286"/>
      <c r="P665" s="286"/>
      <c r="Q665" s="287"/>
    </row>
    <row r="666" spans="1:17" ht="30" customHeight="1" x14ac:dyDescent="0.2">
      <c r="A666" s="280"/>
      <c r="B666" s="281"/>
      <c r="C666" s="281"/>
      <c r="D666" s="281"/>
      <c r="F666" s="285" t="str">
        <f t="shared" si="26"/>
        <v/>
      </c>
      <c r="G666" s="286"/>
      <c r="H666" s="287"/>
      <c r="I666" s="287"/>
      <c r="K666" s="285" t="str">
        <f t="shared" si="27"/>
        <v/>
      </c>
      <c r="L666" s="286"/>
      <c r="M666" s="287"/>
      <c r="N666" s="287"/>
      <c r="O666" s="286"/>
      <c r="P666" s="286"/>
      <c r="Q666" s="287"/>
    </row>
    <row r="667" spans="1:17" ht="30" customHeight="1" x14ac:dyDescent="0.2">
      <c r="A667" s="280"/>
      <c r="B667" s="281"/>
      <c r="C667" s="281"/>
      <c r="D667" s="281"/>
      <c r="F667" s="285" t="str">
        <f t="shared" si="26"/>
        <v/>
      </c>
      <c r="G667" s="286"/>
      <c r="H667" s="287"/>
      <c r="I667" s="287"/>
      <c r="K667" s="285" t="str">
        <f t="shared" si="27"/>
        <v/>
      </c>
      <c r="L667" s="286"/>
      <c r="M667" s="287"/>
      <c r="N667" s="287"/>
      <c r="O667" s="286"/>
      <c r="P667" s="286"/>
      <c r="Q667" s="287"/>
    </row>
    <row r="668" spans="1:17" ht="30" customHeight="1" x14ac:dyDescent="0.2">
      <c r="A668" s="280"/>
      <c r="B668" s="281"/>
      <c r="C668" s="281"/>
      <c r="D668" s="281"/>
      <c r="F668" s="285" t="str">
        <f t="shared" si="26"/>
        <v/>
      </c>
      <c r="G668" s="286"/>
      <c r="H668" s="287"/>
      <c r="I668" s="287"/>
      <c r="K668" s="285" t="str">
        <f t="shared" si="27"/>
        <v/>
      </c>
      <c r="L668" s="286"/>
      <c r="M668" s="287"/>
      <c r="N668" s="287"/>
      <c r="O668" s="286"/>
      <c r="P668" s="286"/>
      <c r="Q668" s="287"/>
    </row>
    <row r="669" spans="1:17" ht="30" customHeight="1" x14ac:dyDescent="0.2">
      <c r="A669" s="280"/>
      <c r="B669" s="281"/>
      <c r="C669" s="281"/>
      <c r="D669" s="281"/>
      <c r="F669" s="285" t="str">
        <f t="shared" si="26"/>
        <v/>
      </c>
      <c r="G669" s="286"/>
      <c r="H669" s="287"/>
      <c r="I669" s="287"/>
      <c r="K669" s="285" t="str">
        <f t="shared" si="27"/>
        <v/>
      </c>
      <c r="L669" s="286"/>
      <c r="M669" s="287"/>
      <c r="N669" s="287"/>
      <c r="O669" s="286"/>
      <c r="P669" s="286"/>
      <c r="Q669" s="287"/>
    </row>
    <row r="670" spans="1:17" ht="30" customHeight="1" x14ac:dyDescent="0.2">
      <c r="A670" s="280"/>
      <c r="B670" s="281"/>
      <c r="C670" s="281"/>
      <c r="D670" s="281"/>
      <c r="F670" s="285" t="str">
        <f t="shared" si="26"/>
        <v/>
      </c>
      <c r="G670" s="286"/>
      <c r="H670" s="287"/>
      <c r="I670" s="287"/>
      <c r="K670" s="285" t="str">
        <f t="shared" si="27"/>
        <v/>
      </c>
      <c r="L670" s="286"/>
      <c r="M670" s="287"/>
      <c r="N670" s="287"/>
      <c r="O670" s="286"/>
      <c r="P670" s="286"/>
      <c r="Q670" s="287"/>
    </row>
    <row r="671" spans="1:17" ht="30" customHeight="1" x14ac:dyDescent="0.2">
      <c r="A671" s="280"/>
      <c r="B671" s="281"/>
      <c r="C671" s="281"/>
      <c r="D671" s="281"/>
      <c r="F671" s="285" t="str">
        <f t="shared" si="26"/>
        <v/>
      </c>
      <c r="G671" s="286"/>
      <c r="H671" s="287"/>
      <c r="I671" s="287"/>
      <c r="K671" s="285" t="str">
        <f t="shared" si="27"/>
        <v/>
      </c>
      <c r="L671" s="286"/>
      <c r="M671" s="287"/>
      <c r="N671" s="287"/>
      <c r="O671" s="286"/>
      <c r="P671" s="286"/>
      <c r="Q671" s="287"/>
    </row>
    <row r="672" spans="1:17" ht="30" customHeight="1" x14ac:dyDescent="0.2">
      <c r="A672" s="280"/>
      <c r="B672" s="281"/>
      <c r="C672" s="281"/>
      <c r="D672" s="281"/>
      <c r="F672" s="285" t="str">
        <f t="shared" si="26"/>
        <v/>
      </c>
      <c r="G672" s="286"/>
      <c r="H672" s="287"/>
      <c r="I672" s="287"/>
      <c r="K672" s="285" t="str">
        <f t="shared" si="27"/>
        <v/>
      </c>
      <c r="L672" s="286"/>
      <c r="M672" s="287"/>
      <c r="N672" s="287"/>
      <c r="O672" s="286"/>
      <c r="P672" s="286"/>
      <c r="Q672" s="287"/>
    </row>
    <row r="673" spans="1:17" ht="30" customHeight="1" x14ac:dyDescent="0.2">
      <c r="A673" s="280"/>
      <c r="B673" s="281"/>
      <c r="C673" s="281"/>
      <c r="D673" s="281"/>
      <c r="F673" s="285" t="str">
        <f t="shared" si="26"/>
        <v/>
      </c>
      <c r="G673" s="286"/>
      <c r="H673" s="287"/>
      <c r="I673" s="287"/>
      <c r="K673" s="285" t="str">
        <f t="shared" si="27"/>
        <v/>
      </c>
      <c r="L673" s="286"/>
      <c r="M673" s="287"/>
      <c r="N673" s="287"/>
      <c r="O673" s="286"/>
      <c r="P673" s="286"/>
      <c r="Q673" s="287"/>
    </row>
    <row r="674" spans="1:17" ht="30" customHeight="1" x14ac:dyDescent="0.2">
      <c r="A674" s="280"/>
      <c r="B674" s="281"/>
      <c r="C674" s="281"/>
      <c r="D674" s="281"/>
      <c r="F674" s="285" t="str">
        <f t="shared" si="26"/>
        <v/>
      </c>
      <c r="G674" s="286"/>
      <c r="H674" s="287"/>
      <c r="I674" s="287"/>
      <c r="K674" s="285" t="str">
        <f t="shared" si="27"/>
        <v/>
      </c>
      <c r="L674" s="286"/>
      <c r="M674" s="287"/>
      <c r="N674" s="287"/>
      <c r="O674" s="286"/>
      <c r="P674" s="286"/>
      <c r="Q674" s="287"/>
    </row>
    <row r="675" spans="1:17" ht="30" customHeight="1" x14ac:dyDescent="0.2">
      <c r="A675" s="280"/>
      <c r="B675" s="281"/>
      <c r="C675" s="281"/>
      <c r="D675" s="281"/>
      <c r="F675" s="285" t="str">
        <f t="shared" si="26"/>
        <v/>
      </c>
      <c r="G675" s="286"/>
      <c r="H675" s="287"/>
      <c r="I675" s="287"/>
      <c r="K675" s="285" t="str">
        <f t="shared" si="27"/>
        <v/>
      </c>
      <c r="L675" s="286"/>
      <c r="M675" s="287"/>
      <c r="N675" s="287"/>
      <c r="O675" s="286"/>
      <c r="P675" s="286"/>
      <c r="Q675" s="287"/>
    </row>
    <row r="676" spans="1:17" ht="30" customHeight="1" x14ac:dyDescent="0.2">
      <c r="A676" s="280"/>
      <c r="B676" s="281"/>
      <c r="C676" s="281"/>
      <c r="D676" s="281"/>
      <c r="F676" s="285" t="str">
        <f t="shared" si="26"/>
        <v/>
      </c>
      <c r="G676" s="286"/>
      <c r="H676" s="287"/>
      <c r="I676" s="287"/>
      <c r="K676" s="285" t="str">
        <f t="shared" si="27"/>
        <v/>
      </c>
      <c r="L676" s="286"/>
      <c r="M676" s="287"/>
      <c r="N676" s="287"/>
      <c r="O676" s="286"/>
      <c r="P676" s="286"/>
      <c r="Q676" s="287"/>
    </row>
    <row r="677" spans="1:17" ht="30" customHeight="1" x14ac:dyDescent="0.2">
      <c r="A677" s="280"/>
      <c r="B677" s="281"/>
      <c r="C677" s="281"/>
      <c r="D677" s="281"/>
      <c r="F677" s="285" t="str">
        <f t="shared" si="26"/>
        <v/>
      </c>
      <c r="G677" s="286"/>
      <c r="H677" s="287"/>
      <c r="I677" s="287"/>
      <c r="K677" s="285" t="str">
        <f t="shared" si="27"/>
        <v/>
      </c>
      <c r="L677" s="286"/>
      <c r="M677" s="287"/>
      <c r="N677" s="287"/>
      <c r="O677" s="286"/>
      <c r="P677" s="286"/>
      <c r="Q677" s="287"/>
    </row>
    <row r="678" spans="1:17" ht="30" customHeight="1" x14ac:dyDescent="0.2">
      <c r="A678" s="280"/>
      <c r="B678" s="281"/>
      <c r="C678" s="281"/>
      <c r="D678" s="281"/>
      <c r="F678" s="285" t="str">
        <f t="shared" si="26"/>
        <v/>
      </c>
      <c r="G678" s="286"/>
      <c r="H678" s="287"/>
      <c r="I678" s="287"/>
      <c r="K678" s="285" t="str">
        <f t="shared" si="27"/>
        <v/>
      </c>
      <c r="L678" s="286"/>
      <c r="M678" s="287"/>
      <c r="N678" s="287"/>
      <c r="O678" s="286"/>
      <c r="P678" s="286"/>
      <c r="Q678" s="287"/>
    </row>
    <row r="679" spans="1:17" ht="30" customHeight="1" x14ac:dyDescent="0.2">
      <c r="A679" s="280"/>
      <c r="B679" s="281"/>
      <c r="C679" s="281"/>
      <c r="D679" s="281"/>
      <c r="F679" s="285" t="str">
        <f t="shared" si="26"/>
        <v/>
      </c>
      <c r="G679" s="286"/>
      <c r="H679" s="287"/>
      <c r="I679" s="287"/>
      <c r="K679" s="285" t="str">
        <f t="shared" si="27"/>
        <v/>
      </c>
      <c r="L679" s="286"/>
      <c r="M679" s="287"/>
      <c r="N679" s="287"/>
      <c r="O679" s="286"/>
      <c r="P679" s="286"/>
      <c r="Q679" s="287"/>
    </row>
    <row r="680" spans="1:17" ht="30" customHeight="1" x14ac:dyDescent="0.2">
      <c r="A680" s="280"/>
      <c r="B680" s="281"/>
      <c r="C680" s="281"/>
      <c r="D680" s="281"/>
      <c r="F680" s="285" t="str">
        <f t="shared" si="26"/>
        <v/>
      </c>
      <c r="G680" s="286"/>
      <c r="H680" s="287"/>
      <c r="I680" s="287"/>
      <c r="K680" s="285" t="str">
        <f t="shared" si="27"/>
        <v/>
      </c>
      <c r="L680" s="286"/>
      <c r="M680" s="287"/>
      <c r="N680" s="287"/>
      <c r="O680" s="286"/>
      <c r="P680" s="286"/>
      <c r="Q680" s="287"/>
    </row>
    <row r="681" spans="1:17" ht="30" customHeight="1" x14ac:dyDescent="0.2">
      <c r="A681" s="280"/>
      <c r="B681" s="281"/>
      <c r="C681" s="281"/>
      <c r="D681" s="281"/>
      <c r="F681" s="285" t="str">
        <f t="shared" si="26"/>
        <v/>
      </c>
      <c r="G681" s="286"/>
      <c r="H681" s="287"/>
      <c r="I681" s="287"/>
      <c r="K681" s="285" t="str">
        <f t="shared" si="27"/>
        <v/>
      </c>
      <c r="L681" s="286"/>
      <c r="M681" s="287"/>
      <c r="N681" s="287"/>
      <c r="O681" s="286"/>
      <c r="P681" s="286"/>
      <c r="Q681" s="287"/>
    </row>
    <row r="682" spans="1:17" ht="30" customHeight="1" x14ac:dyDescent="0.2">
      <c r="A682" s="280"/>
      <c r="B682" s="281"/>
      <c r="C682" s="281"/>
      <c r="D682" s="281"/>
      <c r="F682" s="285" t="str">
        <f t="shared" si="26"/>
        <v/>
      </c>
      <c r="G682" s="286"/>
      <c r="H682" s="287"/>
      <c r="I682" s="287"/>
      <c r="K682" s="285" t="str">
        <f t="shared" si="27"/>
        <v/>
      </c>
      <c r="L682" s="286"/>
      <c r="M682" s="287"/>
      <c r="N682" s="287"/>
      <c r="O682" s="286"/>
      <c r="P682" s="286"/>
      <c r="Q682" s="287"/>
    </row>
    <row r="683" spans="1:17" ht="30" customHeight="1" x14ac:dyDescent="0.2">
      <c r="A683" s="280"/>
      <c r="B683" s="281"/>
      <c r="C683" s="281"/>
      <c r="D683" s="281"/>
      <c r="F683" s="285" t="str">
        <f t="shared" si="26"/>
        <v/>
      </c>
      <c r="G683" s="286"/>
      <c r="H683" s="287"/>
      <c r="I683" s="287"/>
      <c r="K683" s="285" t="str">
        <f t="shared" si="27"/>
        <v/>
      </c>
      <c r="L683" s="286"/>
      <c r="M683" s="287"/>
      <c r="N683" s="287"/>
      <c r="O683" s="286"/>
      <c r="P683" s="286"/>
      <c r="Q683" s="287"/>
    </row>
    <row r="684" spans="1:17" ht="30" customHeight="1" x14ac:dyDescent="0.2">
      <c r="A684" s="280"/>
      <c r="B684" s="281"/>
      <c r="C684" s="281"/>
      <c r="D684" s="281"/>
      <c r="F684" s="285" t="str">
        <f t="shared" si="26"/>
        <v/>
      </c>
      <c r="G684" s="286"/>
      <c r="H684" s="287"/>
      <c r="I684" s="287"/>
      <c r="K684" s="285" t="str">
        <f t="shared" si="27"/>
        <v/>
      </c>
      <c r="L684" s="286"/>
      <c r="M684" s="287"/>
      <c r="N684" s="287"/>
      <c r="O684" s="286"/>
      <c r="P684" s="286"/>
      <c r="Q684" s="287"/>
    </row>
    <row r="685" spans="1:17" ht="30" customHeight="1" x14ac:dyDescent="0.2">
      <c r="A685" s="280"/>
      <c r="B685" s="281"/>
      <c r="C685" s="281"/>
      <c r="D685" s="281"/>
      <c r="F685" s="285" t="str">
        <f t="shared" si="26"/>
        <v/>
      </c>
      <c r="G685" s="286"/>
      <c r="H685" s="287"/>
      <c r="I685" s="287"/>
      <c r="K685" s="285" t="str">
        <f t="shared" si="27"/>
        <v/>
      </c>
      <c r="L685" s="286"/>
      <c r="M685" s="287"/>
      <c r="N685" s="287"/>
      <c r="O685" s="286"/>
      <c r="P685" s="286"/>
      <c r="Q685" s="287"/>
    </row>
    <row r="686" spans="1:17" ht="30" customHeight="1" x14ac:dyDescent="0.2">
      <c r="A686" s="280"/>
      <c r="B686" s="281"/>
      <c r="C686" s="281"/>
      <c r="D686" s="281"/>
      <c r="F686" s="285" t="str">
        <f t="shared" si="26"/>
        <v/>
      </c>
      <c r="G686" s="286"/>
      <c r="H686" s="287"/>
      <c r="I686" s="287"/>
      <c r="K686" s="285" t="str">
        <f t="shared" si="27"/>
        <v/>
      </c>
      <c r="L686" s="286"/>
      <c r="M686" s="287"/>
      <c r="N686" s="287"/>
      <c r="O686" s="286"/>
      <c r="P686" s="286"/>
      <c r="Q686" s="287"/>
    </row>
    <row r="687" spans="1:17" ht="30" customHeight="1" x14ac:dyDescent="0.2">
      <c r="A687" s="280"/>
      <c r="B687" s="281"/>
      <c r="C687" s="281"/>
      <c r="D687" s="281"/>
      <c r="F687" s="285" t="str">
        <f t="shared" si="26"/>
        <v/>
      </c>
      <c r="G687" s="286"/>
      <c r="H687" s="287"/>
      <c r="I687" s="287"/>
      <c r="K687" s="285" t="str">
        <f t="shared" si="27"/>
        <v/>
      </c>
      <c r="L687" s="286"/>
      <c r="M687" s="287"/>
      <c r="N687" s="287"/>
      <c r="O687" s="286"/>
      <c r="P687" s="286"/>
      <c r="Q687" s="287"/>
    </row>
    <row r="688" spans="1:17" ht="30" customHeight="1" x14ac:dyDescent="0.2">
      <c r="A688" s="280"/>
      <c r="B688" s="281"/>
      <c r="C688" s="281"/>
      <c r="D688" s="281"/>
      <c r="F688" s="285" t="str">
        <f t="shared" si="26"/>
        <v/>
      </c>
      <c r="G688" s="286"/>
      <c r="H688" s="287"/>
      <c r="I688" s="287"/>
      <c r="K688" s="285" t="str">
        <f t="shared" si="27"/>
        <v/>
      </c>
      <c r="L688" s="286"/>
      <c r="M688" s="287"/>
      <c r="N688" s="287"/>
      <c r="O688" s="286"/>
      <c r="P688" s="286"/>
      <c r="Q688" s="287"/>
    </row>
    <row r="689" spans="1:17" ht="30" customHeight="1" x14ac:dyDescent="0.2">
      <c r="A689" s="280"/>
      <c r="B689" s="281"/>
      <c r="C689" s="281"/>
      <c r="D689" s="281"/>
      <c r="F689" s="285" t="str">
        <f t="shared" si="26"/>
        <v/>
      </c>
      <c r="G689" s="286"/>
      <c r="H689" s="287"/>
      <c r="I689" s="287"/>
      <c r="K689" s="285" t="str">
        <f t="shared" si="27"/>
        <v/>
      </c>
      <c r="L689" s="286"/>
      <c r="M689" s="287"/>
      <c r="N689" s="287"/>
      <c r="O689" s="286"/>
      <c r="P689" s="286"/>
      <c r="Q689" s="287"/>
    </row>
    <row r="690" spans="1:17" ht="30" customHeight="1" x14ac:dyDescent="0.2">
      <c r="A690" s="280"/>
      <c r="B690" s="281"/>
      <c r="C690" s="281"/>
      <c r="D690" s="281"/>
      <c r="F690" s="285" t="str">
        <f t="shared" si="26"/>
        <v/>
      </c>
      <c r="G690" s="286"/>
      <c r="H690" s="287"/>
      <c r="I690" s="287"/>
      <c r="K690" s="285" t="str">
        <f t="shared" si="27"/>
        <v/>
      </c>
      <c r="L690" s="286"/>
      <c r="M690" s="287"/>
      <c r="N690" s="287"/>
      <c r="O690" s="286"/>
      <c r="P690" s="286"/>
      <c r="Q690" s="287"/>
    </row>
    <row r="691" spans="1:17" ht="30" customHeight="1" x14ac:dyDescent="0.2">
      <c r="A691" s="280"/>
      <c r="B691" s="281"/>
      <c r="C691" s="281"/>
      <c r="D691" s="281"/>
      <c r="F691" s="285" t="str">
        <f t="shared" si="26"/>
        <v/>
      </c>
      <c r="G691" s="286"/>
      <c r="H691" s="287"/>
      <c r="I691" s="287"/>
      <c r="K691" s="285" t="str">
        <f t="shared" si="27"/>
        <v/>
      </c>
      <c r="L691" s="286"/>
      <c r="M691" s="287"/>
      <c r="N691" s="287"/>
      <c r="O691" s="286"/>
      <c r="P691" s="286"/>
      <c r="Q691" s="287"/>
    </row>
    <row r="692" spans="1:17" ht="30" customHeight="1" x14ac:dyDescent="0.2">
      <c r="A692" s="280"/>
      <c r="B692" s="281"/>
      <c r="C692" s="281"/>
      <c r="D692" s="281"/>
      <c r="F692" s="285" t="str">
        <f t="shared" si="26"/>
        <v/>
      </c>
      <c r="G692" s="286"/>
      <c r="H692" s="287"/>
      <c r="I692" s="287"/>
      <c r="K692" s="285" t="str">
        <f t="shared" si="27"/>
        <v/>
      </c>
      <c r="L692" s="286"/>
      <c r="M692" s="287"/>
      <c r="N692" s="287"/>
      <c r="O692" s="286"/>
      <c r="P692" s="286"/>
      <c r="Q692" s="287"/>
    </row>
    <row r="693" spans="1:17" ht="30" customHeight="1" x14ac:dyDescent="0.2">
      <c r="A693" s="280"/>
      <c r="B693" s="281"/>
      <c r="C693" s="281"/>
      <c r="D693" s="281"/>
      <c r="F693" s="285" t="str">
        <f t="shared" si="26"/>
        <v/>
      </c>
      <c r="G693" s="286"/>
      <c r="H693" s="287"/>
      <c r="I693" s="287"/>
      <c r="K693" s="285" t="str">
        <f t="shared" si="27"/>
        <v/>
      </c>
      <c r="L693" s="286"/>
      <c r="M693" s="287"/>
      <c r="N693" s="287"/>
      <c r="O693" s="286"/>
      <c r="P693" s="286"/>
      <c r="Q693" s="287"/>
    </row>
    <row r="694" spans="1:17" ht="30" customHeight="1" x14ac:dyDescent="0.2">
      <c r="A694" s="280"/>
      <c r="B694" s="281"/>
      <c r="C694" s="281"/>
      <c r="D694" s="281"/>
      <c r="F694" s="285" t="str">
        <f t="shared" si="26"/>
        <v/>
      </c>
      <c r="G694" s="286"/>
      <c r="H694" s="287"/>
      <c r="I694" s="287"/>
      <c r="K694" s="285" t="str">
        <f t="shared" si="27"/>
        <v/>
      </c>
      <c r="L694" s="286"/>
      <c r="M694" s="287"/>
      <c r="N694" s="287"/>
      <c r="O694" s="286"/>
      <c r="P694" s="286"/>
      <c r="Q694" s="287"/>
    </row>
    <row r="695" spans="1:17" ht="30" customHeight="1" x14ac:dyDescent="0.2">
      <c r="A695" s="280"/>
      <c r="B695" s="281"/>
      <c r="C695" s="281"/>
      <c r="D695" s="281"/>
      <c r="F695" s="285" t="str">
        <f t="shared" si="26"/>
        <v/>
      </c>
      <c r="G695" s="286"/>
      <c r="H695" s="287"/>
      <c r="I695" s="287"/>
      <c r="K695" s="285" t="str">
        <f t="shared" si="27"/>
        <v/>
      </c>
      <c r="L695" s="286"/>
      <c r="M695" s="287"/>
      <c r="N695" s="287"/>
      <c r="O695" s="286"/>
      <c r="P695" s="286"/>
      <c r="Q695" s="287"/>
    </row>
    <row r="696" spans="1:17" ht="30" customHeight="1" x14ac:dyDescent="0.2">
      <c r="A696" s="280"/>
      <c r="B696" s="281"/>
      <c r="C696" s="281"/>
      <c r="D696" s="281"/>
      <c r="F696" s="285" t="str">
        <f t="shared" si="26"/>
        <v/>
      </c>
      <c r="G696" s="286"/>
      <c r="H696" s="287"/>
      <c r="I696" s="287"/>
      <c r="K696" s="285" t="str">
        <f t="shared" si="27"/>
        <v/>
      </c>
      <c r="L696" s="286"/>
      <c r="M696" s="287"/>
      <c r="N696" s="287"/>
      <c r="O696" s="286"/>
      <c r="P696" s="286"/>
      <c r="Q696" s="287"/>
    </row>
    <row r="697" spans="1:17" ht="30" customHeight="1" x14ac:dyDescent="0.2">
      <c r="A697" s="280"/>
      <c r="B697" s="281"/>
      <c r="C697" s="281"/>
      <c r="D697" s="281"/>
      <c r="F697" s="285" t="str">
        <f t="shared" si="26"/>
        <v/>
      </c>
      <c r="G697" s="286"/>
      <c r="H697" s="287"/>
      <c r="I697" s="287"/>
      <c r="K697" s="285" t="str">
        <f t="shared" si="27"/>
        <v/>
      </c>
      <c r="L697" s="286"/>
      <c r="M697" s="287"/>
      <c r="N697" s="287"/>
      <c r="O697" s="286"/>
      <c r="P697" s="286"/>
      <c r="Q697" s="287"/>
    </row>
    <row r="698" spans="1:17" ht="30" customHeight="1" x14ac:dyDescent="0.2">
      <c r="A698" s="280"/>
      <c r="B698" s="281"/>
      <c r="C698" s="281"/>
      <c r="D698" s="281"/>
      <c r="F698" s="285" t="str">
        <f t="shared" si="26"/>
        <v/>
      </c>
      <c r="G698" s="286"/>
      <c r="H698" s="287"/>
      <c r="I698" s="287"/>
      <c r="K698" s="285" t="str">
        <f t="shared" si="27"/>
        <v/>
      </c>
      <c r="L698" s="286"/>
      <c r="M698" s="287"/>
      <c r="N698" s="287"/>
      <c r="O698" s="286"/>
      <c r="P698" s="286"/>
      <c r="Q698" s="287"/>
    </row>
    <row r="699" spans="1:17" ht="30" customHeight="1" x14ac:dyDescent="0.2">
      <c r="A699" s="280"/>
      <c r="B699" s="281"/>
      <c r="C699" s="281"/>
      <c r="D699" s="281"/>
      <c r="F699" s="285" t="str">
        <f t="shared" si="26"/>
        <v/>
      </c>
      <c r="G699" s="286"/>
      <c r="H699" s="287"/>
      <c r="I699" s="287"/>
      <c r="K699" s="285" t="str">
        <f t="shared" si="27"/>
        <v/>
      </c>
      <c r="L699" s="286"/>
      <c r="M699" s="287"/>
      <c r="N699" s="287"/>
      <c r="O699" s="286"/>
      <c r="P699" s="286"/>
      <c r="Q699" s="287"/>
    </row>
    <row r="700" spans="1:17" ht="30" customHeight="1" x14ac:dyDescent="0.2">
      <c r="A700" s="280"/>
      <c r="B700" s="281"/>
      <c r="C700" s="281"/>
      <c r="D700" s="281"/>
      <c r="F700" s="285" t="str">
        <f t="shared" si="26"/>
        <v/>
      </c>
      <c r="G700" s="286"/>
      <c r="H700" s="287"/>
      <c r="I700" s="287"/>
      <c r="K700" s="285" t="str">
        <f t="shared" si="27"/>
        <v/>
      </c>
      <c r="L700" s="286"/>
      <c r="M700" s="287"/>
      <c r="N700" s="287"/>
      <c r="O700" s="286"/>
      <c r="P700" s="286"/>
      <c r="Q700" s="287"/>
    </row>
    <row r="701" spans="1:17" ht="30" customHeight="1" x14ac:dyDescent="0.2">
      <c r="A701" s="280"/>
      <c r="B701" s="281"/>
      <c r="C701" s="281"/>
      <c r="D701" s="281"/>
      <c r="F701" s="285" t="str">
        <f t="shared" si="26"/>
        <v/>
      </c>
      <c r="G701" s="286"/>
      <c r="H701" s="287"/>
      <c r="I701" s="287"/>
      <c r="K701" s="285" t="str">
        <f t="shared" si="27"/>
        <v/>
      </c>
      <c r="L701" s="286"/>
      <c r="M701" s="287"/>
      <c r="N701" s="287"/>
      <c r="O701" s="286"/>
      <c r="P701" s="286"/>
      <c r="Q701" s="287"/>
    </row>
    <row r="702" spans="1:17" ht="30" customHeight="1" x14ac:dyDescent="0.2">
      <c r="A702" s="280"/>
      <c r="B702" s="281"/>
      <c r="C702" s="281"/>
      <c r="D702" s="281"/>
      <c r="F702" s="285" t="str">
        <f t="shared" si="26"/>
        <v/>
      </c>
      <c r="G702" s="286"/>
      <c r="H702" s="287"/>
      <c r="I702" s="287"/>
      <c r="K702" s="285" t="str">
        <f t="shared" si="27"/>
        <v/>
      </c>
      <c r="L702" s="286"/>
      <c r="M702" s="287"/>
      <c r="N702" s="287"/>
      <c r="O702" s="286"/>
      <c r="P702" s="286"/>
      <c r="Q702" s="287"/>
    </row>
    <row r="703" spans="1:17" ht="30" customHeight="1" x14ac:dyDescent="0.2">
      <c r="A703" s="280"/>
      <c r="B703" s="281"/>
      <c r="C703" s="281"/>
      <c r="D703" s="281"/>
      <c r="F703" s="285" t="str">
        <f t="shared" si="26"/>
        <v/>
      </c>
      <c r="G703" s="286"/>
      <c r="H703" s="287"/>
      <c r="I703" s="287"/>
      <c r="K703" s="285" t="str">
        <f t="shared" si="27"/>
        <v/>
      </c>
      <c r="L703" s="286"/>
      <c r="M703" s="287"/>
      <c r="N703" s="287"/>
      <c r="O703" s="286"/>
      <c r="P703" s="286"/>
      <c r="Q703" s="287"/>
    </row>
    <row r="704" spans="1:17" ht="30" customHeight="1" x14ac:dyDescent="0.2">
      <c r="A704" s="280"/>
      <c r="B704" s="281"/>
      <c r="C704" s="281"/>
      <c r="D704" s="281"/>
      <c r="F704" s="285" t="str">
        <f t="shared" si="26"/>
        <v/>
      </c>
      <c r="G704" s="286"/>
      <c r="H704" s="287"/>
      <c r="I704" s="287"/>
      <c r="K704" s="285" t="str">
        <f t="shared" si="27"/>
        <v/>
      </c>
      <c r="L704" s="286"/>
      <c r="M704" s="287"/>
      <c r="N704" s="287"/>
      <c r="O704" s="286"/>
      <c r="P704" s="286"/>
      <c r="Q704" s="287"/>
    </row>
    <row r="705" spans="1:17" ht="30" customHeight="1" x14ac:dyDescent="0.2">
      <c r="A705" s="280"/>
      <c r="B705" s="281"/>
      <c r="C705" s="281"/>
      <c r="D705" s="281"/>
      <c r="F705" s="285" t="str">
        <f t="shared" si="26"/>
        <v/>
      </c>
      <c r="G705" s="286"/>
      <c r="H705" s="287"/>
      <c r="I705" s="287"/>
      <c r="K705" s="285" t="str">
        <f t="shared" si="27"/>
        <v/>
      </c>
      <c r="L705" s="286"/>
      <c r="M705" s="287"/>
      <c r="N705" s="287"/>
      <c r="O705" s="286"/>
      <c r="P705" s="286"/>
      <c r="Q705" s="287"/>
    </row>
    <row r="706" spans="1:17" ht="30" customHeight="1" x14ac:dyDescent="0.2">
      <c r="A706" s="280"/>
      <c r="B706" s="281"/>
      <c r="C706" s="281"/>
      <c r="D706" s="281"/>
      <c r="F706" s="285" t="str">
        <f t="shared" si="26"/>
        <v/>
      </c>
      <c r="G706" s="286"/>
      <c r="H706" s="287"/>
      <c r="I706" s="287"/>
      <c r="K706" s="285" t="str">
        <f t="shared" si="27"/>
        <v/>
      </c>
      <c r="L706" s="286"/>
      <c r="M706" s="287"/>
      <c r="N706" s="287"/>
      <c r="O706" s="286"/>
      <c r="P706" s="286"/>
      <c r="Q706" s="287"/>
    </row>
    <row r="707" spans="1:17" ht="30" customHeight="1" x14ac:dyDescent="0.2">
      <c r="A707" s="280"/>
      <c r="B707" s="281"/>
      <c r="C707" s="281"/>
      <c r="D707" s="281"/>
      <c r="F707" s="285" t="str">
        <f t="shared" si="26"/>
        <v/>
      </c>
      <c r="G707" s="286"/>
      <c r="H707" s="287"/>
      <c r="I707" s="287"/>
      <c r="K707" s="285" t="str">
        <f t="shared" si="27"/>
        <v/>
      </c>
      <c r="L707" s="286"/>
      <c r="M707" s="287"/>
      <c r="N707" s="287"/>
      <c r="O707" s="286"/>
      <c r="P707" s="286"/>
      <c r="Q707" s="287"/>
    </row>
    <row r="708" spans="1:17" ht="30" customHeight="1" x14ac:dyDescent="0.2">
      <c r="A708" s="280"/>
      <c r="B708" s="281"/>
      <c r="C708" s="281"/>
      <c r="D708" s="281"/>
      <c r="F708" s="285" t="str">
        <f t="shared" si="26"/>
        <v/>
      </c>
      <c r="G708" s="286"/>
      <c r="H708" s="287"/>
      <c r="I708" s="287"/>
      <c r="K708" s="285" t="str">
        <f t="shared" si="27"/>
        <v/>
      </c>
      <c r="L708" s="286"/>
      <c r="M708" s="287"/>
      <c r="N708" s="287"/>
      <c r="O708" s="286"/>
      <c r="P708" s="286"/>
      <c r="Q708" s="287"/>
    </row>
    <row r="709" spans="1:17" ht="30" customHeight="1" x14ac:dyDescent="0.2">
      <c r="A709" s="280"/>
      <c r="B709" s="281"/>
      <c r="C709" s="281"/>
      <c r="D709" s="281"/>
      <c r="F709" s="285" t="str">
        <f t="shared" ref="F709:F772" si="28">IF(A709="","",A709)</f>
        <v/>
      </c>
      <c r="G709" s="286"/>
      <c r="H709" s="287"/>
      <c r="I709" s="287"/>
      <c r="K709" s="285" t="str">
        <f t="shared" si="27"/>
        <v/>
      </c>
      <c r="L709" s="286"/>
      <c r="M709" s="287"/>
      <c r="N709" s="287"/>
      <c r="O709" s="286"/>
      <c r="P709" s="286"/>
      <c r="Q709" s="287"/>
    </row>
    <row r="710" spans="1:17" ht="30" customHeight="1" x14ac:dyDescent="0.2">
      <c r="A710" s="280"/>
      <c r="B710" s="281"/>
      <c r="C710" s="281"/>
      <c r="D710" s="281"/>
      <c r="F710" s="285" t="str">
        <f t="shared" si="28"/>
        <v/>
      </c>
      <c r="G710" s="286"/>
      <c r="H710" s="287"/>
      <c r="I710" s="287"/>
      <c r="K710" s="285" t="str">
        <f t="shared" si="27"/>
        <v/>
      </c>
      <c r="L710" s="286"/>
      <c r="M710" s="287"/>
      <c r="N710" s="287"/>
      <c r="O710" s="286"/>
      <c r="P710" s="286"/>
      <c r="Q710" s="287"/>
    </row>
    <row r="711" spans="1:17" ht="30" customHeight="1" x14ac:dyDescent="0.2">
      <c r="A711" s="280"/>
      <c r="B711" s="281"/>
      <c r="C711" s="281"/>
      <c r="D711" s="281"/>
      <c r="F711" s="285" t="str">
        <f t="shared" si="28"/>
        <v/>
      </c>
      <c r="G711" s="286"/>
      <c r="H711" s="287"/>
      <c r="I711" s="287"/>
      <c r="K711" s="285" t="str">
        <f t="shared" si="27"/>
        <v/>
      </c>
      <c r="L711" s="286"/>
      <c r="M711" s="287"/>
      <c r="N711" s="287"/>
      <c r="O711" s="286"/>
      <c r="P711" s="286"/>
      <c r="Q711" s="287"/>
    </row>
    <row r="712" spans="1:17" ht="30" customHeight="1" x14ac:dyDescent="0.2">
      <c r="A712" s="280"/>
      <c r="B712" s="281"/>
      <c r="C712" s="281"/>
      <c r="D712" s="281"/>
      <c r="F712" s="285" t="str">
        <f t="shared" si="28"/>
        <v/>
      </c>
      <c r="G712" s="286"/>
      <c r="H712" s="287"/>
      <c r="I712" s="287"/>
      <c r="K712" s="285" t="str">
        <f t="shared" si="27"/>
        <v/>
      </c>
      <c r="L712" s="286"/>
      <c r="M712" s="287"/>
      <c r="N712" s="287"/>
      <c r="O712" s="286"/>
      <c r="P712" s="286"/>
      <c r="Q712" s="287"/>
    </row>
    <row r="713" spans="1:17" ht="30" customHeight="1" x14ac:dyDescent="0.2">
      <c r="A713" s="280"/>
      <c r="B713" s="281"/>
      <c r="C713" s="281"/>
      <c r="D713" s="281"/>
      <c r="F713" s="285" t="str">
        <f t="shared" si="28"/>
        <v/>
      </c>
      <c r="G713" s="286"/>
      <c r="H713" s="287"/>
      <c r="I713" s="287"/>
      <c r="K713" s="285" t="str">
        <f t="shared" si="27"/>
        <v/>
      </c>
      <c r="L713" s="286"/>
      <c r="M713" s="287"/>
      <c r="N713" s="287"/>
      <c r="O713" s="286"/>
      <c r="P713" s="286"/>
      <c r="Q713" s="287"/>
    </row>
    <row r="714" spans="1:17" ht="30" customHeight="1" x14ac:dyDescent="0.2">
      <c r="A714" s="280"/>
      <c r="B714" s="281"/>
      <c r="C714" s="281"/>
      <c r="D714" s="281"/>
      <c r="F714" s="285" t="str">
        <f t="shared" si="28"/>
        <v/>
      </c>
      <c r="G714" s="286"/>
      <c r="H714" s="287"/>
      <c r="I714" s="287"/>
      <c r="K714" s="285" t="str">
        <f t="shared" si="27"/>
        <v/>
      </c>
      <c r="L714" s="286"/>
      <c r="M714" s="287"/>
      <c r="N714" s="287"/>
      <c r="O714" s="286"/>
      <c r="P714" s="286"/>
      <c r="Q714" s="287"/>
    </row>
    <row r="715" spans="1:17" ht="30" customHeight="1" x14ac:dyDescent="0.2">
      <c r="A715" s="280"/>
      <c r="B715" s="281"/>
      <c r="C715" s="281"/>
      <c r="D715" s="281"/>
      <c r="F715" s="285" t="str">
        <f t="shared" si="28"/>
        <v/>
      </c>
      <c r="G715" s="286"/>
      <c r="H715" s="287"/>
      <c r="I715" s="287"/>
      <c r="K715" s="285" t="str">
        <f t="shared" ref="K715:K778" si="29">IF(A715="","",A715)</f>
        <v/>
      </c>
      <c r="L715" s="286"/>
      <c r="M715" s="287"/>
      <c r="N715" s="287"/>
      <c r="O715" s="286"/>
      <c r="P715" s="286"/>
      <c r="Q715" s="287"/>
    </row>
    <row r="716" spans="1:17" ht="30" customHeight="1" x14ac:dyDescent="0.2">
      <c r="A716" s="280"/>
      <c r="B716" s="281"/>
      <c r="C716" s="281"/>
      <c r="D716" s="281"/>
      <c r="F716" s="285" t="str">
        <f t="shared" si="28"/>
        <v/>
      </c>
      <c r="G716" s="286"/>
      <c r="H716" s="287"/>
      <c r="I716" s="287"/>
      <c r="K716" s="285" t="str">
        <f t="shared" si="29"/>
        <v/>
      </c>
      <c r="L716" s="286"/>
      <c r="M716" s="287"/>
      <c r="N716" s="287"/>
      <c r="O716" s="286"/>
      <c r="P716" s="286"/>
      <c r="Q716" s="287"/>
    </row>
    <row r="717" spans="1:17" ht="30" customHeight="1" x14ac:dyDescent="0.2">
      <c r="A717" s="280"/>
      <c r="B717" s="281"/>
      <c r="C717" s="281"/>
      <c r="D717" s="281"/>
      <c r="F717" s="285" t="str">
        <f t="shared" si="28"/>
        <v/>
      </c>
      <c r="G717" s="286"/>
      <c r="H717" s="287"/>
      <c r="I717" s="287"/>
      <c r="K717" s="285" t="str">
        <f t="shared" si="29"/>
        <v/>
      </c>
      <c r="L717" s="286"/>
      <c r="M717" s="287"/>
      <c r="N717" s="287"/>
      <c r="O717" s="286"/>
      <c r="P717" s="286"/>
      <c r="Q717" s="287"/>
    </row>
    <row r="718" spans="1:17" ht="30" customHeight="1" x14ac:dyDescent="0.2">
      <c r="A718" s="280"/>
      <c r="B718" s="281"/>
      <c r="C718" s="281"/>
      <c r="D718" s="281"/>
      <c r="F718" s="285" t="str">
        <f t="shared" si="28"/>
        <v/>
      </c>
      <c r="G718" s="286"/>
      <c r="H718" s="287"/>
      <c r="I718" s="287"/>
      <c r="K718" s="285" t="str">
        <f t="shared" si="29"/>
        <v/>
      </c>
      <c r="L718" s="286"/>
      <c r="M718" s="287"/>
      <c r="N718" s="287"/>
      <c r="O718" s="286"/>
      <c r="P718" s="286"/>
      <c r="Q718" s="287"/>
    </row>
    <row r="719" spans="1:17" ht="30" customHeight="1" x14ac:dyDescent="0.2">
      <c r="A719" s="280"/>
      <c r="B719" s="281"/>
      <c r="C719" s="281"/>
      <c r="D719" s="281"/>
      <c r="F719" s="285" t="str">
        <f t="shared" si="28"/>
        <v/>
      </c>
      <c r="G719" s="286"/>
      <c r="H719" s="287"/>
      <c r="I719" s="287"/>
      <c r="K719" s="285" t="str">
        <f t="shared" si="29"/>
        <v/>
      </c>
      <c r="L719" s="286"/>
      <c r="M719" s="287"/>
      <c r="N719" s="287"/>
      <c r="O719" s="286"/>
      <c r="P719" s="286"/>
      <c r="Q719" s="287"/>
    </row>
    <row r="720" spans="1:17" ht="30" customHeight="1" x14ac:dyDescent="0.2">
      <c r="A720" s="280"/>
      <c r="B720" s="281"/>
      <c r="C720" s="281"/>
      <c r="D720" s="281"/>
      <c r="F720" s="285" t="str">
        <f t="shared" si="28"/>
        <v/>
      </c>
      <c r="G720" s="286"/>
      <c r="H720" s="287"/>
      <c r="I720" s="287"/>
      <c r="K720" s="285" t="str">
        <f t="shared" si="29"/>
        <v/>
      </c>
      <c r="L720" s="286"/>
      <c r="M720" s="287"/>
      <c r="N720" s="287"/>
      <c r="O720" s="286"/>
      <c r="P720" s="286"/>
      <c r="Q720" s="287"/>
    </row>
    <row r="721" spans="1:17" ht="30" customHeight="1" x14ac:dyDescent="0.2">
      <c r="A721" s="280"/>
      <c r="B721" s="281"/>
      <c r="C721" s="281"/>
      <c r="D721" s="281"/>
      <c r="F721" s="285" t="str">
        <f t="shared" si="28"/>
        <v/>
      </c>
      <c r="G721" s="286"/>
      <c r="H721" s="287"/>
      <c r="I721" s="287"/>
      <c r="K721" s="285" t="str">
        <f t="shared" si="29"/>
        <v/>
      </c>
      <c r="L721" s="286"/>
      <c r="M721" s="287"/>
      <c r="N721" s="287"/>
      <c r="O721" s="286"/>
      <c r="P721" s="286"/>
      <c r="Q721" s="287"/>
    </row>
    <row r="722" spans="1:17" ht="30" customHeight="1" x14ac:dyDescent="0.2">
      <c r="A722" s="280"/>
      <c r="B722" s="281"/>
      <c r="C722" s="281"/>
      <c r="D722" s="281"/>
      <c r="F722" s="285" t="str">
        <f t="shared" si="28"/>
        <v/>
      </c>
      <c r="G722" s="286"/>
      <c r="H722" s="287"/>
      <c r="I722" s="287"/>
      <c r="K722" s="285" t="str">
        <f t="shared" si="29"/>
        <v/>
      </c>
      <c r="L722" s="286"/>
      <c r="M722" s="287"/>
      <c r="N722" s="287"/>
      <c r="O722" s="286"/>
      <c r="P722" s="286"/>
      <c r="Q722" s="287"/>
    </row>
    <row r="723" spans="1:17" ht="30" customHeight="1" x14ac:dyDescent="0.2">
      <c r="A723" s="280"/>
      <c r="B723" s="281"/>
      <c r="C723" s="281"/>
      <c r="D723" s="281"/>
      <c r="F723" s="285" t="str">
        <f t="shared" si="28"/>
        <v/>
      </c>
      <c r="G723" s="286"/>
      <c r="H723" s="287"/>
      <c r="I723" s="287"/>
      <c r="K723" s="285" t="str">
        <f t="shared" si="29"/>
        <v/>
      </c>
      <c r="L723" s="286"/>
      <c r="M723" s="287"/>
      <c r="N723" s="287"/>
      <c r="O723" s="286"/>
      <c r="P723" s="286"/>
      <c r="Q723" s="287"/>
    </row>
    <row r="724" spans="1:17" ht="30" customHeight="1" x14ac:dyDescent="0.2">
      <c r="A724" s="280"/>
      <c r="B724" s="281"/>
      <c r="C724" s="281"/>
      <c r="D724" s="281"/>
      <c r="F724" s="285" t="str">
        <f t="shared" si="28"/>
        <v/>
      </c>
      <c r="G724" s="286"/>
      <c r="H724" s="287"/>
      <c r="I724" s="287"/>
      <c r="K724" s="285" t="str">
        <f t="shared" si="29"/>
        <v/>
      </c>
      <c r="L724" s="286"/>
      <c r="M724" s="287"/>
      <c r="N724" s="287"/>
      <c r="O724" s="286"/>
      <c r="P724" s="286"/>
      <c r="Q724" s="287"/>
    </row>
    <row r="725" spans="1:17" ht="30" customHeight="1" x14ac:dyDescent="0.2">
      <c r="A725" s="280"/>
      <c r="B725" s="281"/>
      <c r="C725" s="281"/>
      <c r="D725" s="281"/>
      <c r="F725" s="285" t="str">
        <f t="shared" si="28"/>
        <v/>
      </c>
      <c r="G725" s="286"/>
      <c r="H725" s="287"/>
      <c r="I725" s="287"/>
      <c r="K725" s="285" t="str">
        <f t="shared" si="29"/>
        <v/>
      </c>
      <c r="L725" s="286"/>
      <c r="M725" s="287"/>
      <c r="N725" s="287"/>
      <c r="O725" s="286"/>
      <c r="P725" s="286"/>
      <c r="Q725" s="287"/>
    </row>
    <row r="726" spans="1:17" ht="30" customHeight="1" x14ac:dyDescent="0.2">
      <c r="A726" s="280"/>
      <c r="B726" s="281"/>
      <c r="C726" s="281"/>
      <c r="D726" s="281"/>
      <c r="F726" s="285" t="str">
        <f t="shared" si="28"/>
        <v/>
      </c>
      <c r="G726" s="286"/>
      <c r="H726" s="287"/>
      <c r="I726" s="287"/>
      <c r="K726" s="285" t="str">
        <f t="shared" si="29"/>
        <v/>
      </c>
      <c r="L726" s="286"/>
      <c r="M726" s="287"/>
      <c r="N726" s="287"/>
      <c r="O726" s="286"/>
      <c r="P726" s="286"/>
      <c r="Q726" s="287"/>
    </row>
    <row r="727" spans="1:17" ht="30" customHeight="1" x14ac:dyDescent="0.2">
      <c r="A727" s="280"/>
      <c r="B727" s="281"/>
      <c r="C727" s="281"/>
      <c r="D727" s="281"/>
      <c r="F727" s="285" t="str">
        <f t="shared" si="28"/>
        <v/>
      </c>
      <c r="G727" s="286"/>
      <c r="H727" s="287"/>
      <c r="I727" s="287"/>
      <c r="K727" s="285" t="str">
        <f t="shared" si="29"/>
        <v/>
      </c>
      <c r="L727" s="286"/>
      <c r="M727" s="287"/>
      <c r="N727" s="287"/>
      <c r="O727" s="286"/>
      <c r="P727" s="286"/>
      <c r="Q727" s="287"/>
    </row>
    <row r="728" spans="1:17" ht="30" customHeight="1" x14ac:dyDescent="0.2">
      <c r="A728" s="280"/>
      <c r="B728" s="281"/>
      <c r="C728" s="281"/>
      <c r="D728" s="281"/>
      <c r="F728" s="285" t="str">
        <f t="shared" si="28"/>
        <v/>
      </c>
      <c r="G728" s="286"/>
      <c r="H728" s="287"/>
      <c r="I728" s="287"/>
      <c r="K728" s="285" t="str">
        <f t="shared" si="29"/>
        <v/>
      </c>
      <c r="L728" s="286"/>
      <c r="M728" s="287"/>
      <c r="N728" s="287"/>
      <c r="O728" s="286"/>
      <c r="P728" s="286"/>
      <c r="Q728" s="287"/>
    </row>
    <row r="729" spans="1:17" ht="30" customHeight="1" x14ac:dyDescent="0.2">
      <c r="A729" s="280"/>
      <c r="B729" s="281"/>
      <c r="C729" s="281"/>
      <c r="D729" s="281"/>
      <c r="F729" s="285" t="str">
        <f t="shared" si="28"/>
        <v/>
      </c>
      <c r="G729" s="286"/>
      <c r="H729" s="287"/>
      <c r="I729" s="287"/>
      <c r="K729" s="285" t="str">
        <f t="shared" si="29"/>
        <v/>
      </c>
      <c r="L729" s="286"/>
      <c r="M729" s="287"/>
      <c r="N729" s="287"/>
      <c r="O729" s="286"/>
      <c r="P729" s="286"/>
      <c r="Q729" s="287"/>
    </row>
    <row r="730" spans="1:17" ht="30" customHeight="1" x14ac:dyDescent="0.2">
      <c r="A730" s="280"/>
      <c r="B730" s="281"/>
      <c r="C730" s="281"/>
      <c r="D730" s="281"/>
      <c r="F730" s="285" t="str">
        <f t="shared" si="28"/>
        <v/>
      </c>
      <c r="G730" s="286"/>
      <c r="H730" s="287"/>
      <c r="I730" s="287"/>
      <c r="K730" s="285" t="str">
        <f t="shared" si="29"/>
        <v/>
      </c>
      <c r="L730" s="286"/>
      <c r="M730" s="287"/>
      <c r="N730" s="287"/>
      <c r="O730" s="286"/>
      <c r="P730" s="286"/>
      <c r="Q730" s="287"/>
    </row>
    <row r="731" spans="1:17" ht="30" customHeight="1" x14ac:dyDescent="0.2">
      <c r="A731" s="280"/>
      <c r="B731" s="281"/>
      <c r="C731" s="281"/>
      <c r="D731" s="281"/>
      <c r="F731" s="285" t="str">
        <f t="shared" si="28"/>
        <v/>
      </c>
      <c r="G731" s="286"/>
      <c r="H731" s="287"/>
      <c r="I731" s="287"/>
      <c r="K731" s="285" t="str">
        <f t="shared" si="29"/>
        <v/>
      </c>
      <c r="L731" s="286"/>
      <c r="M731" s="287"/>
      <c r="N731" s="287"/>
      <c r="O731" s="286"/>
      <c r="P731" s="286"/>
      <c r="Q731" s="287"/>
    </row>
    <row r="732" spans="1:17" ht="30" customHeight="1" x14ac:dyDescent="0.2">
      <c r="A732" s="280"/>
      <c r="B732" s="281"/>
      <c r="C732" s="281"/>
      <c r="D732" s="281"/>
      <c r="F732" s="285" t="str">
        <f t="shared" si="28"/>
        <v/>
      </c>
      <c r="G732" s="286"/>
      <c r="H732" s="287"/>
      <c r="I732" s="287"/>
      <c r="K732" s="285" t="str">
        <f t="shared" si="29"/>
        <v/>
      </c>
      <c r="L732" s="286"/>
      <c r="M732" s="287"/>
      <c r="N732" s="287"/>
      <c r="O732" s="286"/>
      <c r="P732" s="286"/>
      <c r="Q732" s="287"/>
    </row>
    <row r="733" spans="1:17" ht="30" customHeight="1" x14ac:dyDescent="0.2">
      <c r="A733" s="280"/>
      <c r="B733" s="281"/>
      <c r="C733" s="281"/>
      <c r="D733" s="281"/>
      <c r="F733" s="285" t="str">
        <f t="shared" si="28"/>
        <v/>
      </c>
      <c r="G733" s="286"/>
      <c r="H733" s="287"/>
      <c r="I733" s="287"/>
      <c r="K733" s="285" t="str">
        <f t="shared" si="29"/>
        <v/>
      </c>
      <c r="L733" s="286"/>
      <c r="M733" s="287"/>
      <c r="N733" s="287"/>
      <c r="O733" s="286"/>
      <c r="P733" s="286"/>
      <c r="Q733" s="287"/>
    </row>
    <row r="734" spans="1:17" ht="30" customHeight="1" x14ac:dyDescent="0.2">
      <c r="A734" s="280"/>
      <c r="B734" s="281"/>
      <c r="C734" s="281"/>
      <c r="D734" s="281"/>
      <c r="F734" s="285" t="str">
        <f t="shared" si="28"/>
        <v/>
      </c>
      <c r="G734" s="286"/>
      <c r="H734" s="287"/>
      <c r="I734" s="287"/>
      <c r="K734" s="285" t="str">
        <f t="shared" si="29"/>
        <v/>
      </c>
      <c r="L734" s="286"/>
      <c r="M734" s="287"/>
      <c r="N734" s="287"/>
      <c r="O734" s="286"/>
      <c r="P734" s="286"/>
      <c r="Q734" s="287"/>
    </row>
    <row r="735" spans="1:17" ht="30" customHeight="1" x14ac:dyDescent="0.2">
      <c r="A735" s="280"/>
      <c r="B735" s="281"/>
      <c r="C735" s="281"/>
      <c r="D735" s="281"/>
      <c r="F735" s="285" t="str">
        <f t="shared" si="28"/>
        <v/>
      </c>
      <c r="G735" s="286"/>
      <c r="H735" s="287"/>
      <c r="I735" s="287"/>
      <c r="K735" s="285" t="str">
        <f t="shared" si="29"/>
        <v/>
      </c>
      <c r="L735" s="286"/>
      <c r="M735" s="287"/>
      <c r="N735" s="287"/>
      <c r="O735" s="286"/>
      <c r="P735" s="286"/>
      <c r="Q735" s="287"/>
    </row>
    <row r="736" spans="1:17" ht="30" customHeight="1" x14ac:dyDescent="0.2">
      <c r="A736" s="280"/>
      <c r="B736" s="281"/>
      <c r="C736" s="281"/>
      <c r="D736" s="281"/>
      <c r="F736" s="285" t="str">
        <f t="shared" si="28"/>
        <v/>
      </c>
      <c r="G736" s="286"/>
      <c r="H736" s="287"/>
      <c r="I736" s="287"/>
      <c r="K736" s="285" t="str">
        <f t="shared" si="29"/>
        <v/>
      </c>
      <c r="L736" s="286"/>
      <c r="M736" s="287"/>
      <c r="N736" s="287"/>
      <c r="O736" s="286"/>
      <c r="P736" s="286"/>
      <c r="Q736" s="287"/>
    </row>
    <row r="737" spans="1:17" ht="30" customHeight="1" x14ac:dyDescent="0.2">
      <c r="A737" s="280"/>
      <c r="B737" s="281"/>
      <c r="C737" s="281"/>
      <c r="D737" s="281"/>
      <c r="F737" s="285" t="str">
        <f t="shared" si="28"/>
        <v/>
      </c>
      <c r="G737" s="286"/>
      <c r="H737" s="287"/>
      <c r="I737" s="287"/>
      <c r="K737" s="285" t="str">
        <f t="shared" si="29"/>
        <v/>
      </c>
      <c r="L737" s="286"/>
      <c r="M737" s="287"/>
      <c r="N737" s="287"/>
      <c r="O737" s="286"/>
      <c r="P737" s="286"/>
      <c r="Q737" s="287"/>
    </row>
    <row r="738" spans="1:17" ht="30" customHeight="1" x14ac:dyDescent="0.2">
      <c r="A738" s="280"/>
      <c r="B738" s="281"/>
      <c r="C738" s="281"/>
      <c r="D738" s="281"/>
      <c r="F738" s="285" t="str">
        <f t="shared" si="28"/>
        <v/>
      </c>
      <c r="G738" s="286"/>
      <c r="H738" s="287"/>
      <c r="I738" s="287"/>
      <c r="K738" s="285" t="str">
        <f t="shared" si="29"/>
        <v/>
      </c>
      <c r="L738" s="286"/>
      <c r="M738" s="287"/>
      <c r="N738" s="287"/>
      <c r="O738" s="286"/>
      <c r="P738" s="286"/>
      <c r="Q738" s="287"/>
    </row>
    <row r="739" spans="1:17" ht="30" customHeight="1" x14ac:dyDescent="0.2">
      <c r="A739" s="280"/>
      <c r="B739" s="281"/>
      <c r="C739" s="281"/>
      <c r="D739" s="281"/>
      <c r="F739" s="285" t="str">
        <f t="shared" si="28"/>
        <v/>
      </c>
      <c r="G739" s="286"/>
      <c r="H739" s="287"/>
      <c r="I739" s="287"/>
      <c r="K739" s="285" t="str">
        <f t="shared" si="29"/>
        <v/>
      </c>
      <c r="L739" s="286"/>
      <c r="M739" s="287"/>
      <c r="N739" s="287"/>
      <c r="O739" s="286"/>
      <c r="P739" s="286"/>
      <c r="Q739" s="287"/>
    </row>
    <row r="740" spans="1:17" ht="30" customHeight="1" x14ac:dyDescent="0.2">
      <c r="A740" s="280"/>
      <c r="B740" s="281"/>
      <c r="C740" s="281"/>
      <c r="D740" s="281"/>
      <c r="F740" s="285" t="str">
        <f t="shared" si="28"/>
        <v/>
      </c>
      <c r="G740" s="286"/>
      <c r="H740" s="287"/>
      <c r="I740" s="287"/>
      <c r="K740" s="285" t="str">
        <f t="shared" si="29"/>
        <v/>
      </c>
      <c r="L740" s="286"/>
      <c r="M740" s="287"/>
      <c r="N740" s="287"/>
      <c r="O740" s="286"/>
      <c r="P740" s="286"/>
      <c r="Q740" s="287"/>
    </row>
    <row r="741" spans="1:17" ht="30" customHeight="1" x14ac:dyDescent="0.2">
      <c r="A741" s="280"/>
      <c r="B741" s="281"/>
      <c r="C741" s="281"/>
      <c r="D741" s="281"/>
      <c r="F741" s="285" t="str">
        <f t="shared" si="28"/>
        <v/>
      </c>
      <c r="G741" s="286"/>
      <c r="H741" s="287"/>
      <c r="I741" s="287"/>
      <c r="K741" s="285" t="str">
        <f t="shared" si="29"/>
        <v/>
      </c>
      <c r="L741" s="286"/>
      <c r="M741" s="287"/>
      <c r="N741" s="287"/>
      <c r="O741" s="286"/>
      <c r="P741" s="286"/>
      <c r="Q741" s="287"/>
    </row>
    <row r="742" spans="1:17" ht="30" customHeight="1" x14ac:dyDescent="0.2">
      <c r="A742" s="280"/>
      <c r="B742" s="281"/>
      <c r="C742" s="281"/>
      <c r="D742" s="281"/>
      <c r="F742" s="285" t="str">
        <f t="shared" si="28"/>
        <v/>
      </c>
      <c r="G742" s="286"/>
      <c r="H742" s="287"/>
      <c r="I742" s="287"/>
      <c r="K742" s="285" t="str">
        <f t="shared" si="29"/>
        <v/>
      </c>
      <c r="L742" s="286"/>
      <c r="M742" s="287"/>
      <c r="N742" s="287"/>
      <c r="O742" s="286"/>
      <c r="P742" s="286"/>
      <c r="Q742" s="287"/>
    </row>
    <row r="743" spans="1:17" ht="30" customHeight="1" x14ac:dyDescent="0.2">
      <c r="A743" s="280"/>
      <c r="B743" s="281"/>
      <c r="C743" s="281"/>
      <c r="D743" s="281"/>
      <c r="F743" s="285" t="str">
        <f t="shared" si="28"/>
        <v/>
      </c>
      <c r="G743" s="286"/>
      <c r="H743" s="287"/>
      <c r="I743" s="287"/>
      <c r="K743" s="285" t="str">
        <f t="shared" si="29"/>
        <v/>
      </c>
      <c r="L743" s="286"/>
      <c r="M743" s="287"/>
      <c r="N743" s="287"/>
      <c r="O743" s="286"/>
      <c r="P743" s="286"/>
      <c r="Q743" s="287"/>
    </row>
    <row r="744" spans="1:17" ht="30" customHeight="1" x14ac:dyDescent="0.2">
      <c r="A744" s="280"/>
      <c r="B744" s="281"/>
      <c r="C744" s="281"/>
      <c r="D744" s="281"/>
      <c r="F744" s="285" t="str">
        <f t="shared" si="28"/>
        <v/>
      </c>
      <c r="G744" s="286"/>
      <c r="H744" s="287"/>
      <c r="I744" s="287"/>
      <c r="K744" s="285" t="str">
        <f t="shared" si="29"/>
        <v/>
      </c>
      <c r="L744" s="286"/>
      <c r="M744" s="287"/>
      <c r="N744" s="287"/>
      <c r="O744" s="286"/>
      <c r="P744" s="286"/>
      <c r="Q744" s="287"/>
    </row>
    <row r="745" spans="1:17" ht="30" customHeight="1" x14ac:dyDescent="0.2">
      <c r="A745" s="280"/>
      <c r="B745" s="281"/>
      <c r="C745" s="281"/>
      <c r="D745" s="281"/>
      <c r="F745" s="285" t="str">
        <f t="shared" si="28"/>
        <v/>
      </c>
      <c r="G745" s="286"/>
      <c r="H745" s="287"/>
      <c r="I745" s="287"/>
      <c r="K745" s="285" t="str">
        <f t="shared" si="29"/>
        <v/>
      </c>
      <c r="L745" s="286"/>
      <c r="M745" s="287"/>
      <c r="N745" s="287"/>
      <c r="O745" s="286"/>
      <c r="P745" s="286"/>
      <c r="Q745" s="287"/>
    </row>
    <row r="746" spans="1:17" ht="30" customHeight="1" x14ac:dyDescent="0.2">
      <c r="A746" s="280"/>
      <c r="B746" s="281"/>
      <c r="C746" s="281"/>
      <c r="D746" s="281"/>
      <c r="F746" s="285" t="str">
        <f t="shared" si="28"/>
        <v/>
      </c>
      <c r="G746" s="286"/>
      <c r="H746" s="287"/>
      <c r="I746" s="287"/>
      <c r="K746" s="285" t="str">
        <f t="shared" si="29"/>
        <v/>
      </c>
      <c r="L746" s="286"/>
      <c r="M746" s="287"/>
      <c r="N746" s="287"/>
      <c r="O746" s="286"/>
      <c r="P746" s="286"/>
      <c r="Q746" s="287"/>
    </row>
    <row r="747" spans="1:17" ht="30" customHeight="1" x14ac:dyDescent="0.2">
      <c r="A747" s="280"/>
      <c r="B747" s="281"/>
      <c r="C747" s="281"/>
      <c r="D747" s="281"/>
      <c r="F747" s="285" t="str">
        <f t="shared" si="28"/>
        <v/>
      </c>
      <c r="G747" s="286"/>
      <c r="H747" s="287"/>
      <c r="I747" s="287"/>
      <c r="K747" s="285" t="str">
        <f t="shared" si="29"/>
        <v/>
      </c>
      <c r="L747" s="286"/>
      <c r="M747" s="287"/>
      <c r="N747" s="287"/>
      <c r="O747" s="286"/>
      <c r="P747" s="286"/>
      <c r="Q747" s="287"/>
    </row>
    <row r="748" spans="1:17" ht="30" customHeight="1" x14ac:dyDescent="0.2">
      <c r="A748" s="280"/>
      <c r="B748" s="281"/>
      <c r="C748" s="281"/>
      <c r="D748" s="281"/>
      <c r="F748" s="285" t="str">
        <f t="shared" si="28"/>
        <v/>
      </c>
      <c r="G748" s="286"/>
      <c r="H748" s="287"/>
      <c r="I748" s="287"/>
      <c r="K748" s="285" t="str">
        <f t="shared" si="29"/>
        <v/>
      </c>
      <c r="L748" s="286"/>
      <c r="M748" s="287"/>
      <c r="N748" s="287"/>
      <c r="O748" s="286"/>
      <c r="P748" s="286"/>
      <c r="Q748" s="287"/>
    </row>
    <row r="749" spans="1:17" ht="30" customHeight="1" x14ac:dyDescent="0.2">
      <c r="A749" s="280"/>
      <c r="B749" s="281"/>
      <c r="C749" s="281"/>
      <c r="D749" s="281"/>
      <c r="F749" s="285" t="str">
        <f t="shared" si="28"/>
        <v/>
      </c>
      <c r="G749" s="286"/>
      <c r="H749" s="287"/>
      <c r="I749" s="287"/>
      <c r="K749" s="285" t="str">
        <f t="shared" si="29"/>
        <v/>
      </c>
      <c r="L749" s="286"/>
      <c r="M749" s="287"/>
      <c r="N749" s="287"/>
      <c r="O749" s="286"/>
      <c r="P749" s="286"/>
      <c r="Q749" s="287"/>
    </row>
    <row r="750" spans="1:17" ht="30" customHeight="1" x14ac:dyDescent="0.2">
      <c r="A750" s="280"/>
      <c r="B750" s="281"/>
      <c r="C750" s="281"/>
      <c r="D750" s="281"/>
      <c r="F750" s="285" t="str">
        <f t="shared" si="28"/>
        <v/>
      </c>
      <c r="G750" s="286"/>
      <c r="H750" s="287"/>
      <c r="I750" s="287"/>
      <c r="K750" s="285" t="str">
        <f t="shared" si="29"/>
        <v/>
      </c>
      <c r="L750" s="286"/>
      <c r="M750" s="287"/>
      <c r="N750" s="287"/>
      <c r="O750" s="286"/>
      <c r="P750" s="286"/>
      <c r="Q750" s="287"/>
    </row>
    <row r="751" spans="1:17" ht="30" customHeight="1" x14ac:dyDescent="0.2">
      <c r="A751" s="280"/>
      <c r="B751" s="281"/>
      <c r="C751" s="281"/>
      <c r="D751" s="281"/>
      <c r="F751" s="285" t="str">
        <f t="shared" si="28"/>
        <v/>
      </c>
      <c r="G751" s="286"/>
      <c r="H751" s="287"/>
      <c r="I751" s="287"/>
      <c r="K751" s="285" t="str">
        <f t="shared" si="29"/>
        <v/>
      </c>
      <c r="L751" s="286"/>
      <c r="M751" s="287"/>
      <c r="N751" s="287"/>
      <c r="O751" s="286"/>
      <c r="P751" s="286"/>
      <c r="Q751" s="287"/>
    </row>
    <row r="752" spans="1:17" ht="30" customHeight="1" x14ac:dyDescent="0.2">
      <c r="A752" s="280"/>
      <c r="B752" s="281"/>
      <c r="C752" s="281"/>
      <c r="D752" s="281"/>
      <c r="F752" s="285" t="str">
        <f t="shared" si="28"/>
        <v/>
      </c>
      <c r="G752" s="286"/>
      <c r="H752" s="287"/>
      <c r="I752" s="287"/>
      <c r="K752" s="285" t="str">
        <f t="shared" si="29"/>
        <v/>
      </c>
      <c r="L752" s="286"/>
      <c r="M752" s="287"/>
      <c r="N752" s="287"/>
      <c r="O752" s="286"/>
      <c r="P752" s="286"/>
      <c r="Q752" s="287"/>
    </row>
    <row r="753" spans="1:17" ht="30" customHeight="1" x14ac:dyDescent="0.2">
      <c r="A753" s="280"/>
      <c r="B753" s="281"/>
      <c r="C753" s="281"/>
      <c r="D753" s="281"/>
      <c r="F753" s="285" t="str">
        <f t="shared" si="28"/>
        <v/>
      </c>
      <c r="G753" s="286"/>
      <c r="H753" s="287"/>
      <c r="I753" s="287"/>
      <c r="K753" s="285" t="str">
        <f t="shared" si="29"/>
        <v/>
      </c>
      <c r="L753" s="286"/>
      <c r="M753" s="287"/>
      <c r="N753" s="287"/>
      <c r="O753" s="286"/>
      <c r="P753" s="286"/>
      <c r="Q753" s="287"/>
    </row>
    <row r="754" spans="1:17" ht="30" customHeight="1" x14ac:dyDescent="0.2">
      <c r="A754" s="280"/>
      <c r="B754" s="281"/>
      <c r="C754" s="281"/>
      <c r="D754" s="281"/>
      <c r="F754" s="285" t="str">
        <f t="shared" si="28"/>
        <v/>
      </c>
      <c r="G754" s="286"/>
      <c r="H754" s="287"/>
      <c r="I754" s="287"/>
      <c r="K754" s="285" t="str">
        <f t="shared" si="29"/>
        <v/>
      </c>
      <c r="L754" s="286"/>
      <c r="M754" s="287"/>
      <c r="N754" s="287"/>
      <c r="O754" s="286"/>
      <c r="P754" s="286"/>
      <c r="Q754" s="287"/>
    </row>
    <row r="755" spans="1:17" ht="30" customHeight="1" x14ac:dyDescent="0.2">
      <c r="A755" s="280"/>
      <c r="B755" s="281"/>
      <c r="C755" s="281"/>
      <c r="D755" s="281"/>
      <c r="F755" s="285" t="str">
        <f t="shared" si="28"/>
        <v/>
      </c>
      <c r="G755" s="286"/>
      <c r="H755" s="287"/>
      <c r="I755" s="287"/>
      <c r="K755" s="285" t="str">
        <f t="shared" si="29"/>
        <v/>
      </c>
      <c r="L755" s="286"/>
      <c r="M755" s="287"/>
      <c r="N755" s="287"/>
      <c r="O755" s="286"/>
      <c r="P755" s="286"/>
      <c r="Q755" s="287"/>
    </row>
    <row r="756" spans="1:17" ht="30" customHeight="1" x14ac:dyDescent="0.2">
      <c r="A756" s="280"/>
      <c r="B756" s="281"/>
      <c r="C756" s="281"/>
      <c r="D756" s="281"/>
      <c r="F756" s="285" t="str">
        <f t="shared" si="28"/>
        <v/>
      </c>
      <c r="G756" s="286"/>
      <c r="H756" s="287"/>
      <c r="I756" s="287"/>
      <c r="K756" s="285" t="str">
        <f t="shared" si="29"/>
        <v/>
      </c>
      <c r="L756" s="286"/>
      <c r="M756" s="287"/>
      <c r="N756" s="287"/>
      <c r="O756" s="286"/>
      <c r="P756" s="286"/>
      <c r="Q756" s="287"/>
    </row>
    <row r="757" spans="1:17" ht="30" customHeight="1" x14ac:dyDescent="0.2">
      <c r="A757" s="280"/>
      <c r="B757" s="281"/>
      <c r="C757" s="281"/>
      <c r="D757" s="281"/>
      <c r="F757" s="285" t="str">
        <f t="shared" si="28"/>
        <v/>
      </c>
      <c r="G757" s="286"/>
      <c r="H757" s="287"/>
      <c r="I757" s="287"/>
      <c r="K757" s="285" t="str">
        <f t="shared" si="29"/>
        <v/>
      </c>
      <c r="L757" s="286"/>
      <c r="M757" s="287"/>
      <c r="N757" s="287"/>
      <c r="O757" s="286"/>
      <c r="P757" s="286"/>
      <c r="Q757" s="287"/>
    </row>
    <row r="758" spans="1:17" ht="30" customHeight="1" x14ac:dyDescent="0.2">
      <c r="A758" s="280"/>
      <c r="B758" s="281"/>
      <c r="C758" s="281"/>
      <c r="D758" s="281"/>
      <c r="F758" s="285" t="str">
        <f t="shared" si="28"/>
        <v/>
      </c>
      <c r="G758" s="286"/>
      <c r="H758" s="287"/>
      <c r="I758" s="287"/>
      <c r="K758" s="285" t="str">
        <f t="shared" si="29"/>
        <v/>
      </c>
      <c r="L758" s="286"/>
      <c r="M758" s="287"/>
      <c r="N758" s="287"/>
      <c r="O758" s="286"/>
      <c r="P758" s="286"/>
      <c r="Q758" s="287"/>
    </row>
    <row r="759" spans="1:17" ht="30" customHeight="1" x14ac:dyDescent="0.2">
      <c r="A759" s="280"/>
      <c r="B759" s="281"/>
      <c r="C759" s="281"/>
      <c r="D759" s="281"/>
      <c r="F759" s="285" t="str">
        <f t="shared" si="28"/>
        <v/>
      </c>
      <c r="G759" s="286"/>
      <c r="H759" s="287"/>
      <c r="I759" s="287"/>
      <c r="K759" s="285" t="str">
        <f t="shared" si="29"/>
        <v/>
      </c>
      <c r="L759" s="286"/>
      <c r="M759" s="287"/>
      <c r="N759" s="287"/>
      <c r="O759" s="286"/>
      <c r="P759" s="286"/>
      <c r="Q759" s="287"/>
    </row>
    <row r="760" spans="1:17" ht="30" customHeight="1" x14ac:dyDescent="0.2">
      <c r="A760" s="280"/>
      <c r="B760" s="281"/>
      <c r="C760" s="281"/>
      <c r="D760" s="281"/>
      <c r="F760" s="285" t="str">
        <f t="shared" si="28"/>
        <v/>
      </c>
      <c r="G760" s="286"/>
      <c r="H760" s="287"/>
      <c r="I760" s="287"/>
      <c r="K760" s="285" t="str">
        <f t="shared" si="29"/>
        <v/>
      </c>
      <c r="L760" s="286"/>
      <c r="M760" s="287"/>
      <c r="N760" s="287"/>
      <c r="O760" s="286"/>
      <c r="P760" s="286"/>
      <c r="Q760" s="287"/>
    </row>
    <row r="761" spans="1:17" ht="30" customHeight="1" x14ac:dyDescent="0.2">
      <c r="A761" s="280"/>
      <c r="B761" s="281"/>
      <c r="C761" s="281"/>
      <c r="D761" s="281"/>
      <c r="F761" s="285" t="str">
        <f t="shared" si="28"/>
        <v/>
      </c>
      <c r="G761" s="286"/>
      <c r="H761" s="287"/>
      <c r="I761" s="287"/>
      <c r="K761" s="285" t="str">
        <f t="shared" si="29"/>
        <v/>
      </c>
      <c r="L761" s="286"/>
      <c r="M761" s="287"/>
      <c r="N761" s="287"/>
      <c r="O761" s="286"/>
      <c r="P761" s="286"/>
      <c r="Q761" s="287"/>
    </row>
    <row r="762" spans="1:17" ht="30" customHeight="1" x14ac:dyDescent="0.2">
      <c r="A762" s="280"/>
      <c r="B762" s="281"/>
      <c r="C762" s="281"/>
      <c r="D762" s="281"/>
      <c r="F762" s="285" t="str">
        <f t="shared" si="28"/>
        <v/>
      </c>
      <c r="G762" s="286"/>
      <c r="H762" s="287"/>
      <c r="I762" s="287"/>
      <c r="K762" s="285" t="str">
        <f t="shared" si="29"/>
        <v/>
      </c>
      <c r="L762" s="286"/>
      <c r="M762" s="287"/>
      <c r="N762" s="287"/>
      <c r="O762" s="286"/>
      <c r="P762" s="286"/>
      <c r="Q762" s="287"/>
    </row>
    <row r="763" spans="1:17" ht="30" customHeight="1" x14ac:dyDescent="0.2">
      <c r="A763" s="280"/>
      <c r="B763" s="281"/>
      <c r="C763" s="281"/>
      <c r="D763" s="281"/>
      <c r="F763" s="285" t="str">
        <f t="shared" si="28"/>
        <v/>
      </c>
      <c r="G763" s="286"/>
      <c r="H763" s="287"/>
      <c r="I763" s="287"/>
      <c r="K763" s="285" t="str">
        <f t="shared" si="29"/>
        <v/>
      </c>
      <c r="L763" s="286"/>
      <c r="M763" s="287"/>
      <c r="N763" s="287"/>
      <c r="O763" s="286"/>
      <c r="P763" s="286"/>
      <c r="Q763" s="287"/>
    </row>
    <row r="764" spans="1:17" ht="30" customHeight="1" x14ac:dyDescent="0.2">
      <c r="A764" s="280"/>
      <c r="B764" s="281"/>
      <c r="C764" s="281"/>
      <c r="D764" s="281"/>
      <c r="F764" s="285" t="str">
        <f t="shared" si="28"/>
        <v/>
      </c>
      <c r="G764" s="286"/>
      <c r="H764" s="287"/>
      <c r="I764" s="287"/>
      <c r="K764" s="285" t="str">
        <f t="shared" si="29"/>
        <v/>
      </c>
      <c r="L764" s="286"/>
      <c r="M764" s="287"/>
      <c r="N764" s="287"/>
      <c r="O764" s="286"/>
      <c r="P764" s="286"/>
      <c r="Q764" s="287"/>
    </row>
    <row r="765" spans="1:17" ht="30" customHeight="1" x14ac:dyDescent="0.2">
      <c r="A765" s="280"/>
      <c r="B765" s="281"/>
      <c r="C765" s="281"/>
      <c r="D765" s="281"/>
      <c r="F765" s="285" t="str">
        <f t="shared" si="28"/>
        <v/>
      </c>
      <c r="G765" s="286"/>
      <c r="H765" s="287"/>
      <c r="I765" s="287"/>
      <c r="K765" s="285" t="str">
        <f t="shared" si="29"/>
        <v/>
      </c>
      <c r="L765" s="286"/>
      <c r="M765" s="287"/>
      <c r="N765" s="287"/>
      <c r="O765" s="286"/>
      <c r="P765" s="286"/>
      <c r="Q765" s="287"/>
    </row>
    <row r="766" spans="1:17" ht="30" customHeight="1" x14ac:dyDescent="0.2">
      <c r="A766" s="280"/>
      <c r="B766" s="281"/>
      <c r="C766" s="281"/>
      <c r="D766" s="281"/>
      <c r="F766" s="285" t="str">
        <f t="shared" si="28"/>
        <v/>
      </c>
      <c r="G766" s="286"/>
      <c r="H766" s="287"/>
      <c r="I766" s="287"/>
      <c r="K766" s="285" t="str">
        <f t="shared" si="29"/>
        <v/>
      </c>
      <c r="L766" s="286"/>
      <c r="M766" s="287"/>
      <c r="N766" s="287"/>
      <c r="O766" s="286"/>
      <c r="P766" s="286"/>
      <c r="Q766" s="287"/>
    </row>
    <row r="767" spans="1:17" ht="30" customHeight="1" x14ac:dyDescent="0.2">
      <c r="A767" s="280"/>
      <c r="B767" s="281"/>
      <c r="C767" s="281"/>
      <c r="D767" s="281"/>
      <c r="F767" s="285" t="str">
        <f t="shared" si="28"/>
        <v/>
      </c>
      <c r="G767" s="286"/>
      <c r="H767" s="287"/>
      <c r="I767" s="287"/>
      <c r="K767" s="285" t="str">
        <f t="shared" si="29"/>
        <v/>
      </c>
      <c r="L767" s="286"/>
      <c r="M767" s="287"/>
      <c r="N767" s="287"/>
      <c r="O767" s="286"/>
      <c r="P767" s="286"/>
      <c r="Q767" s="287"/>
    </row>
    <row r="768" spans="1:17" ht="30" customHeight="1" x14ac:dyDescent="0.2">
      <c r="A768" s="280"/>
      <c r="B768" s="281"/>
      <c r="C768" s="281"/>
      <c r="D768" s="281"/>
      <c r="F768" s="285" t="str">
        <f t="shared" si="28"/>
        <v/>
      </c>
      <c r="G768" s="286"/>
      <c r="H768" s="287"/>
      <c r="I768" s="287"/>
      <c r="K768" s="285" t="str">
        <f t="shared" si="29"/>
        <v/>
      </c>
      <c r="L768" s="286"/>
      <c r="M768" s="287"/>
      <c r="N768" s="287"/>
      <c r="O768" s="286"/>
      <c r="P768" s="286"/>
      <c r="Q768" s="287"/>
    </row>
    <row r="769" spans="1:17" ht="30" customHeight="1" x14ac:dyDescent="0.2">
      <c r="A769" s="280"/>
      <c r="B769" s="281"/>
      <c r="C769" s="281"/>
      <c r="D769" s="281"/>
      <c r="F769" s="285" t="str">
        <f t="shared" si="28"/>
        <v/>
      </c>
      <c r="G769" s="286"/>
      <c r="H769" s="287"/>
      <c r="I769" s="287"/>
      <c r="K769" s="285" t="str">
        <f t="shared" si="29"/>
        <v/>
      </c>
      <c r="L769" s="286"/>
      <c r="M769" s="287"/>
      <c r="N769" s="287"/>
      <c r="O769" s="286"/>
      <c r="P769" s="286"/>
      <c r="Q769" s="287"/>
    </row>
    <row r="770" spans="1:17" ht="30" customHeight="1" x14ac:dyDescent="0.2">
      <c r="A770" s="280"/>
      <c r="B770" s="281"/>
      <c r="C770" s="281"/>
      <c r="D770" s="281"/>
      <c r="F770" s="285" t="str">
        <f t="shared" si="28"/>
        <v/>
      </c>
      <c r="G770" s="286"/>
      <c r="H770" s="287"/>
      <c r="I770" s="287"/>
      <c r="K770" s="285" t="str">
        <f t="shared" si="29"/>
        <v/>
      </c>
      <c r="L770" s="286"/>
      <c r="M770" s="287"/>
      <c r="N770" s="287"/>
      <c r="O770" s="286"/>
      <c r="P770" s="286"/>
      <c r="Q770" s="287"/>
    </row>
    <row r="771" spans="1:17" ht="30" customHeight="1" x14ac:dyDescent="0.2">
      <c r="A771" s="280"/>
      <c r="B771" s="281"/>
      <c r="C771" s="281"/>
      <c r="D771" s="281"/>
      <c r="F771" s="285" t="str">
        <f t="shared" si="28"/>
        <v/>
      </c>
      <c r="G771" s="286"/>
      <c r="H771" s="287"/>
      <c r="I771" s="287"/>
      <c r="K771" s="285" t="str">
        <f t="shared" si="29"/>
        <v/>
      </c>
      <c r="L771" s="286"/>
      <c r="M771" s="287"/>
      <c r="N771" s="287"/>
      <c r="O771" s="286"/>
      <c r="P771" s="286"/>
      <c r="Q771" s="287"/>
    </row>
    <row r="772" spans="1:17" ht="30" customHeight="1" x14ac:dyDescent="0.2">
      <c r="A772" s="280"/>
      <c r="B772" s="281"/>
      <c r="C772" s="281"/>
      <c r="D772" s="281"/>
      <c r="F772" s="285" t="str">
        <f t="shared" si="28"/>
        <v/>
      </c>
      <c r="G772" s="286"/>
      <c r="H772" s="287"/>
      <c r="I772" s="287"/>
      <c r="K772" s="285" t="str">
        <f t="shared" si="29"/>
        <v/>
      </c>
      <c r="L772" s="286"/>
      <c r="M772" s="287"/>
      <c r="N772" s="287"/>
      <c r="O772" s="286"/>
      <c r="P772" s="286"/>
      <c r="Q772" s="287"/>
    </row>
    <row r="773" spans="1:17" ht="30" customHeight="1" x14ac:dyDescent="0.2">
      <c r="A773" s="280"/>
      <c r="B773" s="281"/>
      <c r="C773" s="281"/>
      <c r="D773" s="281"/>
      <c r="F773" s="285" t="str">
        <f t="shared" ref="F773:F836" si="30">IF(A773="","",A773)</f>
        <v/>
      </c>
      <c r="G773" s="286"/>
      <c r="H773" s="287"/>
      <c r="I773" s="287"/>
      <c r="K773" s="285" t="str">
        <f t="shared" si="29"/>
        <v/>
      </c>
      <c r="L773" s="286"/>
      <c r="M773" s="287"/>
      <c r="N773" s="287"/>
      <c r="O773" s="286"/>
      <c r="P773" s="286"/>
      <c r="Q773" s="287"/>
    </row>
    <row r="774" spans="1:17" ht="30" customHeight="1" x14ac:dyDescent="0.2">
      <c r="A774" s="280"/>
      <c r="B774" s="281"/>
      <c r="C774" s="281"/>
      <c r="D774" s="281"/>
      <c r="F774" s="285" t="str">
        <f t="shared" si="30"/>
        <v/>
      </c>
      <c r="G774" s="286"/>
      <c r="H774" s="287"/>
      <c r="I774" s="287"/>
      <c r="K774" s="285" t="str">
        <f t="shared" si="29"/>
        <v/>
      </c>
      <c r="L774" s="286"/>
      <c r="M774" s="287"/>
      <c r="N774" s="287"/>
      <c r="O774" s="286"/>
      <c r="P774" s="286"/>
      <c r="Q774" s="287"/>
    </row>
    <row r="775" spans="1:17" ht="30" customHeight="1" x14ac:dyDescent="0.2">
      <c r="A775" s="280"/>
      <c r="B775" s="281"/>
      <c r="C775" s="281"/>
      <c r="D775" s="281"/>
      <c r="F775" s="285" t="str">
        <f t="shared" si="30"/>
        <v/>
      </c>
      <c r="G775" s="286"/>
      <c r="H775" s="287"/>
      <c r="I775" s="287"/>
      <c r="K775" s="285" t="str">
        <f t="shared" si="29"/>
        <v/>
      </c>
      <c r="L775" s="286"/>
      <c r="M775" s="287"/>
      <c r="N775" s="287"/>
      <c r="O775" s="286"/>
      <c r="P775" s="286"/>
      <c r="Q775" s="287"/>
    </row>
    <row r="776" spans="1:17" ht="30" customHeight="1" x14ac:dyDescent="0.2">
      <c r="A776" s="280"/>
      <c r="B776" s="281"/>
      <c r="C776" s="281"/>
      <c r="D776" s="281"/>
      <c r="F776" s="285" t="str">
        <f t="shared" si="30"/>
        <v/>
      </c>
      <c r="G776" s="286"/>
      <c r="H776" s="287"/>
      <c r="I776" s="287"/>
      <c r="K776" s="285" t="str">
        <f t="shared" si="29"/>
        <v/>
      </c>
      <c r="L776" s="286"/>
      <c r="M776" s="287"/>
      <c r="N776" s="287"/>
      <c r="O776" s="286"/>
      <c r="P776" s="286"/>
      <c r="Q776" s="287"/>
    </row>
    <row r="777" spans="1:17" ht="30" customHeight="1" x14ac:dyDescent="0.2">
      <c r="A777" s="280"/>
      <c r="B777" s="281"/>
      <c r="C777" s="281"/>
      <c r="D777" s="281"/>
      <c r="F777" s="285" t="str">
        <f t="shared" si="30"/>
        <v/>
      </c>
      <c r="G777" s="286"/>
      <c r="H777" s="287"/>
      <c r="I777" s="287"/>
      <c r="K777" s="285" t="str">
        <f t="shared" si="29"/>
        <v/>
      </c>
      <c r="L777" s="286"/>
      <c r="M777" s="287"/>
      <c r="N777" s="287"/>
      <c r="O777" s="286"/>
      <c r="P777" s="286"/>
      <c r="Q777" s="287"/>
    </row>
    <row r="778" spans="1:17" ht="30" customHeight="1" x14ac:dyDescent="0.2">
      <c r="A778" s="280"/>
      <c r="B778" s="281"/>
      <c r="C778" s="281"/>
      <c r="D778" s="281"/>
      <c r="F778" s="285" t="str">
        <f t="shared" si="30"/>
        <v/>
      </c>
      <c r="G778" s="286"/>
      <c r="H778" s="287"/>
      <c r="I778" s="287"/>
      <c r="K778" s="285" t="str">
        <f t="shared" si="29"/>
        <v/>
      </c>
      <c r="L778" s="286"/>
      <c r="M778" s="287"/>
      <c r="N778" s="287"/>
      <c r="O778" s="286"/>
      <c r="P778" s="286"/>
      <c r="Q778" s="287"/>
    </row>
    <row r="779" spans="1:17" ht="30" customHeight="1" x14ac:dyDescent="0.2">
      <c r="A779" s="280"/>
      <c r="B779" s="281"/>
      <c r="C779" s="281"/>
      <c r="D779" s="281"/>
      <c r="F779" s="285" t="str">
        <f t="shared" si="30"/>
        <v/>
      </c>
      <c r="G779" s="286"/>
      <c r="H779" s="287"/>
      <c r="I779" s="287"/>
      <c r="K779" s="285" t="str">
        <f t="shared" ref="K779:K842" si="31">IF(A779="","",A779)</f>
        <v/>
      </c>
      <c r="L779" s="286"/>
      <c r="M779" s="287"/>
      <c r="N779" s="287"/>
      <c r="O779" s="286"/>
      <c r="P779" s="286"/>
      <c r="Q779" s="287"/>
    </row>
    <row r="780" spans="1:17" ht="30" customHeight="1" x14ac:dyDescent="0.2">
      <c r="A780" s="280"/>
      <c r="B780" s="281"/>
      <c r="C780" s="281"/>
      <c r="D780" s="281"/>
      <c r="F780" s="285" t="str">
        <f t="shared" si="30"/>
        <v/>
      </c>
      <c r="G780" s="286"/>
      <c r="H780" s="287"/>
      <c r="I780" s="287"/>
      <c r="K780" s="285" t="str">
        <f t="shared" si="31"/>
        <v/>
      </c>
      <c r="L780" s="286"/>
      <c r="M780" s="287"/>
      <c r="N780" s="287"/>
      <c r="O780" s="286"/>
      <c r="P780" s="286"/>
      <c r="Q780" s="287"/>
    </row>
    <row r="781" spans="1:17" ht="30" customHeight="1" x14ac:dyDescent="0.2">
      <c r="A781" s="280"/>
      <c r="B781" s="281"/>
      <c r="C781" s="281"/>
      <c r="D781" s="281"/>
      <c r="F781" s="285" t="str">
        <f t="shared" si="30"/>
        <v/>
      </c>
      <c r="G781" s="286"/>
      <c r="H781" s="287"/>
      <c r="I781" s="287"/>
      <c r="K781" s="285" t="str">
        <f t="shared" si="31"/>
        <v/>
      </c>
      <c r="L781" s="286"/>
      <c r="M781" s="287"/>
      <c r="N781" s="287"/>
      <c r="O781" s="286"/>
      <c r="P781" s="286"/>
      <c r="Q781" s="287"/>
    </row>
    <row r="782" spans="1:17" ht="30" customHeight="1" x14ac:dyDescent="0.2">
      <c r="A782" s="280"/>
      <c r="B782" s="281"/>
      <c r="C782" s="281"/>
      <c r="D782" s="281"/>
      <c r="F782" s="285" t="str">
        <f t="shared" si="30"/>
        <v/>
      </c>
      <c r="G782" s="286"/>
      <c r="H782" s="287"/>
      <c r="I782" s="287"/>
      <c r="K782" s="285" t="str">
        <f t="shared" si="31"/>
        <v/>
      </c>
      <c r="L782" s="286"/>
      <c r="M782" s="287"/>
      <c r="N782" s="287"/>
      <c r="O782" s="286"/>
      <c r="P782" s="286"/>
      <c r="Q782" s="287"/>
    </row>
    <row r="783" spans="1:17" ht="30" customHeight="1" x14ac:dyDescent="0.2">
      <c r="A783" s="280"/>
      <c r="B783" s="281"/>
      <c r="C783" s="281"/>
      <c r="D783" s="281"/>
      <c r="F783" s="285" t="str">
        <f t="shared" si="30"/>
        <v/>
      </c>
      <c r="G783" s="286"/>
      <c r="H783" s="287"/>
      <c r="I783" s="287"/>
      <c r="K783" s="285" t="str">
        <f t="shared" si="31"/>
        <v/>
      </c>
      <c r="L783" s="286"/>
      <c r="M783" s="287"/>
      <c r="N783" s="287"/>
      <c r="O783" s="286"/>
      <c r="P783" s="286"/>
      <c r="Q783" s="287"/>
    </row>
    <row r="784" spans="1:17" ht="30" customHeight="1" x14ac:dyDescent="0.2">
      <c r="A784" s="280"/>
      <c r="B784" s="281"/>
      <c r="C784" s="281"/>
      <c r="D784" s="281"/>
      <c r="F784" s="285" t="str">
        <f t="shared" si="30"/>
        <v/>
      </c>
      <c r="G784" s="286"/>
      <c r="H784" s="287"/>
      <c r="I784" s="287"/>
      <c r="K784" s="285" t="str">
        <f t="shared" si="31"/>
        <v/>
      </c>
      <c r="L784" s="286"/>
      <c r="M784" s="287"/>
      <c r="N784" s="287"/>
      <c r="O784" s="286"/>
      <c r="P784" s="286"/>
      <c r="Q784" s="287"/>
    </row>
    <row r="785" spans="1:17" ht="30" customHeight="1" x14ac:dyDescent="0.2">
      <c r="A785" s="280"/>
      <c r="B785" s="281"/>
      <c r="C785" s="281"/>
      <c r="D785" s="281"/>
      <c r="F785" s="285" t="str">
        <f t="shared" si="30"/>
        <v/>
      </c>
      <c r="G785" s="286"/>
      <c r="H785" s="287"/>
      <c r="I785" s="287"/>
      <c r="K785" s="285" t="str">
        <f t="shared" si="31"/>
        <v/>
      </c>
      <c r="L785" s="286"/>
      <c r="M785" s="287"/>
      <c r="N785" s="287"/>
      <c r="O785" s="286"/>
      <c r="P785" s="286"/>
      <c r="Q785" s="287"/>
    </row>
    <row r="786" spans="1:17" ht="30" customHeight="1" x14ac:dyDescent="0.2">
      <c r="A786" s="280"/>
      <c r="B786" s="281"/>
      <c r="C786" s="281"/>
      <c r="D786" s="281"/>
      <c r="F786" s="285" t="str">
        <f t="shared" si="30"/>
        <v/>
      </c>
      <c r="G786" s="286"/>
      <c r="H786" s="287"/>
      <c r="I786" s="287"/>
      <c r="K786" s="285" t="str">
        <f t="shared" si="31"/>
        <v/>
      </c>
      <c r="L786" s="286"/>
      <c r="M786" s="287"/>
      <c r="N786" s="287"/>
      <c r="O786" s="286"/>
      <c r="P786" s="286"/>
      <c r="Q786" s="287"/>
    </row>
    <row r="787" spans="1:17" ht="30" customHeight="1" x14ac:dyDescent="0.2">
      <c r="A787" s="280"/>
      <c r="B787" s="281"/>
      <c r="C787" s="281"/>
      <c r="D787" s="281"/>
      <c r="F787" s="285" t="str">
        <f t="shared" si="30"/>
        <v/>
      </c>
      <c r="G787" s="286"/>
      <c r="H787" s="287"/>
      <c r="I787" s="287"/>
      <c r="K787" s="285" t="str">
        <f t="shared" si="31"/>
        <v/>
      </c>
      <c r="L787" s="286"/>
      <c r="M787" s="287"/>
      <c r="N787" s="287"/>
      <c r="O787" s="286"/>
      <c r="P787" s="286"/>
      <c r="Q787" s="287"/>
    </row>
    <row r="788" spans="1:17" ht="30" customHeight="1" x14ac:dyDescent="0.2">
      <c r="A788" s="280"/>
      <c r="B788" s="281"/>
      <c r="C788" s="281"/>
      <c r="D788" s="281"/>
      <c r="F788" s="285" t="str">
        <f t="shared" si="30"/>
        <v/>
      </c>
      <c r="G788" s="286"/>
      <c r="H788" s="287"/>
      <c r="I788" s="287"/>
      <c r="K788" s="285" t="str">
        <f t="shared" si="31"/>
        <v/>
      </c>
      <c r="L788" s="286"/>
      <c r="M788" s="287"/>
      <c r="N788" s="287"/>
      <c r="O788" s="286"/>
      <c r="P788" s="286"/>
      <c r="Q788" s="287"/>
    </row>
    <row r="789" spans="1:17" ht="30" customHeight="1" x14ac:dyDescent="0.2">
      <c r="A789" s="280"/>
      <c r="B789" s="281"/>
      <c r="C789" s="281"/>
      <c r="D789" s="281"/>
      <c r="F789" s="285" t="str">
        <f t="shared" si="30"/>
        <v/>
      </c>
      <c r="G789" s="286"/>
      <c r="H789" s="287"/>
      <c r="I789" s="287"/>
      <c r="K789" s="285" t="str">
        <f t="shared" si="31"/>
        <v/>
      </c>
      <c r="L789" s="286"/>
      <c r="M789" s="287"/>
      <c r="N789" s="287"/>
      <c r="O789" s="286"/>
      <c r="P789" s="286"/>
      <c r="Q789" s="287"/>
    </row>
    <row r="790" spans="1:17" ht="30" customHeight="1" x14ac:dyDescent="0.2">
      <c r="A790" s="280"/>
      <c r="B790" s="281"/>
      <c r="C790" s="281"/>
      <c r="D790" s="281"/>
      <c r="F790" s="285" t="str">
        <f t="shared" si="30"/>
        <v/>
      </c>
      <c r="G790" s="286"/>
      <c r="H790" s="287"/>
      <c r="I790" s="287"/>
      <c r="K790" s="285" t="str">
        <f t="shared" si="31"/>
        <v/>
      </c>
      <c r="L790" s="286"/>
      <c r="M790" s="287"/>
      <c r="N790" s="287"/>
      <c r="O790" s="286"/>
      <c r="P790" s="286"/>
      <c r="Q790" s="287"/>
    </row>
    <row r="791" spans="1:17" ht="30" customHeight="1" x14ac:dyDescent="0.2">
      <c r="A791" s="280"/>
      <c r="B791" s="281"/>
      <c r="C791" s="281"/>
      <c r="D791" s="281"/>
      <c r="F791" s="285" t="str">
        <f t="shared" si="30"/>
        <v/>
      </c>
      <c r="G791" s="286"/>
      <c r="H791" s="287"/>
      <c r="I791" s="287"/>
      <c r="K791" s="285" t="str">
        <f t="shared" si="31"/>
        <v/>
      </c>
      <c r="L791" s="286"/>
      <c r="M791" s="287"/>
      <c r="N791" s="287"/>
      <c r="O791" s="286"/>
      <c r="P791" s="286"/>
      <c r="Q791" s="287"/>
    </row>
    <row r="792" spans="1:17" ht="30" customHeight="1" x14ac:dyDescent="0.2">
      <c r="A792" s="280"/>
      <c r="B792" s="281"/>
      <c r="C792" s="281"/>
      <c r="D792" s="281"/>
      <c r="F792" s="285" t="str">
        <f t="shared" si="30"/>
        <v/>
      </c>
      <c r="G792" s="286"/>
      <c r="H792" s="287"/>
      <c r="I792" s="287"/>
      <c r="K792" s="285" t="str">
        <f t="shared" si="31"/>
        <v/>
      </c>
      <c r="L792" s="286"/>
      <c r="M792" s="287"/>
      <c r="N792" s="287"/>
      <c r="O792" s="286"/>
      <c r="P792" s="286"/>
      <c r="Q792" s="287"/>
    </row>
    <row r="793" spans="1:17" ht="30" customHeight="1" x14ac:dyDescent="0.2">
      <c r="A793" s="280"/>
      <c r="B793" s="281"/>
      <c r="C793" s="281"/>
      <c r="D793" s="281"/>
      <c r="F793" s="285" t="str">
        <f t="shared" si="30"/>
        <v/>
      </c>
      <c r="G793" s="286"/>
      <c r="H793" s="287"/>
      <c r="I793" s="287"/>
      <c r="K793" s="285" t="str">
        <f t="shared" si="31"/>
        <v/>
      </c>
      <c r="L793" s="286"/>
      <c r="M793" s="287"/>
      <c r="N793" s="287"/>
      <c r="O793" s="286"/>
      <c r="P793" s="286"/>
      <c r="Q793" s="287"/>
    </row>
    <row r="794" spans="1:17" ht="30" customHeight="1" x14ac:dyDescent="0.2">
      <c r="A794" s="280"/>
      <c r="B794" s="281"/>
      <c r="C794" s="281"/>
      <c r="D794" s="281"/>
      <c r="F794" s="285" t="str">
        <f t="shared" si="30"/>
        <v/>
      </c>
      <c r="G794" s="286"/>
      <c r="H794" s="287"/>
      <c r="I794" s="287"/>
      <c r="K794" s="285" t="str">
        <f t="shared" si="31"/>
        <v/>
      </c>
      <c r="L794" s="286"/>
      <c r="M794" s="287"/>
      <c r="N794" s="287"/>
      <c r="O794" s="286"/>
      <c r="P794" s="286"/>
      <c r="Q794" s="287"/>
    </row>
    <row r="795" spans="1:17" ht="30" customHeight="1" x14ac:dyDescent="0.2">
      <c r="A795" s="280"/>
      <c r="B795" s="281"/>
      <c r="C795" s="281"/>
      <c r="D795" s="281"/>
      <c r="F795" s="285" t="str">
        <f t="shared" si="30"/>
        <v/>
      </c>
      <c r="G795" s="286"/>
      <c r="H795" s="287"/>
      <c r="I795" s="287"/>
      <c r="K795" s="285" t="str">
        <f t="shared" si="31"/>
        <v/>
      </c>
      <c r="L795" s="286"/>
      <c r="M795" s="287"/>
      <c r="N795" s="287"/>
      <c r="O795" s="286"/>
      <c r="P795" s="286"/>
      <c r="Q795" s="287"/>
    </row>
    <row r="796" spans="1:17" ht="30" customHeight="1" x14ac:dyDescent="0.2">
      <c r="A796" s="280"/>
      <c r="B796" s="281"/>
      <c r="C796" s="281"/>
      <c r="D796" s="281"/>
      <c r="F796" s="285" t="str">
        <f t="shared" si="30"/>
        <v/>
      </c>
      <c r="G796" s="286"/>
      <c r="H796" s="287"/>
      <c r="I796" s="287"/>
      <c r="K796" s="285" t="str">
        <f t="shared" si="31"/>
        <v/>
      </c>
      <c r="L796" s="286"/>
      <c r="M796" s="287"/>
      <c r="N796" s="287"/>
      <c r="O796" s="286"/>
      <c r="P796" s="286"/>
      <c r="Q796" s="287"/>
    </row>
    <row r="797" spans="1:17" ht="30" customHeight="1" x14ac:dyDescent="0.2">
      <c r="A797" s="280"/>
      <c r="B797" s="281"/>
      <c r="C797" s="281"/>
      <c r="D797" s="281"/>
      <c r="F797" s="285" t="str">
        <f t="shared" si="30"/>
        <v/>
      </c>
      <c r="G797" s="286"/>
      <c r="H797" s="287"/>
      <c r="I797" s="287"/>
      <c r="K797" s="285" t="str">
        <f t="shared" si="31"/>
        <v/>
      </c>
      <c r="L797" s="286"/>
      <c r="M797" s="287"/>
      <c r="N797" s="287"/>
      <c r="O797" s="286"/>
      <c r="P797" s="286"/>
      <c r="Q797" s="287"/>
    </row>
    <row r="798" spans="1:17" ht="30" customHeight="1" x14ac:dyDescent="0.2">
      <c r="A798" s="280"/>
      <c r="B798" s="281"/>
      <c r="C798" s="281"/>
      <c r="D798" s="281"/>
      <c r="F798" s="285" t="str">
        <f t="shared" si="30"/>
        <v/>
      </c>
      <c r="G798" s="286"/>
      <c r="H798" s="287"/>
      <c r="I798" s="287"/>
      <c r="K798" s="285" t="str">
        <f t="shared" si="31"/>
        <v/>
      </c>
      <c r="L798" s="286"/>
      <c r="M798" s="287"/>
      <c r="N798" s="287"/>
      <c r="O798" s="286"/>
      <c r="P798" s="286"/>
      <c r="Q798" s="287"/>
    </row>
    <row r="799" spans="1:17" ht="30" customHeight="1" x14ac:dyDescent="0.2">
      <c r="A799" s="280"/>
      <c r="B799" s="281"/>
      <c r="C799" s="281"/>
      <c r="D799" s="281"/>
      <c r="F799" s="285" t="str">
        <f t="shared" si="30"/>
        <v/>
      </c>
      <c r="G799" s="286"/>
      <c r="H799" s="287"/>
      <c r="I799" s="287"/>
      <c r="K799" s="285" t="str">
        <f t="shared" si="31"/>
        <v/>
      </c>
      <c r="L799" s="286"/>
      <c r="M799" s="287"/>
      <c r="N799" s="287"/>
      <c r="O799" s="286"/>
      <c r="P799" s="286"/>
      <c r="Q799" s="287"/>
    </row>
    <row r="800" spans="1:17" ht="30" customHeight="1" x14ac:dyDescent="0.2">
      <c r="A800" s="280"/>
      <c r="B800" s="281"/>
      <c r="C800" s="281"/>
      <c r="D800" s="281"/>
      <c r="F800" s="285" t="str">
        <f t="shared" si="30"/>
        <v/>
      </c>
      <c r="G800" s="286"/>
      <c r="H800" s="287"/>
      <c r="I800" s="287"/>
      <c r="K800" s="285" t="str">
        <f t="shared" si="31"/>
        <v/>
      </c>
      <c r="L800" s="286"/>
      <c r="M800" s="287"/>
      <c r="N800" s="287"/>
      <c r="O800" s="286"/>
      <c r="P800" s="286"/>
      <c r="Q800" s="287"/>
    </row>
    <row r="801" spans="1:17" ht="30" customHeight="1" x14ac:dyDescent="0.2">
      <c r="A801" s="280"/>
      <c r="B801" s="281"/>
      <c r="C801" s="281"/>
      <c r="D801" s="281"/>
      <c r="F801" s="285" t="str">
        <f t="shared" si="30"/>
        <v/>
      </c>
      <c r="G801" s="286"/>
      <c r="H801" s="287"/>
      <c r="I801" s="287"/>
      <c r="K801" s="285" t="str">
        <f t="shared" si="31"/>
        <v/>
      </c>
      <c r="L801" s="286"/>
      <c r="M801" s="287"/>
      <c r="N801" s="287"/>
      <c r="O801" s="286"/>
      <c r="P801" s="286"/>
      <c r="Q801" s="287"/>
    </row>
    <row r="802" spans="1:17" ht="30" customHeight="1" x14ac:dyDescent="0.2">
      <c r="A802" s="280"/>
      <c r="B802" s="281"/>
      <c r="C802" s="281"/>
      <c r="D802" s="281"/>
      <c r="F802" s="285" t="str">
        <f t="shared" si="30"/>
        <v/>
      </c>
      <c r="G802" s="286"/>
      <c r="H802" s="287"/>
      <c r="I802" s="287"/>
      <c r="K802" s="285" t="str">
        <f t="shared" si="31"/>
        <v/>
      </c>
      <c r="L802" s="286"/>
      <c r="M802" s="287"/>
      <c r="N802" s="287"/>
      <c r="O802" s="286"/>
      <c r="P802" s="286"/>
      <c r="Q802" s="287"/>
    </row>
    <row r="803" spans="1:17" ht="30" customHeight="1" x14ac:dyDescent="0.2">
      <c r="A803" s="280"/>
      <c r="B803" s="281"/>
      <c r="C803" s="281"/>
      <c r="D803" s="281"/>
      <c r="F803" s="285" t="str">
        <f t="shared" si="30"/>
        <v/>
      </c>
      <c r="G803" s="286"/>
      <c r="H803" s="287"/>
      <c r="I803" s="287"/>
      <c r="K803" s="285" t="str">
        <f t="shared" si="31"/>
        <v/>
      </c>
      <c r="L803" s="286"/>
      <c r="M803" s="287"/>
      <c r="N803" s="287"/>
      <c r="O803" s="286"/>
      <c r="P803" s="286"/>
      <c r="Q803" s="287"/>
    </row>
    <row r="804" spans="1:17" ht="30" customHeight="1" x14ac:dyDescent="0.2">
      <c r="A804" s="280"/>
      <c r="B804" s="281"/>
      <c r="C804" s="281"/>
      <c r="D804" s="281"/>
      <c r="F804" s="285" t="str">
        <f t="shared" si="30"/>
        <v/>
      </c>
      <c r="G804" s="286"/>
      <c r="H804" s="287"/>
      <c r="I804" s="287"/>
      <c r="K804" s="285" t="str">
        <f t="shared" si="31"/>
        <v/>
      </c>
      <c r="L804" s="286"/>
      <c r="M804" s="287"/>
      <c r="N804" s="287"/>
      <c r="O804" s="286"/>
      <c r="P804" s="286"/>
      <c r="Q804" s="287"/>
    </row>
    <row r="805" spans="1:17" ht="30" customHeight="1" x14ac:dyDescent="0.2">
      <c r="A805" s="280"/>
      <c r="B805" s="281"/>
      <c r="C805" s="281"/>
      <c r="D805" s="281"/>
      <c r="F805" s="285" t="str">
        <f t="shared" si="30"/>
        <v/>
      </c>
      <c r="G805" s="286"/>
      <c r="H805" s="287"/>
      <c r="I805" s="287"/>
      <c r="K805" s="285" t="str">
        <f t="shared" si="31"/>
        <v/>
      </c>
      <c r="L805" s="286"/>
      <c r="M805" s="287"/>
      <c r="N805" s="287"/>
      <c r="O805" s="286"/>
      <c r="P805" s="286"/>
      <c r="Q805" s="287"/>
    </row>
    <row r="806" spans="1:17" ht="30" customHeight="1" x14ac:dyDescent="0.2">
      <c r="A806" s="280"/>
      <c r="B806" s="281"/>
      <c r="C806" s="281"/>
      <c r="D806" s="281"/>
      <c r="F806" s="285" t="str">
        <f t="shared" si="30"/>
        <v/>
      </c>
      <c r="G806" s="286"/>
      <c r="H806" s="287"/>
      <c r="I806" s="287"/>
      <c r="K806" s="285" t="str">
        <f t="shared" si="31"/>
        <v/>
      </c>
      <c r="L806" s="286"/>
      <c r="M806" s="287"/>
      <c r="N806" s="287"/>
      <c r="O806" s="286"/>
      <c r="P806" s="286"/>
      <c r="Q806" s="287"/>
    </row>
    <row r="807" spans="1:17" ht="30" customHeight="1" x14ac:dyDescent="0.2">
      <c r="A807" s="280"/>
      <c r="B807" s="281"/>
      <c r="C807" s="281"/>
      <c r="D807" s="281"/>
      <c r="F807" s="285" t="str">
        <f t="shared" si="30"/>
        <v/>
      </c>
      <c r="G807" s="286"/>
      <c r="H807" s="287"/>
      <c r="I807" s="287"/>
      <c r="K807" s="285" t="str">
        <f t="shared" si="31"/>
        <v/>
      </c>
      <c r="L807" s="286"/>
      <c r="M807" s="287"/>
      <c r="N807" s="287"/>
      <c r="O807" s="286"/>
      <c r="P807" s="286"/>
      <c r="Q807" s="287"/>
    </row>
    <row r="808" spans="1:17" ht="30" customHeight="1" x14ac:dyDescent="0.2">
      <c r="A808" s="280"/>
      <c r="B808" s="281"/>
      <c r="C808" s="281"/>
      <c r="D808" s="281"/>
      <c r="F808" s="285" t="str">
        <f t="shared" si="30"/>
        <v/>
      </c>
      <c r="G808" s="286"/>
      <c r="H808" s="287"/>
      <c r="I808" s="287"/>
      <c r="K808" s="285" t="str">
        <f t="shared" si="31"/>
        <v/>
      </c>
      <c r="L808" s="286"/>
      <c r="M808" s="287"/>
      <c r="N808" s="287"/>
      <c r="O808" s="286"/>
      <c r="P808" s="286"/>
      <c r="Q808" s="287"/>
    </row>
    <row r="809" spans="1:17" ht="30" customHeight="1" x14ac:dyDescent="0.2">
      <c r="A809" s="280"/>
      <c r="B809" s="281"/>
      <c r="C809" s="281"/>
      <c r="D809" s="281"/>
      <c r="F809" s="285" t="str">
        <f t="shared" si="30"/>
        <v/>
      </c>
      <c r="G809" s="286"/>
      <c r="H809" s="287"/>
      <c r="I809" s="287"/>
      <c r="K809" s="285" t="str">
        <f t="shared" si="31"/>
        <v/>
      </c>
      <c r="L809" s="286"/>
      <c r="M809" s="287"/>
      <c r="N809" s="287"/>
      <c r="O809" s="286"/>
      <c r="P809" s="286"/>
      <c r="Q809" s="287"/>
    </row>
    <row r="810" spans="1:17" ht="30" customHeight="1" x14ac:dyDescent="0.2">
      <c r="A810" s="280"/>
      <c r="B810" s="281"/>
      <c r="C810" s="281"/>
      <c r="D810" s="281"/>
      <c r="F810" s="285" t="str">
        <f t="shared" si="30"/>
        <v/>
      </c>
      <c r="G810" s="286"/>
      <c r="H810" s="287"/>
      <c r="I810" s="287"/>
      <c r="K810" s="285" t="str">
        <f t="shared" si="31"/>
        <v/>
      </c>
      <c r="L810" s="286"/>
      <c r="M810" s="287"/>
      <c r="N810" s="287"/>
      <c r="O810" s="286"/>
      <c r="P810" s="286"/>
      <c r="Q810" s="287"/>
    </row>
    <row r="811" spans="1:17" ht="30" customHeight="1" x14ac:dyDescent="0.2">
      <c r="A811" s="280"/>
      <c r="B811" s="281"/>
      <c r="C811" s="281"/>
      <c r="D811" s="281"/>
      <c r="F811" s="285" t="str">
        <f t="shared" si="30"/>
        <v/>
      </c>
      <c r="G811" s="286"/>
      <c r="H811" s="287"/>
      <c r="I811" s="287"/>
      <c r="K811" s="285" t="str">
        <f t="shared" si="31"/>
        <v/>
      </c>
      <c r="L811" s="286"/>
      <c r="M811" s="287"/>
      <c r="N811" s="287"/>
      <c r="O811" s="286"/>
      <c r="P811" s="286"/>
      <c r="Q811" s="287"/>
    </row>
    <row r="812" spans="1:17" ht="30" customHeight="1" x14ac:dyDescent="0.2">
      <c r="A812" s="280"/>
      <c r="B812" s="281"/>
      <c r="C812" s="281"/>
      <c r="D812" s="281"/>
      <c r="F812" s="285" t="str">
        <f t="shared" si="30"/>
        <v/>
      </c>
      <c r="G812" s="286"/>
      <c r="H812" s="287"/>
      <c r="I812" s="287"/>
      <c r="K812" s="285" t="str">
        <f t="shared" si="31"/>
        <v/>
      </c>
      <c r="L812" s="286"/>
      <c r="M812" s="287"/>
      <c r="N812" s="287"/>
      <c r="O812" s="286"/>
      <c r="P812" s="286"/>
      <c r="Q812" s="287"/>
    </row>
    <row r="813" spans="1:17" ht="30" customHeight="1" x14ac:dyDescent="0.2">
      <c r="A813" s="280"/>
      <c r="B813" s="281"/>
      <c r="C813" s="281"/>
      <c r="D813" s="281"/>
      <c r="F813" s="285" t="str">
        <f t="shared" si="30"/>
        <v/>
      </c>
      <c r="G813" s="286"/>
      <c r="H813" s="287"/>
      <c r="I813" s="287"/>
      <c r="K813" s="285" t="str">
        <f t="shared" si="31"/>
        <v/>
      </c>
      <c r="L813" s="286"/>
      <c r="M813" s="287"/>
      <c r="N813" s="287"/>
      <c r="O813" s="286"/>
      <c r="P813" s="286"/>
      <c r="Q813" s="287"/>
    </row>
    <row r="814" spans="1:17" ht="30" customHeight="1" x14ac:dyDescent="0.2">
      <c r="A814" s="280"/>
      <c r="B814" s="281"/>
      <c r="C814" s="281"/>
      <c r="D814" s="281"/>
      <c r="F814" s="285" t="str">
        <f t="shared" si="30"/>
        <v/>
      </c>
      <c r="G814" s="286"/>
      <c r="H814" s="287"/>
      <c r="I814" s="287"/>
      <c r="K814" s="285" t="str">
        <f t="shared" si="31"/>
        <v/>
      </c>
      <c r="L814" s="286"/>
      <c r="M814" s="287"/>
      <c r="N814" s="287"/>
      <c r="O814" s="286"/>
      <c r="P814" s="286"/>
      <c r="Q814" s="287"/>
    </row>
    <row r="815" spans="1:17" ht="30" customHeight="1" x14ac:dyDescent="0.2">
      <c r="A815" s="280"/>
      <c r="B815" s="281"/>
      <c r="C815" s="281"/>
      <c r="D815" s="281"/>
      <c r="F815" s="285" t="str">
        <f t="shared" si="30"/>
        <v/>
      </c>
      <c r="G815" s="286"/>
      <c r="H815" s="287"/>
      <c r="I815" s="287"/>
      <c r="K815" s="285" t="str">
        <f t="shared" si="31"/>
        <v/>
      </c>
      <c r="L815" s="286"/>
      <c r="M815" s="287"/>
      <c r="N815" s="287"/>
      <c r="O815" s="286"/>
      <c r="P815" s="286"/>
      <c r="Q815" s="287"/>
    </row>
    <row r="816" spans="1:17" ht="30" customHeight="1" x14ac:dyDescent="0.2">
      <c r="A816" s="280"/>
      <c r="B816" s="281"/>
      <c r="C816" s="281"/>
      <c r="D816" s="281"/>
      <c r="F816" s="285" t="str">
        <f t="shared" si="30"/>
        <v/>
      </c>
      <c r="G816" s="286"/>
      <c r="H816" s="287"/>
      <c r="I816" s="287"/>
      <c r="K816" s="285" t="str">
        <f t="shared" si="31"/>
        <v/>
      </c>
      <c r="L816" s="286"/>
      <c r="M816" s="287"/>
      <c r="N816" s="287"/>
      <c r="O816" s="286"/>
      <c r="P816" s="286"/>
      <c r="Q816" s="287"/>
    </row>
    <row r="817" spans="1:17" ht="30" customHeight="1" x14ac:dyDescent="0.2">
      <c r="A817" s="280"/>
      <c r="B817" s="281"/>
      <c r="C817" s="281"/>
      <c r="D817" s="281"/>
      <c r="F817" s="285" t="str">
        <f t="shared" si="30"/>
        <v/>
      </c>
      <c r="G817" s="286"/>
      <c r="H817" s="287"/>
      <c r="I817" s="287"/>
      <c r="K817" s="285" t="str">
        <f t="shared" si="31"/>
        <v/>
      </c>
      <c r="L817" s="286"/>
      <c r="M817" s="287"/>
      <c r="N817" s="287"/>
      <c r="O817" s="286"/>
      <c r="P817" s="286"/>
      <c r="Q817" s="287"/>
    </row>
    <row r="818" spans="1:17" ht="30" customHeight="1" x14ac:dyDescent="0.2">
      <c r="A818" s="280"/>
      <c r="B818" s="281"/>
      <c r="C818" s="281"/>
      <c r="D818" s="281"/>
      <c r="F818" s="285" t="str">
        <f t="shared" si="30"/>
        <v/>
      </c>
      <c r="G818" s="286"/>
      <c r="H818" s="287"/>
      <c r="I818" s="287"/>
      <c r="K818" s="285" t="str">
        <f t="shared" si="31"/>
        <v/>
      </c>
      <c r="L818" s="286"/>
      <c r="M818" s="287"/>
      <c r="N818" s="287"/>
      <c r="O818" s="286"/>
      <c r="P818" s="286"/>
      <c r="Q818" s="287"/>
    </row>
    <row r="819" spans="1:17" ht="30" customHeight="1" x14ac:dyDescent="0.2">
      <c r="A819" s="280"/>
      <c r="B819" s="281"/>
      <c r="C819" s="281"/>
      <c r="D819" s="281"/>
      <c r="F819" s="285" t="str">
        <f t="shared" si="30"/>
        <v/>
      </c>
      <c r="G819" s="286"/>
      <c r="H819" s="287"/>
      <c r="I819" s="287"/>
      <c r="K819" s="285" t="str">
        <f t="shared" si="31"/>
        <v/>
      </c>
      <c r="L819" s="286"/>
      <c r="M819" s="287"/>
      <c r="N819" s="287"/>
      <c r="O819" s="286"/>
      <c r="P819" s="286"/>
      <c r="Q819" s="287"/>
    </row>
    <row r="820" spans="1:17" ht="30" customHeight="1" x14ac:dyDescent="0.2">
      <c r="A820" s="280"/>
      <c r="B820" s="281"/>
      <c r="C820" s="281"/>
      <c r="D820" s="281"/>
      <c r="F820" s="285" t="str">
        <f t="shared" si="30"/>
        <v/>
      </c>
      <c r="G820" s="286"/>
      <c r="H820" s="287"/>
      <c r="I820" s="287"/>
      <c r="K820" s="285" t="str">
        <f t="shared" si="31"/>
        <v/>
      </c>
      <c r="L820" s="286"/>
      <c r="M820" s="287"/>
      <c r="N820" s="287"/>
      <c r="O820" s="286"/>
      <c r="P820" s="286"/>
      <c r="Q820" s="287"/>
    </row>
    <row r="821" spans="1:17" ht="30" customHeight="1" x14ac:dyDescent="0.2">
      <c r="A821" s="280"/>
      <c r="B821" s="281"/>
      <c r="C821" s="281"/>
      <c r="D821" s="281"/>
      <c r="F821" s="285" t="str">
        <f t="shared" si="30"/>
        <v/>
      </c>
      <c r="G821" s="286"/>
      <c r="H821" s="287"/>
      <c r="I821" s="287"/>
      <c r="K821" s="285" t="str">
        <f t="shared" si="31"/>
        <v/>
      </c>
      <c r="L821" s="286"/>
      <c r="M821" s="287"/>
      <c r="N821" s="287"/>
      <c r="O821" s="286"/>
      <c r="P821" s="286"/>
      <c r="Q821" s="287"/>
    </row>
    <row r="822" spans="1:17" ht="30" customHeight="1" x14ac:dyDescent="0.2">
      <c r="A822" s="280"/>
      <c r="B822" s="281"/>
      <c r="C822" s="281"/>
      <c r="D822" s="281"/>
      <c r="F822" s="285" t="str">
        <f t="shared" si="30"/>
        <v/>
      </c>
      <c r="G822" s="286"/>
      <c r="H822" s="287"/>
      <c r="I822" s="287"/>
      <c r="K822" s="285" t="str">
        <f t="shared" si="31"/>
        <v/>
      </c>
      <c r="L822" s="286"/>
      <c r="M822" s="287"/>
      <c r="N822" s="287"/>
      <c r="O822" s="286"/>
      <c r="P822" s="286"/>
      <c r="Q822" s="287"/>
    </row>
    <row r="823" spans="1:17" ht="30" customHeight="1" x14ac:dyDescent="0.2">
      <c r="A823" s="280"/>
      <c r="B823" s="281"/>
      <c r="C823" s="281"/>
      <c r="D823" s="281"/>
      <c r="F823" s="285" t="str">
        <f t="shared" si="30"/>
        <v/>
      </c>
      <c r="G823" s="286"/>
      <c r="H823" s="287"/>
      <c r="I823" s="287"/>
      <c r="K823" s="285" t="str">
        <f t="shared" si="31"/>
        <v/>
      </c>
      <c r="L823" s="286"/>
      <c r="M823" s="287"/>
      <c r="N823" s="287"/>
      <c r="O823" s="286"/>
      <c r="P823" s="286"/>
      <c r="Q823" s="287"/>
    </row>
    <row r="824" spans="1:17" ht="30" customHeight="1" x14ac:dyDescent="0.2">
      <c r="A824" s="280"/>
      <c r="B824" s="281"/>
      <c r="C824" s="281"/>
      <c r="D824" s="281"/>
      <c r="F824" s="285" t="str">
        <f t="shared" si="30"/>
        <v/>
      </c>
      <c r="G824" s="286"/>
      <c r="H824" s="287"/>
      <c r="I824" s="287"/>
      <c r="K824" s="285" t="str">
        <f t="shared" si="31"/>
        <v/>
      </c>
      <c r="L824" s="286"/>
      <c r="M824" s="287"/>
      <c r="N824" s="287"/>
      <c r="O824" s="286"/>
      <c r="P824" s="286"/>
      <c r="Q824" s="287"/>
    </row>
    <row r="825" spans="1:17" ht="30" customHeight="1" x14ac:dyDescent="0.2">
      <c r="A825" s="280"/>
      <c r="B825" s="281"/>
      <c r="C825" s="281"/>
      <c r="D825" s="281"/>
      <c r="F825" s="285" t="str">
        <f t="shared" si="30"/>
        <v/>
      </c>
      <c r="G825" s="286"/>
      <c r="H825" s="287"/>
      <c r="I825" s="287"/>
      <c r="K825" s="285" t="str">
        <f t="shared" si="31"/>
        <v/>
      </c>
      <c r="L825" s="286"/>
      <c r="M825" s="287"/>
      <c r="N825" s="287"/>
      <c r="O825" s="286"/>
      <c r="P825" s="286"/>
      <c r="Q825" s="287"/>
    </row>
    <row r="826" spans="1:17" ht="30" customHeight="1" x14ac:dyDescent="0.2">
      <c r="A826" s="280"/>
      <c r="B826" s="281"/>
      <c r="C826" s="281"/>
      <c r="D826" s="281"/>
      <c r="F826" s="285" t="str">
        <f t="shared" si="30"/>
        <v/>
      </c>
      <c r="G826" s="286"/>
      <c r="H826" s="287"/>
      <c r="I826" s="287"/>
      <c r="K826" s="285" t="str">
        <f t="shared" si="31"/>
        <v/>
      </c>
      <c r="L826" s="286"/>
      <c r="M826" s="287"/>
      <c r="N826" s="287"/>
      <c r="O826" s="286"/>
      <c r="P826" s="286"/>
      <c r="Q826" s="287"/>
    </row>
    <row r="827" spans="1:17" ht="30" customHeight="1" x14ac:dyDescent="0.2">
      <c r="A827" s="280"/>
      <c r="B827" s="281"/>
      <c r="C827" s="281"/>
      <c r="D827" s="281"/>
      <c r="F827" s="285" t="str">
        <f t="shared" si="30"/>
        <v/>
      </c>
      <c r="G827" s="286"/>
      <c r="H827" s="287"/>
      <c r="I827" s="287"/>
      <c r="K827" s="285" t="str">
        <f t="shared" si="31"/>
        <v/>
      </c>
      <c r="L827" s="286"/>
      <c r="M827" s="287"/>
      <c r="N827" s="287"/>
      <c r="O827" s="286"/>
      <c r="P827" s="286"/>
      <c r="Q827" s="287"/>
    </row>
    <row r="828" spans="1:17" ht="30" customHeight="1" x14ac:dyDescent="0.2">
      <c r="A828" s="280"/>
      <c r="B828" s="281"/>
      <c r="C828" s="281"/>
      <c r="D828" s="281"/>
      <c r="F828" s="285" t="str">
        <f t="shared" si="30"/>
        <v/>
      </c>
      <c r="G828" s="286"/>
      <c r="H828" s="287"/>
      <c r="I828" s="287"/>
      <c r="K828" s="285" t="str">
        <f t="shared" si="31"/>
        <v/>
      </c>
      <c r="L828" s="286"/>
      <c r="M828" s="287"/>
      <c r="N828" s="287"/>
      <c r="O828" s="286"/>
      <c r="P828" s="286"/>
      <c r="Q828" s="287"/>
    </row>
    <row r="829" spans="1:17" ht="30" customHeight="1" x14ac:dyDescent="0.2">
      <c r="A829" s="280"/>
      <c r="B829" s="281"/>
      <c r="C829" s="281"/>
      <c r="D829" s="281"/>
      <c r="F829" s="285" t="str">
        <f t="shared" si="30"/>
        <v/>
      </c>
      <c r="G829" s="286"/>
      <c r="H829" s="287"/>
      <c r="I829" s="287"/>
      <c r="K829" s="285" t="str">
        <f t="shared" si="31"/>
        <v/>
      </c>
      <c r="L829" s="286"/>
      <c r="M829" s="287"/>
      <c r="N829" s="287"/>
      <c r="O829" s="286"/>
      <c r="P829" s="286"/>
      <c r="Q829" s="287"/>
    </row>
    <row r="830" spans="1:17" ht="30" customHeight="1" x14ac:dyDescent="0.2">
      <c r="A830" s="280"/>
      <c r="B830" s="281"/>
      <c r="C830" s="281"/>
      <c r="D830" s="281"/>
      <c r="F830" s="285" t="str">
        <f t="shared" si="30"/>
        <v/>
      </c>
      <c r="G830" s="286"/>
      <c r="H830" s="287"/>
      <c r="I830" s="287"/>
      <c r="K830" s="285" t="str">
        <f t="shared" si="31"/>
        <v/>
      </c>
      <c r="L830" s="286"/>
      <c r="M830" s="287"/>
      <c r="N830" s="287"/>
      <c r="O830" s="286"/>
      <c r="P830" s="286"/>
      <c r="Q830" s="287"/>
    </row>
    <row r="831" spans="1:17" ht="30" customHeight="1" x14ac:dyDescent="0.2">
      <c r="A831" s="280"/>
      <c r="B831" s="281"/>
      <c r="C831" s="281"/>
      <c r="D831" s="281"/>
      <c r="F831" s="285" t="str">
        <f t="shared" si="30"/>
        <v/>
      </c>
      <c r="G831" s="286"/>
      <c r="H831" s="287"/>
      <c r="I831" s="287"/>
      <c r="K831" s="285" t="str">
        <f t="shared" si="31"/>
        <v/>
      </c>
      <c r="L831" s="286"/>
      <c r="M831" s="287"/>
      <c r="N831" s="287"/>
      <c r="O831" s="286"/>
      <c r="P831" s="286"/>
      <c r="Q831" s="287"/>
    </row>
    <row r="832" spans="1:17" ht="30" customHeight="1" x14ac:dyDescent="0.2">
      <c r="A832" s="280"/>
      <c r="B832" s="281"/>
      <c r="C832" s="281"/>
      <c r="D832" s="281"/>
      <c r="F832" s="285" t="str">
        <f t="shared" si="30"/>
        <v/>
      </c>
      <c r="G832" s="286"/>
      <c r="H832" s="287"/>
      <c r="I832" s="287"/>
      <c r="K832" s="285" t="str">
        <f t="shared" si="31"/>
        <v/>
      </c>
      <c r="L832" s="286"/>
      <c r="M832" s="287"/>
      <c r="N832" s="287"/>
      <c r="O832" s="286"/>
      <c r="P832" s="286"/>
      <c r="Q832" s="287"/>
    </row>
    <row r="833" spans="1:17" ht="30" customHeight="1" x14ac:dyDescent="0.2">
      <c r="A833" s="280"/>
      <c r="B833" s="281"/>
      <c r="C833" s="281"/>
      <c r="D833" s="281"/>
      <c r="F833" s="285" t="str">
        <f t="shared" si="30"/>
        <v/>
      </c>
      <c r="G833" s="286"/>
      <c r="H833" s="287"/>
      <c r="I833" s="287"/>
      <c r="K833" s="285" t="str">
        <f t="shared" si="31"/>
        <v/>
      </c>
      <c r="L833" s="286"/>
      <c r="M833" s="287"/>
      <c r="N833" s="287"/>
      <c r="O833" s="286"/>
      <c r="P833" s="286"/>
      <c r="Q833" s="287"/>
    </row>
    <row r="834" spans="1:17" ht="30" customHeight="1" x14ac:dyDescent="0.2">
      <c r="A834" s="280"/>
      <c r="B834" s="281"/>
      <c r="C834" s="281"/>
      <c r="D834" s="281"/>
      <c r="F834" s="285" t="str">
        <f t="shared" si="30"/>
        <v/>
      </c>
      <c r="G834" s="286"/>
      <c r="H834" s="287"/>
      <c r="I834" s="287"/>
      <c r="K834" s="285" t="str">
        <f t="shared" si="31"/>
        <v/>
      </c>
      <c r="L834" s="286"/>
      <c r="M834" s="287"/>
      <c r="N834" s="287"/>
      <c r="O834" s="286"/>
      <c r="P834" s="286"/>
      <c r="Q834" s="287"/>
    </row>
    <row r="835" spans="1:17" ht="30" customHeight="1" x14ac:dyDescent="0.2">
      <c r="A835" s="280"/>
      <c r="B835" s="281"/>
      <c r="C835" s="281"/>
      <c r="D835" s="281"/>
      <c r="F835" s="285" t="str">
        <f t="shared" si="30"/>
        <v/>
      </c>
      <c r="G835" s="286"/>
      <c r="H835" s="287"/>
      <c r="I835" s="287"/>
      <c r="K835" s="285" t="str">
        <f t="shared" si="31"/>
        <v/>
      </c>
      <c r="L835" s="286"/>
      <c r="M835" s="287"/>
      <c r="N835" s="287"/>
      <c r="O835" s="286"/>
      <c r="P835" s="286"/>
      <c r="Q835" s="287"/>
    </row>
    <row r="836" spans="1:17" ht="30" customHeight="1" x14ac:dyDescent="0.2">
      <c r="A836" s="280"/>
      <c r="B836" s="281"/>
      <c r="C836" s="281"/>
      <c r="D836" s="281"/>
      <c r="F836" s="285" t="str">
        <f t="shared" si="30"/>
        <v/>
      </c>
      <c r="G836" s="286"/>
      <c r="H836" s="287"/>
      <c r="I836" s="287"/>
      <c r="K836" s="285" t="str">
        <f t="shared" si="31"/>
        <v/>
      </c>
      <c r="L836" s="286"/>
      <c r="M836" s="287"/>
      <c r="N836" s="287"/>
      <c r="O836" s="286"/>
      <c r="P836" s="286"/>
      <c r="Q836" s="287"/>
    </row>
    <row r="837" spans="1:17" ht="30" customHeight="1" x14ac:dyDescent="0.2">
      <c r="A837" s="280"/>
      <c r="B837" s="281"/>
      <c r="C837" s="281"/>
      <c r="D837" s="281"/>
      <c r="F837" s="285" t="str">
        <f t="shared" ref="F837:F900" si="32">IF(A837="","",A837)</f>
        <v/>
      </c>
      <c r="G837" s="286"/>
      <c r="H837" s="287"/>
      <c r="I837" s="287"/>
      <c r="K837" s="285" t="str">
        <f t="shared" si="31"/>
        <v/>
      </c>
      <c r="L837" s="286"/>
      <c r="M837" s="287"/>
      <c r="N837" s="287"/>
      <c r="O837" s="286"/>
      <c r="P837" s="286"/>
      <c r="Q837" s="287"/>
    </row>
    <row r="838" spans="1:17" ht="30" customHeight="1" x14ac:dyDescent="0.2">
      <c r="A838" s="280"/>
      <c r="B838" s="281"/>
      <c r="C838" s="281"/>
      <c r="D838" s="281"/>
      <c r="F838" s="285" t="str">
        <f t="shared" si="32"/>
        <v/>
      </c>
      <c r="G838" s="286"/>
      <c r="H838" s="287"/>
      <c r="I838" s="287"/>
      <c r="K838" s="285" t="str">
        <f t="shared" si="31"/>
        <v/>
      </c>
      <c r="L838" s="286"/>
      <c r="M838" s="287"/>
      <c r="N838" s="287"/>
      <c r="O838" s="286"/>
      <c r="P838" s="286"/>
      <c r="Q838" s="287"/>
    </row>
    <row r="839" spans="1:17" ht="30" customHeight="1" x14ac:dyDescent="0.2">
      <c r="A839" s="280"/>
      <c r="B839" s="281"/>
      <c r="C839" s="281"/>
      <c r="D839" s="281"/>
      <c r="F839" s="285" t="str">
        <f t="shared" si="32"/>
        <v/>
      </c>
      <c r="G839" s="286"/>
      <c r="H839" s="287"/>
      <c r="I839" s="287"/>
      <c r="K839" s="285" t="str">
        <f t="shared" si="31"/>
        <v/>
      </c>
      <c r="L839" s="286"/>
      <c r="M839" s="287"/>
      <c r="N839" s="287"/>
      <c r="O839" s="286"/>
      <c r="P839" s="286"/>
      <c r="Q839" s="287"/>
    </row>
    <row r="840" spans="1:17" ht="30" customHeight="1" x14ac:dyDescent="0.2">
      <c r="A840" s="280"/>
      <c r="B840" s="281"/>
      <c r="C840" s="281"/>
      <c r="D840" s="281"/>
      <c r="F840" s="285" t="str">
        <f t="shared" si="32"/>
        <v/>
      </c>
      <c r="G840" s="286"/>
      <c r="H840" s="287"/>
      <c r="I840" s="287"/>
      <c r="K840" s="285" t="str">
        <f t="shared" si="31"/>
        <v/>
      </c>
      <c r="L840" s="286"/>
      <c r="M840" s="287"/>
      <c r="N840" s="287"/>
      <c r="O840" s="286"/>
      <c r="P840" s="286"/>
      <c r="Q840" s="287"/>
    </row>
    <row r="841" spans="1:17" ht="30" customHeight="1" x14ac:dyDescent="0.2">
      <c r="A841" s="280"/>
      <c r="B841" s="281"/>
      <c r="C841" s="281"/>
      <c r="D841" s="281"/>
      <c r="F841" s="285" t="str">
        <f t="shared" si="32"/>
        <v/>
      </c>
      <c r="G841" s="286"/>
      <c r="H841" s="287"/>
      <c r="I841" s="287"/>
      <c r="K841" s="285" t="str">
        <f t="shared" si="31"/>
        <v/>
      </c>
      <c r="L841" s="286"/>
      <c r="M841" s="287"/>
      <c r="N841" s="287"/>
      <c r="O841" s="286"/>
      <c r="P841" s="286"/>
      <c r="Q841" s="287"/>
    </row>
    <row r="842" spans="1:17" ht="30" customHeight="1" x14ac:dyDescent="0.2">
      <c r="A842" s="280"/>
      <c r="B842" s="281"/>
      <c r="C842" s="281"/>
      <c r="D842" s="281"/>
      <c r="F842" s="285" t="str">
        <f t="shared" si="32"/>
        <v/>
      </c>
      <c r="G842" s="286"/>
      <c r="H842" s="287"/>
      <c r="I842" s="287"/>
      <c r="K842" s="285" t="str">
        <f t="shared" si="31"/>
        <v/>
      </c>
      <c r="L842" s="286"/>
      <c r="M842" s="287"/>
      <c r="N842" s="287"/>
      <c r="O842" s="286"/>
      <c r="P842" s="286"/>
      <c r="Q842" s="287"/>
    </row>
    <row r="843" spans="1:17" ht="30" customHeight="1" x14ac:dyDescent="0.2">
      <c r="A843" s="280"/>
      <c r="B843" s="281"/>
      <c r="C843" s="281"/>
      <c r="D843" s="281"/>
      <c r="F843" s="285" t="str">
        <f t="shared" si="32"/>
        <v/>
      </c>
      <c r="G843" s="286"/>
      <c r="H843" s="287"/>
      <c r="I843" s="287"/>
      <c r="K843" s="285" t="str">
        <f t="shared" ref="K843:K906" si="33">IF(A843="","",A843)</f>
        <v/>
      </c>
      <c r="L843" s="286"/>
      <c r="M843" s="287"/>
      <c r="N843" s="287"/>
      <c r="O843" s="286"/>
      <c r="P843" s="286"/>
      <c r="Q843" s="287"/>
    </row>
    <row r="844" spans="1:17" ht="30" customHeight="1" x14ac:dyDescent="0.2">
      <c r="A844" s="280"/>
      <c r="B844" s="281"/>
      <c r="C844" s="281"/>
      <c r="D844" s="281"/>
      <c r="F844" s="285" t="str">
        <f t="shared" si="32"/>
        <v/>
      </c>
      <c r="G844" s="286"/>
      <c r="H844" s="287"/>
      <c r="I844" s="287"/>
      <c r="K844" s="285" t="str">
        <f t="shared" si="33"/>
        <v/>
      </c>
      <c r="L844" s="286"/>
      <c r="M844" s="287"/>
      <c r="N844" s="287"/>
      <c r="O844" s="286"/>
      <c r="P844" s="286"/>
      <c r="Q844" s="287"/>
    </row>
    <row r="845" spans="1:17" ht="30" customHeight="1" x14ac:dyDescent="0.2">
      <c r="A845" s="280"/>
      <c r="B845" s="281"/>
      <c r="C845" s="281"/>
      <c r="D845" s="281"/>
      <c r="F845" s="285" t="str">
        <f t="shared" si="32"/>
        <v/>
      </c>
      <c r="G845" s="286"/>
      <c r="H845" s="287"/>
      <c r="I845" s="287"/>
      <c r="K845" s="285" t="str">
        <f t="shared" si="33"/>
        <v/>
      </c>
      <c r="L845" s="286"/>
      <c r="M845" s="287"/>
      <c r="N845" s="287"/>
      <c r="O845" s="286"/>
      <c r="P845" s="286"/>
      <c r="Q845" s="287"/>
    </row>
    <row r="846" spans="1:17" ht="30" customHeight="1" x14ac:dyDescent="0.2">
      <c r="A846" s="280"/>
      <c r="B846" s="281"/>
      <c r="C846" s="281"/>
      <c r="D846" s="281"/>
      <c r="F846" s="285" t="str">
        <f t="shared" si="32"/>
        <v/>
      </c>
      <c r="G846" s="286"/>
      <c r="H846" s="287"/>
      <c r="I846" s="287"/>
      <c r="K846" s="285" t="str">
        <f t="shared" si="33"/>
        <v/>
      </c>
      <c r="L846" s="286"/>
      <c r="M846" s="287"/>
      <c r="N846" s="287"/>
      <c r="O846" s="286"/>
      <c r="P846" s="286"/>
      <c r="Q846" s="287"/>
    </row>
    <row r="847" spans="1:17" ht="30" customHeight="1" x14ac:dyDescent="0.2">
      <c r="A847" s="280"/>
      <c r="B847" s="281"/>
      <c r="C847" s="281"/>
      <c r="D847" s="281"/>
      <c r="F847" s="285" t="str">
        <f t="shared" si="32"/>
        <v/>
      </c>
      <c r="G847" s="286"/>
      <c r="H847" s="287"/>
      <c r="I847" s="287"/>
      <c r="K847" s="285" t="str">
        <f t="shared" si="33"/>
        <v/>
      </c>
      <c r="L847" s="286"/>
      <c r="M847" s="287"/>
      <c r="N847" s="287"/>
      <c r="O847" s="286"/>
      <c r="P847" s="286"/>
      <c r="Q847" s="287"/>
    </row>
    <row r="848" spans="1:17" ht="30" customHeight="1" x14ac:dyDescent="0.2">
      <c r="A848" s="280"/>
      <c r="B848" s="281"/>
      <c r="C848" s="281"/>
      <c r="D848" s="281"/>
      <c r="F848" s="285" t="str">
        <f t="shared" si="32"/>
        <v/>
      </c>
      <c r="G848" s="286"/>
      <c r="H848" s="287"/>
      <c r="I848" s="287"/>
      <c r="K848" s="285" t="str">
        <f t="shared" si="33"/>
        <v/>
      </c>
      <c r="L848" s="286"/>
      <c r="M848" s="287"/>
      <c r="N848" s="287"/>
      <c r="O848" s="286"/>
      <c r="P848" s="286"/>
      <c r="Q848" s="287"/>
    </row>
    <row r="849" spans="1:17" ht="30" customHeight="1" x14ac:dyDescent="0.2">
      <c r="A849" s="280"/>
      <c r="B849" s="281"/>
      <c r="C849" s="281"/>
      <c r="D849" s="281"/>
      <c r="F849" s="285" t="str">
        <f t="shared" si="32"/>
        <v/>
      </c>
      <c r="G849" s="286"/>
      <c r="H849" s="287"/>
      <c r="I849" s="287"/>
      <c r="K849" s="285" t="str">
        <f t="shared" si="33"/>
        <v/>
      </c>
      <c r="L849" s="286"/>
      <c r="M849" s="287"/>
      <c r="N849" s="287"/>
      <c r="O849" s="286"/>
      <c r="P849" s="286"/>
      <c r="Q849" s="287"/>
    </row>
    <row r="850" spans="1:17" ht="30" customHeight="1" x14ac:dyDescent="0.2">
      <c r="A850" s="280"/>
      <c r="B850" s="281"/>
      <c r="C850" s="281"/>
      <c r="D850" s="281"/>
      <c r="F850" s="285" t="str">
        <f t="shared" si="32"/>
        <v/>
      </c>
      <c r="G850" s="286"/>
      <c r="H850" s="287"/>
      <c r="I850" s="287"/>
      <c r="K850" s="285" t="str">
        <f t="shared" si="33"/>
        <v/>
      </c>
      <c r="L850" s="286"/>
      <c r="M850" s="287"/>
      <c r="N850" s="287"/>
      <c r="O850" s="286"/>
      <c r="P850" s="286"/>
      <c r="Q850" s="287"/>
    </row>
    <row r="851" spans="1:17" ht="30" customHeight="1" x14ac:dyDescent="0.2">
      <c r="A851" s="280"/>
      <c r="B851" s="281"/>
      <c r="C851" s="281"/>
      <c r="D851" s="281"/>
      <c r="F851" s="285" t="str">
        <f t="shared" si="32"/>
        <v/>
      </c>
      <c r="G851" s="286"/>
      <c r="H851" s="287"/>
      <c r="I851" s="287"/>
      <c r="K851" s="285" t="str">
        <f t="shared" si="33"/>
        <v/>
      </c>
      <c r="L851" s="286"/>
      <c r="M851" s="287"/>
      <c r="N851" s="287"/>
      <c r="O851" s="286"/>
      <c r="P851" s="286"/>
      <c r="Q851" s="287"/>
    </row>
    <row r="852" spans="1:17" ht="30" customHeight="1" x14ac:dyDescent="0.2">
      <c r="A852" s="280"/>
      <c r="B852" s="281"/>
      <c r="C852" s="281"/>
      <c r="D852" s="281"/>
      <c r="F852" s="285" t="str">
        <f t="shared" si="32"/>
        <v/>
      </c>
      <c r="G852" s="286"/>
      <c r="H852" s="287"/>
      <c r="I852" s="287"/>
      <c r="K852" s="285" t="str">
        <f t="shared" si="33"/>
        <v/>
      </c>
      <c r="L852" s="286"/>
      <c r="M852" s="287"/>
      <c r="N852" s="287"/>
      <c r="O852" s="286"/>
      <c r="P852" s="286"/>
      <c r="Q852" s="287"/>
    </row>
    <row r="853" spans="1:17" ht="30" customHeight="1" x14ac:dyDescent="0.2">
      <c r="A853" s="280"/>
      <c r="B853" s="281"/>
      <c r="C853" s="281"/>
      <c r="D853" s="281"/>
      <c r="F853" s="285" t="str">
        <f t="shared" si="32"/>
        <v/>
      </c>
      <c r="G853" s="286"/>
      <c r="H853" s="287"/>
      <c r="I853" s="287"/>
      <c r="K853" s="285" t="str">
        <f t="shared" si="33"/>
        <v/>
      </c>
      <c r="L853" s="286"/>
      <c r="M853" s="287"/>
      <c r="N853" s="287"/>
      <c r="O853" s="286"/>
      <c r="P853" s="286"/>
      <c r="Q853" s="287"/>
    </row>
    <row r="854" spans="1:17" ht="30" customHeight="1" x14ac:dyDescent="0.2">
      <c r="A854" s="280"/>
      <c r="B854" s="281"/>
      <c r="C854" s="281"/>
      <c r="D854" s="281"/>
      <c r="F854" s="285" t="str">
        <f t="shared" si="32"/>
        <v/>
      </c>
      <c r="G854" s="286"/>
      <c r="H854" s="287"/>
      <c r="I854" s="287"/>
      <c r="K854" s="285" t="str">
        <f t="shared" si="33"/>
        <v/>
      </c>
      <c r="L854" s="286"/>
      <c r="M854" s="287"/>
      <c r="N854" s="287"/>
      <c r="O854" s="286"/>
      <c r="P854" s="286"/>
      <c r="Q854" s="287"/>
    </row>
    <row r="855" spans="1:17" ht="30" customHeight="1" x14ac:dyDescent="0.2">
      <c r="A855" s="280"/>
      <c r="B855" s="281"/>
      <c r="C855" s="281"/>
      <c r="D855" s="281"/>
      <c r="F855" s="285" t="str">
        <f t="shared" si="32"/>
        <v/>
      </c>
      <c r="G855" s="286"/>
      <c r="H855" s="287"/>
      <c r="I855" s="287"/>
      <c r="K855" s="285" t="str">
        <f t="shared" si="33"/>
        <v/>
      </c>
      <c r="L855" s="286"/>
      <c r="M855" s="287"/>
      <c r="N855" s="287"/>
      <c r="O855" s="286"/>
      <c r="P855" s="286"/>
      <c r="Q855" s="287"/>
    </row>
    <row r="856" spans="1:17" ht="30" customHeight="1" x14ac:dyDescent="0.2">
      <c r="A856" s="280"/>
      <c r="B856" s="281"/>
      <c r="C856" s="281"/>
      <c r="D856" s="281"/>
      <c r="F856" s="285" t="str">
        <f t="shared" si="32"/>
        <v/>
      </c>
      <c r="G856" s="286"/>
      <c r="H856" s="287"/>
      <c r="I856" s="287"/>
      <c r="K856" s="285" t="str">
        <f t="shared" si="33"/>
        <v/>
      </c>
      <c r="L856" s="286"/>
      <c r="M856" s="287"/>
      <c r="N856" s="287"/>
      <c r="O856" s="286"/>
      <c r="P856" s="286"/>
      <c r="Q856" s="287"/>
    </row>
    <row r="857" spans="1:17" ht="30" customHeight="1" x14ac:dyDescent="0.2">
      <c r="A857" s="280"/>
      <c r="B857" s="281"/>
      <c r="C857" s="281"/>
      <c r="D857" s="281"/>
      <c r="F857" s="285" t="str">
        <f t="shared" si="32"/>
        <v/>
      </c>
      <c r="G857" s="286"/>
      <c r="H857" s="287"/>
      <c r="I857" s="287"/>
      <c r="K857" s="285" t="str">
        <f t="shared" si="33"/>
        <v/>
      </c>
      <c r="L857" s="286"/>
      <c r="M857" s="287"/>
      <c r="N857" s="287"/>
      <c r="O857" s="286"/>
      <c r="P857" s="286"/>
      <c r="Q857" s="287"/>
    </row>
    <row r="858" spans="1:17" ht="30" customHeight="1" x14ac:dyDescent="0.2">
      <c r="A858" s="280"/>
      <c r="B858" s="281"/>
      <c r="C858" s="281"/>
      <c r="D858" s="281"/>
      <c r="F858" s="285" t="str">
        <f t="shared" si="32"/>
        <v/>
      </c>
      <c r="G858" s="286"/>
      <c r="H858" s="287"/>
      <c r="I858" s="287"/>
      <c r="K858" s="285" t="str">
        <f t="shared" si="33"/>
        <v/>
      </c>
      <c r="L858" s="286"/>
      <c r="M858" s="287"/>
      <c r="N858" s="287"/>
      <c r="O858" s="286"/>
      <c r="P858" s="286"/>
      <c r="Q858" s="287"/>
    </row>
    <row r="859" spans="1:17" ht="30" customHeight="1" x14ac:dyDescent="0.2">
      <c r="A859" s="280"/>
      <c r="B859" s="281"/>
      <c r="C859" s="281"/>
      <c r="D859" s="281"/>
      <c r="F859" s="285" t="str">
        <f t="shared" si="32"/>
        <v/>
      </c>
      <c r="G859" s="286"/>
      <c r="H859" s="287"/>
      <c r="I859" s="287"/>
      <c r="K859" s="285" t="str">
        <f t="shared" si="33"/>
        <v/>
      </c>
      <c r="L859" s="286"/>
      <c r="M859" s="287"/>
      <c r="N859" s="287"/>
      <c r="O859" s="286"/>
      <c r="P859" s="286"/>
      <c r="Q859" s="287"/>
    </row>
    <row r="860" spans="1:17" ht="30" customHeight="1" x14ac:dyDescent="0.2">
      <c r="A860" s="280"/>
      <c r="B860" s="281"/>
      <c r="C860" s="281"/>
      <c r="D860" s="281"/>
      <c r="F860" s="285" t="str">
        <f t="shared" si="32"/>
        <v/>
      </c>
      <c r="G860" s="286"/>
      <c r="H860" s="287"/>
      <c r="I860" s="287"/>
      <c r="K860" s="285" t="str">
        <f t="shared" si="33"/>
        <v/>
      </c>
      <c r="L860" s="286"/>
      <c r="M860" s="287"/>
      <c r="N860" s="287"/>
      <c r="O860" s="286"/>
      <c r="P860" s="286"/>
      <c r="Q860" s="287"/>
    </row>
    <row r="861" spans="1:17" ht="30" customHeight="1" x14ac:dyDescent="0.2">
      <c r="A861" s="280"/>
      <c r="B861" s="281"/>
      <c r="C861" s="281"/>
      <c r="D861" s="281"/>
      <c r="F861" s="285" t="str">
        <f t="shared" si="32"/>
        <v/>
      </c>
      <c r="G861" s="286"/>
      <c r="H861" s="287"/>
      <c r="I861" s="287"/>
      <c r="K861" s="285" t="str">
        <f t="shared" si="33"/>
        <v/>
      </c>
      <c r="L861" s="286"/>
      <c r="M861" s="287"/>
      <c r="N861" s="287"/>
      <c r="O861" s="286"/>
      <c r="P861" s="286"/>
      <c r="Q861" s="287"/>
    </row>
    <row r="862" spans="1:17" ht="30" customHeight="1" x14ac:dyDescent="0.2">
      <c r="A862" s="280"/>
      <c r="B862" s="281"/>
      <c r="C862" s="281"/>
      <c r="D862" s="281"/>
      <c r="F862" s="285" t="str">
        <f t="shared" si="32"/>
        <v/>
      </c>
      <c r="G862" s="286"/>
      <c r="H862" s="287"/>
      <c r="I862" s="287"/>
      <c r="K862" s="285" t="str">
        <f t="shared" si="33"/>
        <v/>
      </c>
      <c r="L862" s="286"/>
      <c r="M862" s="287"/>
      <c r="N862" s="287"/>
      <c r="O862" s="286"/>
      <c r="P862" s="286"/>
      <c r="Q862" s="287"/>
    </row>
    <row r="863" spans="1:17" ht="30" customHeight="1" x14ac:dyDescent="0.2">
      <c r="A863" s="280"/>
      <c r="B863" s="281"/>
      <c r="C863" s="281"/>
      <c r="D863" s="281"/>
      <c r="F863" s="285" t="str">
        <f t="shared" si="32"/>
        <v/>
      </c>
      <c r="G863" s="286"/>
      <c r="H863" s="287"/>
      <c r="I863" s="287"/>
      <c r="K863" s="285" t="str">
        <f t="shared" si="33"/>
        <v/>
      </c>
      <c r="L863" s="286"/>
      <c r="M863" s="287"/>
      <c r="N863" s="287"/>
      <c r="O863" s="286"/>
      <c r="P863" s="286"/>
      <c r="Q863" s="287"/>
    </row>
    <row r="864" spans="1:17" ht="30" customHeight="1" x14ac:dyDescent="0.2">
      <c r="A864" s="280"/>
      <c r="B864" s="281"/>
      <c r="C864" s="281"/>
      <c r="D864" s="281"/>
      <c r="F864" s="285" t="str">
        <f t="shared" si="32"/>
        <v/>
      </c>
      <c r="G864" s="286"/>
      <c r="H864" s="287"/>
      <c r="I864" s="287"/>
      <c r="K864" s="285" t="str">
        <f t="shared" si="33"/>
        <v/>
      </c>
      <c r="L864" s="286"/>
      <c r="M864" s="287"/>
      <c r="N864" s="287"/>
      <c r="O864" s="286"/>
      <c r="P864" s="286"/>
      <c r="Q864" s="287"/>
    </row>
    <row r="865" spans="1:17" ht="30" customHeight="1" x14ac:dyDescent="0.2">
      <c r="A865" s="280"/>
      <c r="B865" s="281"/>
      <c r="C865" s="281"/>
      <c r="D865" s="281"/>
      <c r="F865" s="285" t="str">
        <f t="shared" si="32"/>
        <v/>
      </c>
      <c r="G865" s="286"/>
      <c r="H865" s="287"/>
      <c r="I865" s="287"/>
      <c r="K865" s="285" t="str">
        <f t="shared" si="33"/>
        <v/>
      </c>
      <c r="L865" s="286"/>
      <c r="M865" s="287"/>
      <c r="N865" s="287"/>
      <c r="O865" s="286"/>
      <c r="P865" s="286"/>
      <c r="Q865" s="287"/>
    </row>
    <row r="866" spans="1:17" ht="30" customHeight="1" x14ac:dyDescent="0.2">
      <c r="A866" s="280"/>
      <c r="B866" s="281"/>
      <c r="C866" s="281"/>
      <c r="D866" s="281"/>
      <c r="F866" s="285" t="str">
        <f t="shared" si="32"/>
        <v/>
      </c>
      <c r="G866" s="286"/>
      <c r="H866" s="287"/>
      <c r="I866" s="287"/>
      <c r="K866" s="285" t="str">
        <f t="shared" si="33"/>
        <v/>
      </c>
      <c r="L866" s="286"/>
      <c r="M866" s="287"/>
      <c r="N866" s="287"/>
      <c r="O866" s="286"/>
      <c r="P866" s="286"/>
      <c r="Q866" s="287"/>
    </row>
    <row r="867" spans="1:17" ht="30" customHeight="1" x14ac:dyDescent="0.2">
      <c r="A867" s="280"/>
      <c r="B867" s="281"/>
      <c r="C867" s="281"/>
      <c r="D867" s="281"/>
      <c r="F867" s="285" t="str">
        <f t="shared" si="32"/>
        <v/>
      </c>
      <c r="G867" s="286"/>
      <c r="H867" s="287"/>
      <c r="I867" s="287"/>
      <c r="K867" s="285" t="str">
        <f t="shared" si="33"/>
        <v/>
      </c>
      <c r="L867" s="286"/>
      <c r="M867" s="287"/>
      <c r="N867" s="287"/>
      <c r="O867" s="286"/>
      <c r="P867" s="286"/>
      <c r="Q867" s="287"/>
    </row>
    <row r="868" spans="1:17" ht="30" customHeight="1" x14ac:dyDescent="0.2">
      <c r="A868" s="280"/>
      <c r="B868" s="281"/>
      <c r="C868" s="281"/>
      <c r="D868" s="281"/>
      <c r="F868" s="285" t="str">
        <f t="shared" si="32"/>
        <v/>
      </c>
      <c r="G868" s="286"/>
      <c r="H868" s="287"/>
      <c r="I868" s="287"/>
      <c r="K868" s="285" t="str">
        <f t="shared" si="33"/>
        <v/>
      </c>
      <c r="L868" s="286"/>
      <c r="M868" s="287"/>
      <c r="N868" s="287"/>
      <c r="O868" s="286"/>
      <c r="P868" s="286"/>
      <c r="Q868" s="287"/>
    </row>
    <row r="869" spans="1:17" ht="30" customHeight="1" x14ac:dyDescent="0.2">
      <c r="A869" s="280"/>
      <c r="B869" s="281"/>
      <c r="C869" s="281"/>
      <c r="D869" s="281"/>
      <c r="F869" s="285" t="str">
        <f t="shared" si="32"/>
        <v/>
      </c>
      <c r="G869" s="286"/>
      <c r="H869" s="287"/>
      <c r="I869" s="287"/>
      <c r="K869" s="285" t="str">
        <f t="shared" si="33"/>
        <v/>
      </c>
      <c r="L869" s="286"/>
      <c r="M869" s="287"/>
      <c r="N869" s="287"/>
      <c r="O869" s="286"/>
      <c r="P869" s="286"/>
      <c r="Q869" s="287"/>
    </row>
    <row r="870" spans="1:17" ht="30" customHeight="1" x14ac:dyDescent="0.2">
      <c r="A870" s="280"/>
      <c r="B870" s="281"/>
      <c r="C870" s="281"/>
      <c r="D870" s="281"/>
      <c r="F870" s="285" t="str">
        <f t="shared" si="32"/>
        <v/>
      </c>
      <c r="G870" s="286"/>
      <c r="H870" s="287"/>
      <c r="I870" s="287"/>
      <c r="K870" s="285" t="str">
        <f t="shared" si="33"/>
        <v/>
      </c>
      <c r="L870" s="286"/>
      <c r="M870" s="287"/>
      <c r="N870" s="287"/>
      <c r="O870" s="286"/>
      <c r="P870" s="286"/>
      <c r="Q870" s="287"/>
    </row>
    <row r="871" spans="1:17" ht="30" customHeight="1" x14ac:dyDescent="0.2">
      <c r="A871" s="280"/>
      <c r="B871" s="281"/>
      <c r="C871" s="281"/>
      <c r="D871" s="281"/>
      <c r="F871" s="285" t="str">
        <f t="shared" si="32"/>
        <v/>
      </c>
      <c r="G871" s="286"/>
      <c r="H871" s="287"/>
      <c r="I871" s="287"/>
      <c r="K871" s="285" t="str">
        <f t="shared" si="33"/>
        <v/>
      </c>
      <c r="L871" s="286"/>
      <c r="M871" s="287"/>
      <c r="N871" s="287"/>
      <c r="O871" s="286"/>
      <c r="P871" s="286"/>
      <c r="Q871" s="287"/>
    </row>
    <row r="872" spans="1:17" ht="30" customHeight="1" x14ac:dyDescent="0.2">
      <c r="A872" s="280"/>
      <c r="B872" s="281"/>
      <c r="C872" s="281"/>
      <c r="D872" s="281"/>
      <c r="F872" s="285" t="str">
        <f t="shared" si="32"/>
        <v/>
      </c>
      <c r="G872" s="286"/>
      <c r="H872" s="287"/>
      <c r="I872" s="287"/>
      <c r="K872" s="285" t="str">
        <f t="shared" si="33"/>
        <v/>
      </c>
      <c r="L872" s="286"/>
      <c r="M872" s="287"/>
      <c r="N872" s="287"/>
      <c r="O872" s="286"/>
      <c r="P872" s="286"/>
      <c r="Q872" s="287"/>
    </row>
    <row r="873" spans="1:17" ht="30" customHeight="1" x14ac:dyDescent="0.2">
      <c r="A873" s="280"/>
      <c r="B873" s="281"/>
      <c r="C873" s="281"/>
      <c r="D873" s="281"/>
      <c r="F873" s="285" t="str">
        <f t="shared" si="32"/>
        <v/>
      </c>
      <c r="G873" s="286"/>
      <c r="H873" s="287"/>
      <c r="I873" s="287"/>
      <c r="K873" s="285" t="str">
        <f t="shared" si="33"/>
        <v/>
      </c>
      <c r="L873" s="286"/>
      <c r="M873" s="287"/>
      <c r="N873" s="287"/>
      <c r="O873" s="286"/>
      <c r="P873" s="286"/>
      <c r="Q873" s="287"/>
    </row>
    <row r="874" spans="1:17" ht="30" customHeight="1" x14ac:dyDescent="0.2">
      <c r="A874" s="280"/>
      <c r="B874" s="281"/>
      <c r="C874" s="281"/>
      <c r="D874" s="281"/>
      <c r="F874" s="285" t="str">
        <f t="shared" si="32"/>
        <v/>
      </c>
      <c r="G874" s="286"/>
      <c r="H874" s="287"/>
      <c r="I874" s="287"/>
      <c r="K874" s="285" t="str">
        <f t="shared" si="33"/>
        <v/>
      </c>
      <c r="L874" s="286"/>
      <c r="M874" s="287"/>
      <c r="N874" s="287"/>
      <c r="O874" s="286"/>
      <c r="P874" s="286"/>
      <c r="Q874" s="287"/>
    </row>
    <row r="875" spans="1:17" ht="30" customHeight="1" x14ac:dyDescent="0.2">
      <c r="A875" s="280"/>
      <c r="B875" s="281"/>
      <c r="C875" s="281"/>
      <c r="D875" s="281"/>
      <c r="F875" s="285" t="str">
        <f t="shared" si="32"/>
        <v/>
      </c>
      <c r="G875" s="286"/>
      <c r="H875" s="287"/>
      <c r="I875" s="287"/>
      <c r="K875" s="285" t="str">
        <f t="shared" si="33"/>
        <v/>
      </c>
      <c r="L875" s="286"/>
      <c r="M875" s="287"/>
      <c r="N875" s="287"/>
      <c r="O875" s="286"/>
      <c r="P875" s="286"/>
      <c r="Q875" s="287"/>
    </row>
    <row r="876" spans="1:17" ht="30" customHeight="1" x14ac:dyDescent="0.2">
      <c r="A876" s="280"/>
      <c r="B876" s="281"/>
      <c r="C876" s="281"/>
      <c r="D876" s="281"/>
      <c r="F876" s="285" t="str">
        <f t="shared" si="32"/>
        <v/>
      </c>
      <c r="G876" s="286"/>
      <c r="H876" s="287"/>
      <c r="I876" s="287"/>
      <c r="K876" s="285" t="str">
        <f t="shared" si="33"/>
        <v/>
      </c>
      <c r="L876" s="286"/>
      <c r="M876" s="287"/>
      <c r="N876" s="287"/>
      <c r="O876" s="286"/>
      <c r="P876" s="286"/>
      <c r="Q876" s="287"/>
    </row>
    <row r="877" spans="1:17" ht="30" customHeight="1" x14ac:dyDescent="0.2">
      <c r="A877" s="280"/>
      <c r="B877" s="281"/>
      <c r="C877" s="281"/>
      <c r="D877" s="281"/>
      <c r="F877" s="285" t="str">
        <f t="shared" si="32"/>
        <v/>
      </c>
      <c r="G877" s="286"/>
      <c r="H877" s="287"/>
      <c r="I877" s="287"/>
      <c r="K877" s="285" t="str">
        <f t="shared" si="33"/>
        <v/>
      </c>
      <c r="L877" s="286"/>
      <c r="M877" s="287"/>
      <c r="N877" s="287"/>
      <c r="O877" s="286"/>
      <c r="P877" s="286"/>
      <c r="Q877" s="287"/>
    </row>
    <row r="878" spans="1:17" ht="30" customHeight="1" x14ac:dyDescent="0.2">
      <c r="A878" s="280"/>
      <c r="B878" s="281"/>
      <c r="C878" s="281"/>
      <c r="D878" s="281"/>
      <c r="F878" s="285" t="str">
        <f t="shared" si="32"/>
        <v/>
      </c>
      <c r="G878" s="286"/>
      <c r="H878" s="287"/>
      <c r="I878" s="287"/>
      <c r="K878" s="285" t="str">
        <f t="shared" si="33"/>
        <v/>
      </c>
      <c r="L878" s="286"/>
      <c r="M878" s="287"/>
      <c r="N878" s="287"/>
      <c r="O878" s="286"/>
      <c r="P878" s="286"/>
      <c r="Q878" s="287"/>
    </row>
    <row r="879" spans="1:17" ht="30" customHeight="1" x14ac:dyDescent="0.2">
      <c r="A879" s="280"/>
      <c r="B879" s="281"/>
      <c r="C879" s="281"/>
      <c r="D879" s="281"/>
      <c r="F879" s="285" t="str">
        <f t="shared" si="32"/>
        <v/>
      </c>
      <c r="G879" s="286"/>
      <c r="H879" s="287"/>
      <c r="I879" s="287"/>
      <c r="K879" s="285" t="str">
        <f t="shared" si="33"/>
        <v/>
      </c>
      <c r="L879" s="286"/>
      <c r="M879" s="287"/>
      <c r="N879" s="287"/>
      <c r="O879" s="286"/>
      <c r="P879" s="286"/>
      <c r="Q879" s="287"/>
    </row>
    <row r="880" spans="1:17" ht="30" customHeight="1" x14ac:dyDescent="0.2">
      <c r="A880" s="280"/>
      <c r="B880" s="281"/>
      <c r="C880" s="281"/>
      <c r="D880" s="281"/>
      <c r="F880" s="285" t="str">
        <f t="shared" si="32"/>
        <v/>
      </c>
      <c r="G880" s="286"/>
      <c r="H880" s="287"/>
      <c r="I880" s="287"/>
      <c r="K880" s="285" t="str">
        <f t="shared" si="33"/>
        <v/>
      </c>
      <c r="L880" s="286"/>
      <c r="M880" s="287"/>
      <c r="N880" s="287"/>
      <c r="O880" s="286"/>
      <c r="P880" s="286"/>
      <c r="Q880" s="287"/>
    </row>
    <row r="881" spans="1:17" ht="30" customHeight="1" x14ac:dyDescent="0.2">
      <c r="A881" s="280"/>
      <c r="B881" s="281"/>
      <c r="C881" s="281"/>
      <c r="D881" s="281"/>
      <c r="F881" s="285" t="str">
        <f t="shared" si="32"/>
        <v/>
      </c>
      <c r="G881" s="286"/>
      <c r="H881" s="287"/>
      <c r="I881" s="287"/>
      <c r="K881" s="285" t="str">
        <f t="shared" si="33"/>
        <v/>
      </c>
      <c r="L881" s="286"/>
      <c r="M881" s="287"/>
      <c r="N881" s="287"/>
      <c r="O881" s="286"/>
      <c r="P881" s="286"/>
      <c r="Q881" s="287"/>
    </row>
    <row r="882" spans="1:17" ht="30" customHeight="1" x14ac:dyDescent="0.2">
      <c r="A882" s="280"/>
      <c r="B882" s="281"/>
      <c r="C882" s="281"/>
      <c r="D882" s="281"/>
      <c r="F882" s="285" t="str">
        <f t="shared" si="32"/>
        <v/>
      </c>
      <c r="G882" s="286"/>
      <c r="H882" s="287"/>
      <c r="I882" s="287"/>
      <c r="K882" s="285" t="str">
        <f t="shared" si="33"/>
        <v/>
      </c>
      <c r="L882" s="286"/>
      <c r="M882" s="287"/>
      <c r="N882" s="287"/>
      <c r="O882" s="286"/>
      <c r="P882" s="286"/>
      <c r="Q882" s="287"/>
    </row>
    <row r="883" spans="1:17" ht="30" customHeight="1" x14ac:dyDescent="0.2">
      <c r="A883" s="280"/>
      <c r="B883" s="281"/>
      <c r="C883" s="281"/>
      <c r="D883" s="281"/>
      <c r="F883" s="285" t="str">
        <f t="shared" si="32"/>
        <v/>
      </c>
      <c r="G883" s="286"/>
      <c r="H883" s="287"/>
      <c r="I883" s="287"/>
      <c r="K883" s="285" t="str">
        <f t="shared" si="33"/>
        <v/>
      </c>
      <c r="L883" s="286"/>
      <c r="M883" s="287"/>
      <c r="N883" s="287"/>
      <c r="O883" s="286"/>
      <c r="P883" s="286"/>
      <c r="Q883" s="287"/>
    </row>
    <row r="884" spans="1:17" ht="30" customHeight="1" x14ac:dyDescent="0.2">
      <c r="A884" s="280"/>
      <c r="B884" s="281"/>
      <c r="C884" s="281"/>
      <c r="D884" s="281"/>
      <c r="F884" s="285" t="str">
        <f t="shared" si="32"/>
        <v/>
      </c>
      <c r="G884" s="286"/>
      <c r="H884" s="287"/>
      <c r="I884" s="287"/>
      <c r="K884" s="285" t="str">
        <f t="shared" si="33"/>
        <v/>
      </c>
      <c r="L884" s="286"/>
      <c r="M884" s="287"/>
      <c r="N884" s="287"/>
      <c r="O884" s="286"/>
      <c r="P884" s="286"/>
      <c r="Q884" s="287"/>
    </row>
    <row r="885" spans="1:17" ht="30" customHeight="1" x14ac:dyDescent="0.2">
      <c r="A885" s="280"/>
      <c r="B885" s="281"/>
      <c r="C885" s="281"/>
      <c r="D885" s="281"/>
      <c r="F885" s="285" t="str">
        <f t="shared" si="32"/>
        <v/>
      </c>
      <c r="G885" s="286"/>
      <c r="H885" s="287"/>
      <c r="I885" s="287"/>
      <c r="K885" s="285" t="str">
        <f t="shared" si="33"/>
        <v/>
      </c>
      <c r="L885" s="286"/>
      <c r="M885" s="287"/>
      <c r="N885" s="287"/>
      <c r="O885" s="286"/>
      <c r="P885" s="286"/>
      <c r="Q885" s="287"/>
    </row>
    <row r="886" spans="1:17" ht="30" customHeight="1" x14ac:dyDescent="0.2">
      <c r="A886" s="280"/>
      <c r="B886" s="281"/>
      <c r="C886" s="281"/>
      <c r="D886" s="281"/>
      <c r="F886" s="285" t="str">
        <f t="shared" si="32"/>
        <v/>
      </c>
      <c r="G886" s="286"/>
      <c r="H886" s="287"/>
      <c r="I886" s="287"/>
      <c r="K886" s="285" t="str">
        <f t="shared" si="33"/>
        <v/>
      </c>
      <c r="L886" s="286"/>
      <c r="M886" s="287"/>
      <c r="N886" s="287"/>
      <c r="O886" s="286"/>
      <c r="P886" s="286"/>
      <c r="Q886" s="287"/>
    </row>
    <row r="887" spans="1:17" ht="30" customHeight="1" x14ac:dyDescent="0.2">
      <c r="A887" s="280"/>
      <c r="B887" s="281"/>
      <c r="C887" s="281"/>
      <c r="D887" s="281"/>
      <c r="F887" s="285" t="str">
        <f t="shared" si="32"/>
        <v/>
      </c>
      <c r="G887" s="286"/>
      <c r="H887" s="287"/>
      <c r="I887" s="287"/>
      <c r="K887" s="285" t="str">
        <f t="shared" si="33"/>
        <v/>
      </c>
      <c r="L887" s="286"/>
      <c r="M887" s="287"/>
      <c r="N887" s="287"/>
      <c r="O887" s="286"/>
      <c r="P887" s="286"/>
      <c r="Q887" s="287"/>
    </row>
    <row r="888" spans="1:17" ht="30" customHeight="1" x14ac:dyDescent="0.2">
      <c r="A888" s="280"/>
      <c r="B888" s="281"/>
      <c r="C888" s="281"/>
      <c r="D888" s="281"/>
      <c r="F888" s="285" t="str">
        <f t="shared" si="32"/>
        <v/>
      </c>
      <c r="G888" s="286"/>
      <c r="H888" s="287"/>
      <c r="I888" s="287"/>
      <c r="K888" s="285" t="str">
        <f t="shared" si="33"/>
        <v/>
      </c>
      <c r="L888" s="286"/>
      <c r="M888" s="287"/>
      <c r="N888" s="287"/>
      <c r="O888" s="286"/>
      <c r="P888" s="286"/>
      <c r="Q888" s="287"/>
    </row>
    <row r="889" spans="1:17" ht="30" customHeight="1" x14ac:dyDescent="0.2">
      <c r="A889" s="280"/>
      <c r="B889" s="281"/>
      <c r="C889" s="281"/>
      <c r="D889" s="281"/>
      <c r="F889" s="285" t="str">
        <f t="shared" si="32"/>
        <v/>
      </c>
      <c r="G889" s="286"/>
      <c r="H889" s="287"/>
      <c r="I889" s="287"/>
      <c r="K889" s="285" t="str">
        <f t="shared" si="33"/>
        <v/>
      </c>
      <c r="L889" s="286"/>
      <c r="M889" s="287"/>
      <c r="N889" s="287"/>
      <c r="O889" s="286"/>
      <c r="P889" s="286"/>
      <c r="Q889" s="287"/>
    </row>
    <row r="890" spans="1:17" ht="30" customHeight="1" x14ac:dyDescent="0.2">
      <c r="A890" s="280"/>
      <c r="B890" s="281"/>
      <c r="C890" s="281"/>
      <c r="D890" s="281"/>
      <c r="F890" s="285" t="str">
        <f t="shared" si="32"/>
        <v/>
      </c>
      <c r="G890" s="286"/>
      <c r="H890" s="287"/>
      <c r="I890" s="287"/>
      <c r="K890" s="285" t="str">
        <f t="shared" si="33"/>
        <v/>
      </c>
      <c r="L890" s="286"/>
      <c r="M890" s="287"/>
      <c r="N890" s="287"/>
      <c r="O890" s="286"/>
      <c r="P890" s="286"/>
      <c r="Q890" s="287"/>
    </row>
    <row r="891" spans="1:17" ht="30" customHeight="1" x14ac:dyDescent="0.2">
      <c r="A891" s="280"/>
      <c r="B891" s="281"/>
      <c r="C891" s="281"/>
      <c r="D891" s="281"/>
      <c r="F891" s="285" t="str">
        <f t="shared" si="32"/>
        <v/>
      </c>
      <c r="G891" s="286"/>
      <c r="H891" s="287"/>
      <c r="I891" s="287"/>
      <c r="K891" s="285" t="str">
        <f t="shared" si="33"/>
        <v/>
      </c>
      <c r="L891" s="286"/>
      <c r="M891" s="287"/>
      <c r="N891" s="287"/>
      <c r="O891" s="286"/>
      <c r="P891" s="286"/>
      <c r="Q891" s="287"/>
    </row>
    <row r="892" spans="1:17" ht="30" customHeight="1" x14ac:dyDescent="0.2">
      <c r="A892" s="280"/>
      <c r="B892" s="281"/>
      <c r="C892" s="281"/>
      <c r="D892" s="281"/>
      <c r="F892" s="285" t="str">
        <f t="shared" si="32"/>
        <v/>
      </c>
      <c r="G892" s="286"/>
      <c r="H892" s="287"/>
      <c r="I892" s="287"/>
      <c r="K892" s="285" t="str">
        <f t="shared" si="33"/>
        <v/>
      </c>
      <c r="L892" s="286"/>
      <c r="M892" s="287"/>
      <c r="N892" s="287"/>
      <c r="O892" s="286"/>
      <c r="P892" s="286"/>
      <c r="Q892" s="287"/>
    </row>
    <row r="893" spans="1:17" ht="30" customHeight="1" x14ac:dyDescent="0.2">
      <c r="A893" s="280"/>
      <c r="B893" s="281"/>
      <c r="C893" s="281"/>
      <c r="D893" s="281"/>
      <c r="F893" s="285" t="str">
        <f t="shared" si="32"/>
        <v/>
      </c>
      <c r="G893" s="286"/>
      <c r="H893" s="287"/>
      <c r="I893" s="287"/>
      <c r="K893" s="285" t="str">
        <f t="shared" si="33"/>
        <v/>
      </c>
      <c r="L893" s="286"/>
      <c r="M893" s="287"/>
      <c r="N893" s="287"/>
      <c r="O893" s="286"/>
      <c r="P893" s="286"/>
      <c r="Q893" s="287"/>
    </row>
    <row r="894" spans="1:17" ht="30" customHeight="1" x14ac:dyDescent="0.2">
      <c r="A894" s="280"/>
      <c r="B894" s="281"/>
      <c r="C894" s="281"/>
      <c r="D894" s="281"/>
      <c r="F894" s="285" t="str">
        <f t="shared" si="32"/>
        <v/>
      </c>
      <c r="G894" s="286"/>
      <c r="H894" s="287"/>
      <c r="I894" s="287"/>
      <c r="K894" s="285" t="str">
        <f t="shared" si="33"/>
        <v/>
      </c>
      <c r="L894" s="286"/>
      <c r="M894" s="287"/>
      <c r="N894" s="287"/>
      <c r="O894" s="286"/>
      <c r="P894" s="286"/>
      <c r="Q894" s="287"/>
    </row>
    <row r="895" spans="1:17" ht="30" customHeight="1" x14ac:dyDescent="0.2">
      <c r="A895" s="280"/>
      <c r="B895" s="281"/>
      <c r="C895" s="281"/>
      <c r="D895" s="281"/>
      <c r="F895" s="285" t="str">
        <f t="shared" si="32"/>
        <v/>
      </c>
      <c r="G895" s="286"/>
      <c r="H895" s="287"/>
      <c r="I895" s="287"/>
      <c r="K895" s="285" t="str">
        <f t="shared" si="33"/>
        <v/>
      </c>
      <c r="L895" s="286"/>
      <c r="M895" s="287"/>
      <c r="N895" s="287"/>
      <c r="O895" s="286"/>
      <c r="P895" s="286"/>
      <c r="Q895" s="287"/>
    </row>
    <row r="896" spans="1:17" ht="30" customHeight="1" x14ac:dyDescent="0.2">
      <c r="A896" s="280"/>
      <c r="B896" s="281"/>
      <c r="C896" s="281"/>
      <c r="D896" s="281"/>
      <c r="F896" s="285" t="str">
        <f t="shared" si="32"/>
        <v/>
      </c>
      <c r="G896" s="286"/>
      <c r="H896" s="287"/>
      <c r="I896" s="287"/>
      <c r="K896" s="285" t="str">
        <f t="shared" si="33"/>
        <v/>
      </c>
      <c r="L896" s="286"/>
      <c r="M896" s="287"/>
      <c r="N896" s="287"/>
      <c r="O896" s="286"/>
      <c r="P896" s="286"/>
      <c r="Q896" s="287"/>
    </row>
    <row r="897" spans="1:17" ht="30" customHeight="1" x14ac:dyDescent="0.2">
      <c r="A897" s="280"/>
      <c r="B897" s="281"/>
      <c r="C897" s="281"/>
      <c r="D897" s="281"/>
      <c r="F897" s="285" t="str">
        <f t="shared" si="32"/>
        <v/>
      </c>
      <c r="G897" s="286"/>
      <c r="H897" s="287"/>
      <c r="I897" s="287"/>
      <c r="K897" s="285" t="str">
        <f t="shared" si="33"/>
        <v/>
      </c>
      <c r="L897" s="286"/>
      <c r="M897" s="287"/>
      <c r="N897" s="287"/>
      <c r="O897" s="286"/>
      <c r="P897" s="286"/>
      <c r="Q897" s="287"/>
    </row>
    <row r="898" spans="1:17" ht="30" customHeight="1" x14ac:dyDescent="0.2">
      <c r="A898" s="280"/>
      <c r="B898" s="281"/>
      <c r="C898" s="281"/>
      <c r="D898" s="281"/>
      <c r="F898" s="285" t="str">
        <f t="shared" si="32"/>
        <v/>
      </c>
      <c r="G898" s="286"/>
      <c r="H898" s="287"/>
      <c r="I898" s="287"/>
      <c r="K898" s="285" t="str">
        <f t="shared" si="33"/>
        <v/>
      </c>
      <c r="L898" s="286"/>
      <c r="M898" s="287"/>
      <c r="N898" s="287"/>
      <c r="O898" s="286"/>
      <c r="P898" s="286"/>
      <c r="Q898" s="287"/>
    </row>
    <row r="899" spans="1:17" ht="30" customHeight="1" x14ac:dyDescent="0.2">
      <c r="A899" s="280"/>
      <c r="B899" s="281"/>
      <c r="C899" s="281"/>
      <c r="D899" s="281"/>
      <c r="F899" s="285" t="str">
        <f t="shared" si="32"/>
        <v/>
      </c>
      <c r="G899" s="286"/>
      <c r="H899" s="287"/>
      <c r="I899" s="287"/>
      <c r="K899" s="285" t="str">
        <f t="shared" si="33"/>
        <v/>
      </c>
      <c r="L899" s="286"/>
      <c r="M899" s="287"/>
      <c r="N899" s="287"/>
      <c r="O899" s="286"/>
      <c r="P899" s="286"/>
      <c r="Q899" s="287"/>
    </row>
    <row r="900" spans="1:17" ht="30" customHeight="1" x14ac:dyDescent="0.2">
      <c r="A900" s="280"/>
      <c r="B900" s="281"/>
      <c r="C900" s="281"/>
      <c r="D900" s="281"/>
      <c r="F900" s="285" t="str">
        <f t="shared" si="32"/>
        <v/>
      </c>
      <c r="G900" s="286"/>
      <c r="H900" s="287"/>
      <c r="I900" s="287"/>
      <c r="K900" s="285" t="str">
        <f t="shared" si="33"/>
        <v/>
      </c>
      <c r="L900" s="286"/>
      <c r="M900" s="287"/>
      <c r="N900" s="287"/>
      <c r="O900" s="286"/>
      <c r="P900" s="286"/>
      <c r="Q900" s="287"/>
    </row>
    <row r="901" spans="1:17" ht="30" customHeight="1" x14ac:dyDescent="0.2">
      <c r="A901" s="280"/>
      <c r="B901" s="281"/>
      <c r="C901" s="281"/>
      <c r="D901" s="281"/>
      <c r="F901" s="285" t="str">
        <f t="shared" ref="F901:F964" si="34">IF(A901="","",A901)</f>
        <v/>
      </c>
      <c r="G901" s="286"/>
      <c r="H901" s="287"/>
      <c r="I901" s="287"/>
      <c r="K901" s="285" t="str">
        <f t="shared" si="33"/>
        <v/>
      </c>
      <c r="L901" s="286"/>
      <c r="M901" s="287"/>
      <c r="N901" s="287"/>
      <c r="O901" s="286"/>
      <c r="P901" s="286"/>
      <c r="Q901" s="287"/>
    </row>
    <row r="902" spans="1:17" ht="30" customHeight="1" x14ac:dyDescent="0.2">
      <c r="A902" s="280"/>
      <c r="B902" s="281"/>
      <c r="C902" s="281"/>
      <c r="D902" s="281"/>
      <c r="F902" s="285" t="str">
        <f t="shared" si="34"/>
        <v/>
      </c>
      <c r="G902" s="286"/>
      <c r="H902" s="287"/>
      <c r="I902" s="287"/>
      <c r="K902" s="285" t="str">
        <f t="shared" si="33"/>
        <v/>
      </c>
      <c r="L902" s="286"/>
      <c r="M902" s="287"/>
      <c r="N902" s="287"/>
      <c r="O902" s="286"/>
      <c r="P902" s="286"/>
      <c r="Q902" s="287"/>
    </row>
    <row r="903" spans="1:17" ht="30" customHeight="1" x14ac:dyDescent="0.2">
      <c r="A903" s="280"/>
      <c r="B903" s="281"/>
      <c r="C903" s="281"/>
      <c r="D903" s="281"/>
      <c r="F903" s="285" t="str">
        <f t="shared" si="34"/>
        <v/>
      </c>
      <c r="G903" s="286"/>
      <c r="H903" s="287"/>
      <c r="I903" s="287"/>
      <c r="K903" s="285" t="str">
        <f t="shared" si="33"/>
        <v/>
      </c>
      <c r="L903" s="286"/>
      <c r="M903" s="287"/>
      <c r="N903" s="287"/>
      <c r="O903" s="286"/>
      <c r="P903" s="286"/>
      <c r="Q903" s="287"/>
    </row>
    <row r="904" spans="1:17" ht="30" customHeight="1" x14ac:dyDescent="0.2">
      <c r="A904" s="280"/>
      <c r="B904" s="281"/>
      <c r="C904" s="281"/>
      <c r="D904" s="281"/>
      <c r="F904" s="285" t="str">
        <f t="shared" si="34"/>
        <v/>
      </c>
      <c r="G904" s="286"/>
      <c r="H904" s="287"/>
      <c r="I904" s="287"/>
      <c r="K904" s="285" t="str">
        <f t="shared" si="33"/>
        <v/>
      </c>
      <c r="L904" s="286"/>
      <c r="M904" s="287"/>
      <c r="N904" s="287"/>
      <c r="O904" s="286"/>
      <c r="P904" s="286"/>
      <c r="Q904" s="287"/>
    </row>
    <row r="905" spans="1:17" ht="30" customHeight="1" x14ac:dyDescent="0.2">
      <c r="A905" s="280"/>
      <c r="B905" s="281"/>
      <c r="C905" s="281"/>
      <c r="D905" s="281"/>
      <c r="F905" s="285" t="str">
        <f t="shared" si="34"/>
        <v/>
      </c>
      <c r="G905" s="286"/>
      <c r="H905" s="287"/>
      <c r="I905" s="287"/>
      <c r="K905" s="285" t="str">
        <f t="shared" si="33"/>
        <v/>
      </c>
      <c r="L905" s="286"/>
      <c r="M905" s="287"/>
      <c r="N905" s="287"/>
      <c r="O905" s="286"/>
      <c r="P905" s="286"/>
      <c r="Q905" s="287"/>
    </row>
    <row r="906" spans="1:17" ht="30" customHeight="1" x14ac:dyDescent="0.2">
      <c r="A906" s="280"/>
      <c r="B906" s="281"/>
      <c r="C906" s="281"/>
      <c r="D906" s="281"/>
      <c r="F906" s="285" t="str">
        <f t="shared" si="34"/>
        <v/>
      </c>
      <c r="G906" s="286"/>
      <c r="H906" s="287"/>
      <c r="I906" s="287"/>
      <c r="K906" s="285" t="str">
        <f t="shared" si="33"/>
        <v/>
      </c>
      <c r="L906" s="286"/>
      <c r="M906" s="287"/>
      <c r="N906" s="287"/>
      <c r="O906" s="286"/>
      <c r="P906" s="286"/>
      <c r="Q906" s="287"/>
    </row>
    <row r="907" spans="1:17" ht="30" customHeight="1" x14ac:dyDescent="0.2">
      <c r="A907" s="280"/>
      <c r="B907" s="281"/>
      <c r="C907" s="281"/>
      <c r="D907" s="281"/>
      <c r="F907" s="285" t="str">
        <f t="shared" si="34"/>
        <v/>
      </c>
      <c r="G907" s="286"/>
      <c r="H907" s="287"/>
      <c r="I907" s="287"/>
      <c r="K907" s="285" t="str">
        <f t="shared" ref="K907:K970" si="35">IF(A907="","",A907)</f>
        <v/>
      </c>
      <c r="L907" s="286"/>
      <c r="M907" s="287"/>
      <c r="N907" s="287"/>
      <c r="O907" s="286"/>
      <c r="P907" s="286"/>
      <c r="Q907" s="287"/>
    </row>
    <row r="908" spans="1:17" ht="30" customHeight="1" x14ac:dyDescent="0.2">
      <c r="A908" s="280"/>
      <c r="B908" s="281"/>
      <c r="C908" s="281"/>
      <c r="D908" s="281"/>
      <c r="F908" s="285" t="str">
        <f t="shared" si="34"/>
        <v/>
      </c>
      <c r="G908" s="286"/>
      <c r="H908" s="287"/>
      <c r="I908" s="287"/>
      <c r="K908" s="285" t="str">
        <f t="shared" si="35"/>
        <v/>
      </c>
      <c r="L908" s="286"/>
      <c r="M908" s="287"/>
      <c r="N908" s="287"/>
      <c r="O908" s="286"/>
      <c r="P908" s="286"/>
      <c r="Q908" s="287"/>
    </row>
    <row r="909" spans="1:17" ht="30" customHeight="1" x14ac:dyDescent="0.2">
      <c r="A909" s="280"/>
      <c r="B909" s="281"/>
      <c r="C909" s="281"/>
      <c r="D909" s="281"/>
      <c r="F909" s="285" t="str">
        <f t="shared" si="34"/>
        <v/>
      </c>
      <c r="G909" s="286"/>
      <c r="H909" s="287"/>
      <c r="I909" s="287"/>
      <c r="K909" s="285" t="str">
        <f t="shared" si="35"/>
        <v/>
      </c>
      <c r="L909" s="286"/>
      <c r="M909" s="287"/>
      <c r="N909" s="287"/>
      <c r="O909" s="286"/>
      <c r="P909" s="286"/>
      <c r="Q909" s="287"/>
    </row>
    <row r="910" spans="1:17" ht="30" customHeight="1" x14ac:dyDescent="0.2">
      <c r="A910" s="280"/>
      <c r="B910" s="281"/>
      <c r="C910" s="281"/>
      <c r="D910" s="281"/>
      <c r="F910" s="285" t="str">
        <f t="shared" si="34"/>
        <v/>
      </c>
      <c r="G910" s="286"/>
      <c r="H910" s="287"/>
      <c r="I910" s="287"/>
      <c r="K910" s="285" t="str">
        <f t="shared" si="35"/>
        <v/>
      </c>
      <c r="L910" s="286"/>
      <c r="M910" s="287"/>
      <c r="N910" s="287"/>
      <c r="O910" s="286"/>
      <c r="P910" s="286"/>
      <c r="Q910" s="287"/>
    </row>
    <row r="911" spans="1:17" ht="30" customHeight="1" x14ac:dyDescent="0.2">
      <c r="A911" s="280"/>
      <c r="B911" s="281"/>
      <c r="C911" s="281"/>
      <c r="D911" s="281"/>
      <c r="F911" s="285" t="str">
        <f t="shared" si="34"/>
        <v/>
      </c>
      <c r="G911" s="286"/>
      <c r="H911" s="287"/>
      <c r="I911" s="287"/>
      <c r="K911" s="285" t="str">
        <f t="shared" si="35"/>
        <v/>
      </c>
      <c r="L911" s="286"/>
      <c r="M911" s="287"/>
      <c r="N911" s="287"/>
      <c r="O911" s="286"/>
      <c r="P911" s="286"/>
      <c r="Q911" s="287"/>
    </row>
    <row r="912" spans="1:17" ht="30" customHeight="1" x14ac:dyDescent="0.2">
      <c r="A912" s="280"/>
      <c r="B912" s="281"/>
      <c r="C912" s="281"/>
      <c r="D912" s="281"/>
      <c r="F912" s="285" t="str">
        <f t="shared" si="34"/>
        <v/>
      </c>
      <c r="G912" s="286"/>
      <c r="H912" s="287"/>
      <c r="I912" s="287"/>
      <c r="K912" s="285" t="str">
        <f t="shared" si="35"/>
        <v/>
      </c>
      <c r="L912" s="286"/>
      <c r="M912" s="287"/>
      <c r="N912" s="287"/>
      <c r="O912" s="286"/>
      <c r="P912" s="286"/>
      <c r="Q912" s="287"/>
    </row>
    <row r="913" spans="1:17" ht="30" customHeight="1" x14ac:dyDescent="0.2">
      <c r="A913" s="280"/>
      <c r="B913" s="281"/>
      <c r="C913" s="281"/>
      <c r="D913" s="281"/>
      <c r="F913" s="285" t="str">
        <f t="shared" si="34"/>
        <v/>
      </c>
      <c r="G913" s="286"/>
      <c r="H913" s="287"/>
      <c r="I913" s="287"/>
      <c r="K913" s="285" t="str">
        <f t="shared" si="35"/>
        <v/>
      </c>
      <c r="L913" s="286"/>
      <c r="M913" s="287"/>
      <c r="N913" s="287"/>
      <c r="O913" s="286"/>
      <c r="P913" s="286"/>
      <c r="Q913" s="287"/>
    </row>
    <row r="914" spans="1:17" ht="30" customHeight="1" x14ac:dyDescent="0.2">
      <c r="A914" s="280"/>
      <c r="B914" s="281"/>
      <c r="C914" s="281"/>
      <c r="D914" s="281"/>
      <c r="F914" s="285" t="str">
        <f t="shared" si="34"/>
        <v/>
      </c>
      <c r="G914" s="286"/>
      <c r="H914" s="287"/>
      <c r="I914" s="287"/>
      <c r="K914" s="285" t="str">
        <f t="shared" si="35"/>
        <v/>
      </c>
      <c r="L914" s="286"/>
      <c r="M914" s="287"/>
      <c r="N914" s="287"/>
      <c r="O914" s="286"/>
      <c r="P914" s="286"/>
      <c r="Q914" s="287"/>
    </row>
    <row r="915" spans="1:17" ht="30" customHeight="1" x14ac:dyDescent="0.2">
      <c r="A915" s="280"/>
      <c r="B915" s="281"/>
      <c r="C915" s="281"/>
      <c r="D915" s="281"/>
      <c r="F915" s="285" t="str">
        <f t="shared" si="34"/>
        <v/>
      </c>
      <c r="G915" s="286"/>
      <c r="H915" s="287"/>
      <c r="I915" s="287"/>
      <c r="K915" s="285" t="str">
        <f t="shared" si="35"/>
        <v/>
      </c>
      <c r="L915" s="286"/>
      <c r="M915" s="287"/>
      <c r="N915" s="287"/>
      <c r="O915" s="286"/>
      <c r="P915" s="286"/>
      <c r="Q915" s="287"/>
    </row>
    <row r="916" spans="1:17" ht="30" customHeight="1" x14ac:dyDescent="0.2">
      <c r="A916" s="280"/>
      <c r="B916" s="281"/>
      <c r="C916" s="281"/>
      <c r="D916" s="281"/>
      <c r="F916" s="285" t="str">
        <f t="shared" si="34"/>
        <v/>
      </c>
      <c r="G916" s="286"/>
      <c r="H916" s="287"/>
      <c r="I916" s="287"/>
      <c r="K916" s="285" t="str">
        <f t="shared" si="35"/>
        <v/>
      </c>
      <c r="L916" s="286"/>
      <c r="M916" s="287"/>
      <c r="N916" s="287"/>
      <c r="O916" s="286"/>
      <c r="P916" s="286"/>
      <c r="Q916" s="287"/>
    </row>
    <row r="917" spans="1:17" ht="30" customHeight="1" x14ac:dyDescent="0.2">
      <c r="A917" s="280"/>
      <c r="B917" s="281"/>
      <c r="C917" s="281"/>
      <c r="D917" s="281"/>
      <c r="F917" s="285" t="str">
        <f t="shared" si="34"/>
        <v/>
      </c>
      <c r="G917" s="286"/>
      <c r="H917" s="287"/>
      <c r="I917" s="287"/>
      <c r="K917" s="285" t="str">
        <f t="shared" si="35"/>
        <v/>
      </c>
      <c r="L917" s="286"/>
      <c r="M917" s="287"/>
      <c r="N917" s="287"/>
      <c r="O917" s="286"/>
      <c r="P917" s="286"/>
      <c r="Q917" s="287"/>
    </row>
    <row r="918" spans="1:17" ht="30" customHeight="1" x14ac:dyDescent="0.2">
      <c r="A918" s="280"/>
      <c r="B918" s="281"/>
      <c r="C918" s="281"/>
      <c r="D918" s="281"/>
      <c r="F918" s="285" t="str">
        <f t="shared" si="34"/>
        <v/>
      </c>
      <c r="G918" s="286"/>
      <c r="H918" s="287"/>
      <c r="I918" s="287"/>
      <c r="K918" s="285" t="str">
        <f t="shared" si="35"/>
        <v/>
      </c>
      <c r="L918" s="286"/>
      <c r="M918" s="287"/>
      <c r="N918" s="287"/>
      <c r="O918" s="286"/>
      <c r="P918" s="286"/>
      <c r="Q918" s="287"/>
    </row>
    <row r="919" spans="1:17" ht="30" customHeight="1" x14ac:dyDescent="0.2">
      <c r="A919" s="280"/>
      <c r="B919" s="281"/>
      <c r="C919" s="281"/>
      <c r="D919" s="281"/>
      <c r="F919" s="285" t="str">
        <f t="shared" si="34"/>
        <v/>
      </c>
      <c r="G919" s="286"/>
      <c r="H919" s="287"/>
      <c r="I919" s="287"/>
      <c r="K919" s="285" t="str">
        <f t="shared" si="35"/>
        <v/>
      </c>
      <c r="L919" s="286"/>
      <c r="M919" s="287"/>
      <c r="N919" s="287"/>
      <c r="O919" s="286"/>
      <c r="P919" s="286"/>
      <c r="Q919" s="287"/>
    </row>
    <row r="920" spans="1:17" ht="30" customHeight="1" x14ac:dyDescent="0.2">
      <c r="A920" s="280"/>
      <c r="B920" s="281"/>
      <c r="C920" s="281"/>
      <c r="D920" s="281"/>
      <c r="F920" s="285" t="str">
        <f t="shared" si="34"/>
        <v/>
      </c>
      <c r="G920" s="286"/>
      <c r="H920" s="287"/>
      <c r="I920" s="287"/>
      <c r="K920" s="285" t="str">
        <f t="shared" si="35"/>
        <v/>
      </c>
      <c r="L920" s="286"/>
      <c r="M920" s="287"/>
      <c r="N920" s="287"/>
      <c r="O920" s="286"/>
      <c r="P920" s="286"/>
      <c r="Q920" s="287"/>
    </row>
    <row r="921" spans="1:17" ht="30" customHeight="1" x14ac:dyDescent="0.2">
      <c r="A921" s="280"/>
      <c r="B921" s="281"/>
      <c r="C921" s="281"/>
      <c r="D921" s="281"/>
      <c r="F921" s="285" t="str">
        <f t="shared" si="34"/>
        <v/>
      </c>
      <c r="G921" s="286"/>
      <c r="H921" s="287"/>
      <c r="I921" s="287"/>
      <c r="K921" s="285" t="str">
        <f t="shared" si="35"/>
        <v/>
      </c>
      <c r="L921" s="286"/>
      <c r="M921" s="287"/>
      <c r="N921" s="287"/>
      <c r="O921" s="286"/>
      <c r="P921" s="286"/>
      <c r="Q921" s="287"/>
    </row>
    <row r="922" spans="1:17" ht="30" customHeight="1" x14ac:dyDescent="0.2">
      <c r="A922" s="280"/>
      <c r="B922" s="281"/>
      <c r="C922" s="281"/>
      <c r="D922" s="281"/>
      <c r="F922" s="285" t="str">
        <f t="shared" si="34"/>
        <v/>
      </c>
      <c r="G922" s="286"/>
      <c r="H922" s="287"/>
      <c r="I922" s="287"/>
      <c r="K922" s="285" t="str">
        <f t="shared" si="35"/>
        <v/>
      </c>
      <c r="L922" s="286"/>
      <c r="M922" s="287"/>
      <c r="N922" s="287"/>
      <c r="O922" s="286"/>
      <c r="P922" s="286"/>
      <c r="Q922" s="287"/>
    </row>
    <row r="923" spans="1:17" ht="30" customHeight="1" x14ac:dyDescent="0.2">
      <c r="A923" s="280"/>
      <c r="B923" s="281"/>
      <c r="C923" s="281"/>
      <c r="D923" s="281"/>
      <c r="F923" s="285" t="str">
        <f t="shared" si="34"/>
        <v/>
      </c>
      <c r="G923" s="286"/>
      <c r="H923" s="287"/>
      <c r="I923" s="287"/>
      <c r="K923" s="285" t="str">
        <f t="shared" si="35"/>
        <v/>
      </c>
      <c r="L923" s="286"/>
      <c r="M923" s="287"/>
      <c r="N923" s="287"/>
      <c r="O923" s="286"/>
      <c r="P923" s="286"/>
      <c r="Q923" s="287"/>
    </row>
    <row r="924" spans="1:17" ht="30" customHeight="1" x14ac:dyDescent="0.2">
      <c r="A924" s="280"/>
      <c r="B924" s="281"/>
      <c r="C924" s="281"/>
      <c r="D924" s="281"/>
      <c r="F924" s="285" t="str">
        <f t="shared" si="34"/>
        <v/>
      </c>
      <c r="G924" s="286"/>
      <c r="H924" s="287"/>
      <c r="I924" s="287"/>
      <c r="K924" s="285" t="str">
        <f t="shared" si="35"/>
        <v/>
      </c>
      <c r="L924" s="286"/>
      <c r="M924" s="287"/>
      <c r="N924" s="287"/>
      <c r="O924" s="286"/>
      <c r="P924" s="286"/>
      <c r="Q924" s="287"/>
    </row>
    <row r="925" spans="1:17" ht="30" customHeight="1" x14ac:dyDescent="0.2">
      <c r="A925" s="280"/>
      <c r="B925" s="281"/>
      <c r="C925" s="281"/>
      <c r="D925" s="281"/>
      <c r="F925" s="285" t="str">
        <f t="shared" si="34"/>
        <v/>
      </c>
      <c r="G925" s="286"/>
      <c r="H925" s="287"/>
      <c r="I925" s="287"/>
      <c r="K925" s="285" t="str">
        <f t="shared" si="35"/>
        <v/>
      </c>
      <c r="L925" s="286"/>
      <c r="M925" s="287"/>
      <c r="N925" s="287"/>
      <c r="O925" s="286"/>
      <c r="P925" s="286"/>
      <c r="Q925" s="287"/>
    </row>
    <row r="926" spans="1:17" ht="30" customHeight="1" x14ac:dyDescent="0.2">
      <c r="A926" s="280"/>
      <c r="B926" s="281"/>
      <c r="C926" s="281"/>
      <c r="D926" s="281"/>
      <c r="F926" s="285" t="str">
        <f t="shared" si="34"/>
        <v/>
      </c>
      <c r="G926" s="286"/>
      <c r="H926" s="287"/>
      <c r="I926" s="287"/>
      <c r="K926" s="285" t="str">
        <f t="shared" si="35"/>
        <v/>
      </c>
      <c r="L926" s="286"/>
      <c r="M926" s="287"/>
      <c r="N926" s="287"/>
      <c r="O926" s="286"/>
      <c r="P926" s="286"/>
      <c r="Q926" s="287"/>
    </row>
    <row r="927" spans="1:17" ht="30" customHeight="1" x14ac:dyDescent="0.2">
      <c r="A927" s="280"/>
      <c r="B927" s="281"/>
      <c r="C927" s="281"/>
      <c r="D927" s="281"/>
      <c r="F927" s="285" t="str">
        <f t="shared" si="34"/>
        <v/>
      </c>
      <c r="G927" s="286"/>
      <c r="H927" s="287"/>
      <c r="I927" s="287"/>
      <c r="K927" s="285" t="str">
        <f t="shared" si="35"/>
        <v/>
      </c>
      <c r="L927" s="286"/>
      <c r="M927" s="287"/>
      <c r="N927" s="287"/>
      <c r="O927" s="286"/>
      <c r="P927" s="286"/>
      <c r="Q927" s="287"/>
    </row>
    <row r="928" spans="1:17" ht="30" customHeight="1" x14ac:dyDescent="0.2">
      <c r="A928" s="280"/>
      <c r="B928" s="281"/>
      <c r="C928" s="281"/>
      <c r="D928" s="281"/>
      <c r="F928" s="285" t="str">
        <f t="shared" si="34"/>
        <v/>
      </c>
      <c r="G928" s="286"/>
      <c r="H928" s="287"/>
      <c r="I928" s="287"/>
      <c r="K928" s="285" t="str">
        <f t="shared" si="35"/>
        <v/>
      </c>
      <c r="L928" s="286"/>
      <c r="M928" s="287"/>
      <c r="N928" s="287"/>
      <c r="O928" s="286"/>
      <c r="P928" s="286"/>
      <c r="Q928" s="287"/>
    </row>
    <row r="929" spans="1:17" ht="30" customHeight="1" x14ac:dyDescent="0.2">
      <c r="A929" s="280"/>
      <c r="B929" s="281"/>
      <c r="C929" s="281"/>
      <c r="D929" s="281"/>
      <c r="F929" s="285" t="str">
        <f t="shared" si="34"/>
        <v/>
      </c>
      <c r="G929" s="286"/>
      <c r="H929" s="287"/>
      <c r="I929" s="287"/>
      <c r="K929" s="285" t="str">
        <f t="shared" si="35"/>
        <v/>
      </c>
      <c r="L929" s="286"/>
      <c r="M929" s="287"/>
      <c r="N929" s="287"/>
      <c r="O929" s="286"/>
      <c r="P929" s="286"/>
      <c r="Q929" s="287"/>
    </row>
    <row r="930" spans="1:17" ht="30" customHeight="1" x14ac:dyDescent="0.2">
      <c r="A930" s="280"/>
      <c r="B930" s="281"/>
      <c r="C930" s="281"/>
      <c r="D930" s="281"/>
      <c r="F930" s="285" t="str">
        <f t="shared" si="34"/>
        <v/>
      </c>
      <c r="G930" s="286"/>
      <c r="H930" s="287"/>
      <c r="I930" s="287"/>
      <c r="K930" s="285" t="str">
        <f t="shared" si="35"/>
        <v/>
      </c>
      <c r="L930" s="286"/>
      <c r="M930" s="287"/>
      <c r="N930" s="287"/>
      <c r="O930" s="286"/>
      <c r="P930" s="286"/>
      <c r="Q930" s="287"/>
    </row>
    <row r="931" spans="1:17" ht="30" customHeight="1" x14ac:dyDescent="0.2">
      <c r="A931" s="280"/>
      <c r="B931" s="281"/>
      <c r="C931" s="281"/>
      <c r="D931" s="281"/>
      <c r="F931" s="285" t="str">
        <f t="shared" si="34"/>
        <v/>
      </c>
      <c r="G931" s="286"/>
      <c r="H931" s="287"/>
      <c r="I931" s="287"/>
      <c r="K931" s="285" t="str">
        <f t="shared" si="35"/>
        <v/>
      </c>
      <c r="L931" s="286"/>
      <c r="M931" s="287"/>
      <c r="N931" s="287"/>
      <c r="O931" s="286"/>
      <c r="P931" s="286"/>
      <c r="Q931" s="287"/>
    </row>
    <row r="932" spans="1:17" ht="30" customHeight="1" x14ac:dyDescent="0.2">
      <c r="A932" s="280"/>
      <c r="B932" s="281"/>
      <c r="C932" s="281"/>
      <c r="D932" s="281"/>
      <c r="F932" s="285" t="str">
        <f t="shared" si="34"/>
        <v/>
      </c>
      <c r="G932" s="286"/>
      <c r="H932" s="287"/>
      <c r="I932" s="287"/>
      <c r="K932" s="285" t="str">
        <f t="shared" si="35"/>
        <v/>
      </c>
      <c r="L932" s="286"/>
      <c r="M932" s="287"/>
      <c r="N932" s="287"/>
      <c r="O932" s="286"/>
      <c r="P932" s="286"/>
      <c r="Q932" s="287"/>
    </row>
    <row r="933" spans="1:17" ht="30" customHeight="1" x14ac:dyDescent="0.2">
      <c r="A933" s="280"/>
      <c r="B933" s="281"/>
      <c r="C933" s="281"/>
      <c r="D933" s="281"/>
      <c r="F933" s="285" t="str">
        <f t="shared" si="34"/>
        <v/>
      </c>
      <c r="G933" s="286"/>
      <c r="H933" s="287"/>
      <c r="I933" s="287"/>
      <c r="K933" s="285" t="str">
        <f t="shared" si="35"/>
        <v/>
      </c>
      <c r="L933" s="286"/>
      <c r="M933" s="287"/>
      <c r="N933" s="287"/>
      <c r="O933" s="286"/>
      <c r="P933" s="286"/>
      <c r="Q933" s="287"/>
    </row>
    <row r="934" spans="1:17" ht="30" customHeight="1" x14ac:dyDescent="0.2">
      <c r="A934" s="280"/>
      <c r="B934" s="281"/>
      <c r="C934" s="281"/>
      <c r="D934" s="281"/>
      <c r="F934" s="285" t="str">
        <f t="shared" si="34"/>
        <v/>
      </c>
      <c r="G934" s="286"/>
      <c r="H934" s="287"/>
      <c r="I934" s="287"/>
      <c r="K934" s="285" t="str">
        <f t="shared" si="35"/>
        <v/>
      </c>
      <c r="L934" s="286"/>
      <c r="M934" s="287"/>
      <c r="N934" s="287"/>
      <c r="O934" s="286"/>
      <c r="P934" s="286"/>
      <c r="Q934" s="287"/>
    </row>
    <row r="935" spans="1:17" ht="30" customHeight="1" x14ac:dyDescent="0.2">
      <c r="A935" s="280"/>
      <c r="B935" s="281"/>
      <c r="C935" s="281"/>
      <c r="D935" s="281"/>
      <c r="F935" s="285" t="str">
        <f t="shared" si="34"/>
        <v/>
      </c>
      <c r="G935" s="286"/>
      <c r="H935" s="287"/>
      <c r="I935" s="287"/>
      <c r="K935" s="285" t="str">
        <f t="shared" si="35"/>
        <v/>
      </c>
      <c r="L935" s="286"/>
      <c r="M935" s="287"/>
      <c r="N935" s="287"/>
      <c r="O935" s="286"/>
      <c r="P935" s="286"/>
      <c r="Q935" s="287"/>
    </row>
    <row r="936" spans="1:17" ht="30" customHeight="1" x14ac:dyDescent="0.2">
      <c r="A936" s="280"/>
      <c r="B936" s="281"/>
      <c r="C936" s="281"/>
      <c r="D936" s="281"/>
      <c r="F936" s="285" t="str">
        <f t="shared" si="34"/>
        <v/>
      </c>
      <c r="G936" s="286"/>
      <c r="H936" s="287"/>
      <c r="I936" s="287"/>
      <c r="K936" s="285" t="str">
        <f t="shared" si="35"/>
        <v/>
      </c>
      <c r="L936" s="286"/>
      <c r="M936" s="287"/>
      <c r="N936" s="287"/>
      <c r="O936" s="286"/>
      <c r="P936" s="286"/>
      <c r="Q936" s="287"/>
    </row>
    <row r="937" spans="1:17" ht="30" customHeight="1" x14ac:dyDescent="0.2">
      <c r="A937" s="280"/>
      <c r="B937" s="281"/>
      <c r="C937" s="281"/>
      <c r="D937" s="281"/>
      <c r="F937" s="285" t="str">
        <f t="shared" si="34"/>
        <v/>
      </c>
      <c r="G937" s="286"/>
      <c r="H937" s="287"/>
      <c r="I937" s="287"/>
      <c r="K937" s="285" t="str">
        <f t="shared" si="35"/>
        <v/>
      </c>
      <c r="L937" s="286"/>
      <c r="M937" s="287"/>
      <c r="N937" s="287"/>
      <c r="O937" s="286"/>
      <c r="P937" s="286"/>
      <c r="Q937" s="287"/>
    </row>
    <row r="938" spans="1:17" ht="30" customHeight="1" x14ac:dyDescent="0.2">
      <c r="A938" s="280"/>
      <c r="B938" s="281"/>
      <c r="C938" s="281"/>
      <c r="D938" s="281"/>
      <c r="F938" s="285" t="str">
        <f t="shared" si="34"/>
        <v/>
      </c>
      <c r="G938" s="286"/>
      <c r="H938" s="287"/>
      <c r="I938" s="287"/>
      <c r="K938" s="285" t="str">
        <f t="shared" si="35"/>
        <v/>
      </c>
      <c r="L938" s="286"/>
      <c r="M938" s="287"/>
      <c r="N938" s="287"/>
      <c r="O938" s="286"/>
      <c r="P938" s="286"/>
      <c r="Q938" s="287"/>
    </row>
    <row r="939" spans="1:17" ht="30" customHeight="1" x14ac:dyDescent="0.2">
      <c r="A939" s="280"/>
      <c r="B939" s="281"/>
      <c r="C939" s="281"/>
      <c r="D939" s="281"/>
      <c r="F939" s="285" t="str">
        <f t="shared" si="34"/>
        <v/>
      </c>
      <c r="G939" s="286"/>
      <c r="H939" s="287"/>
      <c r="I939" s="287"/>
      <c r="K939" s="285" t="str">
        <f t="shared" si="35"/>
        <v/>
      </c>
      <c r="L939" s="286"/>
      <c r="M939" s="287"/>
      <c r="N939" s="287"/>
      <c r="O939" s="286"/>
      <c r="P939" s="286"/>
      <c r="Q939" s="287"/>
    </row>
    <row r="940" spans="1:17" ht="30" customHeight="1" x14ac:dyDescent="0.2">
      <c r="A940" s="280"/>
      <c r="B940" s="281"/>
      <c r="C940" s="281"/>
      <c r="D940" s="281"/>
      <c r="F940" s="285" t="str">
        <f t="shared" si="34"/>
        <v/>
      </c>
      <c r="G940" s="286"/>
      <c r="H940" s="287"/>
      <c r="I940" s="287"/>
      <c r="K940" s="285" t="str">
        <f t="shared" si="35"/>
        <v/>
      </c>
      <c r="L940" s="286"/>
      <c r="M940" s="287"/>
      <c r="N940" s="287"/>
      <c r="O940" s="286"/>
      <c r="P940" s="286"/>
      <c r="Q940" s="287"/>
    </row>
    <row r="941" spans="1:17" ht="30" customHeight="1" x14ac:dyDescent="0.2">
      <c r="A941" s="280"/>
      <c r="B941" s="281"/>
      <c r="C941" s="281"/>
      <c r="D941" s="281"/>
      <c r="F941" s="285" t="str">
        <f t="shared" si="34"/>
        <v/>
      </c>
      <c r="G941" s="286"/>
      <c r="H941" s="287"/>
      <c r="I941" s="287"/>
      <c r="K941" s="285" t="str">
        <f t="shared" si="35"/>
        <v/>
      </c>
      <c r="L941" s="286"/>
      <c r="M941" s="287"/>
      <c r="N941" s="287"/>
      <c r="O941" s="286"/>
      <c r="P941" s="286"/>
      <c r="Q941" s="287"/>
    </row>
    <row r="942" spans="1:17" ht="30" customHeight="1" x14ac:dyDescent="0.2">
      <c r="A942" s="280"/>
      <c r="B942" s="281"/>
      <c r="C942" s="281"/>
      <c r="D942" s="281"/>
      <c r="F942" s="285" t="str">
        <f t="shared" si="34"/>
        <v/>
      </c>
      <c r="G942" s="286"/>
      <c r="H942" s="287"/>
      <c r="I942" s="287"/>
      <c r="K942" s="285" t="str">
        <f t="shared" si="35"/>
        <v/>
      </c>
      <c r="L942" s="286"/>
      <c r="M942" s="287"/>
      <c r="N942" s="287"/>
      <c r="O942" s="286"/>
      <c r="P942" s="286"/>
      <c r="Q942" s="287"/>
    </row>
    <row r="943" spans="1:17" ht="30" customHeight="1" x14ac:dyDescent="0.2">
      <c r="A943" s="280"/>
      <c r="B943" s="281"/>
      <c r="C943" s="281"/>
      <c r="D943" s="281"/>
      <c r="F943" s="285" t="str">
        <f t="shared" si="34"/>
        <v/>
      </c>
      <c r="G943" s="286"/>
      <c r="H943" s="287"/>
      <c r="I943" s="287"/>
      <c r="K943" s="285" t="str">
        <f t="shared" si="35"/>
        <v/>
      </c>
      <c r="L943" s="286"/>
      <c r="M943" s="287"/>
      <c r="N943" s="287"/>
      <c r="O943" s="286"/>
      <c r="P943" s="286"/>
      <c r="Q943" s="287"/>
    </row>
    <row r="944" spans="1:17" ht="30" customHeight="1" x14ac:dyDescent="0.2">
      <c r="A944" s="280"/>
      <c r="B944" s="281"/>
      <c r="C944" s="281"/>
      <c r="D944" s="281"/>
      <c r="F944" s="285" t="str">
        <f t="shared" si="34"/>
        <v/>
      </c>
      <c r="G944" s="286"/>
      <c r="H944" s="287"/>
      <c r="I944" s="287"/>
      <c r="K944" s="285" t="str">
        <f t="shared" si="35"/>
        <v/>
      </c>
      <c r="L944" s="286"/>
      <c r="M944" s="287"/>
      <c r="N944" s="287"/>
      <c r="O944" s="286"/>
      <c r="P944" s="286"/>
      <c r="Q944" s="287"/>
    </row>
    <row r="945" spans="1:17" ht="30" customHeight="1" x14ac:dyDescent="0.2">
      <c r="A945" s="280"/>
      <c r="B945" s="281"/>
      <c r="C945" s="281"/>
      <c r="D945" s="281"/>
      <c r="F945" s="285" t="str">
        <f t="shared" si="34"/>
        <v/>
      </c>
      <c r="G945" s="286"/>
      <c r="H945" s="287"/>
      <c r="I945" s="287"/>
      <c r="K945" s="285" t="str">
        <f t="shared" si="35"/>
        <v/>
      </c>
      <c r="L945" s="286"/>
      <c r="M945" s="287"/>
      <c r="N945" s="287"/>
      <c r="O945" s="286"/>
      <c r="P945" s="286"/>
      <c r="Q945" s="287"/>
    </row>
    <row r="946" spans="1:17" ht="30" customHeight="1" x14ac:dyDescent="0.2">
      <c r="A946" s="280"/>
      <c r="B946" s="281"/>
      <c r="C946" s="281"/>
      <c r="D946" s="281"/>
      <c r="F946" s="285" t="str">
        <f t="shared" si="34"/>
        <v/>
      </c>
      <c r="G946" s="286"/>
      <c r="H946" s="287"/>
      <c r="I946" s="287"/>
      <c r="K946" s="285" t="str">
        <f t="shared" si="35"/>
        <v/>
      </c>
      <c r="L946" s="286"/>
      <c r="M946" s="287"/>
      <c r="N946" s="287"/>
      <c r="O946" s="286"/>
      <c r="P946" s="286"/>
      <c r="Q946" s="287"/>
    </row>
    <row r="947" spans="1:17" ht="30" customHeight="1" x14ac:dyDescent="0.2">
      <c r="A947" s="280"/>
      <c r="B947" s="281"/>
      <c r="C947" s="281"/>
      <c r="D947" s="281"/>
      <c r="F947" s="285" t="str">
        <f t="shared" si="34"/>
        <v/>
      </c>
      <c r="G947" s="286"/>
      <c r="H947" s="287"/>
      <c r="I947" s="287"/>
      <c r="K947" s="285" t="str">
        <f t="shared" si="35"/>
        <v/>
      </c>
      <c r="L947" s="286"/>
      <c r="M947" s="287"/>
      <c r="N947" s="287"/>
      <c r="O947" s="286"/>
      <c r="P947" s="286"/>
      <c r="Q947" s="287"/>
    </row>
    <row r="948" spans="1:17" ht="30" customHeight="1" x14ac:dyDescent="0.2">
      <c r="A948" s="280"/>
      <c r="B948" s="281"/>
      <c r="C948" s="281"/>
      <c r="D948" s="281"/>
      <c r="F948" s="285" t="str">
        <f t="shared" si="34"/>
        <v/>
      </c>
      <c r="G948" s="286"/>
      <c r="H948" s="287"/>
      <c r="I948" s="287"/>
      <c r="K948" s="285" t="str">
        <f t="shared" si="35"/>
        <v/>
      </c>
      <c r="L948" s="286"/>
      <c r="M948" s="287"/>
      <c r="N948" s="287"/>
      <c r="O948" s="286"/>
      <c r="P948" s="286"/>
      <c r="Q948" s="287"/>
    </row>
    <row r="949" spans="1:17" ht="30" customHeight="1" x14ac:dyDescent="0.2">
      <c r="A949" s="280"/>
      <c r="B949" s="281"/>
      <c r="C949" s="281"/>
      <c r="D949" s="281"/>
      <c r="F949" s="285" t="str">
        <f t="shared" si="34"/>
        <v/>
      </c>
      <c r="G949" s="286"/>
      <c r="H949" s="287"/>
      <c r="I949" s="287"/>
      <c r="K949" s="285" t="str">
        <f t="shared" si="35"/>
        <v/>
      </c>
      <c r="L949" s="286"/>
      <c r="M949" s="287"/>
      <c r="N949" s="287"/>
      <c r="O949" s="286"/>
      <c r="P949" s="286"/>
      <c r="Q949" s="287"/>
    </row>
    <row r="950" spans="1:17" ht="30" customHeight="1" x14ac:dyDescent="0.2">
      <c r="A950" s="280"/>
      <c r="B950" s="281"/>
      <c r="C950" s="281"/>
      <c r="D950" s="281"/>
      <c r="F950" s="285" t="str">
        <f t="shared" si="34"/>
        <v/>
      </c>
      <c r="G950" s="286"/>
      <c r="H950" s="287"/>
      <c r="I950" s="287"/>
      <c r="K950" s="285" t="str">
        <f t="shared" si="35"/>
        <v/>
      </c>
      <c r="L950" s="286"/>
      <c r="M950" s="287"/>
      <c r="N950" s="287"/>
      <c r="O950" s="286"/>
      <c r="P950" s="286"/>
      <c r="Q950" s="287"/>
    </row>
    <row r="951" spans="1:17" ht="30" customHeight="1" x14ac:dyDescent="0.2">
      <c r="A951" s="280"/>
      <c r="B951" s="281"/>
      <c r="C951" s="281"/>
      <c r="D951" s="281"/>
      <c r="F951" s="285" t="str">
        <f t="shared" si="34"/>
        <v/>
      </c>
      <c r="G951" s="286"/>
      <c r="H951" s="287"/>
      <c r="I951" s="287"/>
      <c r="K951" s="285" t="str">
        <f t="shared" si="35"/>
        <v/>
      </c>
      <c r="L951" s="286"/>
      <c r="M951" s="287"/>
      <c r="N951" s="287"/>
      <c r="O951" s="286"/>
      <c r="P951" s="286"/>
      <c r="Q951" s="287"/>
    </row>
    <row r="952" spans="1:17" ht="30" customHeight="1" x14ac:dyDescent="0.2">
      <c r="A952" s="280"/>
      <c r="B952" s="281"/>
      <c r="C952" s="281"/>
      <c r="D952" s="281"/>
      <c r="F952" s="285" t="str">
        <f t="shared" si="34"/>
        <v/>
      </c>
      <c r="G952" s="286"/>
      <c r="H952" s="287"/>
      <c r="I952" s="287"/>
      <c r="K952" s="285" t="str">
        <f t="shared" si="35"/>
        <v/>
      </c>
      <c r="L952" s="286"/>
      <c r="M952" s="287"/>
      <c r="N952" s="287"/>
      <c r="O952" s="286"/>
      <c r="P952" s="286"/>
      <c r="Q952" s="287"/>
    </row>
    <row r="953" spans="1:17" ht="30" customHeight="1" x14ac:dyDescent="0.2">
      <c r="A953" s="280"/>
      <c r="B953" s="281"/>
      <c r="C953" s="281"/>
      <c r="D953" s="281"/>
      <c r="F953" s="285" t="str">
        <f t="shared" si="34"/>
        <v/>
      </c>
      <c r="G953" s="286"/>
      <c r="H953" s="287"/>
      <c r="I953" s="287"/>
      <c r="K953" s="285" t="str">
        <f t="shared" si="35"/>
        <v/>
      </c>
      <c r="L953" s="286"/>
      <c r="M953" s="287"/>
      <c r="N953" s="287"/>
      <c r="O953" s="286"/>
      <c r="P953" s="286"/>
      <c r="Q953" s="287"/>
    </row>
    <row r="954" spans="1:17" ht="30" customHeight="1" x14ac:dyDescent="0.2">
      <c r="A954" s="280"/>
      <c r="B954" s="281"/>
      <c r="C954" s="281"/>
      <c r="D954" s="281"/>
      <c r="F954" s="285" t="str">
        <f t="shared" si="34"/>
        <v/>
      </c>
      <c r="G954" s="286"/>
      <c r="H954" s="287"/>
      <c r="I954" s="287"/>
      <c r="K954" s="285" t="str">
        <f t="shared" si="35"/>
        <v/>
      </c>
      <c r="L954" s="286"/>
      <c r="M954" s="287"/>
      <c r="N954" s="287"/>
      <c r="O954" s="286"/>
      <c r="P954" s="286"/>
      <c r="Q954" s="287"/>
    </row>
    <row r="955" spans="1:17" ht="30" customHeight="1" x14ac:dyDescent="0.2">
      <c r="A955" s="280"/>
      <c r="B955" s="281"/>
      <c r="C955" s="281"/>
      <c r="D955" s="281"/>
      <c r="F955" s="285" t="str">
        <f t="shared" si="34"/>
        <v/>
      </c>
      <c r="G955" s="286"/>
      <c r="H955" s="287"/>
      <c r="I955" s="287"/>
      <c r="K955" s="285" t="str">
        <f t="shared" si="35"/>
        <v/>
      </c>
      <c r="L955" s="286"/>
      <c r="M955" s="287"/>
      <c r="N955" s="287"/>
      <c r="O955" s="286"/>
      <c r="P955" s="286"/>
      <c r="Q955" s="287"/>
    </row>
    <row r="956" spans="1:17" ht="30" customHeight="1" x14ac:dyDescent="0.2">
      <c r="A956" s="280"/>
      <c r="B956" s="281"/>
      <c r="C956" s="281"/>
      <c r="D956" s="281"/>
      <c r="F956" s="285" t="str">
        <f t="shared" si="34"/>
        <v/>
      </c>
      <c r="G956" s="286"/>
      <c r="H956" s="287"/>
      <c r="I956" s="287"/>
      <c r="K956" s="285" t="str">
        <f t="shared" si="35"/>
        <v/>
      </c>
      <c r="L956" s="286"/>
      <c r="M956" s="287"/>
      <c r="N956" s="287"/>
      <c r="O956" s="286"/>
      <c r="P956" s="286"/>
      <c r="Q956" s="287"/>
    </row>
    <row r="957" spans="1:17" ht="30" customHeight="1" x14ac:dyDescent="0.2">
      <c r="A957" s="280"/>
      <c r="B957" s="281"/>
      <c r="C957" s="281"/>
      <c r="D957" s="281"/>
      <c r="F957" s="285" t="str">
        <f t="shared" si="34"/>
        <v/>
      </c>
      <c r="G957" s="286"/>
      <c r="H957" s="287"/>
      <c r="I957" s="287"/>
      <c r="K957" s="285" t="str">
        <f t="shared" si="35"/>
        <v/>
      </c>
      <c r="L957" s="286"/>
      <c r="M957" s="287"/>
      <c r="N957" s="287"/>
      <c r="O957" s="286"/>
      <c r="P957" s="286"/>
      <c r="Q957" s="287"/>
    </row>
    <row r="958" spans="1:17" ht="30" customHeight="1" x14ac:dyDescent="0.2">
      <c r="A958" s="280"/>
      <c r="B958" s="281"/>
      <c r="C958" s="281"/>
      <c r="D958" s="281"/>
      <c r="F958" s="285" t="str">
        <f t="shared" si="34"/>
        <v/>
      </c>
      <c r="G958" s="286"/>
      <c r="H958" s="287"/>
      <c r="I958" s="287"/>
      <c r="K958" s="285" t="str">
        <f t="shared" si="35"/>
        <v/>
      </c>
      <c r="L958" s="286"/>
      <c r="M958" s="287"/>
      <c r="N958" s="287"/>
      <c r="O958" s="286"/>
      <c r="P958" s="286"/>
      <c r="Q958" s="287"/>
    </row>
    <row r="959" spans="1:17" ht="30" customHeight="1" x14ac:dyDescent="0.2">
      <c r="A959" s="280"/>
      <c r="B959" s="281"/>
      <c r="C959" s="281"/>
      <c r="D959" s="281"/>
      <c r="F959" s="285" t="str">
        <f t="shared" si="34"/>
        <v/>
      </c>
      <c r="G959" s="286"/>
      <c r="H959" s="287"/>
      <c r="I959" s="287"/>
      <c r="K959" s="285" t="str">
        <f t="shared" si="35"/>
        <v/>
      </c>
      <c r="L959" s="286"/>
      <c r="M959" s="287"/>
      <c r="N959" s="287"/>
      <c r="O959" s="286"/>
      <c r="P959" s="286"/>
      <c r="Q959" s="287"/>
    </row>
    <row r="960" spans="1:17" ht="30" customHeight="1" x14ac:dyDescent="0.2">
      <c r="A960" s="280"/>
      <c r="B960" s="281"/>
      <c r="C960" s="281"/>
      <c r="D960" s="281"/>
      <c r="F960" s="285" t="str">
        <f t="shared" si="34"/>
        <v/>
      </c>
      <c r="G960" s="286"/>
      <c r="H960" s="287"/>
      <c r="I960" s="287"/>
      <c r="K960" s="285" t="str">
        <f t="shared" si="35"/>
        <v/>
      </c>
      <c r="L960" s="286"/>
      <c r="M960" s="287"/>
      <c r="N960" s="287"/>
      <c r="O960" s="286"/>
      <c r="P960" s="286"/>
      <c r="Q960" s="287"/>
    </row>
    <row r="961" spans="1:17" ht="30" customHeight="1" x14ac:dyDescent="0.2">
      <c r="A961" s="280"/>
      <c r="B961" s="281"/>
      <c r="C961" s="281"/>
      <c r="D961" s="281"/>
      <c r="F961" s="285" t="str">
        <f t="shared" si="34"/>
        <v/>
      </c>
      <c r="G961" s="286"/>
      <c r="H961" s="287"/>
      <c r="I961" s="287"/>
      <c r="K961" s="285" t="str">
        <f t="shared" si="35"/>
        <v/>
      </c>
      <c r="L961" s="286"/>
      <c r="M961" s="287"/>
      <c r="N961" s="287"/>
      <c r="O961" s="286"/>
      <c r="P961" s="286"/>
      <c r="Q961" s="287"/>
    </row>
    <row r="962" spans="1:17" ht="30" customHeight="1" x14ac:dyDescent="0.2">
      <c r="A962" s="280"/>
      <c r="B962" s="281"/>
      <c r="C962" s="281"/>
      <c r="D962" s="281"/>
      <c r="F962" s="285" t="str">
        <f t="shared" si="34"/>
        <v/>
      </c>
      <c r="G962" s="286"/>
      <c r="H962" s="287"/>
      <c r="I962" s="287"/>
      <c r="K962" s="285" t="str">
        <f t="shared" si="35"/>
        <v/>
      </c>
      <c r="L962" s="286"/>
      <c r="M962" s="287"/>
      <c r="N962" s="287"/>
      <c r="O962" s="286"/>
      <c r="P962" s="286"/>
      <c r="Q962" s="287"/>
    </row>
    <row r="963" spans="1:17" ht="30" customHeight="1" x14ac:dyDescent="0.2">
      <c r="A963" s="280"/>
      <c r="B963" s="281"/>
      <c r="C963" s="281"/>
      <c r="D963" s="281"/>
      <c r="F963" s="285" t="str">
        <f t="shared" si="34"/>
        <v/>
      </c>
      <c r="G963" s="286"/>
      <c r="H963" s="287"/>
      <c r="I963" s="287"/>
      <c r="K963" s="285" t="str">
        <f t="shared" si="35"/>
        <v/>
      </c>
      <c r="L963" s="286"/>
      <c r="M963" s="287"/>
      <c r="N963" s="287"/>
      <c r="O963" s="286"/>
      <c r="P963" s="286"/>
      <c r="Q963" s="287"/>
    </row>
    <row r="964" spans="1:17" ht="30" customHeight="1" x14ac:dyDescent="0.2">
      <c r="A964" s="280"/>
      <c r="B964" s="281"/>
      <c r="C964" s="281"/>
      <c r="D964" s="281"/>
      <c r="F964" s="285" t="str">
        <f t="shared" si="34"/>
        <v/>
      </c>
      <c r="G964" s="286"/>
      <c r="H964" s="287"/>
      <c r="I964" s="287"/>
      <c r="K964" s="285" t="str">
        <f t="shared" si="35"/>
        <v/>
      </c>
      <c r="L964" s="286"/>
      <c r="M964" s="287"/>
      <c r="N964" s="287"/>
      <c r="O964" s="286"/>
      <c r="P964" s="286"/>
      <c r="Q964" s="287"/>
    </row>
    <row r="965" spans="1:17" ht="30" customHeight="1" x14ac:dyDescent="0.2">
      <c r="A965" s="280"/>
      <c r="B965" s="281"/>
      <c r="C965" s="281"/>
      <c r="D965" s="281"/>
      <c r="F965" s="285" t="str">
        <f t="shared" ref="F965:F1028" si="36">IF(A965="","",A965)</f>
        <v/>
      </c>
      <c r="G965" s="286"/>
      <c r="H965" s="287"/>
      <c r="I965" s="287"/>
      <c r="K965" s="285" t="str">
        <f t="shared" si="35"/>
        <v/>
      </c>
      <c r="L965" s="286"/>
      <c r="M965" s="287"/>
      <c r="N965" s="287"/>
      <c r="O965" s="286"/>
      <c r="P965" s="286"/>
      <c r="Q965" s="287"/>
    </row>
    <row r="966" spans="1:17" ht="30" customHeight="1" x14ac:dyDescent="0.2">
      <c r="A966" s="280"/>
      <c r="B966" s="281"/>
      <c r="C966" s="281"/>
      <c r="D966" s="281"/>
      <c r="F966" s="285" t="str">
        <f t="shared" si="36"/>
        <v/>
      </c>
      <c r="G966" s="286"/>
      <c r="H966" s="287"/>
      <c r="I966" s="287"/>
      <c r="K966" s="285" t="str">
        <f t="shared" si="35"/>
        <v/>
      </c>
      <c r="L966" s="286"/>
      <c r="M966" s="287"/>
      <c r="N966" s="287"/>
      <c r="O966" s="286"/>
      <c r="P966" s="286"/>
      <c r="Q966" s="287"/>
    </row>
    <row r="967" spans="1:17" ht="30" customHeight="1" x14ac:dyDescent="0.2">
      <c r="A967" s="280"/>
      <c r="B967" s="281"/>
      <c r="C967" s="281"/>
      <c r="D967" s="281"/>
      <c r="F967" s="285" t="str">
        <f t="shared" si="36"/>
        <v/>
      </c>
      <c r="G967" s="286"/>
      <c r="H967" s="287"/>
      <c r="I967" s="287"/>
      <c r="K967" s="285" t="str">
        <f t="shared" si="35"/>
        <v/>
      </c>
      <c r="L967" s="286"/>
      <c r="M967" s="287"/>
      <c r="N967" s="287"/>
      <c r="O967" s="286"/>
      <c r="P967" s="286"/>
      <c r="Q967" s="287"/>
    </row>
    <row r="968" spans="1:17" ht="30" customHeight="1" x14ac:dyDescent="0.2">
      <c r="A968" s="280"/>
      <c r="B968" s="281"/>
      <c r="C968" s="281"/>
      <c r="D968" s="281"/>
      <c r="F968" s="285" t="str">
        <f t="shared" si="36"/>
        <v/>
      </c>
      <c r="G968" s="286"/>
      <c r="H968" s="287"/>
      <c r="I968" s="287"/>
      <c r="K968" s="285" t="str">
        <f t="shared" si="35"/>
        <v/>
      </c>
      <c r="L968" s="286"/>
      <c r="M968" s="287"/>
      <c r="N968" s="287"/>
      <c r="O968" s="286"/>
      <c r="P968" s="286"/>
      <c r="Q968" s="287"/>
    </row>
    <row r="969" spans="1:17" ht="30" customHeight="1" x14ac:dyDescent="0.2">
      <c r="A969" s="280"/>
      <c r="B969" s="281"/>
      <c r="C969" s="281"/>
      <c r="D969" s="281"/>
      <c r="F969" s="285" t="str">
        <f t="shared" si="36"/>
        <v/>
      </c>
      <c r="G969" s="286"/>
      <c r="H969" s="287"/>
      <c r="I969" s="287"/>
      <c r="K969" s="285" t="str">
        <f t="shared" si="35"/>
        <v/>
      </c>
      <c r="L969" s="286"/>
      <c r="M969" s="287"/>
      <c r="N969" s="287"/>
      <c r="O969" s="286"/>
      <c r="P969" s="286"/>
      <c r="Q969" s="287"/>
    </row>
    <row r="970" spans="1:17" ht="30" customHeight="1" x14ac:dyDescent="0.2">
      <c r="A970" s="280"/>
      <c r="B970" s="281"/>
      <c r="C970" s="281"/>
      <c r="D970" s="281"/>
      <c r="F970" s="285" t="str">
        <f t="shared" si="36"/>
        <v/>
      </c>
      <c r="G970" s="286"/>
      <c r="H970" s="287"/>
      <c r="I970" s="287"/>
      <c r="K970" s="285" t="str">
        <f t="shared" si="35"/>
        <v/>
      </c>
      <c r="L970" s="286"/>
      <c r="M970" s="287"/>
      <c r="N970" s="287"/>
      <c r="O970" s="286"/>
      <c r="P970" s="286"/>
      <c r="Q970" s="287"/>
    </row>
    <row r="971" spans="1:17" ht="30" customHeight="1" x14ac:dyDescent="0.2">
      <c r="A971" s="280"/>
      <c r="B971" s="281"/>
      <c r="C971" s="281"/>
      <c r="D971" s="281"/>
      <c r="F971" s="285" t="str">
        <f t="shared" si="36"/>
        <v/>
      </c>
      <c r="G971" s="286"/>
      <c r="H971" s="287"/>
      <c r="I971" s="287"/>
      <c r="K971" s="285" t="str">
        <f t="shared" ref="K971:K1034" si="37">IF(A971="","",A971)</f>
        <v/>
      </c>
      <c r="L971" s="286"/>
      <c r="M971" s="287"/>
      <c r="N971" s="287"/>
      <c r="O971" s="286"/>
      <c r="P971" s="286"/>
      <c r="Q971" s="287"/>
    </row>
    <row r="972" spans="1:17" ht="30" customHeight="1" x14ac:dyDescent="0.2">
      <c r="A972" s="280"/>
      <c r="B972" s="281"/>
      <c r="C972" s="281"/>
      <c r="D972" s="281"/>
      <c r="F972" s="285" t="str">
        <f t="shared" si="36"/>
        <v/>
      </c>
      <c r="G972" s="286"/>
      <c r="H972" s="287"/>
      <c r="I972" s="287"/>
      <c r="K972" s="285" t="str">
        <f t="shared" si="37"/>
        <v/>
      </c>
      <c r="L972" s="286"/>
      <c r="M972" s="287"/>
      <c r="N972" s="287"/>
      <c r="O972" s="286"/>
      <c r="P972" s="286"/>
      <c r="Q972" s="287"/>
    </row>
    <row r="973" spans="1:17" ht="30" customHeight="1" x14ac:dyDescent="0.2">
      <c r="A973" s="280"/>
      <c r="B973" s="281"/>
      <c r="C973" s="281"/>
      <c r="D973" s="281"/>
      <c r="F973" s="285" t="str">
        <f t="shared" si="36"/>
        <v/>
      </c>
      <c r="G973" s="286"/>
      <c r="H973" s="287"/>
      <c r="I973" s="287"/>
      <c r="K973" s="285" t="str">
        <f t="shared" si="37"/>
        <v/>
      </c>
      <c r="L973" s="286"/>
      <c r="M973" s="287"/>
      <c r="N973" s="287"/>
      <c r="O973" s="286"/>
      <c r="P973" s="286"/>
      <c r="Q973" s="287"/>
    </row>
    <row r="974" spans="1:17" ht="30" customHeight="1" x14ac:dyDescent="0.2">
      <c r="A974" s="280"/>
      <c r="B974" s="281"/>
      <c r="C974" s="281"/>
      <c r="D974" s="281"/>
      <c r="F974" s="285" t="str">
        <f t="shared" si="36"/>
        <v/>
      </c>
      <c r="G974" s="286"/>
      <c r="H974" s="287"/>
      <c r="I974" s="287"/>
      <c r="K974" s="285" t="str">
        <f t="shared" si="37"/>
        <v/>
      </c>
      <c r="L974" s="286"/>
      <c r="M974" s="287"/>
      <c r="N974" s="287"/>
      <c r="O974" s="286"/>
      <c r="P974" s="286"/>
      <c r="Q974" s="287"/>
    </row>
    <row r="975" spans="1:17" ht="30" customHeight="1" x14ac:dyDescent="0.2">
      <c r="A975" s="280"/>
      <c r="B975" s="281"/>
      <c r="C975" s="281"/>
      <c r="D975" s="281"/>
      <c r="F975" s="285" t="str">
        <f t="shared" si="36"/>
        <v/>
      </c>
      <c r="G975" s="286"/>
      <c r="H975" s="287"/>
      <c r="I975" s="287"/>
      <c r="K975" s="285" t="str">
        <f t="shared" si="37"/>
        <v/>
      </c>
      <c r="L975" s="286"/>
      <c r="M975" s="287"/>
      <c r="N975" s="287"/>
      <c r="O975" s="286"/>
      <c r="P975" s="286"/>
      <c r="Q975" s="287"/>
    </row>
    <row r="976" spans="1:17" ht="30" customHeight="1" x14ac:dyDescent="0.2">
      <c r="A976" s="280"/>
      <c r="B976" s="281"/>
      <c r="C976" s="281"/>
      <c r="D976" s="281"/>
      <c r="F976" s="285" t="str">
        <f t="shared" si="36"/>
        <v/>
      </c>
      <c r="G976" s="286"/>
      <c r="H976" s="287"/>
      <c r="I976" s="287"/>
      <c r="K976" s="285" t="str">
        <f t="shared" si="37"/>
        <v/>
      </c>
      <c r="L976" s="286"/>
      <c r="M976" s="287"/>
      <c r="N976" s="287"/>
      <c r="O976" s="286"/>
      <c r="P976" s="286"/>
      <c r="Q976" s="287"/>
    </row>
    <row r="977" spans="1:17" ht="30" customHeight="1" x14ac:dyDescent="0.2">
      <c r="A977" s="280"/>
      <c r="B977" s="281"/>
      <c r="C977" s="281"/>
      <c r="D977" s="281"/>
      <c r="F977" s="285" t="str">
        <f t="shared" si="36"/>
        <v/>
      </c>
      <c r="G977" s="286"/>
      <c r="H977" s="287"/>
      <c r="I977" s="287"/>
      <c r="K977" s="285" t="str">
        <f t="shared" si="37"/>
        <v/>
      </c>
      <c r="L977" s="286"/>
      <c r="M977" s="287"/>
      <c r="N977" s="287"/>
      <c r="O977" s="286"/>
      <c r="P977" s="286"/>
      <c r="Q977" s="287"/>
    </row>
    <row r="978" spans="1:17" ht="30" customHeight="1" x14ac:dyDescent="0.2">
      <c r="A978" s="280"/>
      <c r="B978" s="281"/>
      <c r="C978" s="281"/>
      <c r="D978" s="281"/>
      <c r="F978" s="285" t="str">
        <f t="shared" si="36"/>
        <v/>
      </c>
      <c r="G978" s="286"/>
      <c r="H978" s="287"/>
      <c r="I978" s="287"/>
      <c r="K978" s="285" t="str">
        <f t="shared" si="37"/>
        <v/>
      </c>
      <c r="L978" s="286"/>
      <c r="M978" s="287"/>
      <c r="N978" s="287"/>
      <c r="O978" s="286"/>
      <c r="P978" s="286"/>
      <c r="Q978" s="287"/>
    </row>
    <row r="979" spans="1:17" ht="30" customHeight="1" x14ac:dyDescent="0.2">
      <c r="A979" s="280"/>
      <c r="B979" s="281"/>
      <c r="C979" s="281"/>
      <c r="D979" s="281"/>
      <c r="F979" s="285" t="str">
        <f t="shared" si="36"/>
        <v/>
      </c>
      <c r="G979" s="286"/>
      <c r="H979" s="287"/>
      <c r="I979" s="287"/>
      <c r="K979" s="285" t="str">
        <f t="shared" si="37"/>
        <v/>
      </c>
      <c r="L979" s="286"/>
      <c r="M979" s="287"/>
      <c r="N979" s="287"/>
      <c r="O979" s="286"/>
      <c r="P979" s="286"/>
      <c r="Q979" s="287"/>
    </row>
    <row r="980" spans="1:17" ht="30" customHeight="1" x14ac:dyDescent="0.2">
      <c r="A980" s="280"/>
      <c r="B980" s="281"/>
      <c r="C980" s="281"/>
      <c r="D980" s="281"/>
      <c r="F980" s="285" t="str">
        <f t="shared" si="36"/>
        <v/>
      </c>
      <c r="G980" s="286"/>
      <c r="H980" s="287"/>
      <c r="I980" s="287"/>
      <c r="K980" s="285" t="str">
        <f t="shared" si="37"/>
        <v/>
      </c>
      <c r="L980" s="286"/>
      <c r="M980" s="287"/>
      <c r="N980" s="287"/>
      <c r="O980" s="286"/>
      <c r="P980" s="286"/>
      <c r="Q980" s="287"/>
    </row>
    <row r="981" spans="1:17" ht="30" customHeight="1" x14ac:dyDescent="0.2">
      <c r="A981" s="280"/>
      <c r="B981" s="281"/>
      <c r="C981" s="281"/>
      <c r="D981" s="281"/>
      <c r="F981" s="285" t="str">
        <f t="shared" si="36"/>
        <v/>
      </c>
      <c r="G981" s="286"/>
      <c r="H981" s="287"/>
      <c r="I981" s="287"/>
      <c r="K981" s="285" t="str">
        <f t="shared" si="37"/>
        <v/>
      </c>
      <c r="L981" s="286"/>
      <c r="M981" s="287"/>
      <c r="N981" s="287"/>
      <c r="O981" s="286"/>
      <c r="P981" s="286"/>
      <c r="Q981" s="287"/>
    </row>
    <row r="982" spans="1:17" ht="30" customHeight="1" x14ac:dyDescent="0.2">
      <c r="A982" s="280"/>
      <c r="B982" s="281"/>
      <c r="C982" s="281"/>
      <c r="D982" s="281"/>
      <c r="F982" s="285" t="str">
        <f t="shared" si="36"/>
        <v/>
      </c>
      <c r="G982" s="286"/>
      <c r="H982" s="287"/>
      <c r="I982" s="287"/>
      <c r="K982" s="285" t="str">
        <f t="shared" si="37"/>
        <v/>
      </c>
      <c r="L982" s="286"/>
      <c r="M982" s="287"/>
      <c r="N982" s="287"/>
      <c r="O982" s="286"/>
      <c r="P982" s="286"/>
      <c r="Q982" s="287"/>
    </row>
    <row r="983" spans="1:17" ht="30" customHeight="1" x14ac:dyDescent="0.2">
      <c r="A983" s="280"/>
      <c r="B983" s="281"/>
      <c r="C983" s="281"/>
      <c r="D983" s="281"/>
      <c r="F983" s="285" t="str">
        <f t="shared" si="36"/>
        <v/>
      </c>
      <c r="G983" s="286"/>
      <c r="H983" s="287"/>
      <c r="I983" s="287"/>
      <c r="K983" s="285" t="str">
        <f t="shared" si="37"/>
        <v/>
      </c>
      <c r="L983" s="286"/>
      <c r="M983" s="287"/>
      <c r="N983" s="287"/>
      <c r="O983" s="286"/>
      <c r="P983" s="286"/>
      <c r="Q983" s="287"/>
    </row>
    <row r="984" spans="1:17" ht="30" customHeight="1" x14ac:dyDescent="0.2">
      <c r="A984" s="280"/>
      <c r="B984" s="281"/>
      <c r="C984" s="281"/>
      <c r="D984" s="281"/>
      <c r="F984" s="285" t="str">
        <f t="shared" si="36"/>
        <v/>
      </c>
      <c r="G984" s="286"/>
      <c r="H984" s="287"/>
      <c r="I984" s="287"/>
      <c r="K984" s="285" t="str">
        <f t="shared" si="37"/>
        <v/>
      </c>
      <c r="L984" s="286"/>
      <c r="M984" s="287"/>
      <c r="N984" s="287"/>
      <c r="O984" s="286"/>
      <c r="P984" s="286"/>
      <c r="Q984" s="287"/>
    </row>
    <row r="985" spans="1:17" ht="30" customHeight="1" x14ac:dyDescent="0.2">
      <c r="A985" s="280"/>
      <c r="B985" s="281"/>
      <c r="C985" s="281"/>
      <c r="D985" s="281"/>
      <c r="F985" s="285" t="str">
        <f t="shared" si="36"/>
        <v/>
      </c>
      <c r="G985" s="286"/>
      <c r="H985" s="287"/>
      <c r="I985" s="287"/>
      <c r="K985" s="285" t="str">
        <f t="shared" si="37"/>
        <v/>
      </c>
      <c r="L985" s="286"/>
      <c r="M985" s="287"/>
      <c r="N985" s="287"/>
      <c r="O985" s="286"/>
      <c r="P985" s="286"/>
      <c r="Q985" s="287"/>
    </row>
    <row r="986" spans="1:17" ht="30" customHeight="1" x14ac:dyDescent="0.2">
      <c r="A986" s="280"/>
      <c r="B986" s="281"/>
      <c r="C986" s="281"/>
      <c r="D986" s="281"/>
      <c r="F986" s="285" t="str">
        <f t="shared" si="36"/>
        <v/>
      </c>
      <c r="G986" s="286"/>
      <c r="H986" s="287"/>
      <c r="I986" s="287"/>
      <c r="K986" s="285" t="str">
        <f t="shared" si="37"/>
        <v/>
      </c>
      <c r="L986" s="286"/>
      <c r="M986" s="287"/>
      <c r="N986" s="287"/>
      <c r="O986" s="286"/>
      <c r="P986" s="286"/>
      <c r="Q986" s="287"/>
    </row>
    <row r="987" spans="1:17" ht="30" customHeight="1" x14ac:dyDescent="0.2">
      <c r="A987" s="280"/>
      <c r="B987" s="281"/>
      <c r="C987" s="281"/>
      <c r="D987" s="281"/>
      <c r="F987" s="285" t="str">
        <f t="shared" si="36"/>
        <v/>
      </c>
      <c r="G987" s="286"/>
      <c r="H987" s="287"/>
      <c r="I987" s="287"/>
      <c r="K987" s="285" t="str">
        <f t="shared" si="37"/>
        <v/>
      </c>
      <c r="L987" s="286"/>
      <c r="M987" s="287"/>
      <c r="N987" s="287"/>
      <c r="O987" s="286"/>
      <c r="P987" s="286"/>
      <c r="Q987" s="287"/>
    </row>
    <row r="988" spans="1:17" ht="30" customHeight="1" x14ac:dyDescent="0.2">
      <c r="A988" s="280"/>
      <c r="B988" s="281"/>
      <c r="C988" s="281"/>
      <c r="D988" s="281"/>
      <c r="F988" s="285" t="str">
        <f t="shared" si="36"/>
        <v/>
      </c>
      <c r="G988" s="286"/>
      <c r="H988" s="287"/>
      <c r="I988" s="287"/>
      <c r="K988" s="285" t="str">
        <f t="shared" si="37"/>
        <v/>
      </c>
      <c r="L988" s="286"/>
      <c r="M988" s="287"/>
      <c r="N988" s="287"/>
      <c r="O988" s="286"/>
      <c r="P988" s="286"/>
      <c r="Q988" s="287"/>
    </row>
    <row r="989" spans="1:17" ht="30" customHeight="1" x14ac:dyDescent="0.2">
      <c r="A989" s="280"/>
      <c r="B989" s="281"/>
      <c r="C989" s="281"/>
      <c r="D989" s="281"/>
      <c r="F989" s="285" t="str">
        <f t="shared" si="36"/>
        <v/>
      </c>
      <c r="G989" s="286"/>
      <c r="H989" s="287"/>
      <c r="I989" s="287"/>
      <c r="K989" s="285" t="str">
        <f t="shared" si="37"/>
        <v/>
      </c>
      <c r="L989" s="286"/>
      <c r="M989" s="287"/>
      <c r="N989" s="287"/>
      <c r="O989" s="286"/>
      <c r="P989" s="286"/>
      <c r="Q989" s="287"/>
    </row>
    <row r="990" spans="1:17" ht="30" customHeight="1" x14ac:dyDescent="0.2">
      <c r="A990" s="280"/>
      <c r="B990" s="281"/>
      <c r="C990" s="281"/>
      <c r="D990" s="281"/>
      <c r="F990" s="285" t="str">
        <f t="shared" si="36"/>
        <v/>
      </c>
      <c r="G990" s="286"/>
      <c r="H990" s="287"/>
      <c r="I990" s="287"/>
      <c r="K990" s="285" t="str">
        <f t="shared" si="37"/>
        <v/>
      </c>
      <c r="L990" s="286"/>
      <c r="M990" s="287"/>
      <c r="N990" s="287"/>
      <c r="O990" s="286"/>
      <c r="P990" s="286"/>
      <c r="Q990" s="287"/>
    </row>
    <row r="991" spans="1:17" ht="30" customHeight="1" x14ac:dyDescent="0.2">
      <c r="A991" s="280"/>
      <c r="B991" s="281"/>
      <c r="C991" s="281"/>
      <c r="D991" s="281"/>
      <c r="F991" s="285" t="str">
        <f t="shared" si="36"/>
        <v/>
      </c>
      <c r="G991" s="286"/>
      <c r="H991" s="287"/>
      <c r="I991" s="287"/>
      <c r="K991" s="285" t="str">
        <f t="shared" si="37"/>
        <v/>
      </c>
      <c r="L991" s="286"/>
      <c r="M991" s="287"/>
      <c r="N991" s="287"/>
      <c r="O991" s="286"/>
      <c r="P991" s="286"/>
      <c r="Q991" s="287"/>
    </row>
    <row r="992" spans="1:17" ht="30" customHeight="1" x14ac:dyDescent="0.2">
      <c r="A992" s="280"/>
      <c r="B992" s="281"/>
      <c r="C992" s="281"/>
      <c r="D992" s="281"/>
      <c r="F992" s="285" t="str">
        <f t="shared" si="36"/>
        <v/>
      </c>
      <c r="G992" s="286"/>
      <c r="H992" s="287"/>
      <c r="I992" s="287"/>
      <c r="K992" s="285" t="str">
        <f t="shared" si="37"/>
        <v/>
      </c>
      <c r="L992" s="286"/>
      <c r="M992" s="287"/>
      <c r="N992" s="287"/>
      <c r="O992" s="286"/>
      <c r="P992" s="286"/>
      <c r="Q992" s="287"/>
    </row>
    <row r="993" spans="1:17" ht="30" customHeight="1" x14ac:dyDescent="0.2">
      <c r="A993" s="280"/>
      <c r="B993" s="281"/>
      <c r="C993" s="281"/>
      <c r="D993" s="281"/>
      <c r="F993" s="285" t="str">
        <f t="shared" si="36"/>
        <v/>
      </c>
      <c r="G993" s="286"/>
      <c r="H993" s="287"/>
      <c r="I993" s="287"/>
      <c r="K993" s="285" t="str">
        <f t="shared" si="37"/>
        <v/>
      </c>
      <c r="L993" s="286"/>
      <c r="M993" s="287"/>
      <c r="N993" s="287"/>
      <c r="O993" s="286"/>
      <c r="P993" s="286"/>
      <c r="Q993" s="287"/>
    </row>
    <row r="994" spans="1:17" ht="30" customHeight="1" x14ac:dyDescent="0.2">
      <c r="A994" s="280"/>
      <c r="B994" s="281"/>
      <c r="C994" s="281"/>
      <c r="D994" s="281"/>
      <c r="F994" s="285" t="str">
        <f t="shared" si="36"/>
        <v/>
      </c>
      <c r="G994" s="286"/>
      <c r="H994" s="287"/>
      <c r="I994" s="287"/>
      <c r="K994" s="285" t="str">
        <f t="shared" si="37"/>
        <v/>
      </c>
      <c r="L994" s="286"/>
      <c r="M994" s="287"/>
      <c r="N994" s="287"/>
      <c r="O994" s="286"/>
      <c r="P994" s="286"/>
      <c r="Q994" s="287"/>
    </row>
    <row r="995" spans="1:17" ht="30" customHeight="1" x14ac:dyDescent="0.2">
      <c r="A995" s="280"/>
      <c r="B995" s="281"/>
      <c r="C995" s="281"/>
      <c r="D995" s="281"/>
      <c r="F995" s="285" t="str">
        <f t="shared" si="36"/>
        <v/>
      </c>
      <c r="G995" s="286"/>
      <c r="H995" s="287"/>
      <c r="I995" s="287"/>
      <c r="K995" s="285" t="str">
        <f t="shared" si="37"/>
        <v/>
      </c>
      <c r="L995" s="286"/>
      <c r="M995" s="287"/>
      <c r="N995" s="287"/>
      <c r="O995" s="286"/>
      <c r="P995" s="286"/>
      <c r="Q995" s="287"/>
    </row>
    <row r="996" spans="1:17" ht="30" customHeight="1" x14ac:dyDescent="0.2">
      <c r="A996" s="280"/>
      <c r="B996" s="281"/>
      <c r="C996" s="281"/>
      <c r="D996" s="281"/>
      <c r="F996" s="285" t="str">
        <f t="shared" si="36"/>
        <v/>
      </c>
      <c r="G996" s="286"/>
      <c r="H996" s="287"/>
      <c r="I996" s="287"/>
      <c r="K996" s="285" t="str">
        <f t="shared" si="37"/>
        <v/>
      </c>
      <c r="L996" s="286"/>
      <c r="M996" s="287"/>
      <c r="N996" s="287"/>
      <c r="O996" s="286"/>
      <c r="P996" s="286"/>
      <c r="Q996" s="287"/>
    </row>
    <row r="997" spans="1:17" ht="30" customHeight="1" x14ac:dyDescent="0.2">
      <c r="A997" s="280"/>
      <c r="B997" s="281"/>
      <c r="C997" s="281"/>
      <c r="D997" s="281"/>
      <c r="F997" s="285" t="str">
        <f t="shared" si="36"/>
        <v/>
      </c>
      <c r="G997" s="286"/>
      <c r="H997" s="287"/>
      <c r="I997" s="287"/>
      <c r="K997" s="285" t="str">
        <f t="shared" si="37"/>
        <v/>
      </c>
      <c r="L997" s="286"/>
      <c r="M997" s="287"/>
      <c r="N997" s="287"/>
      <c r="O997" s="286"/>
      <c r="P997" s="286"/>
      <c r="Q997" s="287"/>
    </row>
    <row r="998" spans="1:17" ht="30" customHeight="1" x14ac:dyDescent="0.2">
      <c r="A998" s="280"/>
      <c r="B998" s="281"/>
      <c r="C998" s="281"/>
      <c r="D998" s="281"/>
      <c r="F998" s="285" t="str">
        <f t="shared" si="36"/>
        <v/>
      </c>
      <c r="G998" s="286"/>
      <c r="H998" s="287"/>
      <c r="I998" s="287"/>
      <c r="K998" s="285" t="str">
        <f t="shared" si="37"/>
        <v/>
      </c>
      <c r="L998" s="286"/>
      <c r="M998" s="287"/>
      <c r="N998" s="287"/>
      <c r="O998" s="286"/>
      <c r="P998" s="286"/>
      <c r="Q998" s="287"/>
    </row>
    <row r="999" spans="1:17" ht="30" customHeight="1" x14ac:dyDescent="0.2">
      <c r="A999" s="280"/>
      <c r="B999" s="281"/>
      <c r="C999" s="281"/>
      <c r="D999" s="281"/>
      <c r="F999" s="285" t="str">
        <f t="shared" si="36"/>
        <v/>
      </c>
      <c r="G999" s="286"/>
      <c r="H999" s="287"/>
      <c r="I999" s="287"/>
      <c r="K999" s="285" t="str">
        <f t="shared" si="37"/>
        <v/>
      </c>
      <c r="L999" s="286"/>
      <c r="M999" s="287"/>
      <c r="N999" s="287"/>
      <c r="O999" s="286"/>
      <c r="P999" s="286"/>
      <c r="Q999" s="287"/>
    </row>
    <row r="1000" spans="1:17" ht="30" customHeight="1" x14ac:dyDescent="0.2">
      <c r="A1000" s="280"/>
      <c r="B1000" s="281"/>
      <c r="C1000" s="281"/>
      <c r="D1000" s="281"/>
      <c r="F1000" s="285" t="str">
        <f t="shared" si="36"/>
        <v/>
      </c>
      <c r="G1000" s="286"/>
      <c r="H1000" s="287"/>
      <c r="I1000" s="287"/>
      <c r="K1000" s="285" t="str">
        <f t="shared" si="37"/>
        <v/>
      </c>
      <c r="L1000" s="286"/>
      <c r="M1000" s="287"/>
      <c r="N1000" s="287"/>
      <c r="O1000" s="286"/>
      <c r="P1000" s="286"/>
      <c r="Q1000" s="287"/>
    </row>
    <row r="1001" spans="1:17" ht="30" customHeight="1" x14ac:dyDescent="0.2">
      <c r="A1001" s="280"/>
      <c r="B1001" s="281"/>
      <c r="C1001" s="281"/>
      <c r="D1001" s="281"/>
      <c r="F1001" s="285" t="str">
        <f t="shared" si="36"/>
        <v/>
      </c>
      <c r="G1001" s="286"/>
      <c r="H1001" s="287"/>
      <c r="I1001" s="287"/>
      <c r="K1001" s="285" t="str">
        <f t="shared" si="37"/>
        <v/>
      </c>
      <c r="L1001" s="286"/>
      <c r="M1001" s="287"/>
      <c r="N1001" s="287"/>
      <c r="O1001" s="286"/>
      <c r="P1001" s="286"/>
      <c r="Q1001" s="287"/>
    </row>
    <row r="1002" spans="1:17" ht="30" customHeight="1" x14ac:dyDescent="0.2">
      <c r="A1002" s="280"/>
      <c r="B1002" s="281"/>
      <c r="C1002" s="281"/>
      <c r="D1002" s="281"/>
      <c r="F1002" s="285" t="str">
        <f t="shared" si="36"/>
        <v/>
      </c>
      <c r="G1002" s="286"/>
      <c r="H1002" s="287"/>
      <c r="I1002" s="287"/>
      <c r="K1002" s="285" t="str">
        <f t="shared" si="37"/>
        <v/>
      </c>
      <c r="L1002" s="286"/>
      <c r="M1002" s="287"/>
      <c r="N1002" s="287"/>
      <c r="O1002" s="286"/>
      <c r="P1002" s="286"/>
      <c r="Q1002" s="287"/>
    </row>
    <row r="1003" spans="1:17" ht="30" customHeight="1" x14ac:dyDescent="0.2">
      <c r="A1003" s="280"/>
      <c r="B1003" s="281"/>
      <c r="C1003" s="281"/>
      <c r="D1003" s="281"/>
      <c r="F1003" s="285" t="str">
        <f t="shared" si="36"/>
        <v/>
      </c>
      <c r="G1003" s="286"/>
      <c r="H1003" s="287"/>
      <c r="I1003" s="287"/>
      <c r="K1003" s="285" t="str">
        <f t="shared" si="37"/>
        <v/>
      </c>
      <c r="L1003" s="286"/>
      <c r="M1003" s="287"/>
      <c r="N1003" s="287"/>
      <c r="O1003" s="286"/>
      <c r="P1003" s="286"/>
      <c r="Q1003" s="287"/>
    </row>
    <row r="1004" spans="1:17" ht="30" customHeight="1" x14ac:dyDescent="0.2">
      <c r="A1004" s="280"/>
      <c r="B1004" s="281"/>
      <c r="C1004" s="281"/>
      <c r="D1004" s="281"/>
      <c r="F1004" s="285" t="str">
        <f t="shared" si="36"/>
        <v/>
      </c>
      <c r="G1004" s="286"/>
      <c r="H1004" s="287"/>
      <c r="I1004" s="287"/>
      <c r="K1004" s="285" t="str">
        <f t="shared" si="37"/>
        <v/>
      </c>
      <c r="L1004" s="286"/>
      <c r="M1004" s="287"/>
      <c r="N1004" s="287"/>
      <c r="O1004" s="286"/>
      <c r="P1004" s="286"/>
      <c r="Q1004" s="287"/>
    </row>
    <row r="1005" spans="1:17" ht="30" customHeight="1" x14ac:dyDescent="0.2">
      <c r="A1005" s="280"/>
      <c r="B1005" s="281"/>
      <c r="C1005" s="281"/>
      <c r="D1005" s="281"/>
      <c r="F1005" s="285" t="str">
        <f t="shared" si="36"/>
        <v/>
      </c>
      <c r="G1005" s="286"/>
      <c r="H1005" s="287"/>
      <c r="I1005" s="287"/>
      <c r="K1005" s="285" t="str">
        <f t="shared" si="37"/>
        <v/>
      </c>
      <c r="L1005" s="286"/>
      <c r="M1005" s="287"/>
      <c r="N1005" s="287"/>
      <c r="O1005" s="286"/>
      <c r="P1005" s="286"/>
      <c r="Q1005" s="287"/>
    </row>
    <row r="1006" spans="1:17" ht="30" customHeight="1" x14ac:dyDescent="0.2">
      <c r="A1006" s="280"/>
      <c r="B1006" s="281"/>
      <c r="C1006" s="281"/>
      <c r="D1006" s="281"/>
      <c r="F1006" s="285" t="str">
        <f t="shared" si="36"/>
        <v/>
      </c>
      <c r="G1006" s="286"/>
      <c r="H1006" s="287"/>
      <c r="I1006" s="287"/>
      <c r="K1006" s="285" t="str">
        <f t="shared" si="37"/>
        <v/>
      </c>
      <c r="L1006" s="286"/>
      <c r="M1006" s="287"/>
      <c r="N1006" s="287"/>
      <c r="O1006" s="286"/>
      <c r="P1006" s="286"/>
      <c r="Q1006" s="287"/>
    </row>
    <row r="1007" spans="1:17" ht="30" customHeight="1" x14ac:dyDescent="0.2">
      <c r="A1007" s="280"/>
      <c r="B1007" s="281"/>
      <c r="C1007" s="281"/>
      <c r="D1007" s="281"/>
      <c r="F1007" s="285" t="str">
        <f t="shared" si="36"/>
        <v/>
      </c>
      <c r="G1007" s="286"/>
      <c r="H1007" s="287"/>
      <c r="I1007" s="287"/>
      <c r="K1007" s="285" t="str">
        <f t="shared" si="37"/>
        <v/>
      </c>
      <c r="L1007" s="286"/>
      <c r="M1007" s="287"/>
      <c r="N1007" s="287"/>
      <c r="O1007" s="286"/>
      <c r="P1007" s="286"/>
      <c r="Q1007" s="287"/>
    </row>
    <row r="1008" spans="1:17" ht="30" customHeight="1" x14ac:dyDescent="0.2">
      <c r="A1008" s="280"/>
      <c r="B1008" s="281"/>
      <c r="C1008" s="281"/>
      <c r="D1008" s="281"/>
      <c r="F1008" s="285" t="str">
        <f t="shared" si="36"/>
        <v/>
      </c>
      <c r="G1008" s="286"/>
      <c r="H1008" s="287"/>
      <c r="I1008" s="287"/>
      <c r="K1008" s="285" t="str">
        <f t="shared" si="37"/>
        <v/>
      </c>
      <c r="L1008" s="286"/>
      <c r="M1008" s="287"/>
      <c r="N1008" s="287"/>
      <c r="O1008" s="286"/>
      <c r="P1008" s="286"/>
      <c r="Q1008" s="287"/>
    </row>
    <row r="1009" spans="1:17" ht="30" customHeight="1" x14ac:dyDescent="0.2">
      <c r="A1009" s="280"/>
      <c r="B1009" s="281"/>
      <c r="C1009" s="281"/>
      <c r="D1009" s="281"/>
      <c r="F1009" s="285" t="str">
        <f t="shared" si="36"/>
        <v/>
      </c>
      <c r="G1009" s="286"/>
      <c r="H1009" s="287"/>
      <c r="I1009" s="287"/>
      <c r="K1009" s="285" t="str">
        <f t="shared" si="37"/>
        <v/>
      </c>
      <c r="L1009" s="286"/>
      <c r="M1009" s="287"/>
      <c r="N1009" s="287"/>
      <c r="O1009" s="286"/>
      <c r="P1009" s="286"/>
      <c r="Q1009" s="287"/>
    </row>
    <row r="1010" spans="1:17" ht="30" customHeight="1" x14ac:dyDescent="0.2">
      <c r="A1010" s="280"/>
      <c r="B1010" s="281"/>
      <c r="C1010" s="281"/>
      <c r="D1010" s="281"/>
      <c r="F1010" s="285" t="str">
        <f t="shared" si="36"/>
        <v/>
      </c>
      <c r="G1010" s="286"/>
      <c r="H1010" s="287"/>
      <c r="I1010" s="287"/>
      <c r="K1010" s="285" t="str">
        <f t="shared" si="37"/>
        <v/>
      </c>
      <c r="L1010" s="286"/>
      <c r="M1010" s="287"/>
      <c r="N1010" s="287"/>
      <c r="O1010" s="286"/>
      <c r="P1010" s="286"/>
      <c r="Q1010" s="287"/>
    </row>
    <row r="1011" spans="1:17" ht="30" customHeight="1" x14ac:dyDescent="0.2">
      <c r="A1011" s="280"/>
      <c r="B1011" s="281"/>
      <c r="C1011" s="281"/>
      <c r="D1011" s="281"/>
      <c r="F1011" s="285" t="str">
        <f t="shared" si="36"/>
        <v/>
      </c>
      <c r="G1011" s="286"/>
      <c r="H1011" s="287"/>
      <c r="I1011" s="287"/>
      <c r="K1011" s="285" t="str">
        <f t="shared" si="37"/>
        <v/>
      </c>
      <c r="L1011" s="286"/>
      <c r="M1011" s="287"/>
      <c r="N1011" s="287"/>
      <c r="O1011" s="286"/>
      <c r="P1011" s="286"/>
      <c r="Q1011" s="287"/>
    </row>
    <row r="1012" spans="1:17" ht="30" customHeight="1" x14ac:dyDescent="0.2">
      <c r="A1012" s="280"/>
      <c r="B1012" s="281"/>
      <c r="C1012" s="281"/>
      <c r="D1012" s="281"/>
      <c r="F1012" s="285" t="str">
        <f t="shared" si="36"/>
        <v/>
      </c>
      <c r="G1012" s="286"/>
      <c r="H1012" s="287"/>
      <c r="I1012" s="287"/>
      <c r="K1012" s="285" t="str">
        <f t="shared" si="37"/>
        <v/>
      </c>
      <c r="L1012" s="286"/>
      <c r="M1012" s="287"/>
      <c r="N1012" s="287"/>
      <c r="O1012" s="286"/>
      <c r="P1012" s="286"/>
      <c r="Q1012" s="287"/>
    </row>
    <row r="1013" spans="1:17" ht="30" customHeight="1" x14ac:dyDescent="0.2">
      <c r="A1013" s="280"/>
      <c r="B1013" s="281"/>
      <c r="C1013" s="281"/>
      <c r="D1013" s="281"/>
      <c r="F1013" s="285" t="str">
        <f t="shared" si="36"/>
        <v/>
      </c>
      <c r="G1013" s="286"/>
      <c r="H1013" s="287"/>
      <c r="I1013" s="287"/>
      <c r="K1013" s="285" t="str">
        <f t="shared" si="37"/>
        <v/>
      </c>
      <c r="L1013" s="286"/>
      <c r="M1013" s="287"/>
      <c r="N1013" s="287"/>
      <c r="O1013" s="286"/>
      <c r="P1013" s="286"/>
      <c r="Q1013" s="287"/>
    </row>
    <row r="1014" spans="1:17" ht="30" customHeight="1" x14ac:dyDescent="0.2">
      <c r="A1014" s="280"/>
      <c r="B1014" s="281"/>
      <c r="C1014" s="281"/>
      <c r="D1014" s="281"/>
      <c r="F1014" s="285" t="str">
        <f t="shared" si="36"/>
        <v/>
      </c>
      <c r="G1014" s="286"/>
      <c r="H1014" s="287"/>
      <c r="I1014" s="287"/>
      <c r="K1014" s="285" t="str">
        <f t="shared" si="37"/>
        <v/>
      </c>
      <c r="L1014" s="286"/>
      <c r="M1014" s="287"/>
      <c r="N1014" s="287"/>
      <c r="O1014" s="286"/>
      <c r="P1014" s="286"/>
      <c r="Q1014" s="287"/>
    </row>
    <row r="1015" spans="1:17" ht="30" customHeight="1" x14ac:dyDescent="0.2">
      <c r="A1015" s="280"/>
      <c r="B1015" s="281"/>
      <c r="C1015" s="281"/>
      <c r="D1015" s="281"/>
      <c r="F1015" s="285" t="str">
        <f t="shared" si="36"/>
        <v/>
      </c>
      <c r="G1015" s="286"/>
      <c r="H1015" s="287"/>
      <c r="I1015" s="287"/>
      <c r="K1015" s="285" t="str">
        <f t="shared" si="37"/>
        <v/>
      </c>
      <c r="L1015" s="286"/>
      <c r="M1015" s="287"/>
      <c r="N1015" s="287"/>
      <c r="O1015" s="286"/>
      <c r="P1015" s="286"/>
      <c r="Q1015" s="287"/>
    </row>
    <row r="1016" spans="1:17" ht="30" customHeight="1" x14ac:dyDescent="0.2">
      <c r="A1016" s="280"/>
      <c r="B1016" s="281"/>
      <c r="C1016" s="281"/>
      <c r="D1016" s="281"/>
      <c r="F1016" s="285" t="str">
        <f t="shared" si="36"/>
        <v/>
      </c>
      <c r="G1016" s="286"/>
      <c r="H1016" s="287"/>
      <c r="I1016" s="287"/>
      <c r="K1016" s="285" t="str">
        <f t="shared" si="37"/>
        <v/>
      </c>
      <c r="L1016" s="286"/>
      <c r="M1016" s="287"/>
      <c r="N1016" s="287"/>
      <c r="O1016" s="286"/>
      <c r="P1016" s="286"/>
      <c r="Q1016" s="287"/>
    </row>
    <row r="1017" spans="1:17" ht="30" customHeight="1" x14ac:dyDescent="0.2">
      <c r="A1017" s="280"/>
      <c r="B1017" s="281"/>
      <c r="C1017" s="281"/>
      <c r="D1017" s="281"/>
      <c r="F1017" s="285" t="str">
        <f t="shared" si="36"/>
        <v/>
      </c>
      <c r="G1017" s="286"/>
      <c r="H1017" s="287"/>
      <c r="I1017" s="287"/>
      <c r="K1017" s="285" t="str">
        <f t="shared" si="37"/>
        <v/>
      </c>
      <c r="L1017" s="286"/>
      <c r="M1017" s="287"/>
      <c r="N1017" s="287"/>
      <c r="O1017" s="286"/>
      <c r="P1017" s="286"/>
      <c r="Q1017" s="287"/>
    </row>
    <row r="1018" spans="1:17" ht="30" customHeight="1" x14ac:dyDescent="0.2">
      <c r="A1018" s="280"/>
      <c r="B1018" s="281"/>
      <c r="C1018" s="281"/>
      <c r="D1018" s="281"/>
      <c r="F1018" s="285" t="str">
        <f t="shared" si="36"/>
        <v/>
      </c>
      <c r="G1018" s="286"/>
      <c r="H1018" s="287"/>
      <c r="I1018" s="287"/>
      <c r="K1018" s="285" t="str">
        <f t="shared" si="37"/>
        <v/>
      </c>
      <c r="L1018" s="286"/>
      <c r="M1018" s="287"/>
      <c r="N1018" s="287"/>
      <c r="O1018" s="286"/>
      <c r="P1018" s="286"/>
      <c r="Q1018" s="287"/>
    </row>
    <row r="1019" spans="1:17" ht="30" customHeight="1" x14ac:dyDescent="0.2">
      <c r="A1019" s="280"/>
      <c r="B1019" s="281"/>
      <c r="C1019" s="281"/>
      <c r="D1019" s="281"/>
      <c r="F1019" s="285" t="str">
        <f t="shared" si="36"/>
        <v/>
      </c>
      <c r="G1019" s="286"/>
      <c r="H1019" s="287"/>
      <c r="I1019" s="287"/>
      <c r="K1019" s="285" t="str">
        <f t="shared" si="37"/>
        <v/>
      </c>
      <c r="L1019" s="286"/>
      <c r="M1019" s="287"/>
      <c r="N1019" s="287"/>
      <c r="O1019" s="286"/>
      <c r="P1019" s="286"/>
      <c r="Q1019" s="287"/>
    </row>
    <row r="1020" spans="1:17" ht="30" customHeight="1" x14ac:dyDescent="0.2">
      <c r="A1020" s="280"/>
      <c r="B1020" s="281"/>
      <c r="C1020" s="281"/>
      <c r="D1020" s="281"/>
      <c r="F1020" s="285" t="str">
        <f t="shared" si="36"/>
        <v/>
      </c>
      <c r="G1020" s="286"/>
      <c r="H1020" s="287"/>
      <c r="I1020" s="287"/>
      <c r="K1020" s="285" t="str">
        <f t="shared" si="37"/>
        <v/>
      </c>
      <c r="L1020" s="286"/>
      <c r="M1020" s="287"/>
      <c r="N1020" s="287"/>
      <c r="O1020" s="286"/>
      <c r="P1020" s="286"/>
      <c r="Q1020" s="287"/>
    </row>
    <row r="1021" spans="1:17" ht="30" customHeight="1" x14ac:dyDescent="0.2">
      <c r="A1021" s="280"/>
      <c r="B1021" s="281"/>
      <c r="C1021" s="281"/>
      <c r="D1021" s="281"/>
      <c r="F1021" s="285" t="str">
        <f t="shared" si="36"/>
        <v/>
      </c>
      <c r="G1021" s="286"/>
      <c r="H1021" s="287"/>
      <c r="I1021" s="287"/>
      <c r="K1021" s="285" t="str">
        <f t="shared" si="37"/>
        <v/>
      </c>
      <c r="L1021" s="286"/>
      <c r="M1021" s="287"/>
      <c r="N1021" s="287"/>
      <c r="O1021" s="286"/>
      <c r="P1021" s="286"/>
      <c r="Q1021" s="287"/>
    </row>
    <row r="1022" spans="1:17" ht="30" customHeight="1" x14ac:dyDescent="0.2">
      <c r="A1022" s="280"/>
      <c r="B1022" s="281"/>
      <c r="C1022" s="281"/>
      <c r="D1022" s="281"/>
      <c r="F1022" s="285" t="str">
        <f t="shared" si="36"/>
        <v/>
      </c>
      <c r="G1022" s="286"/>
      <c r="H1022" s="287"/>
      <c r="I1022" s="287"/>
      <c r="K1022" s="285" t="str">
        <f t="shared" si="37"/>
        <v/>
      </c>
      <c r="L1022" s="286"/>
      <c r="M1022" s="287"/>
      <c r="N1022" s="287"/>
      <c r="O1022" s="286"/>
      <c r="P1022" s="286"/>
      <c r="Q1022" s="287"/>
    </row>
    <row r="1023" spans="1:17" ht="30" customHeight="1" x14ac:dyDescent="0.2">
      <c r="A1023" s="280"/>
      <c r="B1023" s="281"/>
      <c r="C1023" s="281"/>
      <c r="D1023" s="281"/>
      <c r="F1023" s="285" t="str">
        <f t="shared" si="36"/>
        <v/>
      </c>
      <c r="G1023" s="286"/>
      <c r="H1023" s="287"/>
      <c r="I1023" s="287"/>
      <c r="K1023" s="285" t="str">
        <f t="shared" si="37"/>
        <v/>
      </c>
      <c r="L1023" s="286"/>
      <c r="M1023" s="287"/>
      <c r="N1023" s="287"/>
      <c r="O1023" s="286"/>
      <c r="P1023" s="286"/>
      <c r="Q1023" s="287"/>
    </row>
    <row r="1024" spans="1:17" ht="30" customHeight="1" x14ac:dyDescent="0.2">
      <c r="A1024" s="280"/>
      <c r="B1024" s="281"/>
      <c r="C1024" s="281"/>
      <c r="D1024" s="281"/>
      <c r="F1024" s="285" t="str">
        <f t="shared" si="36"/>
        <v/>
      </c>
      <c r="G1024" s="286"/>
      <c r="H1024" s="287"/>
      <c r="I1024" s="287"/>
      <c r="K1024" s="285" t="str">
        <f t="shared" si="37"/>
        <v/>
      </c>
      <c r="L1024" s="286"/>
      <c r="M1024" s="287"/>
      <c r="N1024" s="287"/>
      <c r="O1024" s="286"/>
      <c r="P1024" s="286"/>
      <c r="Q1024" s="287"/>
    </row>
    <row r="1025" spans="1:17" ht="30" customHeight="1" x14ac:dyDescent="0.2">
      <c r="A1025" s="280"/>
      <c r="B1025" s="281"/>
      <c r="C1025" s="281"/>
      <c r="D1025" s="281"/>
      <c r="F1025" s="285" t="str">
        <f t="shared" si="36"/>
        <v/>
      </c>
      <c r="G1025" s="286"/>
      <c r="H1025" s="287"/>
      <c r="I1025" s="287"/>
      <c r="K1025" s="285" t="str">
        <f t="shared" si="37"/>
        <v/>
      </c>
      <c r="L1025" s="286"/>
      <c r="M1025" s="287"/>
      <c r="N1025" s="287"/>
      <c r="O1025" s="286"/>
      <c r="P1025" s="286"/>
      <c r="Q1025" s="287"/>
    </row>
    <row r="1026" spans="1:17" ht="30" customHeight="1" x14ac:dyDescent="0.2">
      <c r="A1026" s="280"/>
      <c r="B1026" s="281"/>
      <c r="C1026" s="281"/>
      <c r="D1026" s="281"/>
      <c r="F1026" s="285" t="str">
        <f t="shared" si="36"/>
        <v/>
      </c>
      <c r="G1026" s="286"/>
      <c r="H1026" s="287"/>
      <c r="I1026" s="287"/>
      <c r="K1026" s="285" t="str">
        <f t="shared" si="37"/>
        <v/>
      </c>
      <c r="L1026" s="286"/>
      <c r="M1026" s="287"/>
      <c r="N1026" s="287"/>
      <c r="O1026" s="286"/>
      <c r="P1026" s="286"/>
      <c r="Q1026" s="287"/>
    </row>
    <row r="1027" spans="1:17" ht="30" customHeight="1" x14ac:dyDescent="0.2">
      <c r="A1027" s="280"/>
      <c r="B1027" s="281"/>
      <c r="C1027" s="281"/>
      <c r="D1027" s="281"/>
      <c r="F1027" s="285" t="str">
        <f t="shared" si="36"/>
        <v/>
      </c>
      <c r="G1027" s="286"/>
      <c r="H1027" s="287"/>
      <c r="I1027" s="287"/>
      <c r="K1027" s="285" t="str">
        <f t="shared" si="37"/>
        <v/>
      </c>
      <c r="L1027" s="286"/>
      <c r="M1027" s="287"/>
      <c r="N1027" s="287"/>
      <c r="O1027" s="286"/>
      <c r="P1027" s="286"/>
      <c r="Q1027" s="287"/>
    </row>
    <row r="1028" spans="1:17" ht="30" customHeight="1" x14ac:dyDescent="0.2">
      <c r="A1028" s="280"/>
      <c r="B1028" s="281"/>
      <c r="C1028" s="281"/>
      <c r="D1028" s="281"/>
      <c r="F1028" s="285" t="str">
        <f t="shared" si="36"/>
        <v/>
      </c>
      <c r="G1028" s="286"/>
      <c r="H1028" s="287"/>
      <c r="I1028" s="287"/>
      <c r="K1028" s="285" t="str">
        <f t="shared" si="37"/>
        <v/>
      </c>
      <c r="L1028" s="286"/>
      <c r="M1028" s="287"/>
      <c r="N1028" s="287"/>
      <c r="O1028" s="286"/>
      <c r="P1028" s="286"/>
      <c r="Q1028" s="287"/>
    </row>
    <row r="1029" spans="1:17" ht="30" customHeight="1" x14ac:dyDescent="0.2">
      <c r="A1029" s="280"/>
      <c r="B1029" s="281"/>
      <c r="C1029" s="281"/>
      <c r="D1029" s="281"/>
      <c r="F1029" s="285" t="str">
        <f t="shared" ref="F1029:F1092" si="38">IF(A1029="","",A1029)</f>
        <v/>
      </c>
      <c r="G1029" s="286"/>
      <c r="H1029" s="287"/>
      <c r="I1029" s="287"/>
      <c r="K1029" s="285" t="str">
        <f t="shared" si="37"/>
        <v/>
      </c>
      <c r="L1029" s="286"/>
      <c r="M1029" s="287"/>
      <c r="N1029" s="287"/>
      <c r="O1029" s="286"/>
      <c r="P1029" s="286"/>
      <c r="Q1029" s="287"/>
    </row>
    <row r="1030" spans="1:17" ht="30" customHeight="1" x14ac:dyDescent="0.2">
      <c r="A1030" s="280"/>
      <c r="B1030" s="281"/>
      <c r="C1030" s="281"/>
      <c r="D1030" s="281"/>
      <c r="F1030" s="285" t="str">
        <f t="shared" si="38"/>
        <v/>
      </c>
      <c r="G1030" s="286"/>
      <c r="H1030" s="287"/>
      <c r="I1030" s="287"/>
      <c r="K1030" s="285" t="str">
        <f t="shared" si="37"/>
        <v/>
      </c>
      <c r="L1030" s="286"/>
      <c r="M1030" s="287"/>
      <c r="N1030" s="287"/>
      <c r="O1030" s="286"/>
      <c r="P1030" s="286"/>
      <c r="Q1030" s="287"/>
    </row>
    <row r="1031" spans="1:17" ht="30" customHeight="1" x14ac:dyDescent="0.2">
      <c r="A1031" s="280"/>
      <c r="B1031" s="281"/>
      <c r="C1031" s="281"/>
      <c r="D1031" s="281"/>
      <c r="F1031" s="285" t="str">
        <f t="shared" si="38"/>
        <v/>
      </c>
      <c r="G1031" s="286"/>
      <c r="H1031" s="287"/>
      <c r="I1031" s="287"/>
      <c r="K1031" s="285" t="str">
        <f t="shared" si="37"/>
        <v/>
      </c>
      <c r="L1031" s="286"/>
      <c r="M1031" s="287"/>
      <c r="N1031" s="287"/>
      <c r="O1031" s="286"/>
      <c r="P1031" s="286"/>
      <c r="Q1031" s="287"/>
    </row>
    <row r="1032" spans="1:17" ht="30" customHeight="1" x14ac:dyDescent="0.2">
      <c r="A1032" s="280"/>
      <c r="B1032" s="281"/>
      <c r="C1032" s="281"/>
      <c r="D1032" s="281"/>
      <c r="F1032" s="285" t="str">
        <f t="shared" si="38"/>
        <v/>
      </c>
      <c r="G1032" s="286"/>
      <c r="H1032" s="287"/>
      <c r="I1032" s="287"/>
      <c r="K1032" s="285" t="str">
        <f t="shared" si="37"/>
        <v/>
      </c>
      <c r="L1032" s="286"/>
      <c r="M1032" s="287"/>
      <c r="N1032" s="287"/>
      <c r="O1032" s="286"/>
      <c r="P1032" s="286"/>
      <c r="Q1032" s="287"/>
    </row>
    <row r="1033" spans="1:17" ht="30" customHeight="1" x14ac:dyDescent="0.2">
      <c r="A1033" s="280"/>
      <c r="B1033" s="281"/>
      <c r="C1033" s="281"/>
      <c r="D1033" s="281"/>
      <c r="F1033" s="285" t="str">
        <f t="shared" si="38"/>
        <v/>
      </c>
      <c r="G1033" s="286"/>
      <c r="H1033" s="287"/>
      <c r="I1033" s="287"/>
      <c r="K1033" s="285" t="str">
        <f t="shared" si="37"/>
        <v/>
      </c>
      <c r="L1033" s="286"/>
      <c r="M1033" s="287"/>
      <c r="N1033" s="287"/>
      <c r="O1033" s="286"/>
      <c r="P1033" s="286"/>
      <c r="Q1033" s="287"/>
    </row>
    <row r="1034" spans="1:17" ht="30" customHeight="1" x14ac:dyDescent="0.2">
      <c r="A1034" s="280"/>
      <c r="B1034" s="281"/>
      <c r="C1034" s="281"/>
      <c r="D1034" s="281"/>
      <c r="F1034" s="285" t="str">
        <f t="shared" si="38"/>
        <v/>
      </c>
      <c r="G1034" s="286"/>
      <c r="H1034" s="287"/>
      <c r="I1034" s="287"/>
      <c r="K1034" s="285" t="str">
        <f t="shared" si="37"/>
        <v/>
      </c>
      <c r="L1034" s="286"/>
      <c r="M1034" s="287"/>
      <c r="N1034" s="287"/>
      <c r="O1034" s="286"/>
      <c r="P1034" s="286"/>
      <c r="Q1034" s="287"/>
    </row>
    <row r="1035" spans="1:17" ht="30" customHeight="1" x14ac:dyDescent="0.2">
      <c r="A1035" s="280"/>
      <c r="B1035" s="281"/>
      <c r="C1035" s="281"/>
      <c r="D1035" s="281"/>
      <c r="F1035" s="285" t="str">
        <f t="shared" si="38"/>
        <v/>
      </c>
      <c r="G1035" s="286"/>
      <c r="H1035" s="287"/>
      <c r="I1035" s="287"/>
      <c r="K1035" s="285" t="str">
        <f t="shared" ref="K1035:K1098" si="39">IF(A1035="","",A1035)</f>
        <v/>
      </c>
      <c r="L1035" s="286"/>
      <c r="M1035" s="287"/>
      <c r="N1035" s="287"/>
      <c r="O1035" s="286"/>
      <c r="P1035" s="286"/>
      <c r="Q1035" s="287"/>
    </row>
    <row r="1036" spans="1:17" ht="30" customHeight="1" x14ac:dyDescent="0.2">
      <c r="A1036" s="280"/>
      <c r="B1036" s="281"/>
      <c r="C1036" s="281"/>
      <c r="D1036" s="281"/>
      <c r="F1036" s="285" t="str">
        <f t="shared" si="38"/>
        <v/>
      </c>
      <c r="G1036" s="286"/>
      <c r="H1036" s="287"/>
      <c r="I1036" s="287"/>
      <c r="K1036" s="285" t="str">
        <f t="shared" si="39"/>
        <v/>
      </c>
      <c r="L1036" s="286"/>
      <c r="M1036" s="287"/>
      <c r="N1036" s="287"/>
      <c r="O1036" s="286"/>
      <c r="P1036" s="286"/>
      <c r="Q1036" s="287"/>
    </row>
    <row r="1037" spans="1:17" ht="30" customHeight="1" x14ac:dyDescent="0.2">
      <c r="A1037" s="280"/>
      <c r="B1037" s="281"/>
      <c r="C1037" s="281"/>
      <c r="D1037" s="281"/>
      <c r="F1037" s="285" t="str">
        <f t="shared" si="38"/>
        <v/>
      </c>
      <c r="G1037" s="286"/>
      <c r="H1037" s="287"/>
      <c r="I1037" s="287"/>
      <c r="K1037" s="285" t="str">
        <f t="shared" si="39"/>
        <v/>
      </c>
      <c r="L1037" s="286"/>
      <c r="M1037" s="287"/>
      <c r="N1037" s="287"/>
      <c r="O1037" s="286"/>
      <c r="P1037" s="286"/>
      <c r="Q1037" s="287"/>
    </row>
    <row r="1038" spans="1:17" ht="30" customHeight="1" x14ac:dyDescent="0.2">
      <c r="A1038" s="280"/>
      <c r="B1038" s="281"/>
      <c r="C1038" s="281"/>
      <c r="D1038" s="281"/>
      <c r="F1038" s="285" t="str">
        <f t="shared" si="38"/>
        <v/>
      </c>
      <c r="G1038" s="286"/>
      <c r="H1038" s="287"/>
      <c r="I1038" s="287"/>
      <c r="K1038" s="285" t="str">
        <f t="shared" si="39"/>
        <v/>
      </c>
      <c r="L1038" s="286"/>
      <c r="M1038" s="287"/>
      <c r="N1038" s="287"/>
      <c r="O1038" s="286"/>
      <c r="P1038" s="286"/>
      <c r="Q1038" s="287"/>
    </row>
    <row r="1039" spans="1:17" ht="30" customHeight="1" x14ac:dyDescent="0.2">
      <c r="A1039" s="280"/>
      <c r="B1039" s="281"/>
      <c r="C1039" s="281"/>
      <c r="D1039" s="281"/>
      <c r="F1039" s="285" t="str">
        <f t="shared" si="38"/>
        <v/>
      </c>
      <c r="G1039" s="286"/>
      <c r="H1039" s="287"/>
      <c r="I1039" s="287"/>
      <c r="K1039" s="285" t="str">
        <f t="shared" si="39"/>
        <v/>
      </c>
      <c r="L1039" s="286"/>
      <c r="M1039" s="287"/>
      <c r="N1039" s="287"/>
      <c r="O1039" s="286"/>
      <c r="P1039" s="286"/>
      <c r="Q1039" s="287"/>
    </row>
    <row r="1040" spans="1:17" ht="30" customHeight="1" x14ac:dyDescent="0.2">
      <c r="A1040" s="280"/>
      <c r="B1040" s="281"/>
      <c r="C1040" s="281"/>
      <c r="D1040" s="281"/>
      <c r="F1040" s="285" t="str">
        <f t="shared" si="38"/>
        <v/>
      </c>
      <c r="G1040" s="286"/>
      <c r="H1040" s="287"/>
      <c r="I1040" s="287"/>
      <c r="K1040" s="285" t="str">
        <f t="shared" si="39"/>
        <v/>
      </c>
      <c r="L1040" s="286"/>
      <c r="M1040" s="287"/>
      <c r="N1040" s="287"/>
      <c r="O1040" s="286"/>
      <c r="P1040" s="286"/>
      <c r="Q1040" s="287"/>
    </row>
    <row r="1041" spans="1:17" ht="30" customHeight="1" x14ac:dyDescent="0.2">
      <c r="A1041" s="280"/>
      <c r="B1041" s="281"/>
      <c r="C1041" s="281"/>
      <c r="D1041" s="281"/>
      <c r="F1041" s="285" t="str">
        <f t="shared" si="38"/>
        <v/>
      </c>
      <c r="G1041" s="286"/>
      <c r="H1041" s="287"/>
      <c r="I1041" s="287"/>
      <c r="K1041" s="285" t="str">
        <f t="shared" si="39"/>
        <v/>
      </c>
      <c r="L1041" s="286"/>
      <c r="M1041" s="287"/>
      <c r="N1041" s="287"/>
      <c r="O1041" s="286"/>
      <c r="P1041" s="286"/>
      <c r="Q1041" s="287"/>
    </row>
    <row r="1042" spans="1:17" ht="30" customHeight="1" x14ac:dyDescent="0.2">
      <c r="A1042" s="280"/>
      <c r="B1042" s="281"/>
      <c r="C1042" s="281"/>
      <c r="D1042" s="281"/>
      <c r="F1042" s="285" t="str">
        <f t="shared" si="38"/>
        <v/>
      </c>
      <c r="G1042" s="286"/>
      <c r="H1042" s="287"/>
      <c r="I1042" s="287"/>
      <c r="K1042" s="285" t="str">
        <f t="shared" si="39"/>
        <v/>
      </c>
      <c r="L1042" s="286"/>
      <c r="M1042" s="287"/>
      <c r="N1042" s="287"/>
      <c r="O1042" s="286"/>
      <c r="P1042" s="286"/>
      <c r="Q1042" s="287"/>
    </row>
    <row r="1043" spans="1:17" ht="30" customHeight="1" x14ac:dyDescent="0.2">
      <c r="A1043" s="280"/>
      <c r="B1043" s="281"/>
      <c r="C1043" s="281"/>
      <c r="D1043" s="281"/>
      <c r="F1043" s="285" t="str">
        <f t="shared" si="38"/>
        <v/>
      </c>
      <c r="G1043" s="286"/>
      <c r="H1043" s="287"/>
      <c r="I1043" s="287"/>
      <c r="K1043" s="285" t="str">
        <f t="shared" si="39"/>
        <v/>
      </c>
      <c r="L1043" s="286"/>
      <c r="M1043" s="287"/>
      <c r="N1043" s="287"/>
      <c r="O1043" s="286"/>
      <c r="P1043" s="286"/>
      <c r="Q1043" s="287"/>
    </row>
    <row r="1044" spans="1:17" ht="30" customHeight="1" x14ac:dyDescent="0.2">
      <c r="A1044" s="280"/>
      <c r="B1044" s="281"/>
      <c r="C1044" s="281"/>
      <c r="D1044" s="281"/>
      <c r="F1044" s="285" t="str">
        <f t="shared" si="38"/>
        <v/>
      </c>
      <c r="G1044" s="286"/>
      <c r="H1044" s="287"/>
      <c r="I1044" s="287"/>
      <c r="K1044" s="285" t="str">
        <f t="shared" si="39"/>
        <v/>
      </c>
      <c r="L1044" s="286"/>
      <c r="M1044" s="287"/>
      <c r="N1044" s="287"/>
      <c r="O1044" s="286"/>
      <c r="P1044" s="286"/>
      <c r="Q1044" s="287"/>
    </row>
    <row r="1045" spans="1:17" ht="30" customHeight="1" x14ac:dyDescent="0.2">
      <c r="A1045" s="280"/>
      <c r="B1045" s="281"/>
      <c r="C1045" s="281"/>
      <c r="D1045" s="281"/>
      <c r="F1045" s="285" t="str">
        <f t="shared" si="38"/>
        <v/>
      </c>
      <c r="G1045" s="286"/>
      <c r="H1045" s="287"/>
      <c r="I1045" s="287"/>
      <c r="K1045" s="285" t="str">
        <f t="shared" si="39"/>
        <v/>
      </c>
      <c r="L1045" s="286"/>
      <c r="M1045" s="287"/>
      <c r="N1045" s="287"/>
      <c r="O1045" s="286"/>
      <c r="P1045" s="286"/>
      <c r="Q1045" s="287"/>
    </row>
    <row r="1046" spans="1:17" ht="30" customHeight="1" x14ac:dyDescent="0.2">
      <c r="A1046" s="280"/>
      <c r="B1046" s="281"/>
      <c r="C1046" s="281"/>
      <c r="D1046" s="281"/>
      <c r="F1046" s="285" t="str">
        <f t="shared" si="38"/>
        <v/>
      </c>
      <c r="G1046" s="286"/>
      <c r="H1046" s="287"/>
      <c r="I1046" s="287"/>
      <c r="K1046" s="285" t="str">
        <f t="shared" si="39"/>
        <v/>
      </c>
      <c r="L1046" s="286"/>
      <c r="M1046" s="287"/>
      <c r="N1046" s="287"/>
      <c r="O1046" s="286"/>
      <c r="P1046" s="286"/>
      <c r="Q1046" s="287"/>
    </row>
    <row r="1047" spans="1:17" ht="30" customHeight="1" x14ac:dyDescent="0.2">
      <c r="A1047" s="280"/>
      <c r="B1047" s="281"/>
      <c r="C1047" s="281"/>
      <c r="D1047" s="281"/>
      <c r="F1047" s="285" t="str">
        <f t="shared" si="38"/>
        <v/>
      </c>
      <c r="G1047" s="286"/>
      <c r="H1047" s="287"/>
      <c r="I1047" s="287"/>
      <c r="K1047" s="285" t="str">
        <f t="shared" si="39"/>
        <v/>
      </c>
      <c r="L1047" s="286"/>
      <c r="M1047" s="287"/>
      <c r="N1047" s="287"/>
      <c r="O1047" s="286"/>
      <c r="P1047" s="286"/>
      <c r="Q1047" s="287"/>
    </row>
    <row r="1048" spans="1:17" ht="30" customHeight="1" x14ac:dyDescent="0.2">
      <c r="A1048" s="280"/>
      <c r="B1048" s="281"/>
      <c r="C1048" s="281"/>
      <c r="D1048" s="281"/>
      <c r="F1048" s="285" t="str">
        <f t="shared" si="38"/>
        <v/>
      </c>
      <c r="G1048" s="286"/>
      <c r="H1048" s="287"/>
      <c r="I1048" s="287"/>
      <c r="K1048" s="285" t="str">
        <f t="shared" si="39"/>
        <v/>
      </c>
      <c r="L1048" s="286"/>
      <c r="M1048" s="287"/>
      <c r="N1048" s="287"/>
      <c r="O1048" s="286"/>
      <c r="P1048" s="286"/>
      <c r="Q1048" s="287"/>
    </row>
    <row r="1049" spans="1:17" ht="30" customHeight="1" x14ac:dyDescent="0.2">
      <c r="A1049" s="280"/>
      <c r="B1049" s="281"/>
      <c r="C1049" s="281"/>
      <c r="D1049" s="281"/>
      <c r="F1049" s="285" t="str">
        <f t="shared" si="38"/>
        <v/>
      </c>
      <c r="G1049" s="286"/>
      <c r="H1049" s="287"/>
      <c r="I1049" s="287"/>
      <c r="K1049" s="285" t="str">
        <f t="shared" si="39"/>
        <v/>
      </c>
      <c r="L1049" s="286"/>
      <c r="M1049" s="287"/>
      <c r="N1049" s="287"/>
      <c r="O1049" s="286"/>
      <c r="P1049" s="286"/>
      <c r="Q1049" s="287"/>
    </row>
    <row r="1050" spans="1:17" ht="30" customHeight="1" x14ac:dyDescent="0.2">
      <c r="A1050" s="280"/>
      <c r="B1050" s="281"/>
      <c r="C1050" s="281"/>
      <c r="D1050" s="281"/>
      <c r="F1050" s="285" t="str">
        <f t="shared" si="38"/>
        <v/>
      </c>
      <c r="G1050" s="286"/>
      <c r="H1050" s="287"/>
      <c r="I1050" s="287"/>
      <c r="K1050" s="285" t="str">
        <f t="shared" si="39"/>
        <v/>
      </c>
      <c r="L1050" s="286"/>
      <c r="M1050" s="287"/>
      <c r="N1050" s="287"/>
      <c r="O1050" s="286"/>
      <c r="P1050" s="286"/>
      <c r="Q1050" s="287"/>
    </row>
    <row r="1051" spans="1:17" ht="30" customHeight="1" x14ac:dyDescent="0.2">
      <c r="A1051" s="280"/>
      <c r="B1051" s="281"/>
      <c r="C1051" s="281"/>
      <c r="D1051" s="281"/>
      <c r="F1051" s="285" t="str">
        <f t="shared" si="38"/>
        <v/>
      </c>
      <c r="G1051" s="286"/>
      <c r="H1051" s="287"/>
      <c r="I1051" s="287"/>
      <c r="K1051" s="285" t="str">
        <f t="shared" si="39"/>
        <v/>
      </c>
      <c r="L1051" s="286"/>
      <c r="M1051" s="287"/>
      <c r="N1051" s="287"/>
      <c r="O1051" s="286"/>
      <c r="P1051" s="286"/>
      <c r="Q1051" s="287"/>
    </row>
    <row r="1052" spans="1:17" ht="30" customHeight="1" x14ac:dyDescent="0.2">
      <c r="A1052" s="280"/>
      <c r="B1052" s="281"/>
      <c r="C1052" s="281"/>
      <c r="D1052" s="281"/>
      <c r="F1052" s="285" t="str">
        <f t="shared" si="38"/>
        <v/>
      </c>
      <c r="G1052" s="286"/>
      <c r="H1052" s="287"/>
      <c r="I1052" s="287"/>
      <c r="K1052" s="285" t="str">
        <f t="shared" si="39"/>
        <v/>
      </c>
      <c r="L1052" s="286"/>
      <c r="M1052" s="287"/>
      <c r="N1052" s="287"/>
      <c r="O1052" s="286"/>
      <c r="P1052" s="286"/>
      <c r="Q1052" s="287"/>
    </row>
    <row r="1053" spans="1:17" ht="30" customHeight="1" x14ac:dyDescent="0.2">
      <c r="A1053" s="280"/>
      <c r="B1053" s="281"/>
      <c r="C1053" s="281"/>
      <c r="D1053" s="281"/>
      <c r="F1053" s="285" t="str">
        <f t="shared" si="38"/>
        <v/>
      </c>
      <c r="G1053" s="286"/>
      <c r="H1053" s="287"/>
      <c r="I1053" s="287"/>
      <c r="K1053" s="285" t="str">
        <f t="shared" si="39"/>
        <v/>
      </c>
      <c r="L1053" s="286"/>
      <c r="M1053" s="287"/>
      <c r="N1053" s="287"/>
      <c r="O1053" s="286"/>
      <c r="P1053" s="286"/>
      <c r="Q1053" s="287"/>
    </row>
    <row r="1054" spans="1:17" ht="30" customHeight="1" x14ac:dyDescent="0.2">
      <c r="A1054" s="280"/>
      <c r="B1054" s="281"/>
      <c r="C1054" s="281"/>
      <c r="D1054" s="281"/>
      <c r="F1054" s="285" t="str">
        <f t="shared" si="38"/>
        <v/>
      </c>
      <c r="G1054" s="286"/>
      <c r="H1054" s="287"/>
      <c r="I1054" s="287"/>
      <c r="K1054" s="285" t="str">
        <f t="shared" si="39"/>
        <v/>
      </c>
      <c r="L1054" s="286"/>
      <c r="M1054" s="287"/>
      <c r="N1054" s="287"/>
      <c r="O1054" s="286"/>
      <c r="P1054" s="286"/>
      <c r="Q1054" s="287"/>
    </row>
    <row r="1055" spans="1:17" ht="30" customHeight="1" x14ac:dyDescent="0.2">
      <c r="A1055" s="280"/>
      <c r="B1055" s="281"/>
      <c r="C1055" s="281"/>
      <c r="D1055" s="281"/>
      <c r="F1055" s="285" t="str">
        <f t="shared" si="38"/>
        <v/>
      </c>
      <c r="G1055" s="286"/>
      <c r="H1055" s="287"/>
      <c r="I1055" s="287"/>
      <c r="K1055" s="285" t="str">
        <f t="shared" si="39"/>
        <v/>
      </c>
      <c r="L1055" s="286"/>
      <c r="M1055" s="287"/>
      <c r="N1055" s="287"/>
      <c r="O1055" s="286"/>
      <c r="P1055" s="286"/>
      <c r="Q1055" s="287"/>
    </row>
    <row r="1056" spans="1:17" ht="30" customHeight="1" x14ac:dyDescent="0.2">
      <c r="A1056" s="280"/>
      <c r="B1056" s="281"/>
      <c r="C1056" s="281"/>
      <c r="D1056" s="281"/>
      <c r="F1056" s="285" t="str">
        <f t="shared" si="38"/>
        <v/>
      </c>
      <c r="G1056" s="286"/>
      <c r="H1056" s="287"/>
      <c r="I1056" s="287"/>
      <c r="K1056" s="285" t="str">
        <f t="shared" si="39"/>
        <v/>
      </c>
      <c r="L1056" s="286"/>
      <c r="M1056" s="287"/>
      <c r="N1056" s="287"/>
      <c r="O1056" s="286"/>
      <c r="P1056" s="286"/>
      <c r="Q1056" s="287"/>
    </row>
    <row r="1057" spans="1:17" ht="30" customHeight="1" x14ac:dyDescent="0.2">
      <c r="A1057" s="280"/>
      <c r="B1057" s="281"/>
      <c r="C1057" s="281"/>
      <c r="D1057" s="281"/>
      <c r="F1057" s="285" t="str">
        <f t="shared" si="38"/>
        <v/>
      </c>
      <c r="G1057" s="286"/>
      <c r="H1057" s="287"/>
      <c r="I1057" s="287"/>
      <c r="K1057" s="285" t="str">
        <f t="shared" si="39"/>
        <v/>
      </c>
      <c r="L1057" s="286"/>
      <c r="M1057" s="287"/>
      <c r="N1057" s="287"/>
      <c r="O1057" s="286"/>
      <c r="P1057" s="286"/>
      <c r="Q1057" s="287"/>
    </row>
    <row r="1058" spans="1:17" ht="30" customHeight="1" x14ac:dyDescent="0.2">
      <c r="A1058" s="280"/>
      <c r="B1058" s="281"/>
      <c r="C1058" s="281"/>
      <c r="D1058" s="281"/>
      <c r="F1058" s="285" t="str">
        <f t="shared" si="38"/>
        <v/>
      </c>
      <c r="G1058" s="286"/>
      <c r="H1058" s="287"/>
      <c r="I1058" s="287"/>
      <c r="K1058" s="285" t="str">
        <f t="shared" si="39"/>
        <v/>
      </c>
      <c r="L1058" s="286"/>
      <c r="M1058" s="287"/>
      <c r="N1058" s="287"/>
      <c r="O1058" s="286"/>
      <c r="P1058" s="286"/>
      <c r="Q1058" s="287"/>
    </row>
    <row r="1059" spans="1:17" ht="30" customHeight="1" x14ac:dyDescent="0.2">
      <c r="A1059" s="280"/>
      <c r="B1059" s="281"/>
      <c r="C1059" s="281"/>
      <c r="D1059" s="281"/>
      <c r="F1059" s="285" t="str">
        <f t="shared" si="38"/>
        <v/>
      </c>
      <c r="G1059" s="286"/>
      <c r="H1059" s="287"/>
      <c r="I1059" s="287"/>
      <c r="K1059" s="285" t="str">
        <f t="shared" si="39"/>
        <v/>
      </c>
      <c r="L1059" s="286"/>
      <c r="M1059" s="287"/>
      <c r="N1059" s="287"/>
      <c r="O1059" s="286"/>
      <c r="P1059" s="286"/>
      <c r="Q1059" s="287"/>
    </row>
    <row r="1060" spans="1:17" ht="30" customHeight="1" x14ac:dyDescent="0.2">
      <c r="A1060" s="280"/>
      <c r="B1060" s="281"/>
      <c r="C1060" s="281"/>
      <c r="D1060" s="281"/>
      <c r="F1060" s="285" t="str">
        <f t="shared" si="38"/>
        <v/>
      </c>
      <c r="G1060" s="286"/>
      <c r="H1060" s="287"/>
      <c r="I1060" s="287"/>
      <c r="K1060" s="285" t="str">
        <f t="shared" si="39"/>
        <v/>
      </c>
      <c r="L1060" s="286"/>
      <c r="M1060" s="287"/>
      <c r="N1060" s="287"/>
      <c r="O1060" s="286"/>
      <c r="P1060" s="286"/>
      <c r="Q1060" s="287"/>
    </row>
    <row r="1061" spans="1:17" ht="30" customHeight="1" x14ac:dyDescent="0.2">
      <c r="A1061" s="280"/>
      <c r="B1061" s="281"/>
      <c r="C1061" s="281"/>
      <c r="D1061" s="281"/>
      <c r="F1061" s="285" t="str">
        <f t="shared" si="38"/>
        <v/>
      </c>
      <c r="G1061" s="286"/>
      <c r="H1061" s="287"/>
      <c r="I1061" s="287"/>
      <c r="K1061" s="285" t="str">
        <f t="shared" si="39"/>
        <v/>
      </c>
      <c r="L1061" s="286"/>
      <c r="M1061" s="287"/>
      <c r="N1061" s="287"/>
      <c r="O1061" s="286"/>
      <c r="P1061" s="286"/>
      <c r="Q1061" s="287"/>
    </row>
    <row r="1062" spans="1:17" ht="30" customHeight="1" x14ac:dyDescent="0.2">
      <c r="A1062" s="280"/>
      <c r="B1062" s="281"/>
      <c r="C1062" s="281"/>
      <c r="D1062" s="281"/>
      <c r="F1062" s="285" t="str">
        <f t="shared" si="38"/>
        <v/>
      </c>
      <c r="G1062" s="286"/>
      <c r="H1062" s="287"/>
      <c r="I1062" s="287"/>
      <c r="K1062" s="285" t="str">
        <f t="shared" si="39"/>
        <v/>
      </c>
      <c r="L1062" s="286"/>
      <c r="M1062" s="287"/>
      <c r="N1062" s="287"/>
      <c r="O1062" s="286"/>
      <c r="P1062" s="286"/>
      <c r="Q1062" s="287"/>
    </row>
    <row r="1063" spans="1:17" ht="30" customHeight="1" x14ac:dyDescent="0.2">
      <c r="A1063" s="280"/>
      <c r="B1063" s="281"/>
      <c r="C1063" s="281"/>
      <c r="D1063" s="281"/>
      <c r="F1063" s="285" t="str">
        <f t="shared" si="38"/>
        <v/>
      </c>
      <c r="G1063" s="286"/>
      <c r="H1063" s="287"/>
      <c r="I1063" s="287"/>
      <c r="K1063" s="285" t="str">
        <f t="shared" si="39"/>
        <v/>
      </c>
      <c r="L1063" s="286"/>
      <c r="M1063" s="287"/>
      <c r="N1063" s="287"/>
      <c r="O1063" s="286"/>
      <c r="P1063" s="286"/>
      <c r="Q1063" s="287"/>
    </row>
    <row r="1064" spans="1:17" ht="30" customHeight="1" x14ac:dyDescent="0.2">
      <c r="A1064" s="280"/>
      <c r="B1064" s="281"/>
      <c r="C1064" s="281"/>
      <c r="D1064" s="281"/>
      <c r="F1064" s="285" t="str">
        <f t="shared" si="38"/>
        <v/>
      </c>
      <c r="G1064" s="286"/>
      <c r="H1064" s="287"/>
      <c r="I1064" s="287"/>
      <c r="K1064" s="285" t="str">
        <f t="shared" si="39"/>
        <v/>
      </c>
      <c r="L1064" s="286"/>
      <c r="M1064" s="287"/>
      <c r="N1064" s="287"/>
      <c r="O1064" s="286"/>
      <c r="P1064" s="286"/>
      <c r="Q1064" s="287"/>
    </row>
    <row r="1065" spans="1:17" ht="30" customHeight="1" x14ac:dyDescent="0.2">
      <c r="A1065" s="280"/>
      <c r="B1065" s="281"/>
      <c r="C1065" s="281"/>
      <c r="D1065" s="281"/>
      <c r="F1065" s="285" t="str">
        <f t="shared" si="38"/>
        <v/>
      </c>
      <c r="G1065" s="286"/>
      <c r="H1065" s="287"/>
      <c r="I1065" s="287"/>
      <c r="K1065" s="285" t="str">
        <f t="shared" si="39"/>
        <v/>
      </c>
      <c r="L1065" s="286"/>
      <c r="M1065" s="287"/>
      <c r="N1065" s="287"/>
      <c r="O1065" s="286"/>
      <c r="P1065" s="286"/>
      <c r="Q1065" s="287"/>
    </row>
    <row r="1066" spans="1:17" ht="30" customHeight="1" x14ac:dyDescent="0.2">
      <c r="A1066" s="280"/>
      <c r="B1066" s="281"/>
      <c r="C1066" s="281"/>
      <c r="D1066" s="281"/>
      <c r="F1066" s="285" t="str">
        <f t="shared" si="38"/>
        <v/>
      </c>
      <c r="G1066" s="286"/>
      <c r="H1066" s="287"/>
      <c r="I1066" s="287"/>
      <c r="K1066" s="285" t="str">
        <f t="shared" si="39"/>
        <v/>
      </c>
      <c r="L1066" s="286"/>
      <c r="M1066" s="287"/>
      <c r="N1066" s="287"/>
      <c r="O1066" s="286"/>
      <c r="P1066" s="286"/>
      <c r="Q1066" s="287"/>
    </row>
    <row r="1067" spans="1:17" ht="30" customHeight="1" x14ac:dyDescent="0.2">
      <c r="A1067" s="280"/>
      <c r="B1067" s="281"/>
      <c r="C1067" s="281"/>
      <c r="D1067" s="281"/>
      <c r="F1067" s="285" t="str">
        <f t="shared" si="38"/>
        <v/>
      </c>
      <c r="G1067" s="286"/>
      <c r="H1067" s="287"/>
      <c r="I1067" s="287"/>
      <c r="K1067" s="285" t="str">
        <f t="shared" si="39"/>
        <v/>
      </c>
      <c r="L1067" s="286"/>
      <c r="M1067" s="287"/>
      <c r="N1067" s="287"/>
      <c r="O1067" s="286"/>
      <c r="P1067" s="286"/>
      <c r="Q1067" s="287"/>
    </row>
    <row r="1068" spans="1:17" ht="30" customHeight="1" x14ac:dyDescent="0.2">
      <c r="A1068" s="280"/>
      <c r="B1068" s="281"/>
      <c r="C1068" s="281"/>
      <c r="D1068" s="281"/>
      <c r="F1068" s="285" t="str">
        <f t="shared" si="38"/>
        <v/>
      </c>
      <c r="G1068" s="286"/>
      <c r="H1068" s="287"/>
      <c r="I1068" s="287"/>
      <c r="K1068" s="285" t="str">
        <f t="shared" si="39"/>
        <v/>
      </c>
      <c r="L1068" s="286"/>
      <c r="M1068" s="287"/>
      <c r="N1068" s="287"/>
      <c r="O1068" s="286"/>
      <c r="P1068" s="286"/>
      <c r="Q1068" s="287"/>
    </row>
    <row r="1069" spans="1:17" ht="30" customHeight="1" x14ac:dyDescent="0.2">
      <c r="A1069" s="280"/>
      <c r="B1069" s="281"/>
      <c r="C1069" s="281"/>
      <c r="D1069" s="281"/>
      <c r="F1069" s="285" t="str">
        <f t="shared" si="38"/>
        <v/>
      </c>
      <c r="G1069" s="286"/>
      <c r="H1069" s="287"/>
      <c r="I1069" s="287"/>
      <c r="K1069" s="285" t="str">
        <f t="shared" si="39"/>
        <v/>
      </c>
      <c r="L1069" s="286"/>
      <c r="M1069" s="287"/>
      <c r="N1069" s="287"/>
      <c r="O1069" s="286"/>
      <c r="P1069" s="286"/>
      <c r="Q1069" s="287"/>
    </row>
    <row r="1070" spans="1:17" ht="30" customHeight="1" x14ac:dyDescent="0.2">
      <c r="A1070" s="280"/>
      <c r="B1070" s="281"/>
      <c r="C1070" s="281"/>
      <c r="D1070" s="281"/>
      <c r="F1070" s="285" t="str">
        <f t="shared" si="38"/>
        <v/>
      </c>
      <c r="G1070" s="286"/>
      <c r="H1070" s="287"/>
      <c r="I1070" s="287"/>
      <c r="K1070" s="285" t="str">
        <f t="shared" si="39"/>
        <v/>
      </c>
      <c r="L1070" s="286"/>
      <c r="M1070" s="287"/>
      <c r="N1070" s="287"/>
      <c r="O1070" s="286"/>
      <c r="P1070" s="286"/>
      <c r="Q1070" s="287"/>
    </row>
    <row r="1071" spans="1:17" ht="30" customHeight="1" x14ac:dyDescent="0.2">
      <c r="A1071" s="280"/>
      <c r="B1071" s="281"/>
      <c r="C1071" s="281"/>
      <c r="D1071" s="281"/>
      <c r="F1071" s="285" t="str">
        <f t="shared" si="38"/>
        <v/>
      </c>
      <c r="G1071" s="286"/>
      <c r="H1071" s="287"/>
      <c r="I1071" s="287"/>
      <c r="K1071" s="285" t="str">
        <f t="shared" si="39"/>
        <v/>
      </c>
      <c r="L1071" s="286"/>
      <c r="M1071" s="287"/>
      <c r="N1071" s="287"/>
      <c r="O1071" s="286"/>
      <c r="P1071" s="286"/>
      <c r="Q1071" s="287"/>
    </row>
    <row r="1072" spans="1:17" ht="30" customHeight="1" x14ac:dyDescent="0.2">
      <c r="A1072" s="280"/>
      <c r="B1072" s="281"/>
      <c r="C1072" s="281"/>
      <c r="D1072" s="281"/>
      <c r="F1072" s="285" t="str">
        <f t="shared" si="38"/>
        <v/>
      </c>
      <c r="G1072" s="286"/>
      <c r="H1072" s="287"/>
      <c r="I1072" s="287"/>
      <c r="K1072" s="285" t="str">
        <f t="shared" si="39"/>
        <v/>
      </c>
      <c r="L1072" s="286"/>
      <c r="M1072" s="287"/>
      <c r="N1072" s="287"/>
      <c r="O1072" s="286"/>
      <c r="P1072" s="286"/>
      <c r="Q1072" s="287"/>
    </row>
    <row r="1073" spans="1:17" ht="30" customHeight="1" x14ac:dyDescent="0.2">
      <c r="A1073" s="280"/>
      <c r="B1073" s="281"/>
      <c r="C1073" s="281"/>
      <c r="D1073" s="281"/>
      <c r="F1073" s="285" t="str">
        <f t="shared" si="38"/>
        <v/>
      </c>
      <c r="G1073" s="286"/>
      <c r="H1073" s="287"/>
      <c r="I1073" s="287"/>
      <c r="K1073" s="285" t="str">
        <f t="shared" si="39"/>
        <v/>
      </c>
      <c r="L1073" s="286"/>
      <c r="M1073" s="287"/>
      <c r="N1073" s="287"/>
      <c r="O1073" s="286"/>
      <c r="P1073" s="286"/>
      <c r="Q1073" s="287"/>
    </row>
    <row r="1074" spans="1:17" ht="30" customHeight="1" x14ac:dyDescent="0.2">
      <c r="A1074" s="280"/>
      <c r="B1074" s="281"/>
      <c r="C1074" s="281"/>
      <c r="D1074" s="281"/>
      <c r="F1074" s="285" t="str">
        <f t="shared" si="38"/>
        <v/>
      </c>
      <c r="G1074" s="286"/>
      <c r="H1074" s="287"/>
      <c r="I1074" s="287"/>
      <c r="K1074" s="285" t="str">
        <f t="shared" si="39"/>
        <v/>
      </c>
      <c r="L1074" s="286"/>
      <c r="M1074" s="287"/>
      <c r="N1074" s="287"/>
      <c r="O1074" s="286"/>
      <c r="P1074" s="286"/>
      <c r="Q1074" s="287"/>
    </row>
    <row r="1075" spans="1:17" ht="30" customHeight="1" x14ac:dyDescent="0.2">
      <c r="A1075" s="280"/>
      <c r="B1075" s="281"/>
      <c r="C1075" s="281"/>
      <c r="D1075" s="281"/>
      <c r="F1075" s="285" t="str">
        <f t="shared" si="38"/>
        <v/>
      </c>
      <c r="G1075" s="286"/>
      <c r="H1075" s="287"/>
      <c r="I1075" s="287"/>
      <c r="K1075" s="285" t="str">
        <f t="shared" si="39"/>
        <v/>
      </c>
      <c r="L1075" s="286"/>
      <c r="M1075" s="287"/>
      <c r="N1075" s="287"/>
      <c r="O1075" s="286"/>
      <c r="P1075" s="286"/>
      <c r="Q1075" s="287"/>
    </row>
    <row r="1076" spans="1:17" ht="30" customHeight="1" x14ac:dyDescent="0.2">
      <c r="A1076" s="280"/>
      <c r="B1076" s="281"/>
      <c r="C1076" s="281"/>
      <c r="D1076" s="281"/>
      <c r="F1076" s="285" t="str">
        <f t="shared" si="38"/>
        <v/>
      </c>
      <c r="G1076" s="286"/>
      <c r="H1076" s="287"/>
      <c r="I1076" s="287"/>
      <c r="K1076" s="285" t="str">
        <f t="shared" si="39"/>
        <v/>
      </c>
      <c r="L1076" s="286"/>
      <c r="M1076" s="287"/>
      <c r="N1076" s="287"/>
      <c r="O1076" s="286"/>
      <c r="P1076" s="286"/>
      <c r="Q1076" s="287"/>
    </row>
    <row r="1077" spans="1:17" ht="30" customHeight="1" x14ac:dyDescent="0.2">
      <c r="A1077" s="280"/>
      <c r="B1077" s="281"/>
      <c r="C1077" s="281"/>
      <c r="D1077" s="281"/>
      <c r="F1077" s="285" t="str">
        <f t="shared" si="38"/>
        <v/>
      </c>
      <c r="G1077" s="286"/>
      <c r="H1077" s="287"/>
      <c r="I1077" s="287"/>
      <c r="K1077" s="285" t="str">
        <f t="shared" si="39"/>
        <v/>
      </c>
      <c r="L1077" s="286"/>
      <c r="M1077" s="287"/>
      <c r="N1077" s="287"/>
      <c r="O1077" s="286"/>
      <c r="P1077" s="286"/>
      <c r="Q1077" s="287"/>
    </row>
    <row r="1078" spans="1:17" ht="30" customHeight="1" x14ac:dyDescent="0.2">
      <c r="A1078" s="280"/>
      <c r="B1078" s="281"/>
      <c r="C1078" s="281"/>
      <c r="D1078" s="281"/>
      <c r="F1078" s="285" t="str">
        <f t="shared" si="38"/>
        <v/>
      </c>
      <c r="G1078" s="286"/>
      <c r="H1078" s="287"/>
      <c r="I1078" s="287"/>
      <c r="K1078" s="285" t="str">
        <f t="shared" si="39"/>
        <v/>
      </c>
      <c r="L1078" s="286"/>
      <c r="M1078" s="287"/>
      <c r="N1078" s="287"/>
      <c r="O1078" s="286"/>
      <c r="P1078" s="286"/>
      <c r="Q1078" s="287"/>
    </row>
    <row r="1079" spans="1:17" ht="30" customHeight="1" x14ac:dyDescent="0.2">
      <c r="A1079" s="280"/>
      <c r="B1079" s="281"/>
      <c r="C1079" s="281"/>
      <c r="D1079" s="281"/>
      <c r="F1079" s="285" t="str">
        <f t="shared" si="38"/>
        <v/>
      </c>
      <c r="G1079" s="286"/>
      <c r="H1079" s="287"/>
      <c r="I1079" s="287"/>
      <c r="K1079" s="285" t="str">
        <f t="shared" si="39"/>
        <v/>
      </c>
      <c r="L1079" s="286"/>
      <c r="M1079" s="287"/>
      <c r="N1079" s="287"/>
      <c r="O1079" s="286"/>
      <c r="P1079" s="286"/>
      <c r="Q1079" s="287"/>
    </row>
    <row r="1080" spans="1:17" ht="30" customHeight="1" x14ac:dyDescent="0.2">
      <c r="A1080" s="280"/>
      <c r="B1080" s="281"/>
      <c r="C1080" s="281"/>
      <c r="D1080" s="281"/>
      <c r="F1080" s="285" t="str">
        <f t="shared" si="38"/>
        <v/>
      </c>
      <c r="G1080" s="286"/>
      <c r="H1080" s="287"/>
      <c r="I1080" s="287"/>
      <c r="K1080" s="285" t="str">
        <f t="shared" si="39"/>
        <v/>
      </c>
      <c r="L1080" s="286"/>
      <c r="M1080" s="287"/>
      <c r="N1080" s="287"/>
      <c r="O1080" s="286"/>
      <c r="P1080" s="286"/>
      <c r="Q1080" s="287"/>
    </row>
    <row r="1081" spans="1:17" ht="30" customHeight="1" x14ac:dyDescent="0.2">
      <c r="A1081" s="280"/>
      <c r="B1081" s="281"/>
      <c r="C1081" s="281"/>
      <c r="D1081" s="281"/>
      <c r="F1081" s="285" t="str">
        <f t="shared" si="38"/>
        <v/>
      </c>
      <c r="G1081" s="286"/>
      <c r="H1081" s="287"/>
      <c r="I1081" s="287"/>
      <c r="K1081" s="285" t="str">
        <f t="shared" si="39"/>
        <v/>
      </c>
      <c r="L1081" s="286"/>
      <c r="M1081" s="287"/>
      <c r="N1081" s="287"/>
      <c r="O1081" s="286"/>
      <c r="P1081" s="286"/>
      <c r="Q1081" s="287"/>
    </row>
    <row r="1082" spans="1:17" ht="30" customHeight="1" x14ac:dyDescent="0.2">
      <c r="A1082" s="280"/>
      <c r="B1082" s="281"/>
      <c r="C1082" s="281"/>
      <c r="D1082" s="281"/>
      <c r="F1082" s="285" t="str">
        <f t="shared" si="38"/>
        <v/>
      </c>
      <c r="G1082" s="286"/>
      <c r="H1082" s="287"/>
      <c r="I1082" s="287"/>
      <c r="K1082" s="285" t="str">
        <f t="shared" si="39"/>
        <v/>
      </c>
      <c r="L1082" s="286"/>
      <c r="M1082" s="287"/>
      <c r="N1082" s="287"/>
      <c r="O1082" s="286"/>
      <c r="P1082" s="286"/>
      <c r="Q1082" s="287"/>
    </row>
    <row r="1083" spans="1:17" ht="30" customHeight="1" x14ac:dyDescent="0.2">
      <c r="A1083" s="280"/>
      <c r="B1083" s="281"/>
      <c r="C1083" s="281"/>
      <c r="D1083" s="281"/>
      <c r="F1083" s="285" t="str">
        <f t="shared" si="38"/>
        <v/>
      </c>
      <c r="G1083" s="286"/>
      <c r="H1083" s="287"/>
      <c r="I1083" s="287"/>
      <c r="K1083" s="285" t="str">
        <f t="shared" si="39"/>
        <v/>
      </c>
      <c r="L1083" s="286"/>
      <c r="M1083" s="287"/>
      <c r="N1083" s="287"/>
      <c r="O1083" s="286"/>
      <c r="P1083" s="286"/>
      <c r="Q1083" s="287"/>
    </row>
    <row r="1084" spans="1:17" ht="30" customHeight="1" x14ac:dyDescent="0.2">
      <c r="A1084" s="280"/>
      <c r="B1084" s="281"/>
      <c r="C1084" s="281"/>
      <c r="D1084" s="281"/>
      <c r="F1084" s="285" t="str">
        <f t="shared" si="38"/>
        <v/>
      </c>
      <c r="G1084" s="286"/>
      <c r="H1084" s="287"/>
      <c r="I1084" s="287"/>
      <c r="K1084" s="285" t="str">
        <f t="shared" si="39"/>
        <v/>
      </c>
      <c r="L1084" s="286"/>
      <c r="M1084" s="287"/>
      <c r="N1084" s="287"/>
      <c r="O1084" s="286"/>
      <c r="P1084" s="286"/>
      <c r="Q1084" s="287"/>
    </row>
    <row r="1085" spans="1:17" ht="30" customHeight="1" x14ac:dyDescent="0.2">
      <c r="A1085" s="280"/>
      <c r="B1085" s="281"/>
      <c r="C1085" s="281"/>
      <c r="D1085" s="281"/>
      <c r="F1085" s="285" t="str">
        <f t="shared" si="38"/>
        <v/>
      </c>
      <c r="G1085" s="286"/>
      <c r="H1085" s="287"/>
      <c r="I1085" s="287"/>
      <c r="K1085" s="285" t="str">
        <f t="shared" si="39"/>
        <v/>
      </c>
      <c r="L1085" s="286"/>
      <c r="M1085" s="287"/>
      <c r="N1085" s="287"/>
      <c r="O1085" s="286"/>
      <c r="P1085" s="286"/>
      <c r="Q1085" s="287"/>
    </row>
    <row r="1086" spans="1:17" ht="30" customHeight="1" x14ac:dyDescent="0.2">
      <c r="A1086" s="280"/>
      <c r="B1086" s="281"/>
      <c r="C1086" s="281"/>
      <c r="D1086" s="281"/>
      <c r="F1086" s="285" t="str">
        <f t="shared" si="38"/>
        <v/>
      </c>
      <c r="G1086" s="286"/>
      <c r="H1086" s="287"/>
      <c r="I1086" s="287"/>
      <c r="K1086" s="285" t="str">
        <f t="shared" si="39"/>
        <v/>
      </c>
      <c r="L1086" s="286"/>
      <c r="M1086" s="287"/>
      <c r="N1086" s="287"/>
      <c r="O1086" s="286"/>
      <c r="P1086" s="286"/>
      <c r="Q1086" s="287"/>
    </row>
    <row r="1087" spans="1:17" ht="30" customHeight="1" x14ac:dyDescent="0.2">
      <c r="A1087" s="280"/>
      <c r="B1087" s="281"/>
      <c r="C1087" s="281"/>
      <c r="D1087" s="281"/>
      <c r="F1087" s="285" t="str">
        <f t="shared" si="38"/>
        <v/>
      </c>
      <c r="G1087" s="286"/>
      <c r="H1087" s="287"/>
      <c r="I1087" s="287"/>
      <c r="K1087" s="285" t="str">
        <f t="shared" si="39"/>
        <v/>
      </c>
      <c r="L1087" s="286"/>
      <c r="M1087" s="287"/>
      <c r="N1087" s="287"/>
      <c r="O1087" s="286"/>
      <c r="P1087" s="286"/>
      <c r="Q1087" s="287"/>
    </row>
    <row r="1088" spans="1:17" ht="30" customHeight="1" x14ac:dyDescent="0.2">
      <c r="A1088" s="280"/>
      <c r="B1088" s="281"/>
      <c r="C1088" s="281"/>
      <c r="D1088" s="281"/>
      <c r="F1088" s="285" t="str">
        <f t="shared" si="38"/>
        <v/>
      </c>
      <c r="G1088" s="286"/>
      <c r="H1088" s="287"/>
      <c r="I1088" s="287"/>
      <c r="K1088" s="285" t="str">
        <f t="shared" si="39"/>
        <v/>
      </c>
      <c r="L1088" s="286"/>
      <c r="M1088" s="287"/>
      <c r="N1088" s="287"/>
      <c r="O1088" s="286"/>
      <c r="P1088" s="286"/>
      <c r="Q1088" s="287"/>
    </row>
    <row r="1089" spans="1:17" ht="30" customHeight="1" x14ac:dyDescent="0.2">
      <c r="A1089" s="280"/>
      <c r="B1089" s="281"/>
      <c r="C1089" s="281"/>
      <c r="D1089" s="281"/>
      <c r="F1089" s="285" t="str">
        <f t="shared" si="38"/>
        <v/>
      </c>
      <c r="G1089" s="286"/>
      <c r="H1089" s="287"/>
      <c r="I1089" s="287"/>
      <c r="K1089" s="285" t="str">
        <f t="shared" si="39"/>
        <v/>
      </c>
      <c r="L1089" s="286"/>
      <c r="M1089" s="287"/>
      <c r="N1089" s="287"/>
      <c r="O1089" s="286"/>
      <c r="P1089" s="286"/>
      <c r="Q1089" s="287"/>
    </row>
    <row r="1090" spans="1:17" ht="30" customHeight="1" x14ac:dyDescent="0.2">
      <c r="A1090" s="280"/>
      <c r="B1090" s="281"/>
      <c r="C1090" s="281"/>
      <c r="D1090" s="281"/>
      <c r="F1090" s="285" t="str">
        <f t="shared" si="38"/>
        <v/>
      </c>
      <c r="G1090" s="286"/>
      <c r="H1090" s="287"/>
      <c r="I1090" s="287"/>
      <c r="K1090" s="285" t="str">
        <f t="shared" si="39"/>
        <v/>
      </c>
      <c r="L1090" s="286"/>
      <c r="M1090" s="287"/>
      <c r="N1090" s="287"/>
      <c r="O1090" s="286"/>
      <c r="P1090" s="286"/>
      <c r="Q1090" s="287"/>
    </row>
    <row r="1091" spans="1:17" ht="30" customHeight="1" x14ac:dyDescent="0.2">
      <c r="A1091" s="280"/>
      <c r="B1091" s="281"/>
      <c r="C1091" s="281"/>
      <c r="D1091" s="281"/>
      <c r="F1091" s="285" t="str">
        <f t="shared" si="38"/>
        <v/>
      </c>
      <c r="G1091" s="286"/>
      <c r="H1091" s="287"/>
      <c r="I1091" s="287"/>
      <c r="K1091" s="285" t="str">
        <f t="shared" si="39"/>
        <v/>
      </c>
      <c r="L1091" s="286"/>
      <c r="M1091" s="287"/>
      <c r="N1091" s="287"/>
      <c r="O1091" s="286"/>
      <c r="P1091" s="286"/>
      <c r="Q1091" s="287"/>
    </row>
    <row r="1092" spans="1:17" ht="30" customHeight="1" x14ac:dyDescent="0.2">
      <c r="A1092" s="280"/>
      <c r="B1092" s="281"/>
      <c r="C1092" s="281"/>
      <c r="D1092" s="281"/>
      <c r="F1092" s="285" t="str">
        <f t="shared" si="38"/>
        <v/>
      </c>
      <c r="G1092" s="286"/>
      <c r="H1092" s="287"/>
      <c r="I1092" s="287"/>
      <c r="K1092" s="285" t="str">
        <f t="shared" si="39"/>
        <v/>
      </c>
      <c r="L1092" s="286"/>
      <c r="M1092" s="287"/>
      <c r="N1092" s="287"/>
      <c r="O1092" s="286"/>
      <c r="P1092" s="286"/>
      <c r="Q1092" s="287"/>
    </row>
    <row r="1093" spans="1:17" ht="30" customHeight="1" x14ac:dyDescent="0.2">
      <c r="A1093" s="280"/>
      <c r="B1093" s="281"/>
      <c r="C1093" s="281"/>
      <c r="D1093" s="281"/>
      <c r="F1093" s="285" t="str">
        <f t="shared" ref="F1093:F1156" si="40">IF(A1093="","",A1093)</f>
        <v/>
      </c>
      <c r="G1093" s="286"/>
      <c r="H1093" s="287"/>
      <c r="I1093" s="287"/>
      <c r="K1093" s="285" t="str">
        <f t="shared" si="39"/>
        <v/>
      </c>
      <c r="L1093" s="286"/>
      <c r="M1093" s="287"/>
      <c r="N1093" s="287"/>
      <c r="O1093" s="286"/>
      <c r="P1093" s="286"/>
      <c r="Q1093" s="287"/>
    </row>
    <row r="1094" spans="1:17" ht="30" customHeight="1" x14ac:dyDescent="0.2">
      <c r="A1094" s="280"/>
      <c r="B1094" s="281"/>
      <c r="C1094" s="281"/>
      <c r="D1094" s="281"/>
      <c r="F1094" s="285" t="str">
        <f t="shared" si="40"/>
        <v/>
      </c>
      <c r="G1094" s="286"/>
      <c r="H1094" s="287"/>
      <c r="I1094" s="287"/>
      <c r="K1094" s="285" t="str">
        <f t="shared" si="39"/>
        <v/>
      </c>
      <c r="L1094" s="286"/>
      <c r="M1094" s="287"/>
      <c r="N1094" s="287"/>
      <c r="O1094" s="286"/>
      <c r="P1094" s="286"/>
      <c r="Q1094" s="287"/>
    </row>
    <row r="1095" spans="1:17" ht="30" customHeight="1" x14ac:dyDescent="0.2">
      <c r="A1095" s="280"/>
      <c r="B1095" s="281"/>
      <c r="C1095" s="281"/>
      <c r="D1095" s="281"/>
      <c r="F1095" s="285" t="str">
        <f t="shared" si="40"/>
        <v/>
      </c>
      <c r="G1095" s="286"/>
      <c r="H1095" s="287"/>
      <c r="I1095" s="287"/>
      <c r="K1095" s="285" t="str">
        <f t="shared" si="39"/>
        <v/>
      </c>
      <c r="L1095" s="286"/>
      <c r="M1095" s="287"/>
      <c r="N1095" s="287"/>
      <c r="O1095" s="286"/>
      <c r="P1095" s="286"/>
      <c r="Q1095" s="287"/>
    </row>
    <row r="1096" spans="1:17" ht="30" customHeight="1" x14ac:dyDescent="0.2">
      <c r="A1096" s="280"/>
      <c r="B1096" s="281"/>
      <c r="C1096" s="281"/>
      <c r="D1096" s="281"/>
      <c r="F1096" s="285" t="str">
        <f t="shared" si="40"/>
        <v/>
      </c>
      <c r="G1096" s="286"/>
      <c r="H1096" s="287"/>
      <c r="I1096" s="287"/>
      <c r="K1096" s="285" t="str">
        <f t="shared" si="39"/>
        <v/>
      </c>
      <c r="L1096" s="286"/>
      <c r="M1096" s="287"/>
      <c r="N1096" s="287"/>
      <c r="O1096" s="286"/>
      <c r="P1096" s="286"/>
      <c r="Q1096" s="287"/>
    </row>
    <row r="1097" spans="1:17" ht="30" customHeight="1" x14ac:dyDescent="0.2">
      <c r="A1097" s="280"/>
      <c r="B1097" s="281"/>
      <c r="C1097" s="281"/>
      <c r="D1097" s="281"/>
      <c r="F1097" s="285" t="str">
        <f t="shared" si="40"/>
        <v/>
      </c>
      <c r="G1097" s="286"/>
      <c r="H1097" s="287"/>
      <c r="I1097" s="287"/>
      <c r="K1097" s="285" t="str">
        <f t="shared" si="39"/>
        <v/>
      </c>
      <c r="L1097" s="286"/>
      <c r="M1097" s="287"/>
      <c r="N1097" s="287"/>
      <c r="O1097" s="286"/>
      <c r="P1097" s="286"/>
      <c r="Q1097" s="287"/>
    </row>
    <row r="1098" spans="1:17" ht="30" customHeight="1" x14ac:dyDescent="0.2">
      <c r="A1098" s="280"/>
      <c r="B1098" s="281"/>
      <c r="C1098" s="281"/>
      <c r="D1098" s="281"/>
      <c r="F1098" s="285" t="str">
        <f t="shared" si="40"/>
        <v/>
      </c>
      <c r="G1098" s="286"/>
      <c r="H1098" s="287"/>
      <c r="I1098" s="287"/>
      <c r="K1098" s="285" t="str">
        <f t="shared" si="39"/>
        <v/>
      </c>
      <c r="L1098" s="286"/>
      <c r="M1098" s="287"/>
      <c r="N1098" s="287"/>
      <c r="O1098" s="286"/>
      <c r="P1098" s="286"/>
      <c r="Q1098" s="287"/>
    </row>
    <row r="1099" spans="1:17" ht="30" customHeight="1" x14ac:dyDescent="0.2">
      <c r="A1099" s="280"/>
      <c r="B1099" s="281"/>
      <c r="C1099" s="281"/>
      <c r="D1099" s="281"/>
      <c r="F1099" s="285" t="str">
        <f t="shared" si="40"/>
        <v/>
      </c>
      <c r="G1099" s="286"/>
      <c r="H1099" s="287"/>
      <c r="I1099" s="287"/>
      <c r="K1099" s="285" t="str">
        <f t="shared" ref="K1099:K1162" si="41">IF(A1099="","",A1099)</f>
        <v/>
      </c>
      <c r="L1099" s="286"/>
      <c r="M1099" s="287"/>
      <c r="N1099" s="287"/>
      <c r="O1099" s="286"/>
      <c r="P1099" s="286"/>
      <c r="Q1099" s="287"/>
    </row>
    <row r="1100" spans="1:17" ht="30" customHeight="1" x14ac:dyDescent="0.2">
      <c r="A1100" s="280"/>
      <c r="B1100" s="281"/>
      <c r="C1100" s="281"/>
      <c r="D1100" s="281"/>
      <c r="F1100" s="285" t="str">
        <f t="shared" si="40"/>
        <v/>
      </c>
      <c r="G1100" s="286"/>
      <c r="H1100" s="287"/>
      <c r="I1100" s="287"/>
      <c r="K1100" s="285" t="str">
        <f t="shared" si="41"/>
        <v/>
      </c>
      <c r="L1100" s="286"/>
      <c r="M1100" s="287"/>
      <c r="N1100" s="287"/>
      <c r="O1100" s="286"/>
      <c r="P1100" s="286"/>
      <c r="Q1100" s="287"/>
    </row>
    <row r="1101" spans="1:17" ht="30" customHeight="1" x14ac:dyDescent="0.2">
      <c r="A1101" s="280"/>
      <c r="B1101" s="281"/>
      <c r="C1101" s="281"/>
      <c r="D1101" s="281"/>
      <c r="F1101" s="285" t="str">
        <f t="shared" si="40"/>
        <v/>
      </c>
      <c r="G1101" s="286"/>
      <c r="H1101" s="287"/>
      <c r="I1101" s="287"/>
      <c r="K1101" s="285" t="str">
        <f t="shared" si="41"/>
        <v/>
      </c>
      <c r="L1101" s="286"/>
      <c r="M1101" s="287"/>
      <c r="N1101" s="287"/>
      <c r="O1101" s="286"/>
      <c r="P1101" s="286"/>
      <c r="Q1101" s="287"/>
    </row>
    <row r="1102" spans="1:17" ht="30" customHeight="1" x14ac:dyDescent="0.2">
      <c r="A1102" s="280"/>
      <c r="B1102" s="281"/>
      <c r="C1102" s="281"/>
      <c r="D1102" s="281"/>
      <c r="F1102" s="285" t="str">
        <f t="shared" si="40"/>
        <v/>
      </c>
      <c r="G1102" s="286"/>
      <c r="H1102" s="287"/>
      <c r="I1102" s="287"/>
      <c r="K1102" s="285" t="str">
        <f t="shared" si="41"/>
        <v/>
      </c>
      <c r="L1102" s="286"/>
      <c r="M1102" s="287"/>
      <c r="N1102" s="287"/>
      <c r="O1102" s="286"/>
      <c r="P1102" s="286"/>
      <c r="Q1102" s="287"/>
    </row>
    <row r="1103" spans="1:17" ht="30" customHeight="1" x14ac:dyDescent="0.2">
      <c r="A1103" s="280"/>
      <c r="B1103" s="281"/>
      <c r="C1103" s="281"/>
      <c r="D1103" s="281"/>
      <c r="F1103" s="285" t="str">
        <f t="shared" si="40"/>
        <v/>
      </c>
      <c r="G1103" s="286"/>
      <c r="H1103" s="287"/>
      <c r="I1103" s="287"/>
      <c r="K1103" s="285" t="str">
        <f t="shared" si="41"/>
        <v/>
      </c>
      <c r="L1103" s="286"/>
      <c r="M1103" s="287"/>
      <c r="N1103" s="287"/>
      <c r="O1103" s="286"/>
      <c r="P1103" s="286"/>
      <c r="Q1103" s="287"/>
    </row>
    <row r="1104" spans="1:17" ht="30" customHeight="1" x14ac:dyDescent="0.2">
      <c r="A1104" s="280"/>
      <c r="B1104" s="281"/>
      <c r="C1104" s="281"/>
      <c r="D1104" s="281"/>
      <c r="F1104" s="285" t="str">
        <f t="shared" si="40"/>
        <v/>
      </c>
      <c r="G1104" s="286"/>
      <c r="H1104" s="287"/>
      <c r="I1104" s="287"/>
      <c r="K1104" s="285" t="str">
        <f t="shared" si="41"/>
        <v/>
      </c>
      <c r="L1104" s="286"/>
      <c r="M1104" s="287"/>
      <c r="N1104" s="287"/>
      <c r="O1104" s="286"/>
      <c r="P1104" s="286"/>
      <c r="Q1104" s="287"/>
    </row>
    <row r="1105" spans="1:17" ht="30" customHeight="1" x14ac:dyDescent="0.2">
      <c r="A1105" s="280"/>
      <c r="B1105" s="281"/>
      <c r="C1105" s="281"/>
      <c r="D1105" s="281"/>
      <c r="F1105" s="285" t="str">
        <f t="shared" si="40"/>
        <v/>
      </c>
      <c r="G1105" s="286"/>
      <c r="H1105" s="287"/>
      <c r="I1105" s="287"/>
      <c r="K1105" s="285" t="str">
        <f t="shared" si="41"/>
        <v/>
      </c>
      <c r="L1105" s="286"/>
      <c r="M1105" s="287"/>
      <c r="N1105" s="287"/>
      <c r="O1105" s="286"/>
      <c r="P1105" s="286"/>
      <c r="Q1105" s="287"/>
    </row>
    <row r="1106" spans="1:17" ht="30" customHeight="1" x14ac:dyDescent="0.2">
      <c r="A1106" s="280"/>
      <c r="B1106" s="281"/>
      <c r="C1106" s="281"/>
      <c r="D1106" s="281"/>
      <c r="F1106" s="285" t="str">
        <f t="shared" si="40"/>
        <v/>
      </c>
      <c r="G1106" s="286"/>
      <c r="H1106" s="287"/>
      <c r="I1106" s="287"/>
      <c r="K1106" s="285" t="str">
        <f t="shared" si="41"/>
        <v/>
      </c>
      <c r="L1106" s="286"/>
      <c r="M1106" s="287"/>
      <c r="N1106" s="287"/>
      <c r="O1106" s="286"/>
      <c r="P1106" s="286"/>
      <c r="Q1106" s="287"/>
    </row>
    <row r="1107" spans="1:17" ht="30" customHeight="1" x14ac:dyDescent="0.2">
      <c r="A1107" s="280"/>
      <c r="B1107" s="281"/>
      <c r="C1107" s="281"/>
      <c r="D1107" s="281"/>
      <c r="F1107" s="285" t="str">
        <f t="shared" si="40"/>
        <v/>
      </c>
      <c r="G1107" s="286"/>
      <c r="H1107" s="287"/>
      <c r="I1107" s="287"/>
      <c r="K1107" s="285" t="str">
        <f t="shared" si="41"/>
        <v/>
      </c>
      <c r="L1107" s="286"/>
      <c r="M1107" s="287"/>
      <c r="N1107" s="287"/>
      <c r="O1107" s="286"/>
      <c r="P1107" s="286"/>
      <c r="Q1107" s="287"/>
    </row>
    <row r="1108" spans="1:17" ht="30" customHeight="1" x14ac:dyDescent="0.2">
      <c r="A1108" s="280"/>
      <c r="B1108" s="281"/>
      <c r="C1108" s="281"/>
      <c r="D1108" s="281"/>
      <c r="F1108" s="285" t="str">
        <f t="shared" si="40"/>
        <v/>
      </c>
      <c r="G1108" s="286"/>
      <c r="H1108" s="287"/>
      <c r="I1108" s="287"/>
      <c r="K1108" s="285" t="str">
        <f t="shared" si="41"/>
        <v/>
      </c>
      <c r="L1108" s="286"/>
      <c r="M1108" s="287"/>
      <c r="N1108" s="287"/>
      <c r="O1108" s="286"/>
      <c r="P1108" s="286"/>
      <c r="Q1108" s="287"/>
    </row>
    <row r="1109" spans="1:17" ht="30" customHeight="1" x14ac:dyDescent="0.2">
      <c r="A1109" s="280"/>
      <c r="B1109" s="281"/>
      <c r="C1109" s="281"/>
      <c r="D1109" s="281"/>
      <c r="F1109" s="285" t="str">
        <f t="shared" si="40"/>
        <v/>
      </c>
      <c r="G1109" s="286"/>
      <c r="H1109" s="287"/>
      <c r="I1109" s="287"/>
      <c r="K1109" s="285" t="str">
        <f t="shared" si="41"/>
        <v/>
      </c>
      <c r="L1109" s="286"/>
      <c r="M1109" s="287"/>
      <c r="N1109" s="287"/>
      <c r="O1109" s="286"/>
      <c r="P1109" s="286"/>
      <c r="Q1109" s="287"/>
    </row>
    <row r="1110" spans="1:17" ht="30" customHeight="1" x14ac:dyDescent="0.2">
      <c r="A1110" s="280"/>
      <c r="B1110" s="281"/>
      <c r="C1110" s="281"/>
      <c r="D1110" s="281"/>
      <c r="F1110" s="285" t="str">
        <f t="shared" si="40"/>
        <v/>
      </c>
      <c r="G1110" s="286"/>
      <c r="H1110" s="287"/>
      <c r="I1110" s="287"/>
      <c r="K1110" s="285" t="str">
        <f t="shared" si="41"/>
        <v/>
      </c>
      <c r="L1110" s="286"/>
      <c r="M1110" s="287"/>
      <c r="N1110" s="287"/>
      <c r="O1110" s="286"/>
      <c r="P1110" s="286"/>
      <c r="Q1110" s="287"/>
    </row>
    <row r="1111" spans="1:17" ht="30" customHeight="1" x14ac:dyDescent="0.2">
      <c r="A1111" s="280"/>
      <c r="B1111" s="281"/>
      <c r="C1111" s="281"/>
      <c r="D1111" s="281"/>
      <c r="F1111" s="285" t="str">
        <f t="shared" si="40"/>
        <v/>
      </c>
      <c r="G1111" s="286"/>
      <c r="H1111" s="287"/>
      <c r="I1111" s="287"/>
      <c r="K1111" s="285" t="str">
        <f t="shared" si="41"/>
        <v/>
      </c>
      <c r="L1111" s="286"/>
      <c r="M1111" s="287"/>
      <c r="N1111" s="287"/>
      <c r="O1111" s="286"/>
      <c r="P1111" s="286"/>
      <c r="Q1111" s="287"/>
    </row>
    <row r="1112" spans="1:17" ht="30" customHeight="1" x14ac:dyDescent="0.2">
      <c r="A1112" s="280"/>
      <c r="B1112" s="281"/>
      <c r="C1112" s="281"/>
      <c r="D1112" s="281"/>
      <c r="F1112" s="285" t="str">
        <f t="shared" si="40"/>
        <v/>
      </c>
      <c r="G1112" s="286"/>
      <c r="H1112" s="287"/>
      <c r="I1112" s="287"/>
      <c r="K1112" s="285" t="str">
        <f t="shared" si="41"/>
        <v/>
      </c>
      <c r="L1112" s="286"/>
      <c r="M1112" s="287"/>
      <c r="N1112" s="287"/>
      <c r="O1112" s="286"/>
      <c r="P1112" s="286"/>
      <c r="Q1112" s="287"/>
    </row>
    <row r="1113" spans="1:17" ht="30" customHeight="1" x14ac:dyDescent="0.2">
      <c r="A1113" s="280"/>
      <c r="B1113" s="281"/>
      <c r="C1113" s="281"/>
      <c r="D1113" s="281"/>
      <c r="F1113" s="285" t="str">
        <f t="shared" si="40"/>
        <v/>
      </c>
      <c r="G1113" s="286"/>
      <c r="H1113" s="287"/>
      <c r="I1113" s="287"/>
      <c r="K1113" s="285" t="str">
        <f t="shared" si="41"/>
        <v/>
      </c>
      <c r="L1113" s="286"/>
      <c r="M1113" s="287"/>
      <c r="N1113" s="287"/>
      <c r="O1113" s="286"/>
      <c r="P1113" s="286"/>
      <c r="Q1113" s="287"/>
    </row>
    <row r="1114" spans="1:17" ht="30" customHeight="1" x14ac:dyDescent="0.2">
      <c r="A1114" s="280"/>
      <c r="B1114" s="281"/>
      <c r="C1114" s="281"/>
      <c r="D1114" s="281"/>
      <c r="F1114" s="285" t="str">
        <f t="shared" si="40"/>
        <v/>
      </c>
      <c r="G1114" s="286"/>
      <c r="H1114" s="287"/>
      <c r="I1114" s="287"/>
      <c r="K1114" s="285" t="str">
        <f t="shared" si="41"/>
        <v/>
      </c>
      <c r="L1114" s="286"/>
      <c r="M1114" s="287"/>
      <c r="N1114" s="287"/>
      <c r="O1114" s="286"/>
      <c r="P1114" s="286"/>
      <c r="Q1114" s="287"/>
    </row>
    <row r="1115" spans="1:17" ht="30" customHeight="1" x14ac:dyDescent="0.2">
      <c r="A1115" s="280"/>
      <c r="B1115" s="281"/>
      <c r="C1115" s="281"/>
      <c r="D1115" s="281"/>
      <c r="F1115" s="285" t="str">
        <f t="shared" si="40"/>
        <v/>
      </c>
      <c r="G1115" s="286"/>
      <c r="H1115" s="287"/>
      <c r="I1115" s="287"/>
      <c r="K1115" s="285" t="str">
        <f t="shared" si="41"/>
        <v/>
      </c>
      <c r="L1115" s="286"/>
      <c r="M1115" s="287"/>
      <c r="N1115" s="287"/>
      <c r="O1115" s="286"/>
      <c r="P1115" s="286"/>
      <c r="Q1115" s="287"/>
    </row>
    <row r="1116" spans="1:17" ht="30" customHeight="1" x14ac:dyDescent="0.2">
      <c r="A1116" s="280"/>
      <c r="B1116" s="281"/>
      <c r="C1116" s="281"/>
      <c r="D1116" s="281"/>
      <c r="F1116" s="285" t="str">
        <f t="shared" si="40"/>
        <v/>
      </c>
      <c r="G1116" s="286"/>
      <c r="H1116" s="287"/>
      <c r="I1116" s="287"/>
      <c r="K1116" s="285" t="str">
        <f t="shared" si="41"/>
        <v/>
      </c>
      <c r="L1116" s="286"/>
      <c r="M1116" s="287"/>
      <c r="N1116" s="287"/>
      <c r="O1116" s="286"/>
      <c r="P1116" s="286"/>
      <c r="Q1116" s="287"/>
    </row>
    <row r="1117" spans="1:17" ht="30" customHeight="1" x14ac:dyDescent="0.2">
      <c r="A1117" s="280"/>
      <c r="B1117" s="281"/>
      <c r="C1117" s="281"/>
      <c r="D1117" s="281"/>
      <c r="F1117" s="285" t="str">
        <f t="shared" si="40"/>
        <v/>
      </c>
      <c r="G1117" s="286"/>
      <c r="H1117" s="287"/>
      <c r="I1117" s="287"/>
      <c r="K1117" s="285" t="str">
        <f t="shared" si="41"/>
        <v/>
      </c>
      <c r="L1117" s="286"/>
      <c r="M1117" s="287"/>
      <c r="N1117" s="287"/>
      <c r="O1117" s="286"/>
      <c r="P1117" s="286"/>
      <c r="Q1117" s="287"/>
    </row>
    <row r="1118" spans="1:17" ht="30" customHeight="1" x14ac:dyDescent="0.2">
      <c r="A1118" s="280"/>
      <c r="B1118" s="281"/>
      <c r="C1118" s="281"/>
      <c r="D1118" s="281"/>
      <c r="F1118" s="285" t="str">
        <f t="shared" si="40"/>
        <v/>
      </c>
      <c r="G1118" s="286"/>
      <c r="H1118" s="287"/>
      <c r="I1118" s="287"/>
      <c r="K1118" s="285" t="str">
        <f t="shared" si="41"/>
        <v/>
      </c>
      <c r="L1118" s="286"/>
      <c r="M1118" s="287"/>
      <c r="N1118" s="287"/>
      <c r="O1118" s="286"/>
      <c r="P1118" s="286"/>
      <c r="Q1118" s="287"/>
    </row>
    <row r="1119" spans="1:17" ht="30" customHeight="1" x14ac:dyDescent="0.2">
      <c r="A1119" s="280"/>
      <c r="B1119" s="281"/>
      <c r="C1119" s="281"/>
      <c r="D1119" s="281"/>
      <c r="F1119" s="285" t="str">
        <f t="shared" si="40"/>
        <v/>
      </c>
      <c r="G1119" s="286"/>
      <c r="H1119" s="287"/>
      <c r="I1119" s="287"/>
      <c r="K1119" s="285" t="str">
        <f t="shared" si="41"/>
        <v/>
      </c>
      <c r="L1119" s="286"/>
      <c r="M1119" s="287"/>
      <c r="N1119" s="287"/>
      <c r="O1119" s="286"/>
      <c r="P1119" s="286"/>
      <c r="Q1119" s="287"/>
    </row>
    <row r="1120" spans="1:17" ht="30" customHeight="1" x14ac:dyDescent="0.2">
      <c r="A1120" s="280"/>
      <c r="B1120" s="281"/>
      <c r="C1120" s="281"/>
      <c r="D1120" s="281"/>
      <c r="F1120" s="285" t="str">
        <f t="shared" si="40"/>
        <v/>
      </c>
      <c r="G1120" s="286"/>
      <c r="H1120" s="287"/>
      <c r="I1120" s="287"/>
      <c r="K1120" s="285" t="str">
        <f t="shared" si="41"/>
        <v/>
      </c>
      <c r="L1120" s="286"/>
      <c r="M1120" s="287"/>
      <c r="N1120" s="287"/>
      <c r="O1120" s="286"/>
      <c r="P1120" s="286"/>
      <c r="Q1120" s="287"/>
    </row>
    <row r="1121" spans="1:17" ht="30" customHeight="1" x14ac:dyDescent="0.2">
      <c r="A1121" s="280"/>
      <c r="B1121" s="281"/>
      <c r="C1121" s="281"/>
      <c r="D1121" s="281"/>
      <c r="F1121" s="285" t="str">
        <f t="shared" si="40"/>
        <v/>
      </c>
      <c r="G1121" s="286"/>
      <c r="H1121" s="287"/>
      <c r="I1121" s="287"/>
      <c r="K1121" s="285" t="str">
        <f t="shared" si="41"/>
        <v/>
      </c>
      <c r="L1121" s="286"/>
      <c r="M1121" s="287"/>
      <c r="N1121" s="287"/>
      <c r="O1121" s="286"/>
      <c r="P1121" s="286"/>
      <c r="Q1121" s="287"/>
    </row>
    <row r="1122" spans="1:17" ht="30" customHeight="1" x14ac:dyDescent="0.2">
      <c r="A1122" s="280"/>
      <c r="B1122" s="281"/>
      <c r="C1122" s="281"/>
      <c r="D1122" s="281"/>
      <c r="F1122" s="285" t="str">
        <f t="shared" si="40"/>
        <v/>
      </c>
      <c r="G1122" s="286"/>
      <c r="H1122" s="287"/>
      <c r="I1122" s="287"/>
      <c r="K1122" s="285" t="str">
        <f t="shared" si="41"/>
        <v/>
      </c>
      <c r="L1122" s="286"/>
      <c r="M1122" s="287"/>
      <c r="N1122" s="287"/>
      <c r="O1122" s="286"/>
      <c r="P1122" s="286"/>
      <c r="Q1122" s="287"/>
    </row>
    <row r="1123" spans="1:17" ht="30" customHeight="1" x14ac:dyDescent="0.2">
      <c r="A1123" s="280"/>
      <c r="B1123" s="281"/>
      <c r="C1123" s="281"/>
      <c r="D1123" s="281"/>
      <c r="F1123" s="285" t="str">
        <f t="shared" si="40"/>
        <v/>
      </c>
      <c r="G1123" s="286"/>
      <c r="H1123" s="287"/>
      <c r="I1123" s="287"/>
      <c r="K1123" s="285" t="str">
        <f t="shared" si="41"/>
        <v/>
      </c>
      <c r="L1123" s="286"/>
      <c r="M1123" s="287"/>
      <c r="N1123" s="287"/>
      <c r="O1123" s="286"/>
      <c r="P1123" s="286"/>
      <c r="Q1123" s="287"/>
    </row>
    <row r="1124" spans="1:17" ht="30" customHeight="1" x14ac:dyDescent="0.2">
      <c r="A1124" s="280"/>
      <c r="B1124" s="281"/>
      <c r="C1124" s="281"/>
      <c r="D1124" s="281"/>
      <c r="F1124" s="285" t="str">
        <f t="shared" si="40"/>
        <v/>
      </c>
      <c r="G1124" s="286"/>
      <c r="H1124" s="287"/>
      <c r="I1124" s="287"/>
      <c r="K1124" s="285" t="str">
        <f t="shared" si="41"/>
        <v/>
      </c>
      <c r="L1124" s="286"/>
      <c r="M1124" s="287"/>
      <c r="N1124" s="287"/>
      <c r="O1124" s="286"/>
      <c r="P1124" s="286"/>
      <c r="Q1124" s="287"/>
    </row>
    <row r="1125" spans="1:17" ht="30" customHeight="1" x14ac:dyDescent="0.2">
      <c r="A1125" s="280"/>
      <c r="B1125" s="281"/>
      <c r="C1125" s="281"/>
      <c r="D1125" s="281"/>
      <c r="F1125" s="285" t="str">
        <f t="shared" si="40"/>
        <v/>
      </c>
      <c r="G1125" s="286"/>
      <c r="H1125" s="287"/>
      <c r="I1125" s="287"/>
      <c r="K1125" s="285" t="str">
        <f t="shared" si="41"/>
        <v/>
      </c>
      <c r="L1125" s="286"/>
      <c r="M1125" s="287"/>
      <c r="N1125" s="287"/>
      <c r="O1125" s="286"/>
      <c r="P1125" s="286"/>
      <c r="Q1125" s="287"/>
    </row>
    <row r="1126" spans="1:17" ht="30" customHeight="1" x14ac:dyDescent="0.2">
      <c r="A1126" s="280"/>
      <c r="B1126" s="281"/>
      <c r="C1126" s="281"/>
      <c r="D1126" s="281"/>
      <c r="F1126" s="285" t="str">
        <f t="shared" si="40"/>
        <v/>
      </c>
      <c r="G1126" s="286"/>
      <c r="H1126" s="287"/>
      <c r="I1126" s="287"/>
      <c r="K1126" s="285" t="str">
        <f t="shared" si="41"/>
        <v/>
      </c>
      <c r="L1126" s="286"/>
      <c r="M1126" s="287"/>
      <c r="N1126" s="287"/>
      <c r="O1126" s="286"/>
      <c r="P1126" s="286"/>
      <c r="Q1126" s="287"/>
    </row>
    <row r="1127" spans="1:17" ht="30" customHeight="1" x14ac:dyDescent="0.2">
      <c r="A1127" s="280"/>
      <c r="B1127" s="281"/>
      <c r="C1127" s="281"/>
      <c r="D1127" s="281"/>
      <c r="F1127" s="285" t="str">
        <f t="shared" si="40"/>
        <v/>
      </c>
      <c r="G1127" s="286"/>
      <c r="H1127" s="287"/>
      <c r="I1127" s="287"/>
      <c r="K1127" s="285" t="str">
        <f t="shared" si="41"/>
        <v/>
      </c>
      <c r="L1127" s="286"/>
      <c r="M1127" s="287"/>
      <c r="N1127" s="287"/>
      <c r="O1127" s="286"/>
      <c r="P1127" s="286"/>
      <c r="Q1127" s="287"/>
    </row>
    <row r="1128" spans="1:17" ht="30" customHeight="1" x14ac:dyDescent="0.2">
      <c r="A1128" s="280"/>
      <c r="B1128" s="281"/>
      <c r="C1128" s="281"/>
      <c r="D1128" s="281"/>
      <c r="F1128" s="285" t="str">
        <f t="shared" si="40"/>
        <v/>
      </c>
      <c r="G1128" s="286"/>
      <c r="H1128" s="287"/>
      <c r="I1128" s="287"/>
      <c r="K1128" s="285" t="str">
        <f t="shared" si="41"/>
        <v/>
      </c>
      <c r="L1128" s="286"/>
      <c r="M1128" s="287"/>
      <c r="N1128" s="287"/>
      <c r="O1128" s="286"/>
      <c r="P1128" s="286"/>
      <c r="Q1128" s="287"/>
    </row>
    <row r="1129" spans="1:17" ht="30" customHeight="1" x14ac:dyDescent="0.2">
      <c r="A1129" s="280"/>
      <c r="B1129" s="281"/>
      <c r="C1129" s="281"/>
      <c r="D1129" s="281"/>
      <c r="F1129" s="285" t="str">
        <f t="shared" si="40"/>
        <v/>
      </c>
      <c r="G1129" s="286"/>
      <c r="H1129" s="287"/>
      <c r="I1129" s="287"/>
      <c r="K1129" s="285" t="str">
        <f t="shared" si="41"/>
        <v/>
      </c>
      <c r="L1129" s="286"/>
      <c r="M1129" s="287"/>
      <c r="N1129" s="287"/>
      <c r="O1129" s="286"/>
      <c r="P1129" s="286"/>
      <c r="Q1129" s="287"/>
    </row>
    <row r="1130" spans="1:17" ht="30" customHeight="1" x14ac:dyDescent="0.2">
      <c r="A1130" s="280"/>
      <c r="B1130" s="281"/>
      <c r="C1130" s="281"/>
      <c r="D1130" s="281"/>
      <c r="F1130" s="285" t="str">
        <f t="shared" si="40"/>
        <v/>
      </c>
      <c r="G1130" s="286"/>
      <c r="H1130" s="287"/>
      <c r="I1130" s="287"/>
      <c r="K1130" s="285" t="str">
        <f t="shared" si="41"/>
        <v/>
      </c>
      <c r="L1130" s="286"/>
      <c r="M1130" s="287"/>
      <c r="N1130" s="287"/>
      <c r="O1130" s="286"/>
      <c r="P1130" s="286"/>
      <c r="Q1130" s="287"/>
    </row>
    <row r="1131" spans="1:17" ht="30" customHeight="1" x14ac:dyDescent="0.2">
      <c r="A1131" s="280"/>
      <c r="B1131" s="281"/>
      <c r="C1131" s="281"/>
      <c r="D1131" s="281"/>
      <c r="F1131" s="285" t="str">
        <f t="shared" si="40"/>
        <v/>
      </c>
      <c r="G1131" s="286"/>
      <c r="H1131" s="287"/>
      <c r="I1131" s="287"/>
      <c r="K1131" s="285" t="str">
        <f t="shared" si="41"/>
        <v/>
      </c>
      <c r="L1131" s="286"/>
      <c r="M1131" s="287"/>
      <c r="N1131" s="287"/>
      <c r="O1131" s="286"/>
      <c r="P1131" s="286"/>
      <c r="Q1131" s="287"/>
    </row>
    <row r="1132" spans="1:17" ht="30" customHeight="1" x14ac:dyDescent="0.2">
      <c r="A1132" s="280"/>
      <c r="B1132" s="281"/>
      <c r="C1132" s="281"/>
      <c r="D1132" s="281"/>
      <c r="F1132" s="285" t="str">
        <f t="shared" si="40"/>
        <v/>
      </c>
      <c r="G1132" s="286"/>
      <c r="H1132" s="287"/>
      <c r="I1132" s="287"/>
      <c r="K1132" s="285" t="str">
        <f t="shared" si="41"/>
        <v/>
      </c>
      <c r="L1132" s="286"/>
      <c r="M1132" s="287"/>
      <c r="N1132" s="287"/>
      <c r="O1132" s="286"/>
      <c r="P1132" s="286"/>
      <c r="Q1132" s="287"/>
    </row>
    <row r="1133" spans="1:17" ht="30" customHeight="1" x14ac:dyDescent="0.2">
      <c r="A1133" s="280"/>
      <c r="B1133" s="281"/>
      <c r="C1133" s="281"/>
      <c r="D1133" s="281"/>
      <c r="F1133" s="285" t="str">
        <f t="shared" si="40"/>
        <v/>
      </c>
      <c r="G1133" s="286"/>
      <c r="H1133" s="287"/>
      <c r="I1133" s="287"/>
      <c r="K1133" s="285" t="str">
        <f t="shared" si="41"/>
        <v/>
      </c>
      <c r="L1133" s="286"/>
      <c r="M1133" s="287"/>
      <c r="N1133" s="287"/>
      <c r="O1133" s="286"/>
      <c r="P1133" s="286"/>
      <c r="Q1133" s="287"/>
    </row>
    <row r="1134" spans="1:17" ht="30" customHeight="1" x14ac:dyDescent="0.2">
      <c r="A1134" s="280"/>
      <c r="B1134" s="281"/>
      <c r="C1134" s="281"/>
      <c r="D1134" s="281"/>
      <c r="F1134" s="285" t="str">
        <f t="shared" si="40"/>
        <v/>
      </c>
      <c r="G1134" s="286"/>
      <c r="H1134" s="287"/>
      <c r="I1134" s="287"/>
      <c r="K1134" s="285" t="str">
        <f t="shared" si="41"/>
        <v/>
      </c>
      <c r="L1134" s="286"/>
      <c r="M1134" s="287"/>
      <c r="N1134" s="287"/>
      <c r="O1134" s="286"/>
      <c r="P1134" s="286"/>
      <c r="Q1134" s="287"/>
    </row>
    <row r="1135" spans="1:17" ht="30" customHeight="1" x14ac:dyDescent="0.2">
      <c r="A1135" s="280"/>
      <c r="B1135" s="281"/>
      <c r="C1135" s="281"/>
      <c r="D1135" s="281"/>
      <c r="F1135" s="285" t="str">
        <f t="shared" si="40"/>
        <v/>
      </c>
      <c r="G1135" s="286"/>
      <c r="H1135" s="287"/>
      <c r="I1135" s="287"/>
      <c r="K1135" s="285" t="str">
        <f t="shared" si="41"/>
        <v/>
      </c>
      <c r="L1135" s="286"/>
      <c r="M1135" s="287"/>
      <c r="N1135" s="287"/>
      <c r="O1135" s="286"/>
      <c r="P1135" s="286"/>
      <c r="Q1135" s="287"/>
    </row>
    <row r="1136" spans="1:17" ht="30" customHeight="1" x14ac:dyDescent="0.2">
      <c r="A1136" s="280"/>
      <c r="B1136" s="281"/>
      <c r="C1136" s="281"/>
      <c r="D1136" s="281"/>
      <c r="F1136" s="285" t="str">
        <f t="shared" si="40"/>
        <v/>
      </c>
      <c r="G1136" s="286"/>
      <c r="H1136" s="287"/>
      <c r="I1136" s="287"/>
      <c r="K1136" s="285" t="str">
        <f t="shared" si="41"/>
        <v/>
      </c>
      <c r="L1136" s="286"/>
      <c r="M1136" s="287"/>
      <c r="N1136" s="287"/>
      <c r="O1136" s="286"/>
      <c r="P1136" s="286"/>
      <c r="Q1136" s="287"/>
    </row>
    <row r="1137" spans="1:17" ht="30" customHeight="1" x14ac:dyDescent="0.2">
      <c r="A1137" s="280"/>
      <c r="B1137" s="281"/>
      <c r="C1137" s="281"/>
      <c r="D1137" s="281"/>
      <c r="F1137" s="285" t="str">
        <f t="shared" si="40"/>
        <v/>
      </c>
      <c r="G1137" s="286"/>
      <c r="H1137" s="287"/>
      <c r="I1137" s="287"/>
      <c r="K1137" s="285" t="str">
        <f t="shared" si="41"/>
        <v/>
      </c>
      <c r="L1137" s="286"/>
      <c r="M1137" s="287"/>
      <c r="N1137" s="287"/>
      <c r="O1137" s="286"/>
      <c r="P1137" s="286"/>
      <c r="Q1137" s="287"/>
    </row>
    <row r="1138" spans="1:17" ht="30" customHeight="1" x14ac:dyDescent="0.2">
      <c r="A1138" s="280"/>
      <c r="B1138" s="281"/>
      <c r="C1138" s="281"/>
      <c r="D1138" s="281"/>
      <c r="F1138" s="285" t="str">
        <f t="shared" si="40"/>
        <v/>
      </c>
      <c r="G1138" s="286"/>
      <c r="H1138" s="287"/>
      <c r="I1138" s="287"/>
      <c r="K1138" s="285" t="str">
        <f t="shared" si="41"/>
        <v/>
      </c>
      <c r="L1138" s="286"/>
      <c r="M1138" s="287"/>
      <c r="N1138" s="287"/>
      <c r="O1138" s="286"/>
      <c r="P1138" s="286"/>
      <c r="Q1138" s="287"/>
    </row>
    <row r="1139" spans="1:17" ht="30" customHeight="1" x14ac:dyDescent="0.2">
      <c r="A1139" s="280"/>
      <c r="B1139" s="281"/>
      <c r="C1139" s="281"/>
      <c r="D1139" s="281"/>
      <c r="F1139" s="285" t="str">
        <f t="shared" si="40"/>
        <v/>
      </c>
      <c r="G1139" s="286"/>
      <c r="H1139" s="287"/>
      <c r="I1139" s="287"/>
      <c r="K1139" s="285" t="str">
        <f t="shared" si="41"/>
        <v/>
      </c>
      <c r="L1139" s="286"/>
      <c r="M1139" s="287"/>
      <c r="N1139" s="287"/>
      <c r="O1139" s="286"/>
      <c r="P1139" s="286"/>
      <c r="Q1139" s="287"/>
    </row>
    <row r="1140" spans="1:17" ht="30" customHeight="1" x14ac:dyDescent="0.2">
      <c r="A1140" s="280"/>
      <c r="B1140" s="281"/>
      <c r="C1140" s="281"/>
      <c r="D1140" s="281"/>
      <c r="F1140" s="285" t="str">
        <f t="shared" si="40"/>
        <v/>
      </c>
      <c r="G1140" s="286"/>
      <c r="H1140" s="287"/>
      <c r="I1140" s="287"/>
      <c r="K1140" s="285" t="str">
        <f t="shared" si="41"/>
        <v/>
      </c>
      <c r="L1140" s="286"/>
      <c r="M1140" s="287"/>
      <c r="N1140" s="287"/>
      <c r="O1140" s="286"/>
      <c r="P1140" s="286"/>
      <c r="Q1140" s="287"/>
    </row>
    <row r="1141" spans="1:17" ht="30" customHeight="1" x14ac:dyDescent="0.2">
      <c r="A1141" s="280"/>
      <c r="B1141" s="281"/>
      <c r="C1141" s="281"/>
      <c r="D1141" s="281"/>
      <c r="F1141" s="285" t="str">
        <f t="shared" si="40"/>
        <v/>
      </c>
      <c r="G1141" s="286"/>
      <c r="H1141" s="287"/>
      <c r="I1141" s="287"/>
      <c r="K1141" s="285" t="str">
        <f t="shared" si="41"/>
        <v/>
      </c>
      <c r="L1141" s="286"/>
      <c r="M1141" s="287"/>
      <c r="N1141" s="287"/>
      <c r="O1141" s="286"/>
      <c r="P1141" s="286"/>
      <c r="Q1141" s="287"/>
    </row>
    <row r="1142" spans="1:17" ht="30" customHeight="1" x14ac:dyDescent="0.2">
      <c r="A1142" s="280"/>
      <c r="B1142" s="281"/>
      <c r="C1142" s="281"/>
      <c r="D1142" s="281"/>
      <c r="F1142" s="285" t="str">
        <f t="shared" si="40"/>
        <v/>
      </c>
      <c r="G1142" s="286"/>
      <c r="H1142" s="287"/>
      <c r="I1142" s="287"/>
      <c r="K1142" s="285" t="str">
        <f t="shared" si="41"/>
        <v/>
      </c>
      <c r="L1142" s="286"/>
      <c r="M1142" s="287"/>
      <c r="N1142" s="287"/>
      <c r="O1142" s="286"/>
      <c r="P1142" s="286"/>
      <c r="Q1142" s="287"/>
    </row>
    <row r="1143" spans="1:17" ht="30" customHeight="1" x14ac:dyDescent="0.2">
      <c r="A1143" s="280"/>
      <c r="B1143" s="281"/>
      <c r="C1143" s="281"/>
      <c r="D1143" s="281"/>
      <c r="F1143" s="285" t="str">
        <f t="shared" si="40"/>
        <v/>
      </c>
      <c r="G1143" s="286"/>
      <c r="H1143" s="287"/>
      <c r="I1143" s="287"/>
      <c r="K1143" s="285" t="str">
        <f t="shared" si="41"/>
        <v/>
      </c>
      <c r="L1143" s="286"/>
      <c r="M1143" s="287"/>
      <c r="N1143" s="287"/>
      <c r="O1143" s="286"/>
      <c r="P1143" s="286"/>
      <c r="Q1143" s="287"/>
    </row>
    <row r="1144" spans="1:17" ht="30" customHeight="1" x14ac:dyDescent="0.2">
      <c r="A1144" s="280"/>
      <c r="B1144" s="281"/>
      <c r="C1144" s="281"/>
      <c r="D1144" s="281"/>
      <c r="F1144" s="285" t="str">
        <f t="shared" si="40"/>
        <v/>
      </c>
      <c r="G1144" s="286"/>
      <c r="H1144" s="287"/>
      <c r="I1144" s="287"/>
      <c r="K1144" s="285" t="str">
        <f t="shared" si="41"/>
        <v/>
      </c>
      <c r="L1144" s="286"/>
      <c r="M1144" s="287"/>
      <c r="N1144" s="287"/>
      <c r="O1144" s="286"/>
      <c r="P1144" s="286"/>
      <c r="Q1144" s="287"/>
    </row>
    <row r="1145" spans="1:17" ht="30" customHeight="1" x14ac:dyDescent="0.2">
      <c r="A1145" s="280"/>
      <c r="B1145" s="281"/>
      <c r="C1145" s="281"/>
      <c r="D1145" s="281"/>
      <c r="F1145" s="285" t="str">
        <f t="shared" si="40"/>
        <v/>
      </c>
      <c r="G1145" s="286"/>
      <c r="H1145" s="287"/>
      <c r="I1145" s="287"/>
      <c r="K1145" s="285" t="str">
        <f t="shared" si="41"/>
        <v/>
      </c>
      <c r="L1145" s="286"/>
      <c r="M1145" s="287"/>
      <c r="N1145" s="287"/>
      <c r="O1145" s="286"/>
      <c r="P1145" s="286"/>
      <c r="Q1145" s="287"/>
    </row>
    <row r="1146" spans="1:17" ht="30" customHeight="1" x14ac:dyDescent="0.2">
      <c r="A1146" s="280"/>
      <c r="B1146" s="281"/>
      <c r="C1146" s="281"/>
      <c r="D1146" s="281"/>
      <c r="F1146" s="285" t="str">
        <f t="shared" si="40"/>
        <v/>
      </c>
      <c r="G1146" s="286"/>
      <c r="H1146" s="287"/>
      <c r="I1146" s="287"/>
      <c r="K1146" s="285" t="str">
        <f t="shared" si="41"/>
        <v/>
      </c>
      <c r="L1146" s="286"/>
      <c r="M1146" s="287"/>
      <c r="N1146" s="287"/>
      <c r="O1146" s="286"/>
      <c r="P1146" s="286"/>
      <c r="Q1146" s="287"/>
    </row>
    <row r="1147" spans="1:17" ht="30" customHeight="1" x14ac:dyDescent="0.2">
      <c r="A1147" s="280"/>
      <c r="B1147" s="281"/>
      <c r="C1147" s="281"/>
      <c r="D1147" s="281"/>
      <c r="F1147" s="285" t="str">
        <f t="shared" si="40"/>
        <v/>
      </c>
      <c r="G1147" s="286"/>
      <c r="H1147" s="287"/>
      <c r="I1147" s="287"/>
      <c r="K1147" s="285" t="str">
        <f t="shared" si="41"/>
        <v/>
      </c>
      <c r="L1147" s="286"/>
      <c r="M1147" s="287"/>
      <c r="N1147" s="287"/>
      <c r="O1147" s="286"/>
      <c r="P1147" s="286"/>
      <c r="Q1147" s="287"/>
    </row>
    <row r="1148" spans="1:17" ht="30" customHeight="1" x14ac:dyDescent="0.2">
      <c r="A1148" s="280"/>
      <c r="B1148" s="281"/>
      <c r="C1148" s="281"/>
      <c r="D1148" s="281"/>
      <c r="F1148" s="285" t="str">
        <f t="shared" si="40"/>
        <v/>
      </c>
      <c r="G1148" s="286"/>
      <c r="H1148" s="287"/>
      <c r="I1148" s="287"/>
      <c r="K1148" s="285" t="str">
        <f t="shared" si="41"/>
        <v/>
      </c>
      <c r="L1148" s="286"/>
      <c r="M1148" s="287"/>
      <c r="N1148" s="287"/>
      <c r="O1148" s="286"/>
      <c r="P1148" s="286"/>
      <c r="Q1148" s="287"/>
    </row>
    <row r="1149" spans="1:17" ht="30" customHeight="1" x14ac:dyDescent="0.2">
      <c r="A1149" s="280"/>
      <c r="B1149" s="281"/>
      <c r="C1149" s="281"/>
      <c r="D1149" s="281"/>
      <c r="F1149" s="285" t="str">
        <f t="shared" si="40"/>
        <v/>
      </c>
      <c r="G1149" s="286"/>
      <c r="H1149" s="287"/>
      <c r="I1149" s="287"/>
      <c r="K1149" s="285" t="str">
        <f t="shared" si="41"/>
        <v/>
      </c>
      <c r="L1149" s="286"/>
      <c r="M1149" s="287"/>
      <c r="N1149" s="287"/>
      <c r="O1149" s="286"/>
      <c r="P1149" s="286"/>
      <c r="Q1149" s="287"/>
    </row>
    <row r="1150" spans="1:17" ht="30" customHeight="1" x14ac:dyDescent="0.2">
      <c r="A1150" s="280"/>
      <c r="B1150" s="281"/>
      <c r="C1150" s="281"/>
      <c r="D1150" s="281"/>
      <c r="F1150" s="285" t="str">
        <f t="shared" si="40"/>
        <v/>
      </c>
      <c r="G1150" s="286"/>
      <c r="H1150" s="287"/>
      <c r="I1150" s="287"/>
      <c r="K1150" s="285" t="str">
        <f t="shared" si="41"/>
        <v/>
      </c>
      <c r="L1150" s="286"/>
      <c r="M1150" s="287"/>
      <c r="N1150" s="287"/>
      <c r="O1150" s="286"/>
      <c r="P1150" s="286"/>
      <c r="Q1150" s="287"/>
    </row>
    <row r="1151" spans="1:17" ht="30" customHeight="1" x14ac:dyDescent="0.2">
      <c r="A1151" s="280"/>
      <c r="B1151" s="281"/>
      <c r="C1151" s="281"/>
      <c r="D1151" s="281"/>
      <c r="F1151" s="285" t="str">
        <f t="shared" si="40"/>
        <v/>
      </c>
      <c r="G1151" s="286"/>
      <c r="H1151" s="287"/>
      <c r="I1151" s="287"/>
      <c r="K1151" s="285" t="str">
        <f t="shared" si="41"/>
        <v/>
      </c>
      <c r="L1151" s="286"/>
      <c r="M1151" s="287"/>
      <c r="N1151" s="287"/>
      <c r="O1151" s="286"/>
      <c r="P1151" s="286"/>
      <c r="Q1151" s="287"/>
    </row>
    <row r="1152" spans="1:17" ht="30" customHeight="1" x14ac:dyDescent="0.2">
      <c r="A1152" s="280"/>
      <c r="B1152" s="281"/>
      <c r="C1152" s="281"/>
      <c r="D1152" s="281"/>
      <c r="F1152" s="285" t="str">
        <f t="shared" si="40"/>
        <v/>
      </c>
      <c r="G1152" s="286"/>
      <c r="H1152" s="287"/>
      <c r="I1152" s="287"/>
      <c r="K1152" s="285" t="str">
        <f t="shared" si="41"/>
        <v/>
      </c>
      <c r="L1152" s="286"/>
      <c r="M1152" s="287"/>
      <c r="N1152" s="287"/>
      <c r="O1152" s="286"/>
      <c r="P1152" s="286"/>
      <c r="Q1152" s="287"/>
    </row>
    <row r="1153" spans="1:17" ht="30" customHeight="1" x14ac:dyDescent="0.2">
      <c r="A1153" s="280"/>
      <c r="B1153" s="281"/>
      <c r="C1153" s="281"/>
      <c r="D1153" s="281"/>
      <c r="F1153" s="285" t="str">
        <f t="shared" si="40"/>
        <v/>
      </c>
      <c r="G1153" s="286"/>
      <c r="H1153" s="287"/>
      <c r="I1153" s="287"/>
      <c r="K1153" s="285" t="str">
        <f t="shared" si="41"/>
        <v/>
      </c>
      <c r="L1153" s="286"/>
      <c r="M1153" s="287"/>
      <c r="N1153" s="287"/>
      <c r="O1153" s="286"/>
      <c r="P1153" s="286"/>
      <c r="Q1153" s="287"/>
    </row>
    <row r="1154" spans="1:17" ht="30" customHeight="1" x14ac:dyDescent="0.2">
      <c r="A1154" s="280"/>
      <c r="B1154" s="281"/>
      <c r="C1154" s="281"/>
      <c r="D1154" s="281"/>
      <c r="F1154" s="285" t="str">
        <f t="shared" si="40"/>
        <v/>
      </c>
      <c r="G1154" s="286"/>
      <c r="H1154" s="287"/>
      <c r="I1154" s="287"/>
      <c r="K1154" s="285" t="str">
        <f t="shared" si="41"/>
        <v/>
      </c>
      <c r="L1154" s="286"/>
      <c r="M1154" s="287"/>
      <c r="N1154" s="287"/>
      <c r="O1154" s="286"/>
      <c r="P1154" s="286"/>
      <c r="Q1154" s="287"/>
    </row>
    <row r="1155" spans="1:17" ht="30" customHeight="1" x14ac:dyDescent="0.2">
      <c r="A1155" s="280"/>
      <c r="B1155" s="281"/>
      <c r="C1155" s="281"/>
      <c r="D1155" s="281"/>
      <c r="F1155" s="285" t="str">
        <f t="shared" si="40"/>
        <v/>
      </c>
      <c r="G1155" s="286"/>
      <c r="H1155" s="287"/>
      <c r="I1155" s="287"/>
      <c r="K1155" s="285" t="str">
        <f t="shared" si="41"/>
        <v/>
      </c>
      <c r="L1155" s="286"/>
      <c r="M1155" s="287"/>
      <c r="N1155" s="287"/>
      <c r="O1155" s="286"/>
      <c r="P1155" s="286"/>
      <c r="Q1155" s="287"/>
    </row>
    <row r="1156" spans="1:17" ht="30" customHeight="1" x14ac:dyDescent="0.2">
      <c r="A1156" s="280"/>
      <c r="B1156" s="281"/>
      <c r="C1156" s="281"/>
      <c r="D1156" s="281"/>
      <c r="F1156" s="285" t="str">
        <f t="shared" si="40"/>
        <v/>
      </c>
      <c r="G1156" s="286"/>
      <c r="H1156" s="287"/>
      <c r="I1156" s="287"/>
      <c r="K1156" s="285" t="str">
        <f t="shared" si="41"/>
        <v/>
      </c>
      <c r="L1156" s="286"/>
      <c r="M1156" s="287"/>
      <c r="N1156" s="287"/>
      <c r="O1156" s="286"/>
      <c r="P1156" s="286"/>
      <c r="Q1156" s="287"/>
    </row>
    <row r="1157" spans="1:17" ht="30" customHeight="1" x14ac:dyDescent="0.2">
      <c r="A1157" s="280"/>
      <c r="B1157" s="281"/>
      <c r="C1157" s="281"/>
      <c r="D1157" s="281"/>
      <c r="F1157" s="285" t="str">
        <f t="shared" ref="F1157:F1220" si="42">IF(A1157="","",A1157)</f>
        <v/>
      </c>
      <c r="G1157" s="286"/>
      <c r="H1157" s="287"/>
      <c r="I1157" s="287"/>
      <c r="K1157" s="285" t="str">
        <f t="shared" si="41"/>
        <v/>
      </c>
      <c r="L1157" s="286"/>
      <c r="M1157" s="287"/>
      <c r="N1157" s="287"/>
      <c r="O1157" s="286"/>
      <c r="P1157" s="286"/>
      <c r="Q1157" s="287"/>
    </row>
    <row r="1158" spans="1:17" ht="30" customHeight="1" x14ac:dyDescent="0.2">
      <c r="A1158" s="280"/>
      <c r="B1158" s="281"/>
      <c r="C1158" s="281"/>
      <c r="D1158" s="281"/>
      <c r="F1158" s="285" t="str">
        <f t="shared" si="42"/>
        <v/>
      </c>
      <c r="G1158" s="286"/>
      <c r="H1158" s="287"/>
      <c r="I1158" s="287"/>
      <c r="K1158" s="285" t="str">
        <f t="shared" si="41"/>
        <v/>
      </c>
      <c r="L1158" s="286"/>
      <c r="M1158" s="287"/>
      <c r="N1158" s="287"/>
      <c r="O1158" s="286"/>
      <c r="P1158" s="286"/>
      <c r="Q1158" s="287"/>
    </row>
    <row r="1159" spans="1:17" ht="30" customHeight="1" x14ac:dyDescent="0.2">
      <c r="A1159" s="280"/>
      <c r="B1159" s="281"/>
      <c r="C1159" s="281"/>
      <c r="D1159" s="281"/>
      <c r="F1159" s="285" t="str">
        <f t="shared" si="42"/>
        <v/>
      </c>
      <c r="G1159" s="286"/>
      <c r="H1159" s="287"/>
      <c r="I1159" s="287"/>
      <c r="K1159" s="285" t="str">
        <f t="shared" si="41"/>
        <v/>
      </c>
      <c r="L1159" s="286"/>
      <c r="M1159" s="287"/>
      <c r="N1159" s="287"/>
      <c r="O1159" s="286"/>
      <c r="P1159" s="286"/>
      <c r="Q1159" s="287"/>
    </row>
    <row r="1160" spans="1:17" ht="30" customHeight="1" x14ac:dyDescent="0.2">
      <c r="A1160" s="280"/>
      <c r="B1160" s="281"/>
      <c r="C1160" s="281"/>
      <c r="D1160" s="281"/>
      <c r="F1160" s="285" t="str">
        <f t="shared" si="42"/>
        <v/>
      </c>
      <c r="G1160" s="286"/>
      <c r="H1160" s="287"/>
      <c r="I1160" s="287"/>
      <c r="K1160" s="285" t="str">
        <f t="shared" si="41"/>
        <v/>
      </c>
      <c r="L1160" s="286"/>
      <c r="M1160" s="287"/>
      <c r="N1160" s="287"/>
      <c r="O1160" s="286"/>
      <c r="P1160" s="286"/>
      <c r="Q1160" s="287"/>
    </row>
    <row r="1161" spans="1:17" ht="30" customHeight="1" x14ac:dyDescent="0.2">
      <c r="A1161" s="280"/>
      <c r="B1161" s="281"/>
      <c r="C1161" s="281"/>
      <c r="D1161" s="281"/>
      <c r="F1161" s="285" t="str">
        <f t="shared" si="42"/>
        <v/>
      </c>
      <c r="G1161" s="286"/>
      <c r="H1161" s="287"/>
      <c r="I1161" s="287"/>
      <c r="K1161" s="285" t="str">
        <f t="shared" si="41"/>
        <v/>
      </c>
      <c r="L1161" s="286"/>
      <c r="M1161" s="287"/>
      <c r="N1161" s="287"/>
      <c r="O1161" s="286"/>
      <c r="P1161" s="286"/>
      <c r="Q1161" s="287"/>
    </row>
    <row r="1162" spans="1:17" ht="30" customHeight="1" x14ac:dyDescent="0.2">
      <c r="A1162" s="280"/>
      <c r="B1162" s="281"/>
      <c r="C1162" s="281"/>
      <c r="D1162" s="281"/>
      <c r="F1162" s="285" t="str">
        <f t="shared" si="42"/>
        <v/>
      </c>
      <c r="G1162" s="286"/>
      <c r="H1162" s="287"/>
      <c r="I1162" s="287"/>
      <c r="K1162" s="285" t="str">
        <f t="shared" si="41"/>
        <v/>
      </c>
      <c r="L1162" s="286"/>
      <c r="M1162" s="287"/>
      <c r="N1162" s="287"/>
      <c r="O1162" s="286"/>
      <c r="P1162" s="286"/>
      <c r="Q1162" s="287"/>
    </row>
    <row r="1163" spans="1:17" ht="30" customHeight="1" x14ac:dyDescent="0.2">
      <c r="A1163" s="280"/>
      <c r="B1163" s="281"/>
      <c r="C1163" s="281"/>
      <c r="D1163" s="281"/>
      <c r="F1163" s="285" t="str">
        <f t="shared" si="42"/>
        <v/>
      </c>
      <c r="G1163" s="286"/>
      <c r="H1163" s="287"/>
      <c r="I1163" s="287"/>
      <c r="K1163" s="285" t="str">
        <f t="shared" ref="K1163:K1226" si="43">IF(A1163="","",A1163)</f>
        <v/>
      </c>
      <c r="L1163" s="286"/>
      <c r="M1163" s="287"/>
      <c r="N1163" s="287"/>
      <c r="O1163" s="286"/>
      <c r="P1163" s="286"/>
      <c r="Q1163" s="287"/>
    </row>
    <row r="1164" spans="1:17" ht="30" customHeight="1" x14ac:dyDescent="0.2">
      <c r="A1164" s="280"/>
      <c r="B1164" s="281"/>
      <c r="C1164" s="281"/>
      <c r="D1164" s="281"/>
      <c r="F1164" s="285" t="str">
        <f t="shared" si="42"/>
        <v/>
      </c>
      <c r="G1164" s="286"/>
      <c r="H1164" s="287"/>
      <c r="I1164" s="287"/>
      <c r="K1164" s="285" t="str">
        <f t="shared" si="43"/>
        <v/>
      </c>
      <c r="L1164" s="286"/>
      <c r="M1164" s="287"/>
      <c r="N1164" s="287"/>
      <c r="O1164" s="286"/>
      <c r="P1164" s="286"/>
      <c r="Q1164" s="287"/>
    </row>
    <row r="1165" spans="1:17" ht="30" customHeight="1" x14ac:dyDescent="0.2">
      <c r="A1165" s="280"/>
      <c r="B1165" s="281"/>
      <c r="C1165" s="281"/>
      <c r="D1165" s="281"/>
      <c r="F1165" s="285" t="str">
        <f t="shared" si="42"/>
        <v/>
      </c>
      <c r="G1165" s="286"/>
      <c r="H1165" s="287"/>
      <c r="I1165" s="287"/>
      <c r="K1165" s="285" t="str">
        <f t="shared" si="43"/>
        <v/>
      </c>
      <c r="L1165" s="286"/>
      <c r="M1165" s="287"/>
      <c r="N1165" s="287"/>
      <c r="O1165" s="286"/>
      <c r="P1165" s="286"/>
      <c r="Q1165" s="287"/>
    </row>
    <row r="1166" spans="1:17" ht="30" customHeight="1" x14ac:dyDescent="0.2">
      <c r="A1166" s="280"/>
      <c r="B1166" s="281"/>
      <c r="C1166" s="281"/>
      <c r="D1166" s="281"/>
      <c r="F1166" s="285" t="str">
        <f t="shared" si="42"/>
        <v/>
      </c>
      <c r="G1166" s="286"/>
      <c r="H1166" s="287"/>
      <c r="I1166" s="287"/>
      <c r="K1166" s="285" t="str">
        <f t="shared" si="43"/>
        <v/>
      </c>
      <c r="L1166" s="286"/>
      <c r="M1166" s="287"/>
      <c r="N1166" s="287"/>
      <c r="O1166" s="286"/>
      <c r="P1166" s="286"/>
      <c r="Q1166" s="287"/>
    </row>
    <row r="1167" spans="1:17" ht="30" customHeight="1" x14ac:dyDescent="0.2">
      <c r="A1167" s="280"/>
      <c r="B1167" s="281"/>
      <c r="C1167" s="281"/>
      <c r="D1167" s="281"/>
      <c r="F1167" s="285" t="str">
        <f t="shared" si="42"/>
        <v/>
      </c>
      <c r="G1167" s="286"/>
      <c r="H1167" s="287"/>
      <c r="I1167" s="287"/>
      <c r="K1167" s="285" t="str">
        <f t="shared" si="43"/>
        <v/>
      </c>
      <c r="L1167" s="286"/>
      <c r="M1167" s="287"/>
      <c r="N1167" s="287"/>
      <c r="O1167" s="286"/>
      <c r="P1167" s="286"/>
      <c r="Q1167" s="287"/>
    </row>
    <row r="1168" spans="1:17" ht="30" customHeight="1" x14ac:dyDescent="0.2">
      <c r="A1168" s="280"/>
      <c r="B1168" s="281"/>
      <c r="C1168" s="281"/>
      <c r="D1168" s="281"/>
      <c r="F1168" s="285" t="str">
        <f t="shared" si="42"/>
        <v/>
      </c>
      <c r="G1168" s="286"/>
      <c r="H1168" s="287"/>
      <c r="I1168" s="287"/>
      <c r="K1168" s="285" t="str">
        <f t="shared" si="43"/>
        <v/>
      </c>
      <c r="L1168" s="286"/>
      <c r="M1168" s="287"/>
      <c r="N1168" s="287"/>
      <c r="O1168" s="286"/>
      <c r="P1168" s="286"/>
      <c r="Q1168" s="287"/>
    </row>
    <row r="1169" spans="1:17" ht="30" customHeight="1" x14ac:dyDescent="0.2">
      <c r="A1169" s="280"/>
      <c r="B1169" s="281"/>
      <c r="C1169" s="281"/>
      <c r="D1169" s="281"/>
      <c r="F1169" s="285" t="str">
        <f t="shared" si="42"/>
        <v/>
      </c>
      <c r="G1169" s="286"/>
      <c r="H1169" s="287"/>
      <c r="I1169" s="287"/>
      <c r="K1169" s="285" t="str">
        <f t="shared" si="43"/>
        <v/>
      </c>
      <c r="L1169" s="286"/>
      <c r="M1169" s="287"/>
      <c r="N1169" s="287"/>
      <c r="O1169" s="286"/>
      <c r="P1169" s="286"/>
      <c r="Q1169" s="287"/>
    </row>
    <row r="1170" spans="1:17" ht="30" customHeight="1" x14ac:dyDescent="0.2">
      <c r="A1170" s="280"/>
      <c r="B1170" s="281"/>
      <c r="C1170" s="281"/>
      <c r="D1170" s="281"/>
      <c r="F1170" s="285" t="str">
        <f t="shared" si="42"/>
        <v/>
      </c>
      <c r="G1170" s="286"/>
      <c r="H1170" s="287"/>
      <c r="I1170" s="287"/>
      <c r="K1170" s="285" t="str">
        <f t="shared" si="43"/>
        <v/>
      </c>
      <c r="L1170" s="286"/>
      <c r="M1170" s="287"/>
      <c r="N1170" s="287"/>
      <c r="O1170" s="286"/>
      <c r="P1170" s="286"/>
      <c r="Q1170" s="287"/>
    </row>
    <row r="1171" spans="1:17" ht="30" customHeight="1" x14ac:dyDescent="0.2">
      <c r="A1171" s="280"/>
      <c r="B1171" s="281"/>
      <c r="C1171" s="281"/>
      <c r="D1171" s="281"/>
      <c r="F1171" s="285" t="str">
        <f t="shared" si="42"/>
        <v/>
      </c>
      <c r="G1171" s="286"/>
      <c r="H1171" s="287"/>
      <c r="I1171" s="287"/>
      <c r="K1171" s="285" t="str">
        <f t="shared" si="43"/>
        <v/>
      </c>
      <c r="L1171" s="286"/>
      <c r="M1171" s="287"/>
      <c r="N1171" s="287"/>
      <c r="O1171" s="286"/>
      <c r="P1171" s="286"/>
      <c r="Q1171" s="287"/>
    </row>
    <row r="1172" spans="1:17" ht="30" customHeight="1" x14ac:dyDescent="0.2">
      <c r="A1172" s="280"/>
      <c r="B1172" s="281"/>
      <c r="C1172" s="281"/>
      <c r="D1172" s="281"/>
      <c r="F1172" s="285" t="str">
        <f t="shared" si="42"/>
        <v/>
      </c>
      <c r="G1172" s="286"/>
      <c r="H1172" s="287"/>
      <c r="I1172" s="287"/>
      <c r="K1172" s="285" t="str">
        <f t="shared" si="43"/>
        <v/>
      </c>
      <c r="L1172" s="286"/>
      <c r="M1172" s="287"/>
      <c r="N1172" s="287"/>
      <c r="O1172" s="286"/>
      <c r="P1172" s="286"/>
      <c r="Q1172" s="287"/>
    </row>
    <row r="1173" spans="1:17" ht="30" customHeight="1" x14ac:dyDescent="0.2">
      <c r="A1173" s="280"/>
      <c r="B1173" s="281"/>
      <c r="C1173" s="281"/>
      <c r="D1173" s="281"/>
      <c r="F1173" s="285" t="str">
        <f t="shared" si="42"/>
        <v/>
      </c>
      <c r="G1173" s="286"/>
      <c r="H1173" s="287"/>
      <c r="I1173" s="287"/>
      <c r="K1173" s="285" t="str">
        <f t="shared" si="43"/>
        <v/>
      </c>
      <c r="L1173" s="286"/>
      <c r="M1173" s="287"/>
      <c r="N1173" s="287"/>
      <c r="O1173" s="286"/>
      <c r="P1173" s="286"/>
      <c r="Q1173" s="287"/>
    </row>
    <row r="1174" spans="1:17" ht="30" customHeight="1" x14ac:dyDescent="0.2">
      <c r="A1174" s="280"/>
      <c r="B1174" s="281"/>
      <c r="C1174" s="281"/>
      <c r="D1174" s="281"/>
      <c r="F1174" s="285" t="str">
        <f t="shared" si="42"/>
        <v/>
      </c>
      <c r="G1174" s="286"/>
      <c r="H1174" s="287"/>
      <c r="I1174" s="287"/>
      <c r="K1174" s="285" t="str">
        <f t="shared" si="43"/>
        <v/>
      </c>
      <c r="L1174" s="286"/>
      <c r="M1174" s="287"/>
      <c r="N1174" s="287"/>
      <c r="O1174" s="286"/>
      <c r="P1174" s="286"/>
      <c r="Q1174" s="287"/>
    </row>
    <row r="1175" spans="1:17" ht="30" customHeight="1" x14ac:dyDescent="0.2">
      <c r="A1175" s="280"/>
      <c r="B1175" s="281"/>
      <c r="C1175" s="281"/>
      <c r="D1175" s="281"/>
      <c r="F1175" s="285" t="str">
        <f t="shared" si="42"/>
        <v/>
      </c>
      <c r="G1175" s="286"/>
      <c r="H1175" s="287"/>
      <c r="I1175" s="287"/>
      <c r="K1175" s="285" t="str">
        <f t="shared" si="43"/>
        <v/>
      </c>
      <c r="L1175" s="286"/>
      <c r="M1175" s="287"/>
      <c r="N1175" s="287"/>
      <c r="O1175" s="286"/>
      <c r="P1175" s="286"/>
      <c r="Q1175" s="287"/>
    </row>
    <row r="1176" spans="1:17" ht="30" customHeight="1" x14ac:dyDescent="0.2">
      <c r="A1176" s="280"/>
      <c r="B1176" s="281"/>
      <c r="C1176" s="281"/>
      <c r="D1176" s="281"/>
      <c r="F1176" s="285" t="str">
        <f t="shared" si="42"/>
        <v/>
      </c>
      <c r="G1176" s="286"/>
      <c r="H1176" s="287"/>
      <c r="I1176" s="287"/>
      <c r="K1176" s="285" t="str">
        <f t="shared" si="43"/>
        <v/>
      </c>
      <c r="L1176" s="286"/>
      <c r="M1176" s="287"/>
      <c r="N1176" s="287"/>
      <c r="O1176" s="286"/>
      <c r="P1176" s="286"/>
      <c r="Q1176" s="287"/>
    </row>
    <row r="1177" spans="1:17" ht="30" customHeight="1" x14ac:dyDescent="0.2">
      <c r="A1177" s="280"/>
      <c r="B1177" s="281"/>
      <c r="C1177" s="281"/>
      <c r="D1177" s="281"/>
      <c r="F1177" s="285" t="str">
        <f t="shared" si="42"/>
        <v/>
      </c>
      <c r="G1177" s="286"/>
      <c r="H1177" s="287"/>
      <c r="I1177" s="287"/>
      <c r="K1177" s="285" t="str">
        <f t="shared" si="43"/>
        <v/>
      </c>
      <c r="L1177" s="286"/>
      <c r="M1177" s="287"/>
      <c r="N1177" s="287"/>
      <c r="O1177" s="286"/>
      <c r="P1177" s="286"/>
      <c r="Q1177" s="287"/>
    </row>
    <row r="1178" spans="1:17" ht="30" customHeight="1" x14ac:dyDescent="0.2">
      <c r="A1178" s="280"/>
      <c r="B1178" s="281"/>
      <c r="C1178" s="281"/>
      <c r="D1178" s="281"/>
      <c r="F1178" s="285" t="str">
        <f t="shared" si="42"/>
        <v/>
      </c>
      <c r="G1178" s="286"/>
      <c r="H1178" s="287"/>
      <c r="I1178" s="287"/>
      <c r="K1178" s="285" t="str">
        <f t="shared" si="43"/>
        <v/>
      </c>
      <c r="L1178" s="286"/>
      <c r="M1178" s="287"/>
      <c r="N1178" s="287"/>
      <c r="O1178" s="286"/>
      <c r="P1178" s="286"/>
      <c r="Q1178" s="287"/>
    </row>
    <row r="1179" spans="1:17" ht="30" customHeight="1" x14ac:dyDescent="0.2">
      <c r="A1179" s="280"/>
      <c r="B1179" s="281"/>
      <c r="C1179" s="281"/>
      <c r="D1179" s="281"/>
      <c r="F1179" s="285" t="str">
        <f t="shared" si="42"/>
        <v/>
      </c>
      <c r="G1179" s="286"/>
      <c r="H1179" s="287"/>
      <c r="I1179" s="287"/>
      <c r="K1179" s="285" t="str">
        <f t="shared" si="43"/>
        <v/>
      </c>
      <c r="L1179" s="286"/>
      <c r="M1179" s="287"/>
      <c r="N1179" s="287"/>
      <c r="O1179" s="286"/>
      <c r="P1179" s="286"/>
      <c r="Q1179" s="287"/>
    </row>
    <row r="1180" spans="1:17" ht="30" customHeight="1" x14ac:dyDescent="0.2">
      <c r="A1180" s="280"/>
      <c r="B1180" s="281"/>
      <c r="C1180" s="281"/>
      <c r="D1180" s="281"/>
      <c r="F1180" s="285" t="str">
        <f t="shared" si="42"/>
        <v/>
      </c>
      <c r="G1180" s="286"/>
      <c r="H1180" s="287"/>
      <c r="I1180" s="287"/>
      <c r="K1180" s="285" t="str">
        <f t="shared" si="43"/>
        <v/>
      </c>
      <c r="L1180" s="286"/>
      <c r="M1180" s="287"/>
      <c r="N1180" s="287"/>
      <c r="O1180" s="286"/>
      <c r="P1180" s="286"/>
      <c r="Q1180" s="287"/>
    </row>
    <row r="1181" spans="1:17" ht="30" customHeight="1" x14ac:dyDescent="0.2">
      <c r="A1181" s="280"/>
      <c r="B1181" s="281"/>
      <c r="C1181" s="281"/>
      <c r="D1181" s="281"/>
      <c r="F1181" s="285" t="str">
        <f t="shared" si="42"/>
        <v/>
      </c>
      <c r="G1181" s="286"/>
      <c r="H1181" s="287"/>
      <c r="I1181" s="287"/>
      <c r="K1181" s="285" t="str">
        <f t="shared" si="43"/>
        <v/>
      </c>
      <c r="L1181" s="286"/>
      <c r="M1181" s="287"/>
      <c r="N1181" s="287"/>
      <c r="O1181" s="286"/>
      <c r="P1181" s="286"/>
      <c r="Q1181" s="287"/>
    </row>
    <row r="1182" spans="1:17" ht="30" customHeight="1" x14ac:dyDescent="0.2">
      <c r="A1182" s="280"/>
      <c r="B1182" s="281"/>
      <c r="C1182" s="281"/>
      <c r="D1182" s="281"/>
      <c r="F1182" s="285" t="str">
        <f t="shared" si="42"/>
        <v/>
      </c>
      <c r="G1182" s="286"/>
      <c r="H1182" s="287"/>
      <c r="I1182" s="287"/>
      <c r="K1182" s="285" t="str">
        <f t="shared" si="43"/>
        <v/>
      </c>
      <c r="L1182" s="286"/>
      <c r="M1182" s="287"/>
      <c r="N1182" s="287"/>
      <c r="O1182" s="286"/>
      <c r="P1182" s="286"/>
      <c r="Q1182" s="287"/>
    </row>
    <row r="1183" spans="1:17" ht="30" customHeight="1" x14ac:dyDescent="0.2">
      <c r="A1183" s="280"/>
      <c r="B1183" s="281"/>
      <c r="C1183" s="281"/>
      <c r="D1183" s="281"/>
      <c r="F1183" s="285" t="str">
        <f t="shared" si="42"/>
        <v/>
      </c>
      <c r="G1183" s="286"/>
      <c r="H1183" s="287"/>
      <c r="I1183" s="287"/>
      <c r="K1183" s="285" t="str">
        <f t="shared" si="43"/>
        <v/>
      </c>
      <c r="L1183" s="286"/>
      <c r="M1183" s="287"/>
      <c r="N1183" s="287"/>
      <c r="O1183" s="286"/>
      <c r="P1183" s="286"/>
      <c r="Q1183" s="287"/>
    </row>
    <row r="1184" spans="1:17" ht="30" customHeight="1" x14ac:dyDescent="0.2">
      <c r="A1184" s="280"/>
      <c r="B1184" s="281"/>
      <c r="C1184" s="281"/>
      <c r="D1184" s="281"/>
      <c r="F1184" s="285" t="str">
        <f t="shared" si="42"/>
        <v/>
      </c>
      <c r="G1184" s="286"/>
      <c r="H1184" s="287"/>
      <c r="I1184" s="287"/>
      <c r="K1184" s="285" t="str">
        <f t="shared" si="43"/>
        <v/>
      </c>
      <c r="L1184" s="286"/>
      <c r="M1184" s="287"/>
      <c r="N1184" s="287"/>
      <c r="O1184" s="286"/>
      <c r="P1184" s="286"/>
      <c r="Q1184" s="287"/>
    </row>
    <row r="1185" spans="1:17" ht="30" customHeight="1" x14ac:dyDescent="0.2">
      <c r="A1185" s="280"/>
      <c r="B1185" s="281"/>
      <c r="C1185" s="281"/>
      <c r="D1185" s="281"/>
      <c r="F1185" s="285" t="str">
        <f t="shared" si="42"/>
        <v/>
      </c>
      <c r="G1185" s="286"/>
      <c r="H1185" s="287"/>
      <c r="I1185" s="287"/>
      <c r="K1185" s="285" t="str">
        <f t="shared" si="43"/>
        <v/>
      </c>
      <c r="L1185" s="286"/>
      <c r="M1185" s="287"/>
      <c r="N1185" s="287"/>
      <c r="O1185" s="286"/>
      <c r="P1185" s="286"/>
      <c r="Q1185" s="287"/>
    </row>
    <row r="1186" spans="1:17" ht="30" customHeight="1" x14ac:dyDescent="0.2">
      <c r="A1186" s="280"/>
      <c r="B1186" s="281"/>
      <c r="C1186" s="281"/>
      <c r="D1186" s="281"/>
      <c r="F1186" s="285" t="str">
        <f t="shared" si="42"/>
        <v/>
      </c>
      <c r="G1186" s="286"/>
      <c r="H1186" s="287"/>
      <c r="I1186" s="287"/>
      <c r="K1186" s="285" t="str">
        <f t="shared" si="43"/>
        <v/>
      </c>
      <c r="L1186" s="286"/>
      <c r="M1186" s="287"/>
      <c r="N1186" s="287"/>
      <c r="O1186" s="286"/>
      <c r="P1186" s="286"/>
      <c r="Q1186" s="287"/>
    </row>
    <row r="1187" spans="1:17" ht="30" customHeight="1" x14ac:dyDescent="0.2">
      <c r="A1187" s="280"/>
      <c r="B1187" s="281"/>
      <c r="C1187" s="281"/>
      <c r="D1187" s="281"/>
      <c r="F1187" s="285" t="str">
        <f t="shared" si="42"/>
        <v/>
      </c>
      <c r="G1187" s="286"/>
      <c r="H1187" s="287"/>
      <c r="I1187" s="287"/>
      <c r="K1187" s="285" t="str">
        <f t="shared" si="43"/>
        <v/>
      </c>
      <c r="L1187" s="286"/>
      <c r="M1187" s="287"/>
      <c r="N1187" s="287"/>
      <c r="O1187" s="286"/>
      <c r="P1187" s="286"/>
      <c r="Q1187" s="287"/>
    </row>
    <row r="1188" spans="1:17" ht="30" customHeight="1" x14ac:dyDescent="0.2">
      <c r="A1188" s="280"/>
      <c r="B1188" s="281"/>
      <c r="C1188" s="281"/>
      <c r="D1188" s="281"/>
      <c r="F1188" s="285" t="str">
        <f t="shared" si="42"/>
        <v/>
      </c>
      <c r="G1188" s="286"/>
      <c r="H1188" s="287"/>
      <c r="I1188" s="287"/>
      <c r="K1188" s="285" t="str">
        <f t="shared" si="43"/>
        <v/>
      </c>
      <c r="L1188" s="286"/>
      <c r="M1188" s="287"/>
      <c r="N1188" s="287"/>
      <c r="O1188" s="286"/>
      <c r="P1188" s="286"/>
      <c r="Q1188" s="287"/>
    </row>
    <row r="1189" spans="1:17" ht="30" customHeight="1" x14ac:dyDescent="0.2">
      <c r="A1189" s="280"/>
      <c r="B1189" s="281"/>
      <c r="C1189" s="281"/>
      <c r="D1189" s="281"/>
      <c r="F1189" s="285" t="str">
        <f t="shared" si="42"/>
        <v/>
      </c>
      <c r="G1189" s="286"/>
      <c r="H1189" s="287"/>
      <c r="I1189" s="287"/>
      <c r="K1189" s="285" t="str">
        <f t="shared" si="43"/>
        <v/>
      </c>
      <c r="L1189" s="286"/>
      <c r="M1189" s="287"/>
      <c r="N1189" s="287"/>
      <c r="O1189" s="286"/>
      <c r="P1189" s="286"/>
      <c r="Q1189" s="287"/>
    </row>
    <row r="1190" spans="1:17" ht="30" customHeight="1" x14ac:dyDescent="0.2">
      <c r="A1190" s="280"/>
      <c r="B1190" s="281"/>
      <c r="C1190" s="281"/>
      <c r="D1190" s="281"/>
      <c r="F1190" s="285" t="str">
        <f t="shared" si="42"/>
        <v/>
      </c>
      <c r="G1190" s="286"/>
      <c r="H1190" s="287"/>
      <c r="I1190" s="287"/>
      <c r="K1190" s="285" t="str">
        <f t="shared" si="43"/>
        <v/>
      </c>
      <c r="L1190" s="286"/>
      <c r="M1190" s="287"/>
      <c r="N1190" s="287"/>
      <c r="O1190" s="286"/>
      <c r="P1190" s="286"/>
      <c r="Q1190" s="287"/>
    </row>
    <row r="1191" spans="1:17" ht="30" customHeight="1" x14ac:dyDescent="0.2">
      <c r="A1191" s="280"/>
      <c r="B1191" s="281"/>
      <c r="C1191" s="281"/>
      <c r="D1191" s="281"/>
      <c r="F1191" s="285" t="str">
        <f t="shared" si="42"/>
        <v/>
      </c>
      <c r="G1191" s="286"/>
      <c r="H1191" s="287"/>
      <c r="I1191" s="287"/>
      <c r="K1191" s="285" t="str">
        <f t="shared" si="43"/>
        <v/>
      </c>
      <c r="L1191" s="286"/>
      <c r="M1191" s="287"/>
      <c r="N1191" s="287"/>
      <c r="O1191" s="286"/>
      <c r="P1191" s="286"/>
      <c r="Q1191" s="287"/>
    </row>
    <row r="1192" spans="1:17" ht="30" customHeight="1" x14ac:dyDescent="0.2">
      <c r="A1192" s="280"/>
      <c r="B1192" s="281"/>
      <c r="C1192" s="281"/>
      <c r="D1192" s="281"/>
      <c r="F1192" s="285" t="str">
        <f t="shared" si="42"/>
        <v/>
      </c>
      <c r="G1192" s="286"/>
      <c r="H1192" s="287"/>
      <c r="I1192" s="287"/>
      <c r="K1192" s="285" t="str">
        <f t="shared" si="43"/>
        <v/>
      </c>
      <c r="L1192" s="286"/>
      <c r="M1192" s="287"/>
      <c r="N1192" s="287"/>
      <c r="O1192" s="286"/>
      <c r="P1192" s="286"/>
      <c r="Q1192" s="287"/>
    </row>
    <row r="1193" spans="1:17" ht="30" customHeight="1" x14ac:dyDescent="0.2">
      <c r="A1193" s="280"/>
      <c r="B1193" s="281"/>
      <c r="C1193" s="281"/>
      <c r="D1193" s="281"/>
      <c r="F1193" s="285" t="str">
        <f t="shared" si="42"/>
        <v/>
      </c>
      <c r="G1193" s="286"/>
      <c r="H1193" s="287"/>
      <c r="I1193" s="287"/>
      <c r="K1193" s="285" t="str">
        <f t="shared" si="43"/>
        <v/>
      </c>
      <c r="L1193" s="286"/>
      <c r="M1193" s="287"/>
      <c r="N1193" s="287"/>
      <c r="O1193" s="286"/>
      <c r="P1193" s="286"/>
      <c r="Q1193" s="287"/>
    </row>
    <row r="1194" spans="1:17" ht="30" customHeight="1" x14ac:dyDescent="0.2">
      <c r="A1194" s="280"/>
      <c r="B1194" s="281"/>
      <c r="C1194" s="281"/>
      <c r="D1194" s="281"/>
      <c r="F1194" s="285" t="str">
        <f t="shared" si="42"/>
        <v/>
      </c>
      <c r="G1194" s="286"/>
      <c r="H1194" s="287"/>
      <c r="I1194" s="287"/>
      <c r="K1194" s="285" t="str">
        <f t="shared" si="43"/>
        <v/>
      </c>
      <c r="L1194" s="286"/>
      <c r="M1194" s="287"/>
      <c r="N1194" s="287"/>
      <c r="O1194" s="286"/>
      <c r="P1194" s="286"/>
      <c r="Q1194" s="287"/>
    </row>
    <row r="1195" spans="1:17" ht="30" customHeight="1" x14ac:dyDescent="0.2">
      <c r="A1195" s="280"/>
      <c r="B1195" s="281"/>
      <c r="C1195" s="281"/>
      <c r="D1195" s="281"/>
      <c r="F1195" s="285" t="str">
        <f t="shared" si="42"/>
        <v/>
      </c>
      <c r="G1195" s="286"/>
      <c r="H1195" s="287"/>
      <c r="I1195" s="287"/>
      <c r="K1195" s="285" t="str">
        <f t="shared" si="43"/>
        <v/>
      </c>
      <c r="L1195" s="286"/>
      <c r="M1195" s="287"/>
      <c r="N1195" s="287"/>
      <c r="O1195" s="286"/>
      <c r="P1195" s="286"/>
      <c r="Q1195" s="287"/>
    </row>
    <row r="1196" spans="1:17" ht="30" customHeight="1" x14ac:dyDescent="0.2">
      <c r="A1196" s="280"/>
      <c r="B1196" s="281"/>
      <c r="C1196" s="281"/>
      <c r="D1196" s="281"/>
      <c r="F1196" s="285" t="str">
        <f t="shared" si="42"/>
        <v/>
      </c>
      <c r="G1196" s="286"/>
      <c r="H1196" s="287"/>
      <c r="I1196" s="287"/>
      <c r="K1196" s="285" t="str">
        <f t="shared" si="43"/>
        <v/>
      </c>
      <c r="L1196" s="286"/>
      <c r="M1196" s="287"/>
      <c r="N1196" s="287"/>
      <c r="O1196" s="286"/>
      <c r="P1196" s="286"/>
      <c r="Q1196" s="287"/>
    </row>
    <row r="1197" spans="1:17" ht="30" customHeight="1" x14ac:dyDescent="0.2">
      <c r="A1197" s="280"/>
      <c r="B1197" s="281"/>
      <c r="C1197" s="281"/>
      <c r="D1197" s="281"/>
      <c r="F1197" s="285" t="str">
        <f t="shared" si="42"/>
        <v/>
      </c>
      <c r="G1197" s="286"/>
      <c r="H1197" s="287"/>
      <c r="I1197" s="287"/>
      <c r="K1197" s="285" t="str">
        <f t="shared" si="43"/>
        <v/>
      </c>
      <c r="L1197" s="286"/>
      <c r="M1197" s="287"/>
      <c r="N1197" s="287"/>
      <c r="O1197" s="286"/>
      <c r="P1197" s="286"/>
      <c r="Q1197" s="287"/>
    </row>
    <row r="1198" spans="1:17" ht="30" customHeight="1" x14ac:dyDescent="0.2">
      <c r="A1198" s="280"/>
      <c r="B1198" s="281"/>
      <c r="C1198" s="281"/>
      <c r="D1198" s="281"/>
      <c r="F1198" s="285" t="str">
        <f t="shared" si="42"/>
        <v/>
      </c>
      <c r="G1198" s="286"/>
      <c r="H1198" s="287"/>
      <c r="I1198" s="287"/>
      <c r="K1198" s="285" t="str">
        <f t="shared" si="43"/>
        <v/>
      </c>
      <c r="L1198" s="286"/>
      <c r="M1198" s="287"/>
      <c r="N1198" s="287"/>
      <c r="O1198" s="286"/>
      <c r="P1198" s="286"/>
      <c r="Q1198" s="287"/>
    </row>
    <row r="1199" spans="1:17" ht="30" customHeight="1" x14ac:dyDescent="0.2">
      <c r="A1199" s="280"/>
      <c r="B1199" s="281"/>
      <c r="C1199" s="281"/>
      <c r="D1199" s="281"/>
      <c r="F1199" s="285" t="str">
        <f t="shared" si="42"/>
        <v/>
      </c>
      <c r="G1199" s="286"/>
      <c r="H1199" s="287"/>
      <c r="I1199" s="287"/>
      <c r="K1199" s="285" t="str">
        <f t="shared" si="43"/>
        <v/>
      </c>
      <c r="L1199" s="286"/>
      <c r="M1199" s="287"/>
      <c r="N1199" s="287"/>
      <c r="O1199" s="286"/>
      <c r="P1199" s="286"/>
      <c r="Q1199" s="287"/>
    </row>
    <row r="1200" spans="1:17" ht="30" customHeight="1" x14ac:dyDescent="0.2">
      <c r="A1200" s="280"/>
      <c r="B1200" s="281"/>
      <c r="C1200" s="281"/>
      <c r="D1200" s="281"/>
      <c r="F1200" s="285" t="str">
        <f t="shared" si="42"/>
        <v/>
      </c>
      <c r="G1200" s="286"/>
      <c r="H1200" s="287"/>
      <c r="I1200" s="287"/>
      <c r="K1200" s="285" t="str">
        <f t="shared" si="43"/>
        <v/>
      </c>
      <c r="L1200" s="286"/>
      <c r="M1200" s="287"/>
      <c r="N1200" s="287"/>
      <c r="O1200" s="286"/>
      <c r="P1200" s="286"/>
      <c r="Q1200" s="287"/>
    </row>
    <row r="1201" spans="1:17" ht="30" customHeight="1" x14ac:dyDescent="0.2">
      <c r="A1201" s="280"/>
      <c r="B1201" s="281"/>
      <c r="C1201" s="281"/>
      <c r="D1201" s="281"/>
      <c r="F1201" s="285" t="str">
        <f t="shared" si="42"/>
        <v/>
      </c>
      <c r="G1201" s="286"/>
      <c r="H1201" s="287"/>
      <c r="I1201" s="287"/>
      <c r="K1201" s="285" t="str">
        <f t="shared" si="43"/>
        <v/>
      </c>
      <c r="L1201" s="286"/>
      <c r="M1201" s="287"/>
      <c r="N1201" s="287"/>
      <c r="O1201" s="286"/>
      <c r="P1201" s="286"/>
      <c r="Q1201" s="287"/>
    </row>
    <row r="1202" spans="1:17" ht="30" customHeight="1" x14ac:dyDescent="0.2">
      <c r="A1202" s="280"/>
      <c r="B1202" s="281"/>
      <c r="C1202" s="281"/>
      <c r="D1202" s="281"/>
      <c r="F1202" s="285" t="str">
        <f t="shared" si="42"/>
        <v/>
      </c>
      <c r="G1202" s="286"/>
      <c r="H1202" s="287"/>
      <c r="I1202" s="287"/>
      <c r="K1202" s="285" t="str">
        <f t="shared" si="43"/>
        <v/>
      </c>
      <c r="L1202" s="286"/>
      <c r="M1202" s="287"/>
      <c r="N1202" s="287"/>
      <c r="O1202" s="286"/>
      <c r="P1202" s="286"/>
      <c r="Q1202" s="287"/>
    </row>
    <row r="1203" spans="1:17" ht="30" customHeight="1" x14ac:dyDescent="0.2">
      <c r="A1203" s="280"/>
      <c r="B1203" s="281"/>
      <c r="C1203" s="281"/>
      <c r="D1203" s="281"/>
      <c r="F1203" s="285" t="str">
        <f t="shared" si="42"/>
        <v/>
      </c>
      <c r="G1203" s="286"/>
      <c r="H1203" s="287"/>
      <c r="I1203" s="287"/>
      <c r="K1203" s="285" t="str">
        <f t="shared" si="43"/>
        <v/>
      </c>
      <c r="L1203" s="286"/>
      <c r="M1203" s="287"/>
      <c r="N1203" s="287"/>
      <c r="O1203" s="286"/>
      <c r="P1203" s="286"/>
      <c r="Q1203" s="287"/>
    </row>
    <row r="1204" spans="1:17" ht="30" customHeight="1" x14ac:dyDescent="0.2">
      <c r="A1204" s="280"/>
      <c r="B1204" s="281"/>
      <c r="C1204" s="281"/>
      <c r="D1204" s="281"/>
      <c r="F1204" s="285" t="str">
        <f t="shared" si="42"/>
        <v/>
      </c>
      <c r="G1204" s="286"/>
      <c r="H1204" s="287"/>
      <c r="I1204" s="287"/>
      <c r="K1204" s="285" t="str">
        <f t="shared" si="43"/>
        <v/>
      </c>
      <c r="L1204" s="286"/>
      <c r="M1204" s="287"/>
      <c r="N1204" s="287"/>
      <c r="O1204" s="286"/>
      <c r="P1204" s="286"/>
      <c r="Q1204" s="287"/>
    </row>
    <row r="1205" spans="1:17" ht="30" customHeight="1" x14ac:dyDescent="0.2">
      <c r="A1205" s="280"/>
      <c r="B1205" s="281"/>
      <c r="C1205" s="281"/>
      <c r="D1205" s="281"/>
      <c r="F1205" s="285" t="str">
        <f t="shared" si="42"/>
        <v/>
      </c>
      <c r="G1205" s="286"/>
      <c r="H1205" s="287"/>
      <c r="I1205" s="287"/>
      <c r="K1205" s="285" t="str">
        <f t="shared" si="43"/>
        <v/>
      </c>
      <c r="L1205" s="286"/>
      <c r="M1205" s="287"/>
      <c r="N1205" s="287"/>
      <c r="O1205" s="286"/>
      <c r="P1205" s="286"/>
      <c r="Q1205" s="287"/>
    </row>
    <row r="1206" spans="1:17" ht="30" customHeight="1" x14ac:dyDescent="0.2">
      <c r="A1206" s="242"/>
      <c r="F1206" s="285" t="str">
        <f t="shared" si="42"/>
        <v/>
      </c>
      <c r="K1206" s="285" t="str">
        <f t="shared" si="43"/>
        <v/>
      </c>
    </row>
    <row r="1207" spans="1:17" ht="30" customHeight="1" x14ac:dyDescent="0.2">
      <c r="A1207" s="242"/>
      <c r="F1207" s="285" t="str">
        <f t="shared" si="42"/>
        <v/>
      </c>
      <c r="K1207" s="285" t="str">
        <f t="shared" si="43"/>
        <v/>
      </c>
    </row>
    <row r="1208" spans="1:17" ht="30" customHeight="1" x14ac:dyDescent="0.2">
      <c r="A1208" s="242"/>
      <c r="F1208" s="285" t="str">
        <f t="shared" si="42"/>
        <v/>
      </c>
      <c r="K1208" s="285" t="str">
        <f t="shared" si="43"/>
        <v/>
      </c>
    </row>
    <row r="1209" spans="1:17" ht="30" customHeight="1" x14ac:dyDescent="0.2">
      <c r="A1209" s="242"/>
      <c r="F1209" s="285" t="str">
        <f t="shared" si="42"/>
        <v/>
      </c>
      <c r="K1209" s="285" t="str">
        <f t="shared" si="43"/>
        <v/>
      </c>
    </row>
    <row r="1210" spans="1:17" ht="30" customHeight="1" x14ac:dyDescent="0.2">
      <c r="A1210" s="242"/>
      <c r="F1210" s="285" t="str">
        <f t="shared" si="42"/>
        <v/>
      </c>
      <c r="K1210" s="285" t="str">
        <f t="shared" si="43"/>
        <v/>
      </c>
    </row>
    <row r="1211" spans="1:17" ht="30" customHeight="1" x14ac:dyDescent="0.2">
      <c r="A1211" s="242"/>
      <c r="F1211" s="285" t="str">
        <f t="shared" si="42"/>
        <v/>
      </c>
      <c r="K1211" s="285" t="str">
        <f t="shared" si="43"/>
        <v/>
      </c>
    </row>
    <row r="1212" spans="1:17" ht="30" customHeight="1" x14ac:dyDescent="0.2">
      <c r="A1212" s="242"/>
      <c r="F1212" s="285" t="str">
        <f t="shared" si="42"/>
        <v/>
      </c>
      <c r="K1212" s="285" t="str">
        <f t="shared" si="43"/>
        <v/>
      </c>
    </row>
    <row r="1213" spans="1:17" ht="30" customHeight="1" x14ac:dyDescent="0.2">
      <c r="A1213" s="242"/>
      <c r="F1213" s="285" t="str">
        <f t="shared" si="42"/>
        <v/>
      </c>
      <c r="K1213" s="285" t="str">
        <f t="shared" si="43"/>
        <v/>
      </c>
    </row>
    <row r="1214" spans="1:17" ht="30" customHeight="1" x14ac:dyDescent="0.2">
      <c r="A1214" s="242"/>
      <c r="F1214" s="285" t="str">
        <f t="shared" si="42"/>
        <v/>
      </c>
      <c r="K1214" s="285" t="str">
        <f t="shared" si="43"/>
        <v/>
      </c>
    </row>
    <row r="1215" spans="1:17" ht="30" customHeight="1" x14ac:dyDescent="0.2">
      <c r="A1215" s="242"/>
      <c r="F1215" s="285" t="str">
        <f t="shared" si="42"/>
        <v/>
      </c>
      <c r="K1215" s="285" t="str">
        <f t="shared" si="43"/>
        <v/>
      </c>
    </row>
    <row r="1216" spans="1:17" ht="30" customHeight="1" x14ac:dyDescent="0.2">
      <c r="A1216" s="242"/>
      <c r="F1216" s="285" t="str">
        <f t="shared" si="42"/>
        <v/>
      </c>
      <c r="K1216" s="285" t="str">
        <f t="shared" si="43"/>
        <v/>
      </c>
    </row>
    <row r="1217" spans="1:11" ht="30" customHeight="1" x14ac:dyDescent="0.2">
      <c r="A1217" s="242"/>
      <c r="F1217" s="285" t="str">
        <f t="shared" si="42"/>
        <v/>
      </c>
      <c r="K1217" s="285" t="str">
        <f t="shared" si="43"/>
        <v/>
      </c>
    </row>
    <row r="1218" spans="1:11" ht="30" customHeight="1" x14ac:dyDescent="0.2">
      <c r="A1218" s="242"/>
      <c r="F1218" s="285" t="str">
        <f t="shared" si="42"/>
        <v/>
      </c>
      <c r="K1218" s="285" t="str">
        <f t="shared" si="43"/>
        <v/>
      </c>
    </row>
    <row r="1219" spans="1:11" ht="30" customHeight="1" x14ac:dyDescent="0.2">
      <c r="A1219" s="242"/>
      <c r="F1219" s="285" t="str">
        <f t="shared" si="42"/>
        <v/>
      </c>
      <c r="K1219" s="285" t="str">
        <f t="shared" si="43"/>
        <v/>
      </c>
    </row>
    <row r="1220" spans="1:11" ht="30" customHeight="1" x14ac:dyDescent="0.2">
      <c r="A1220" s="242"/>
      <c r="F1220" s="285" t="str">
        <f t="shared" si="42"/>
        <v/>
      </c>
      <c r="K1220" s="285" t="str">
        <f t="shared" si="43"/>
        <v/>
      </c>
    </row>
    <row r="1221" spans="1:11" ht="30" customHeight="1" x14ac:dyDescent="0.2">
      <c r="A1221" s="242"/>
      <c r="F1221" s="285" t="str">
        <f t="shared" ref="F1221:F1284" si="44">IF(A1221="","",A1221)</f>
        <v/>
      </c>
      <c r="K1221" s="285" t="str">
        <f t="shared" si="43"/>
        <v/>
      </c>
    </row>
    <row r="1222" spans="1:11" ht="30" customHeight="1" x14ac:dyDescent="0.2">
      <c r="A1222" s="242"/>
      <c r="F1222" s="285" t="str">
        <f t="shared" si="44"/>
        <v/>
      </c>
      <c r="K1222" s="285" t="str">
        <f t="shared" si="43"/>
        <v/>
      </c>
    </row>
    <row r="1223" spans="1:11" ht="30" customHeight="1" x14ac:dyDescent="0.2">
      <c r="A1223" s="242"/>
      <c r="F1223" s="285" t="str">
        <f t="shared" si="44"/>
        <v/>
      </c>
      <c r="K1223" s="285" t="str">
        <f t="shared" si="43"/>
        <v/>
      </c>
    </row>
    <row r="1224" spans="1:11" ht="30" customHeight="1" x14ac:dyDescent="0.2">
      <c r="A1224" s="242"/>
      <c r="F1224" s="285" t="str">
        <f t="shared" si="44"/>
        <v/>
      </c>
      <c r="K1224" s="285" t="str">
        <f t="shared" si="43"/>
        <v/>
      </c>
    </row>
    <row r="1225" spans="1:11" ht="30" customHeight="1" x14ac:dyDescent="0.2">
      <c r="A1225" s="242"/>
      <c r="F1225" s="285" t="str">
        <f t="shared" si="44"/>
        <v/>
      </c>
      <c r="K1225" s="285" t="str">
        <f t="shared" si="43"/>
        <v/>
      </c>
    </row>
    <row r="1226" spans="1:11" ht="30" customHeight="1" x14ac:dyDescent="0.2">
      <c r="A1226" s="242"/>
      <c r="F1226" s="285" t="str">
        <f t="shared" si="44"/>
        <v/>
      </c>
      <c r="K1226" s="285" t="str">
        <f t="shared" si="43"/>
        <v/>
      </c>
    </row>
    <row r="1227" spans="1:11" ht="30" customHeight="1" x14ac:dyDescent="0.2">
      <c r="A1227" s="242"/>
      <c r="F1227" s="285" t="str">
        <f t="shared" si="44"/>
        <v/>
      </c>
      <c r="K1227" s="285" t="str">
        <f t="shared" ref="K1227:K1290" si="45">IF(A1227="","",A1227)</f>
        <v/>
      </c>
    </row>
    <row r="1228" spans="1:11" ht="30" customHeight="1" x14ac:dyDescent="0.2">
      <c r="A1228" s="242"/>
      <c r="F1228" s="285" t="str">
        <f t="shared" si="44"/>
        <v/>
      </c>
      <c r="K1228" s="285" t="str">
        <f t="shared" si="45"/>
        <v/>
      </c>
    </row>
    <row r="1229" spans="1:11" ht="30" customHeight="1" x14ac:dyDescent="0.2">
      <c r="A1229" s="242"/>
      <c r="F1229" s="285" t="str">
        <f t="shared" si="44"/>
        <v/>
      </c>
      <c r="K1229" s="285" t="str">
        <f t="shared" si="45"/>
        <v/>
      </c>
    </row>
    <row r="1230" spans="1:11" ht="30" customHeight="1" x14ac:dyDescent="0.2">
      <c r="A1230" s="242"/>
      <c r="F1230" s="285" t="str">
        <f t="shared" si="44"/>
        <v/>
      </c>
      <c r="K1230" s="285" t="str">
        <f t="shared" si="45"/>
        <v/>
      </c>
    </row>
    <row r="1231" spans="1:11" ht="30" customHeight="1" x14ac:dyDescent="0.2">
      <c r="A1231" s="242"/>
      <c r="F1231" s="285" t="str">
        <f t="shared" si="44"/>
        <v/>
      </c>
      <c r="K1231" s="285" t="str">
        <f t="shared" si="45"/>
        <v/>
      </c>
    </row>
    <row r="1232" spans="1:11" ht="30" customHeight="1" x14ac:dyDescent="0.2">
      <c r="A1232" s="242"/>
      <c r="F1232" s="285" t="str">
        <f t="shared" si="44"/>
        <v/>
      </c>
      <c r="K1232" s="285" t="str">
        <f t="shared" si="45"/>
        <v/>
      </c>
    </row>
    <row r="1233" spans="1:11" ht="30" customHeight="1" x14ac:dyDescent="0.2">
      <c r="A1233" s="242"/>
      <c r="F1233" s="285" t="str">
        <f t="shared" si="44"/>
        <v/>
      </c>
      <c r="K1233" s="285" t="str">
        <f t="shared" si="45"/>
        <v/>
      </c>
    </row>
    <row r="1234" spans="1:11" ht="30" customHeight="1" x14ac:dyDescent="0.2">
      <c r="A1234" s="242"/>
      <c r="F1234" s="285" t="str">
        <f t="shared" si="44"/>
        <v/>
      </c>
      <c r="K1234" s="285" t="str">
        <f t="shared" si="45"/>
        <v/>
      </c>
    </row>
    <row r="1235" spans="1:11" ht="30" customHeight="1" x14ac:dyDescent="0.2">
      <c r="A1235" s="242"/>
      <c r="F1235" s="285" t="str">
        <f t="shared" si="44"/>
        <v/>
      </c>
      <c r="K1235" s="285" t="str">
        <f t="shared" si="45"/>
        <v/>
      </c>
    </row>
    <row r="1236" spans="1:11" ht="30" customHeight="1" x14ac:dyDescent="0.2">
      <c r="A1236" s="242"/>
      <c r="F1236" s="285" t="str">
        <f t="shared" si="44"/>
        <v/>
      </c>
      <c r="K1236" s="285" t="str">
        <f t="shared" si="45"/>
        <v/>
      </c>
    </row>
    <row r="1237" spans="1:11" ht="30" customHeight="1" x14ac:dyDescent="0.2">
      <c r="A1237" s="242"/>
      <c r="F1237" s="285" t="str">
        <f t="shared" si="44"/>
        <v/>
      </c>
      <c r="K1237" s="285" t="str">
        <f t="shared" si="45"/>
        <v/>
      </c>
    </row>
    <row r="1238" spans="1:11" ht="30" customHeight="1" x14ac:dyDescent="0.2">
      <c r="A1238" s="242"/>
      <c r="F1238" s="285" t="str">
        <f t="shared" si="44"/>
        <v/>
      </c>
      <c r="K1238" s="285" t="str">
        <f t="shared" si="45"/>
        <v/>
      </c>
    </row>
    <row r="1239" spans="1:11" ht="30" customHeight="1" x14ac:dyDescent="0.2">
      <c r="A1239" s="242"/>
      <c r="F1239" s="285" t="str">
        <f t="shared" si="44"/>
        <v/>
      </c>
      <c r="K1239" s="285" t="str">
        <f t="shared" si="45"/>
        <v/>
      </c>
    </row>
    <row r="1240" spans="1:11" ht="30" customHeight="1" x14ac:dyDescent="0.2">
      <c r="A1240" s="242"/>
      <c r="F1240" s="285" t="str">
        <f t="shared" si="44"/>
        <v/>
      </c>
      <c r="K1240" s="285" t="str">
        <f t="shared" si="45"/>
        <v/>
      </c>
    </row>
    <row r="1241" spans="1:11" ht="30" customHeight="1" x14ac:dyDescent="0.2">
      <c r="A1241" s="242"/>
      <c r="F1241" s="285" t="str">
        <f t="shared" si="44"/>
        <v/>
      </c>
      <c r="K1241" s="285" t="str">
        <f t="shared" si="45"/>
        <v/>
      </c>
    </row>
    <row r="1242" spans="1:11" ht="30" customHeight="1" x14ac:dyDescent="0.2">
      <c r="A1242" s="242"/>
      <c r="F1242" s="285" t="str">
        <f t="shared" si="44"/>
        <v/>
      </c>
      <c r="K1242" s="285" t="str">
        <f t="shared" si="45"/>
        <v/>
      </c>
    </row>
    <row r="1243" spans="1:11" ht="30" customHeight="1" x14ac:dyDescent="0.2">
      <c r="A1243" s="242"/>
      <c r="F1243" s="285" t="str">
        <f t="shared" si="44"/>
        <v/>
      </c>
      <c r="K1243" s="285" t="str">
        <f t="shared" si="45"/>
        <v/>
      </c>
    </row>
    <row r="1244" spans="1:11" ht="30" customHeight="1" x14ac:dyDescent="0.2">
      <c r="A1244" s="242"/>
      <c r="F1244" s="285" t="str">
        <f t="shared" si="44"/>
        <v/>
      </c>
      <c r="K1244" s="285" t="str">
        <f t="shared" si="45"/>
        <v/>
      </c>
    </row>
    <row r="1245" spans="1:11" ht="30" customHeight="1" x14ac:dyDescent="0.2">
      <c r="A1245" s="242"/>
      <c r="F1245" s="285" t="str">
        <f t="shared" si="44"/>
        <v/>
      </c>
      <c r="K1245" s="285" t="str">
        <f t="shared" si="45"/>
        <v/>
      </c>
    </row>
    <row r="1246" spans="1:11" ht="30" customHeight="1" x14ac:dyDescent="0.2">
      <c r="A1246" s="242"/>
      <c r="F1246" s="285" t="str">
        <f t="shared" si="44"/>
        <v/>
      </c>
      <c r="K1246" s="285" t="str">
        <f t="shared" si="45"/>
        <v/>
      </c>
    </row>
    <row r="1247" spans="1:11" ht="30" customHeight="1" x14ac:dyDescent="0.2">
      <c r="A1247" s="242"/>
      <c r="F1247" s="285" t="str">
        <f t="shared" si="44"/>
        <v/>
      </c>
      <c r="K1247" s="285" t="str">
        <f t="shared" si="45"/>
        <v/>
      </c>
    </row>
    <row r="1248" spans="1:11" ht="30" customHeight="1" x14ac:dyDescent="0.2">
      <c r="A1248" s="242"/>
      <c r="F1248" s="285" t="str">
        <f t="shared" si="44"/>
        <v/>
      </c>
      <c r="K1248" s="285" t="str">
        <f t="shared" si="45"/>
        <v/>
      </c>
    </row>
    <row r="1249" spans="1:11" ht="30" customHeight="1" x14ac:dyDescent="0.2">
      <c r="A1249" s="242"/>
      <c r="F1249" s="285" t="str">
        <f t="shared" si="44"/>
        <v/>
      </c>
      <c r="K1249" s="285" t="str">
        <f t="shared" si="45"/>
        <v/>
      </c>
    </row>
    <row r="1250" spans="1:11" ht="30" customHeight="1" x14ac:dyDescent="0.2">
      <c r="A1250" s="242"/>
      <c r="F1250" s="285" t="str">
        <f t="shared" si="44"/>
        <v/>
      </c>
      <c r="K1250" s="285" t="str">
        <f t="shared" si="45"/>
        <v/>
      </c>
    </row>
    <row r="1251" spans="1:11" ht="30" customHeight="1" x14ac:dyDescent="0.2">
      <c r="A1251" s="242"/>
      <c r="F1251" s="285" t="str">
        <f t="shared" si="44"/>
        <v/>
      </c>
      <c r="K1251" s="285" t="str">
        <f t="shared" si="45"/>
        <v/>
      </c>
    </row>
    <row r="1252" spans="1:11" ht="30" customHeight="1" x14ac:dyDescent="0.2">
      <c r="A1252" s="242"/>
      <c r="F1252" s="285" t="str">
        <f t="shared" si="44"/>
        <v/>
      </c>
      <c r="K1252" s="285" t="str">
        <f t="shared" si="45"/>
        <v/>
      </c>
    </row>
    <row r="1253" spans="1:11" ht="30" customHeight="1" x14ac:dyDescent="0.2">
      <c r="A1253" s="242"/>
      <c r="F1253" s="285" t="str">
        <f t="shared" si="44"/>
        <v/>
      </c>
      <c r="K1253" s="285" t="str">
        <f t="shared" si="45"/>
        <v/>
      </c>
    </row>
    <row r="1254" spans="1:11" ht="30" customHeight="1" x14ac:dyDescent="0.2">
      <c r="A1254" s="242"/>
      <c r="F1254" s="285" t="str">
        <f t="shared" si="44"/>
        <v/>
      </c>
      <c r="K1254" s="285" t="str">
        <f t="shared" si="45"/>
        <v/>
      </c>
    </row>
    <row r="1255" spans="1:11" ht="30" customHeight="1" x14ac:dyDescent="0.2">
      <c r="A1255" s="242"/>
      <c r="F1255" s="285" t="str">
        <f t="shared" si="44"/>
        <v/>
      </c>
      <c r="K1255" s="285" t="str">
        <f t="shared" si="45"/>
        <v/>
      </c>
    </row>
    <row r="1256" spans="1:11" ht="30" customHeight="1" x14ac:dyDescent="0.2">
      <c r="A1256" s="242"/>
      <c r="F1256" s="285" t="str">
        <f t="shared" si="44"/>
        <v/>
      </c>
      <c r="K1256" s="285" t="str">
        <f t="shared" si="45"/>
        <v/>
      </c>
    </row>
    <row r="1257" spans="1:11" ht="30" customHeight="1" x14ac:dyDescent="0.2">
      <c r="A1257" s="242"/>
      <c r="F1257" s="285" t="str">
        <f t="shared" si="44"/>
        <v/>
      </c>
      <c r="K1257" s="285" t="str">
        <f t="shared" si="45"/>
        <v/>
      </c>
    </row>
    <row r="1258" spans="1:11" ht="30" customHeight="1" x14ac:dyDescent="0.2">
      <c r="A1258" s="242"/>
      <c r="F1258" s="285" t="str">
        <f t="shared" si="44"/>
        <v/>
      </c>
      <c r="K1258" s="285" t="str">
        <f t="shared" si="45"/>
        <v/>
      </c>
    </row>
    <row r="1259" spans="1:11" ht="30" customHeight="1" x14ac:dyDescent="0.2">
      <c r="A1259" s="242"/>
      <c r="F1259" s="285" t="str">
        <f t="shared" si="44"/>
        <v/>
      </c>
      <c r="K1259" s="285" t="str">
        <f t="shared" si="45"/>
        <v/>
      </c>
    </row>
    <row r="1260" spans="1:11" ht="30" customHeight="1" x14ac:dyDescent="0.2">
      <c r="A1260" s="242"/>
      <c r="F1260" s="285" t="str">
        <f t="shared" si="44"/>
        <v/>
      </c>
      <c r="K1260" s="285" t="str">
        <f t="shared" si="45"/>
        <v/>
      </c>
    </row>
    <row r="1261" spans="1:11" ht="30" customHeight="1" x14ac:dyDescent="0.2">
      <c r="A1261" s="242"/>
      <c r="F1261" s="285" t="str">
        <f t="shared" si="44"/>
        <v/>
      </c>
      <c r="K1261" s="285" t="str">
        <f t="shared" si="45"/>
        <v/>
      </c>
    </row>
    <row r="1262" spans="1:11" ht="30" customHeight="1" x14ac:dyDescent="0.2">
      <c r="A1262" s="242"/>
      <c r="F1262" s="285" t="str">
        <f t="shared" si="44"/>
        <v/>
      </c>
      <c r="K1262" s="285" t="str">
        <f t="shared" si="45"/>
        <v/>
      </c>
    </row>
    <row r="1263" spans="1:11" ht="30" customHeight="1" x14ac:dyDescent="0.2">
      <c r="A1263" s="242"/>
      <c r="F1263" s="285" t="str">
        <f t="shared" si="44"/>
        <v/>
      </c>
      <c r="K1263" s="285" t="str">
        <f t="shared" si="45"/>
        <v/>
      </c>
    </row>
    <row r="1264" spans="1:11" ht="30" customHeight="1" x14ac:dyDescent="0.2">
      <c r="A1264" s="242"/>
      <c r="F1264" s="285" t="str">
        <f t="shared" si="44"/>
        <v/>
      </c>
      <c r="K1264" s="285" t="str">
        <f t="shared" si="45"/>
        <v/>
      </c>
    </row>
    <row r="1265" spans="1:11" ht="30" customHeight="1" x14ac:dyDescent="0.2">
      <c r="A1265" s="242"/>
      <c r="F1265" s="285" t="str">
        <f t="shared" si="44"/>
        <v/>
      </c>
      <c r="K1265" s="285" t="str">
        <f t="shared" si="45"/>
        <v/>
      </c>
    </row>
    <row r="1266" spans="1:11" ht="30" customHeight="1" x14ac:dyDescent="0.2">
      <c r="A1266" s="242"/>
      <c r="F1266" s="285" t="str">
        <f t="shared" si="44"/>
        <v/>
      </c>
      <c r="K1266" s="285" t="str">
        <f t="shared" si="45"/>
        <v/>
      </c>
    </row>
    <row r="1267" spans="1:11" ht="30" customHeight="1" x14ac:dyDescent="0.2">
      <c r="A1267" s="242"/>
      <c r="F1267" s="285" t="str">
        <f t="shared" si="44"/>
        <v/>
      </c>
      <c r="K1267" s="285" t="str">
        <f t="shared" si="45"/>
        <v/>
      </c>
    </row>
    <row r="1268" spans="1:11" ht="30" customHeight="1" x14ac:dyDescent="0.2">
      <c r="A1268" s="242"/>
      <c r="F1268" s="285" t="str">
        <f t="shared" si="44"/>
        <v/>
      </c>
      <c r="K1268" s="285" t="str">
        <f t="shared" si="45"/>
        <v/>
      </c>
    </row>
    <row r="1269" spans="1:11" ht="30" customHeight="1" x14ac:dyDescent="0.2">
      <c r="A1269" s="242"/>
      <c r="F1269" s="285" t="str">
        <f t="shared" si="44"/>
        <v/>
      </c>
      <c r="K1269" s="285" t="str">
        <f t="shared" si="45"/>
        <v/>
      </c>
    </row>
    <row r="1270" spans="1:11" ht="30" customHeight="1" x14ac:dyDescent="0.2">
      <c r="A1270" s="242"/>
      <c r="F1270" s="285" t="str">
        <f t="shared" si="44"/>
        <v/>
      </c>
      <c r="K1270" s="285" t="str">
        <f t="shared" si="45"/>
        <v/>
      </c>
    </row>
    <row r="1271" spans="1:11" ht="30" customHeight="1" x14ac:dyDescent="0.2">
      <c r="A1271" s="242"/>
      <c r="F1271" s="285" t="str">
        <f t="shared" si="44"/>
        <v/>
      </c>
      <c r="K1271" s="285" t="str">
        <f t="shared" si="45"/>
        <v/>
      </c>
    </row>
    <row r="1272" spans="1:11" ht="30" customHeight="1" x14ac:dyDescent="0.2">
      <c r="A1272" s="242"/>
      <c r="F1272" s="285" t="str">
        <f t="shared" si="44"/>
        <v/>
      </c>
      <c r="K1272" s="285" t="str">
        <f t="shared" si="45"/>
        <v/>
      </c>
    </row>
    <row r="1273" spans="1:11" ht="30" customHeight="1" x14ac:dyDescent="0.2">
      <c r="A1273" s="242"/>
      <c r="F1273" s="285" t="str">
        <f t="shared" si="44"/>
        <v/>
      </c>
      <c r="K1273" s="285" t="str">
        <f t="shared" si="45"/>
        <v/>
      </c>
    </row>
    <row r="1274" spans="1:11" ht="30" customHeight="1" x14ac:dyDescent="0.2">
      <c r="A1274" s="242"/>
      <c r="F1274" s="285" t="str">
        <f t="shared" si="44"/>
        <v/>
      </c>
      <c r="K1274" s="285" t="str">
        <f t="shared" si="45"/>
        <v/>
      </c>
    </row>
    <row r="1275" spans="1:11" ht="30" customHeight="1" x14ac:dyDescent="0.2">
      <c r="A1275" s="242"/>
      <c r="F1275" s="285" t="str">
        <f t="shared" si="44"/>
        <v/>
      </c>
      <c r="K1275" s="285" t="str">
        <f t="shared" si="45"/>
        <v/>
      </c>
    </row>
    <row r="1276" spans="1:11" ht="30" customHeight="1" x14ac:dyDescent="0.2">
      <c r="A1276" s="242"/>
      <c r="F1276" s="285" t="str">
        <f t="shared" si="44"/>
        <v/>
      </c>
      <c r="K1276" s="285" t="str">
        <f t="shared" si="45"/>
        <v/>
      </c>
    </row>
    <row r="1277" spans="1:11" ht="30" customHeight="1" x14ac:dyDescent="0.2">
      <c r="A1277" s="242"/>
      <c r="F1277" s="285" t="str">
        <f t="shared" si="44"/>
        <v/>
      </c>
      <c r="K1277" s="285" t="str">
        <f t="shared" si="45"/>
        <v/>
      </c>
    </row>
    <row r="1278" spans="1:11" ht="30" customHeight="1" x14ac:dyDescent="0.2">
      <c r="A1278" s="242"/>
      <c r="F1278" s="285" t="str">
        <f t="shared" si="44"/>
        <v/>
      </c>
      <c r="K1278" s="285" t="str">
        <f t="shared" si="45"/>
        <v/>
      </c>
    </row>
    <row r="1279" spans="1:11" ht="30" customHeight="1" x14ac:dyDescent="0.2">
      <c r="A1279" s="242"/>
      <c r="F1279" s="285" t="str">
        <f t="shared" si="44"/>
        <v/>
      </c>
      <c r="K1279" s="285" t="str">
        <f t="shared" si="45"/>
        <v/>
      </c>
    </row>
    <row r="1280" spans="1:11" ht="30" customHeight="1" x14ac:dyDescent="0.2">
      <c r="A1280" s="242"/>
      <c r="F1280" s="285" t="str">
        <f t="shared" si="44"/>
        <v/>
      </c>
      <c r="K1280" s="285" t="str">
        <f t="shared" si="45"/>
        <v/>
      </c>
    </row>
    <row r="1281" spans="1:11" ht="30" customHeight="1" x14ac:dyDescent="0.2">
      <c r="A1281" s="242"/>
      <c r="F1281" s="285" t="str">
        <f t="shared" si="44"/>
        <v/>
      </c>
      <c r="K1281" s="285" t="str">
        <f t="shared" si="45"/>
        <v/>
      </c>
    </row>
    <row r="1282" spans="1:11" ht="30" customHeight="1" x14ac:dyDescent="0.2">
      <c r="A1282" s="242"/>
      <c r="F1282" s="285" t="str">
        <f t="shared" si="44"/>
        <v/>
      </c>
      <c r="K1282" s="285" t="str">
        <f t="shared" si="45"/>
        <v/>
      </c>
    </row>
    <row r="1283" spans="1:11" ht="30" customHeight="1" x14ac:dyDescent="0.2">
      <c r="A1283" s="242"/>
      <c r="F1283" s="285" t="str">
        <f t="shared" si="44"/>
        <v/>
      </c>
      <c r="K1283" s="285" t="str">
        <f t="shared" si="45"/>
        <v/>
      </c>
    </row>
    <row r="1284" spans="1:11" ht="30" customHeight="1" x14ac:dyDescent="0.2">
      <c r="A1284" s="242"/>
      <c r="F1284" s="285" t="str">
        <f t="shared" si="44"/>
        <v/>
      </c>
      <c r="K1284" s="285" t="str">
        <f t="shared" si="45"/>
        <v/>
      </c>
    </row>
    <row r="1285" spans="1:11" ht="30" customHeight="1" x14ac:dyDescent="0.2">
      <c r="A1285" s="242"/>
      <c r="F1285" s="285" t="str">
        <f t="shared" ref="F1285:F1348" si="46">IF(A1285="","",A1285)</f>
        <v/>
      </c>
      <c r="K1285" s="285" t="str">
        <f t="shared" si="45"/>
        <v/>
      </c>
    </row>
    <row r="1286" spans="1:11" ht="30" customHeight="1" x14ac:dyDescent="0.2">
      <c r="A1286" s="242"/>
      <c r="F1286" s="285" t="str">
        <f t="shared" si="46"/>
        <v/>
      </c>
      <c r="K1286" s="285" t="str">
        <f t="shared" si="45"/>
        <v/>
      </c>
    </row>
    <row r="1287" spans="1:11" ht="30" customHeight="1" x14ac:dyDescent="0.2">
      <c r="A1287" s="242"/>
      <c r="F1287" s="285" t="str">
        <f t="shared" si="46"/>
        <v/>
      </c>
      <c r="K1287" s="285" t="str">
        <f t="shared" si="45"/>
        <v/>
      </c>
    </row>
    <row r="1288" spans="1:11" ht="30" customHeight="1" x14ac:dyDescent="0.2">
      <c r="A1288" s="242"/>
      <c r="F1288" s="285" t="str">
        <f t="shared" si="46"/>
        <v/>
      </c>
      <c r="K1288" s="285" t="str">
        <f t="shared" si="45"/>
        <v/>
      </c>
    </row>
    <row r="1289" spans="1:11" ht="30" customHeight="1" x14ac:dyDescent="0.2">
      <c r="A1289" s="242"/>
      <c r="F1289" s="285" t="str">
        <f t="shared" si="46"/>
        <v/>
      </c>
      <c r="K1289" s="285" t="str">
        <f t="shared" si="45"/>
        <v/>
      </c>
    </row>
    <row r="1290" spans="1:11" ht="30" customHeight="1" x14ac:dyDescent="0.2">
      <c r="A1290" s="242"/>
      <c r="F1290" s="285" t="str">
        <f t="shared" si="46"/>
        <v/>
      </c>
      <c r="K1290" s="285" t="str">
        <f t="shared" si="45"/>
        <v/>
      </c>
    </row>
    <row r="1291" spans="1:11" ht="30" customHeight="1" x14ac:dyDescent="0.2">
      <c r="A1291" s="242"/>
      <c r="F1291" s="285" t="str">
        <f t="shared" si="46"/>
        <v/>
      </c>
      <c r="K1291" s="285" t="str">
        <f t="shared" ref="K1291:K1354" si="47">IF(A1291="","",A1291)</f>
        <v/>
      </c>
    </row>
    <row r="1292" spans="1:11" ht="30" customHeight="1" x14ac:dyDescent="0.2">
      <c r="A1292" s="242"/>
      <c r="F1292" s="285" t="str">
        <f t="shared" si="46"/>
        <v/>
      </c>
      <c r="K1292" s="285" t="str">
        <f t="shared" si="47"/>
        <v/>
      </c>
    </row>
    <row r="1293" spans="1:11" ht="30" customHeight="1" x14ac:dyDescent="0.2">
      <c r="A1293" s="242"/>
      <c r="F1293" s="285" t="str">
        <f t="shared" si="46"/>
        <v/>
      </c>
      <c r="K1293" s="285" t="str">
        <f t="shared" si="47"/>
        <v/>
      </c>
    </row>
    <row r="1294" spans="1:11" ht="30" customHeight="1" x14ac:dyDescent="0.2">
      <c r="A1294" s="242"/>
      <c r="F1294" s="285" t="str">
        <f t="shared" si="46"/>
        <v/>
      </c>
      <c r="K1294" s="285" t="str">
        <f t="shared" si="47"/>
        <v/>
      </c>
    </row>
    <row r="1295" spans="1:11" ht="30" customHeight="1" x14ac:dyDescent="0.2">
      <c r="A1295" s="242"/>
      <c r="F1295" s="285" t="str">
        <f t="shared" si="46"/>
        <v/>
      </c>
      <c r="K1295" s="285" t="str">
        <f t="shared" si="47"/>
        <v/>
      </c>
    </row>
    <row r="1296" spans="1:11" ht="30" customHeight="1" x14ac:dyDescent="0.2">
      <c r="A1296" s="242"/>
      <c r="F1296" s="285" t="str">
        <f t="shared" si="46"/>
        <v/>
      </c>
      <c r="K1296" s="285" t="str">
        <f t="shared" si="47"/>
        <v/>
      </c>
    </row>
    <row r="1297" spans="1:11" ht="30" customHeight="1" x14ac:dyDescent="0.2">
      <c r="A1297" s="242"/>
      <c r="F1297" s="285" t="str">
        <f t="shared" si="46"/>
        <v/>
      </c>
      <c r="K1297" s="285" t="str">
        <f t="shared" si="47"/>
        <v/>
      </c>
    </row>
    <row r="1298" spans="1:11" ht="30" customHeight="1" x14ac:dyDescent="0.2">
      <c r="A1298" s="242"/>
      <c r="F1298" s="285" t="str">
        <f t="shared" si="46"/>
        <v/>
      </c>
      <c r="K1298" s="285" t="str">
        <f t="shared" si="47"/>
        <v/>
      </c>
    </row>
    <row r="1299" spans="1:11" ht="30" customHeight="1" x14ac:dyDescent="0.2">
      <c r="A1299" s="242"/>
      <c r="F1299" s="285" t="str">
        <f t="shared" si="46"/>
        <v/>
      </c>
      <c r="K1299" s="285" t="str">
        <f t="shared" si="47"/>
        <v/>
      </c>
    </row>
    <row r="1300" spans="1:11" ht="30" customHeight="1" x14ac:dyDescent="0.2">
      <c r="A1300" s="242"/>
      <c r="F1300" s="285" t="str">
        <f t="shared" si="46"/>
        <v/>
      </c>
      <c r="K1300" s="285" t="str">
        <f t="shared" si="47"/>
        <v/>
      </c>
    </row>
    <row r="1301" spans="1:11" ht="30" customHeight="1" x14ac:dyDescent="0.2">
      <c r="A1301" s="242"/>
      <c r="F1301" s="285" t="str">
        <f t="shared" si="46"/>
        <v/>
      </c>
      <c r="K1301" s="285" t="str">
        <f t="shared" si="47"/>
        <v/>
      </c>
    </row>
    <row r="1302" spans="1:11" ht="30" customHeight="1" x14ac:dyDescent="0.2">
      <c r="A1302" s="242"/>
      <c r="F1302" s="285" t="str">
        <f t="shared" si="46"/>
        <v/>
      </c>
      <c r="K1302" s="285" t="str">
        <f t="shared" si="47"/>
        <v/>
      </c>
    </row>
    <row r="1303" spans="1:11" ht="30" customHeight="1" x14ac:dyDescent="0.2">
      <c r="A1303" s="242"/>
      <c r="F1303" s="285" t="str">
        <f t="shared" si="46"/>
        <v/>
      </c>
      <c r="K1303" s="285" t="str">
        <f t="shared" si="47"/>
        <v/>
      </c>
    </row>
    <row r="1304" spans="1:11" ht="30" customHeight="1" x14ac:dyDescent="0.2">
      <c r="A1304" s="242"/>
      <c r="F1304" s="285" t="str">
        <f t="shared" si="46"/>
        <v/>
      </c>
      <c r="K1304" s="285" t="str">
        <f t="shared" si="47"/>
        <v/>
      </c>
    </row>
    <row r="1305" spans="1:11" ht="30" customHeight="1" x14ac:dyDescent="0.2">
      <c r="A1305" s="242"/>
      <c r="F1305" s="285" t="str">
        <f t="shared" si="46"/>
        <v/>
      </c>
      <c r="K1305" s="285" t="str">
        <f t="shared" si="47"/>
        <v/>
      </c>
    </row>
    <row r="1306" spans="1:11" ht="30" customHeight="1" x14ac:dyDescent="0.2">
      <c r="A1306" s="242"/>
      <c r="F1306" s="285" t="str">
        <f t="shared" si="46"/>
        <v/>
      </c>
      <c r="K1306" s="285" t="str">
        <f t="shared" si="47"/>
        <v/>
      </c>
    </row>
    <row r="1307" spans="1:11" ht="30" customHeight="1" x14ac:dyDescent="0.2">
      <c r="A1307" s="242"/>
      <c r="F1307" s="285" t="str">
        <f t="shared" si="46"/>
        <v/>
      </c>
      <c r="K1307" s="285" t="str">
        <f t="shared" si="47"/>
        <v/>
      </c>
    </row>
    <row r="1308" spans="1:11" ht="30" customHeight="1" x14ac:dyDescent="0.2">
      <c r="A1308" s="242"/>
      <c r="F1308" s="285" t="str">
        <f t="shared" si="46"/>
        <v/>
      </c>
      <c r="K1308" s="285" t="str">
        <f t="shared" si="47"/>
        <v/>
      </c>
    </row>
    <row r="1309" spans="1:11" ht="30" customHeight="1" x14ac:dyDescent="0.2">
      <c r="A1309" s="242"/>
      <c r="F1309" s="285" t="str">
        <f t="shared" si="46"/>
        <v/>
      </c>
      <c r="K1309" s="285" t="str">
        <f t="shared" si="47"/>
        <v/>
      </c>
    </row>
    <row r="1310" spans="1:11" ht="30" customHeight="1" x14ac:dyDescent="0.2">
      <c r="A1310" s="242"/>
      <c r="F1310" s="285" t="str">
        <f t="shared" si="46"/>
        <v/>
      </c>
      <c r="K1310" s="285" t="str">
        <f t="shared" si="47"/>
        <v/>
      </c>
    </row>
    <row r="1311" spans="1:11" ht="30" customHeight="1" x14ac:dyDescent="0.2">
      <c r="A1311" s="242"/>
      <c r="F1311" s="285" t="str">
        <f t="shared" si="46"/>
        <v/>
      </c>
      <c r="K1311" s="285" t="str">
        <f t="shared" si="47"/>
        <v/>
      </c>
    </row>
    <row r="1312" spans="1:11" ht="30" customHeight="1" x14ac:dyDescent="0.2">
      <c r="A1312" s="242"/>
      <c r="F1312" s="285" t="str">
        <f t="shared" si="46"/>
        <v/>
      </c>
      <c r="K1312" s="285" t="str">
        <f t="shared" si="47"/>
        <v/>
      </c>
    </row>
    <row r="1313" spans="1:11" ht="30" customHeight="1" x14ac:dyDescent="0.2">
      <c r="A1313" s="242"/>
      <c r="F1313" s="285" t="str">
        <f t="shared" si="46"/>
        <v/>
      </c>
      <c r="K1313" s="285" t="str">
        <f t="shared" si="47"/>
        <v/>
      </c>
    </row>
    <row r="1314" spans="1:11" ht="30" customHeight="1" x14ac:dyDescent="0.2">
      <c r="A1314" s="242"/>
      <c r="F1314" s="285" t="str">
        <f t="shared" si="46"/>
        <v/>
      </c>
      <c r="K1314" s="285" t="str">
        <f t="shared" si="47"/>
        <v/>
      </c>
    </row>
    <row r="1315" spans="1:11" ht="30" customHeight="1" x14ac:dyDescent="0.2">
      <c r="A1315" s="242"/>
      <c r="F1315" s="285" t="str">
        <f t="shared" si="46"/>
        <v/>
      </c>
      <c r="K1315" s="285" t="str">
        <f t="shared" si="47"/>
        <v/>
      </c>
    </row>
    <row r="1316" spans="1:11" ht="30" customHeight="1" x14ac:dyDescent="0.2">
      <c r="A1316" s="242"/>
      <c r="F1316" s="285" t="str">
        <f t="shared" si="46"/>
        <v/>
      </c>
      <c r="K1316" s="285" t="str">
        <f t="shared" si="47"/>
        <v/>
      </c>
    </row>
    <row r="1317" spans="1:11" ht="30" customHeight="1" x14ac:dyDescent="0.2">
      <c r="A1317" s="242"/>
      <c r="F1317" s="285" t="str">
        <f t="shared" si="46"/>
        <v/>
      </c>
      <c r="K1317" s="285" t="str">
        <f t="shared" si="47"/>
        <v/>
      </c>
    </row>
    <row r="1318" spans="1:11" ht="30" customHeight="1" x14ac:dyDescent="0.2">
      <c r="A1318" s="242"/>
      <c r="F1318" s="285" t="str">
        <f t="shared" si="46"/>
        <v/>
      </c>
      <c r="K1318" s="285" t="str">
        <f t="shared" si="47"/>
        <v/>
      </c>
    </row>
    <row r="1319" spans="1:11" ht="30" customHeight="1" x14ac:dyDescent="0.2">
      <c r="A1319" s="242"/>
      <c r="F1319" s="285" t="str">
        <f t="shared" si="46"/>
        <v/>
      </c>
      <c r="K1319" s="285" t="str">
        <f t="shared" si="47"/>
        <v/>
      </c>
    </row>
    <row r="1320" spans="1:11" ht="30" customHeight="1" x14ac:dyDescent="0.2">
      <c r="A1320" s="242"/>
      <c r="F1320" s="285" t="str">
        <f t="shared" si="46"/>
        <v/>
      </c>
      <c r="K1320" s="285" t="str">
        <f t="shared" si="47"/>
        <v/>
      </c>
    </row>
    <row r="1321" spans="1:11" ht="30" customHeight="1" x14ac:dyDescent="0.2">
      <c r="A1321" s="242"/>
      <c r="F1321" s="285" t="str">
        <f t="shared" si="46"/>
        <v/>
      </c>
      <c r="K1321" s="285" t="str">
        <f t="shared" si="47"/>
        <v/>
      </c>
    </row>
    <row r="1322" spans="1:11" ht="30" customHeight="1" x14ac:dyDescent="0.2">
      <c r="A1322" s="242"/>
      <c r="F1322" s="285" t="str">
        <f t="shared" si="46"/>
        <v/>
      </c>
      <c r="K1322" s="285" t="str">
        <f t="shared" si="47"/>
        <v/>
      </c>
    </row>
    <row r="1323" spans="1:11" ht="30" customHeight="1" x14ac:dyDescent="0.2">
      <c r="A1323" s="242"/>
      <c r="F1323" s="285" t="str">
        <f t="shared" si="46"/>
        <v/>
      </c>
      <c r="K1323" s="285" t="str">
        <f t="shared" si="47"/>
        <v/>
      </c>
    </row>
    <row r="1324" spans="1:11" ht="30" customHeight="1" x14ac:dyDescent="0.2">
      <c r="A1324" s="242"/>
      <c r="F1324" s="285" t="str">
        <f t="shared" si="46"/>
        <v/>
      </c>
      <c r="K1324" s="285" t="str">
        <f t="shared" si="47"/>
        <v/>
      </c>
    </row>
    <row r="1325" spans="1:11" ht="30" customHeight="1" x14ac:dyDescent="0.2">
      <c r="A1325" s="242"/>
      <c r="F1325" s="285" t="str">
        <f t="shared" si="46"/>
        <v/>
      </c>
      <c r="K1325" s="285" t="str">
        <f t="shared" si="47"/>
        <v/>
      </c>
    </row>
    <row r="1326" spans="1:11" ht="30" customHeight="1" x14ac:dyDescent="0.2">
      <c r="A1326" s="242"/>
      <c r="F1326" s="285" t="str">
        <f t="shared" si="46"/>
        <v/>
      </c>
      <c r="K1326" s="285" t="str">
        <f t="shared" si="47"/>
        <v/>
      </c>
    </row>
    <row r="1327" spans="1:11" ht="30" customHeight="1" x14ac:dyDescent="0.2">
      <c r="A1327" s="242"/>
      <c r="F1327" s="285" t="str">
        <f t="shared" si="46"/>
        <v/>
      </c>
      <c r="K1327" s="285" t="str">
        <f t="shared" si="47"/>
        <v/>
      </c>
    </row>
    <row r="1328" spans="1:11" ht="30" customHeight="1" x14ac:dyDescent="0.2">
      <c r="A1328" s="242"/>
      <c r="F1328" s="285" t="str">
        <f t="shared" si="46"/>
        <v/>
      </c>
      <c r="K1328" s="285" t="str">
        <f t="shared" si="47"/>
        <v/>
      </c>
    </row>
    <row r="1329" spans="1:11" ht="30" customHeight="1" x14ac:dyDescent="0.2">
      <c r="A1329" s="242"/>
      <c r="F1329" s="285" t="str">
        <f t="shared" si="46"/>
        <v/>
      </c>
      <c r="K1329" s="285" t="str">
        <f t="shared" si="47"/>
        <v/>
      </c>
    </row>
    <row r="1330" spans="1:11" ht="30" customHeight="1" x14ac:dyDescent="0.2">
      <c r="A1330" s="242"/>
      <c r="F1330" s="285" t="str">
        <f t="shared" si="46"/>
        <v/>
      </c>
      <c r="K1330" s="285" t="str">
        <f t="shared" si="47"/>
        <v/>
      </c>
    </row>
    <row r="1331" spans="1:11" ht="30" customHeight="1" x14ac:dyDescent="0.2">
      <c r="A1331" s="242"/>
      <c r="F1331" s="285" t="str">
        <f t="shared" si="46"/>
        <v/>
      </c>
      <c r="K1331" s="285" t="str">
        <f t="shared" si="47"/>
        <v/>
      </c>
    </row>
    <row r="1332" spans="1:11" ht="30" customHeight="1" x14ac:dyDescent="0.2">
      <c r="A1332" s="242"/>
      <c r="F1332" s="285" t="str">
        <f t="shared" si="46"/>
        <v/>
      </c>
      <c r="K1332" s="285" t="str">
        <f t="shared" si="47"/>
        <v/>
      </c>
    </row>
    <row r="1333" spans="1:11" ht="30" customHeight="1" x14ac:dyDescent="0.2">
      <c r="A1333" s="242"/>
      <c r="F1333" s="285" t="str">
        <f t="shared" si="46"/>
        <v/>
      </c>
      <c r="K1333" s="285" t="str">
        <f t="shared" si="47"/>
        <v/>
      </c>
    </row>
    <row r="1334" spans="1:11" ht="30" customHeight="1" x14ac:dyDescent="0.2">
      <c r="A1334" s="242"/>
      <c r="F1334" s="285" t="str">
        <f t="shared" si="46"/>
        <v/>
      </c>
      <c r="K1334" s="285" t="str">
        <f t="shared" si="47"/>
        <v/>
      </c>
    </row>
    <row r="1335" spans="1:11" ht="30" customHeight="1" x14ac:dyDescent="0.2">
      <c r="A1335" s="242"/>
      <c r="F1335" s="285" t="str">
        <f t="shared" si="46"/>
        <v/>
      </c>
      <c r="K1335" s="285" t="str">
        <f t="shared" si="47"/>
        <v/>
      </c>
    </row>
    <row r="1336" spans="1:11" ht="30" customHeight="1" x14ac:dyDescent="0.2">
      <c r="A1336" s="242"/>
      <c r="F1336" s="285" t="str">
        <f t="shared" si="46"/>
        <v/>
      </c>
      <c r="K1336" s="285" t="str">
        <f t="shared" si="47"/>
        <v/>
      </c>
    </row>
    <row r="1337" spans="1:11" ht="30" customHeight="1" x14ac:dyDescent="0.2">
      <c r="A1337" s="242"/>
      <c r="F1337" s="285" t="str">
        <f t="shared" si="46"/>
        <v/>
      </c>
      <c r="K1337" s="285" t="str">
        <f t="shared" si="47"/>
        <v/>
      </c>
    </row>
    <row r="1338" spans="1:11" ht="30" customHeight="1" x14ac:dyDescent="0.2">
      <c r="A1338" s="242"/>
      <c r="F1338" s="285" t="str">
        <f t="shared" si="46"/>
        <v/>
      </c>
      <c r="K1338" s="285" t="str">
        <f t="shared" si="47"/>
        <v/>
      </c>
    </row>
    <row r="1339" spans="1:11" ht="30" customHeight="1" x14ac:dyDescent="0.2">
      <c r="A1339" s="242"/>
      <c r="F1339" s="285" t="str">
        <f t="shared" si="46"/>
        <v/>
      </c>
      <c r="K1339" s="285" t="str">
        <f t="shared" si="47"/>
        <v/>
      </c>
    </row>
    <row r="1340" spans="1:11" ht="30" customHeight="1" x14ac:dyDescent="0.2">
      <c r="A1340" s="242"/>
      <c r="F1340" s="285" t="str">
        <f t="shared" si="46"/>
        <v/>
      </c>
      <c r="K1340" s="285" t="str">
        <f t="shared" si="47"/>
        <v/>
      </c>
    </row>
    <row r="1341" spans="1:11" ht="30" customHeight="1" x14ac:dyDescent="0.2">
      <c r="A1341" s="242"/>
      <c r="F1341" s="285" t="str">
        <f t="shared" si="46"/>
        <v/>
      </c>
      <c r="K1341" s="285" t="str">
        <f t="shared" si="47"/>
        <v/>
      </c>
    </row>
    <row r="1342" spans="1:11" ht="30" customHeight="1" x14ac:dyDescent="0.2">
      <c r="A1342" s="242"/>
      <c r="F1342" s="285" t="str">
        <f t="shared" si="46"/>
        <v/>
      </c>
      <c r="K1342" s="285" t="str">
        <f t="shared" si="47"/>
        <v/>
      </c>
    </row>
    <row r="1343" spans="1:11" ht="30" customHeight="1" x14ac:dyDescent="0.2">
      <c r="A1343" s="242"/>
      <c r="F1343" s="285" t="str">
        <f t="shared" si="46"/>
        <v/>
      </c>
      <c r="K1343" s="285" t="str">
        <f t="shared" si="47"/>
        <v/>
      </c>
    </row>
    <row r="1344" spans="1:11" ht="30" customHeight="1" x14ac:dyDescent="0.2">
      <c r="A1344" s="242"/>
      <c r="F1344" s="285" t="str">
        <f t="shared" si="46"/>
        <v/>
      </c>
      <c r="K1344" s="285" t="str">
        <f t="shared" si="47"/>
        <v/>
      </c>
    </row>
    <row r="1345" spans="1:11" ht="30" customHeight="1" x14ac:dyDescent="0.2">
      <c r="A1345" s="242"/>
      <c r="F1345" s="285" t="str">
        <f t="shared" si="46"/>
        <v/>
      </c>
      <c r="K1345" s="285" t="str">
        <f t="shared" si="47"/>
        <v/>
      </c>
    </row>
    <row r="1346" spans="1:11" ht="30" customHeight="1" x14ac:dyDescent="0.2">
      <c r="A1346" s="242"/>
      <c r="F1346" s="285" t="str">
        <f t="shared" si="46"/>
        <v/>
      </c>
      <c r="K1346" s="285" t="str">
        <f t="shared" si="47"/>
        <v/>
      </c>
    </row>
    <row r="1347" spans="1:11" ht="30" customHeight="1" x14ac:dyDescent="0.2">
      <c r="A1347" s="242"/>
      <c r="F1347" s="285" t="str">
        <f t="shared" si="46"/>
        <v/>
      </c>
      <c r="K1347" s="285" t="str">
        <f t="shared" si="47"/>
        <v/>
      </c>
    </row>
    <row r="1348" spans="1:11" ht="30" customHeight="1" x14ac:dyDescent="0.2">
      <c r="A1348" s="242"/>
      <c r="F1348" s="285" t="str">
        <f t="shared" si="46"/>
        <v/>
      </c>
      <c r="K1348" s="285" t="str">
        <f t="shared" si="47"/>
        <v/>
      </c>
    </row>
    <row r="1349" spans="1:11" ht="30" customHeight="1" x14ac:dyDescent="0.2">
      <c r="A1349" s="242"/>
      <c r="F1349" s="285" t="str">
        <f t="shared" ref="F1349:F1412" si="48">IF(A1349="","",A1349)</f>
        <v/>
      </c>
      <c r="K1349" s="285" t="str">
        <f t="shared" si="47"/>
        <v/>
      </c>
    </row>
    <row r="1350" spans="1:11" ht="30" customHeight="1" x14ac:dyDescent="0.2">
      <c r="A1350" s="242"/>
      <c r="F1350" s="285" t="str">
        <f t="shared" si="48"/>
        <v/>
      </c>
      <c r="K1350" s="285" t="str">
        <f t="shared" si="47"/>
        <v/>
      </c>
    </row>
    <row r="1351" spans="1:11" ht="30" customHeight="1" x14ac:dyDescent="0.2">
      <c r="A1351" s="242"/>
      <c r="F1351" s="285" t="str">
        <f t="shared" si="48"/>
        <v/>
      </c>
      <c r="K1351" s="285" t="str">
        <f t="shared" si="47"/>
        <v/>
      </c>
    </row>
    <row r="1352" spans="1:11" ht="30" customHeight="1" x14ac:dyDescent="0.2">
      <c r="A1352" s="242"/>
      <c r="F1352" s="285" t="str">
        <f t="shared" si="48"/>
        <v/>
      </c>
      <c r="K1352" s="285" t="str">
        <f t="shared" si="47"/>
        <v/>
      </c>
    </row>
    <row r="1353" spans="1:11" ht="30" customHeight="1" x14ac:dyDescent="0.2">
      <c r="A1353" s="242"/>
      <c r="F1353" s="285" t="str">
        <f t="shared" si="48"/>
        <v/>
      </c>
      <c r="K1353" s="285" t="str">
        <f t="shared" si="47"/>
        <v/>
      </c>
    </row>
    <row r="1354" spans="1:11" ht="30" customHeight="1" x14ac:dyDescent="0.2">
      <c r="A1354" s="242"/>
      <c r="F1354" s="285" t="str">
        <f t="shared" si="48"/>
        <v/>
      </c>
      <c r="K1354" s="285" t="str">
        <f t="shared" si="47"/>
        <v/>
      </c>
    </row>
    <row r="1355" spans="1:11" ht="30" customHeight="1" x14ac:dyDescent="0.2">
      <c r="A1355" s="242"/>
      <c r="F1355" s="285" t="str">
        <f t="shared" si="48"/>
        <v/>
      </c>
      <c r="K1355" s="285" t="str">
        <f t="shared" ref="K1355:K1415" si="49">IF(A1355="","",A1355)</f>
        <v/>
      </c>
    </row>
    <row r="1356" spans="1:11" ht="30" customHeight="1" x14ac:dyDescent="0.2">
      <c r="A1356" s="242"/>
      <c r="F1356" s="285" t="str">
        <f t="shared" si="48"/>
        <v/>
      </c>
      <c r="K1356" s="285" t="str">
        <f t="shared" si="49"/>
        <v/>
      </c>
    </row>
    <row r="1357" spans="1:11" ht="30" customHeight="1" x14ac:dyDescent="0.2">
      <c r="A1357" s="242"/>
      <c r="F1357" s="285" t="str">
        <f t="shared" si="48"/>
        <v/>
      </c>
      <c r="K1357" s="285" t="str">
        <f t="shared" si="49"/>
        <v/>
      </c>
    </row>
    <row r="1358" spans="1:11" ht="30" customHeight="1" x14ac:dyDescent="0.2">
      <c r="A1358" s="242"/>
      <c r="F1358" s="285" t="str">
        <f t="shared" si="48"/>
        <v/>
      </c>
      <c r="K1358" s="285" t="str">
        <f t="shared" si="49"/>
        <v/>
      </c>
    </row>
    <row r="1359" spans="1:11" ht="30" customHeight="1" x14ac:dyDescent="0.2">
      <c r="A1359" s="242"/>
      <c r="F1359" s="285" t="str">
        <f t="shared" si="48"/>
        <v/>
      </c>
      <c r="K1359" s="285" t="str">
        <f t="shared" si="49"/>
        <v/>
      </c>
    </row>
    <row r="1360" spans="1:11" ht="30" customHeight="1" x14ac:dyDescent="0.2">
      <c r="A1360" s="242"/>
      <c r="F1360" s="285" t="str">
        <f t="shared" si="48"/>
        <v/>
      </c>
      <c r="K1360" s="285" t="str">
        <f t="shared" si="49"/>
        <v/>
      </c>
    </row>
    <row r="1361" spans="1:11" ht="30" customHeight="1" x14ac:dyDescent="0.2">
      <c r="A1361" s="242"/>
      <c r="F1361" s="285" t="str">
        <f t="shared" si="48"/>
        <v/>
      </c>
      <c r="K1361" s="285" t="str">
        <f t="shared" si="49"/>
        <v/>
      </c>
    </row>
    <row r="1362" spans="1:11" ht="30" customHeight="1" x14ac:dyDescent="0.2">
      <c r="A1362" s="242"/>
      <c r="F1362" s="285" t="str">
        <f t="shared" si="48"/>
        <v/>
      </c>
      <c r="K1362" s="285" t="str">
        <f t="shared" si="49"/>
        <v/>
      </c>
    </row>
    <row r="1363" spans="1:11" ht="30" customHeight="1" x14ac:dyDescent="0.2">
      <c r="A1363" s="242"/>
      <c r="F1363" s="285" t="str">
        <f t="shared" si="48"/>
        <v/>
      </c>
      <c r="K1363" s="285" t="str">
        <f t="shared" si="49"/>
        <v/>
      </c>
    </row>
    <row r="1364" spans="1:11" ht="30" customHeight="1" x14ac:dyDescent="0.2">
      <c r="A1364" s="242"/>
      <c r="F1364" s="285" t="str">
        <f t="shared" si="48"/>
        <v/>
      </c>
      <c r="K1364" s="285" t="str">
        <f t="shared" si="49"/>
        <v/>
      </c>
    </row>
    <row r="1365" spans="1:11" ht="30" customHeight="1" x14ac:dyDescent="0.2">
      <c r="A1365" s="242"/>
      <c r="F1365" s="285" t="str">
        <f t="shared" si="48"/>
        <v/>
      </c>
      <c r="K1365" s="285" t="str">
        <f t="shared" si="49"/>
        <v/>
      </c>
    </row>
    <row r="1366" spans="1:11" ht="30" customHeight="1" x14ac:dyDescent="0.2">
      <c r="A1366" s="242"/>
      <c r="F1366" s="285" t="str">
        <f t="shared" si="48"/>
        <v/>
      </c>
      <c r="K1366" s="285" t="str">
        <f t="shared" si="49"/>
        <v/>
      </c>
    </row>
    <row r="1367" spans="1:11" ht="30" customHeight="1" x14ac:dyDescent="0.2">
      <c r="A1367" s="242"/>
      <c r="F1367" s="285" t="str">
        <f t="shared" si="48"/>
        <v/>
      </c>
      <c r="K1367" s="285" t="str">
        <f t="shared" si="49"/>
        <v/>
      </c>
    </row>
    <row r="1368" spans="1:11" ht="30" customHeight="1" x14ac:dyDescent="0.2">
      <c r="A1368" s="242"/>
      <c r="F1368" s="285" t="str">
        <f t="shared" si="48"/>
        <v/>
      </c>
      <c r="K1368" s="285" t="str">
        <f t="shared" si="49"/>
        <v/>
      </c>
    </row>
    <row r="1369" spans="1:11" ht="30" customHeight="1" x14ac:dyDescent="0.2">
      <c r="A1369" s="242"/>
      <c r="F1369" s="285" t="str">
        <f t="shared" si="48"/>
        <v/>
      </c>
      <c r="K1369" s="285" t="str">
        <f t="shared" si="49"/>
        <v/>
      </c>
    </row>
    <row r="1370" spans="1:11" ht="30" customHeight="1" x14ac:dyDescent="0.2">
      <c r="A1370" s="242"/>
      <c r="F1370" s="285" t="str">
        <f t="shared" si="48"/>
        <v/>
      </c>
      <c r="K1370" s="285" t="str">
        <f t="shared" si="49"/>
        <v/>
      </c>
    </row>
    <row r="1371" spans="1:11" ht="30" customHeight="1" x14ac:dyDescent="0.2">
      <c r="A1371" s="242"/>
      <c r="F1371" s="285" t="str">
        <f t="shared" si="48"/>
        <v/>
      </c>
      <c r="K1371" s="285" t="str">
        <f t="shared" si="49"/>
        <v/>
      </c>
    </row>
    <row r="1372" spans="1:11" ht="30" customHeight="1" x14ac:dyDescent="0.2">
      <c r="A1372" s="242"/>
      <c r="F1372" s="285" t="str">
        <f t="shared" si="48"/>
        <v/>
      </c>
      <c r="K1372" s="285" t="str">
        <f t="shared" si="49"/>
        <v/>
      </c>
    </row>
    <row r="1373" spans="1:11" ht="30" customHeight="1" x14ac:dyDescent="0.2">
      <c r="A1373" s="242"/>
      <c r="F1373" s="285" t="str">
        <f t="shared" si="48"/>
        <v/>
      </c>
      <c r="K1373" s="285" t="str">
        <f t="shared" si="49"/>
        <v/>
      </c>
    </row>
    <row r="1374" spans="1:11" ht="30" customHeight="1" x14ac:dyDescent="0.2">
      <c r="A1374" s="242"/>
      <c r="F1374" s="285" t="str">
        <f t="shared" si="48"/>
        <v/>
      </c>
      <c r="K1374" s="285" t="str">
        <f t="shared" si="49"/>
        <v/>
      </c>
    </row>
    <row r="1375" spans="1:11" ht="30" customHeight="1" x14ac:dyDescent="0.2">
      <c r="A1375" s="242"/>
      <c r="F1375" s="285" t="str">
        <f t="shared" si="48"/>
        <v/>
      </c>
      <c r="K1375" s="285" t="str">
        <f t="shared" si="49"/>
        <v/>
      </c>
    </row>
    <row r="1376" spans="1:11" ht="30" customHeight="1" x14ac:dyDescent="0.2">
      <c r="A1376" s="242"/>
      <c r="F1376" s="285" t="str">
        <f t="shared" si="48"/>
        <v/>
      </c>
      <c r="K1376" s="285" t="str">
        <f t="shared" si="49"/>
        <v/>
      </c>
    </row>
    <row r="1377" spans="1:11" ht="30" customHeight="1" x14ac:dyDescent="0.2">
      <c r="A1377" s="242"/>
      <c r="F1377" s="285" t="str">
        <f t="shared" si="48"/>
        <v/>
      </c>
      <c r="K1377" s="285" t="str">
        <f t="shared" si="49"/>
        <v/>
      </c>
    </row>
    <row r="1378" spans="1:11" ht="30" customHeight="1" x14ac:dyDescent="0.2">
      <c r="A1378" s="242"/>
      <c r="F1378" s="285" t="str">
        <f t="shared" si="48"/>
        <v/>
      </c>
      <c r="K1378" s="285" t="str">
        <f t="shared" si="49"/>
        <v/>
      </c>
    </row>
    <row r="1379" spans="1:11" ht="30" customHeight="1" x14ac:dyDescent="0.2">
      <c r="A1379" s="242"/>
      <c r="F1379" s="285" t="str">
        <f t="shared" si="48"/>
        <v/>
      </c>
      <c r="K1379" s="285" t="str">
        <f t="shared" si="49"/>
        <v/>
      </c>
    </row>
    <row r="1380" spans="1:11" ht="30" customHeight="1" x14ac:dyDescent="0.2">
      <c r="A1380" s="242"/>
      <c r="F1380" s="285" t="str">
        <f t="shared" si="48"/>
        <v/>
      </c>
      <c r="K1380" s="285" t="str">
        <f t="shared" si="49"/>
        <v/>
      </c>
    </row>
    <row r="1381" spans="1:11" ht="30" customHeight="1" x14ac:dyDescent="0.2">
      <c r="A1381" s="242"/>
      <c r="F1381" s="285" t="str">
        <f t="shared" si="48"/>
        <v/>
      </c>
      <c r="K1381" s="285" t="str">
        <f t="shared" si="49"/>
        <v/>
      </c>
    </row>
    <row r="1382" spans="1:11" ht="30" customHeight="1" x14ac:dyDescent="0.2">
      <c r="A1382" s="242"/>
      <c r="F1382" s="285" t="str">
        <f t="shared" si="48"/>
        <v/>
      </c>
      <c r="K1382" s="285" t="str">
        <f t="shared" si="49"/>
        <v/>
      </c>
    </row>
    <row r="1383" spans="1:11" ht="30" customHeight="1" x14ac:dyDescent="0.2">
      <c r="A1383" s="242"/>
      <c r="F1383" s="285" t="str">
        <f t="shared" si="48"/>
        <v/>
      </c>
      <c r="K1383" s="285" t="str">
        <f t="shared" si="49"/>
        <v/>
      </c>
    </row>
    <row r="1384" spans="1:11" ht="30" customHeight="1" x14ac:dyDescent="0.2">
      <c r="A1384" s="242"/>
      <c r="F1384" s="285" t="str">
        <f t="shared" si="48"/>
        <v/>
      </c>
      <c r="K1384" s="285" t="str">
        <f t="shared" si="49"/>
        <v/>
      </c>
    </row>
    <row r="1385" spans="1:11" ht="30" customHeight="1" x14ac:dyDescent="0.2">
      <c r="A1385" s="242"/>
      <c r="F1385" s="285" t="str">
        <f t="shared" si="48"/>
        <v/>
      </c>
      <c r="K1385" s="285" t="str">
        <f t="shared" si="49"/>
        <v/>
      </c>
    </row>
    <row r="1386" spans="1:11" ht="30" customHeight="1" x14ac:dyDescent="0.2">
      <c r="A1386" s="242"/>
      <c r="F1386" s="285" t="str">
        <f t="shared" si="48"/>
        <v/>
      </c>
      <c r="K1386" s="285" t="str">
        <f t="shared" si="49"/>
        <v/>
      </c>
    </row>
    <row r="1387" spans="1:11" ht="30" customHeight="1" x14ac:dyDescent="0.2">
      <c r="A1387" s="242"/>
      <c r="F1387" s="285" t="str">
        <f t="shared" si="48"/>
        <v/>
      </c>
      <c r="K1387" s="285" t="str">
        <f t="shared" si="49"/>
        <v/>
      </c>
    </row>
    <row r="1388" spans="1:11" ht="30" customHeight="1" x14ac:dyDescent="0.2">
      <c r="A1388" s="242"/>
      <c r="F1388" s="285" t="str">
        <f t="shared" si="48"/>
        <v/>
      </c>
      <c r="K1388" s="285" t="str">
        <f t="shared" si="49"/>
        <v/>
      </c>
    </row>
    <row r="1389" spans="1:11" ht="30" customHeight="1" x14ac:dyDescent="0.2">
      <c r="A1389" s="242"/>
      <c r="F1389" s="285" t="str">
        <f t="shared" si="48"/>
        <v/>
      </c>
      <c r="K1389" s="285" t="str">
        <f t="shared" si="49"/>
        <v/>
      </c>
    </row>
    <row r="1390" spans="1:11" ht="30" customHeight="1" x14ac:dyDescent="0.2">
      <c r="A1390" s="242"/>
      <c r="F1390" s="285" t="str">
        <f t="shared" si="48"/>
        <v/>
      </c>
      <c r="K1390" s="285" t="str">
        <f t="shared" si="49"/>
        <v/>
      </c>
    </row>
    <row r="1391" spans="1:11" ht="30" customHeight="1" x14ac:dyDescent="0.2">
      <c r="A1391" s="242"/>
      <c r="F1391" s="285" t="str">
        <f t="shared" si="48"/>
        <v/>
      </c>
      <c r="K1391" s="285" t="str">
        <f t="shared" si="49"/>
        <v/>
      </c>
    </row>
    <row r="1392" spans="1:11" ht="30" customHeight="1" x14ac:dyDescent="0.2">
      <c r="A1392" s="242"/>
      <c r="F1392" s="285" t="str">
        <f t="shared" si="48"/>
        <v/>
      </c>
      <c r="K1392" s="285" t="str">
        <f t="shared" si="49"/>
        <v/>
      </c>
    </row>
    <row r="1393" spans="1:11" ht="30" customHeight="1" x14ac:dyDescent="0.2">
      <c r="A1393" s="242"/>
      <c r="F1393" s="285" t="str">
        <f t="shared" si="48"/>
        <v/>
      </c>
      <c r="K1393" s="285" t="str">
        <f t="shared" si="49"/>
        <v/>
      </c>
    </row>
    <row r="1394" spans="1:11" ht="30" customHeight="1" x14ac:dyDescent="0.2">
      <c r="A1394" s="242"/>
      <c r="F1394" s="285" t="str">
        <f t="shared" si="48"/>
        <v/>
      </c>
      <c r="K1394" s="285" t="str">
        <f t="shared" si="49"/>
        <v/>
      </c>
    </row>
    <row r="1395" spans="1:11" ht="30" customHeight="1" x14ac:dyDescent="0.2">
      <c r="A1395" s="242"/>
      <c r="F1395" s="285" t="str">
        <f t="shared" si="48"/>
        <v/>
      </c>
      <c r="K1395" s="285" t="str">
        <f t="shared" si="49"/>
        <v/>
      </c>
    </row>
    <row r="1396" spans="1:11" ht="30" customHeight="1" x14ac:dyDescent="0.2">
      <c r="A1396" s="242"/>
      <c r="F1396" s="285" t="str">
        <f t="shared" si="48"/>
        <v/>
      </c>
      <c r="K1396" s="285" t="str">
        <f t="shared" si="49"/>
        <v/>
      </c>
    </row>
    <row r="1397" spans="1:11" ht="30" customHeight="1" x14ac:dyDescent="0.2">
      <c r="A1397" s="242"/>
      <c r="F1397" s="285" t="str">
        <f t="shared" si="48"/>
        <v/>
      </c>
      <c r="K1397" s="285" t="str">
        <f t="shared" si="49"/>
        <v/>
      </c>
    </row>
    <row r="1398" spans="1:11" ht="30" customHeight="1" x14ac:dyDescent="0.2">
      <c r="A1398" s="242"/>
      <c r="F1398" s="285" t="str">
        <f t="shared" si="48"/>
        <v/>
      </c>
      <c r="K1398" s="285" t="str">
        <f t="shared" si="49"/>
        <v/>
      </c>
    </row>
    <row r="1399" spans="1:11" ht="30" customHeight="1" x14ac:dyDescent="0.2">
      <c r="A1399" s="242"/>
      <c r="F1399" s="285" t="str">
        <f t="shared" si="48"/>
        <v/>
      </c>
      <c r="K1399" s="285" t="str">
        <f t="shared" si="49"/>
        <v/>
      </c>
    </row>
    <row r="1400" spans="1:11" ht="30" customHeight="1" x14ac:dyDescent="0.2">
      <c r="A1400" s="242"/>
      <c r="F1400" s="285" t="str">
        <f t="shared" si="48"/>
        <v/>
      </c>
      <c r="K1400" s="285" t="str">
        <f t="shared" si="49"/>
        <v/>
      </c>
    </row>
    <row r="1401" spans="1:11" ht="30" customHeight="1" x14ac:dyDescent="0.2">
      <c r="A1401" s="242"/>
      <c r="F1401" s="285" t="str">
        <f t="shared" si="48"/>
        <v/>
      </c>
      <c r="K1401" s="285" t="str">
        <f t="shared" si="49"/>
        <v/>
      </c>
    </row>
    <row r="1402" spans="1:11" ht="30" customHeight="1" x14ac:dyDescent="0.2">
      <c r="A1402" s="242"/>
      <c r="F1402" s="285" t="str">
        <f t="shared" si="48"/>
        <v/>
      </c>
      <c r="K1402" s="285" t="str">
        <f t="shared" si="49"/>
        <v/>
      </c>
    </row>
    <row r="1403" spans="1:11" ht="30" customHeight="1" x14ac:dyDescent="0.2">
      <c r="A1403" s="242"/>
      <c r="F1403" s="285" t="str">
        <f t="shared" si="48"/>
        <v/>
      </c>
      <c r="K1403" s="285" t="str">
        <f t="shared" si="49"/>
        <v/>
      </c>
    </row>
    <row r="1404" spans="1:11" ht="30" customHeight="1" x14ac:dyDescent="0.2">
      <c r="A1404" s="242"/>
      <c r="F1404" s="285" t="str">
        <f t="shared" si="48"/>
        <v/>
      </c>
      <c r="K1404" s="285" t="str">
        <f t="shared" si="49"/>
        <v/>
      </c>
    </row>
    <row r="1405" spans="1:11" ht="30" customHeight="1" x14ac:dyDescent="0.2">
      <c r="A1405" s="242"/>
      <c r="F1405" s="285" t="str">
        <f t="shared" si="48"/>
        <v/>
      </c>
      <c r="K1405" s="285" t="str">
        <f t="shared" si="49"/>
        <v/>
      </c>
    </row>
    <row r="1406" spans="1:11" ht="30" customHeight="1" x14ac:dyDescent="0.2">
      <c r="A1406" s="242"/>
      <c r="F1406" s="285" t="str">
        <f t="shared" si="48"/>
        <v/>
      </c>
      <c r="K1406" s="285" t="str">
        <f t="shared" si="49"/>
        <v/>
      </c>
    </row>
    <row r="1407" spans="1:11" ht="30" customHeight="1" x14ac:dyDescent="0.2">
      <c r="A1407" s="242"/>
      <c r="F1407" s="285" t="str">
        <f t="shared" si="48"/>
        <v/>
      </c>
      <c r="K1407" s="285" t="str">
        <f t="shared" si="49"/>
        <v/>
      </c>
    </row>
    <row r="1408" spans="1:11" ht="30" customHeight="1" x14ac:dyDescent="0.2">
      <c r="A1408" s="242"/>
      <c r="F1408" s="285" t="str">
        <f t="shared" si="48"/>
        <v/>
      </c>
      <c r="K1408" s="285" t="str">
        <f t="shared" si="49"/>
        <v/>
      </c>
    </row>
    <row r="1409" spans="1:11" ht="30" customHeight="1" x14ac:dyDescent="0.2">
      <c r="A1409" s="242"/>
      <c r="F1409" s="285" t="str">
        <f t="shared" si="48"/>
        <v/>
      </c>
      <c r="K1409" s="285" t="str">
        <f t="shared" si="49"/>
        <v/>
      </c>
    </row>
    <row r="1410" spans="1:11" ht="30" customHeight="1" x14ac:dyDescent="0.2">
      <c r="A1410" s="242"/>
      <c r="F1410" s="285" t="str">
        <f t="shared" si="48"/>
        <v/>
      </c>
      <c r="K1410" s="285" t="str">
        <f t="shared" si="49"/>
        <v/>
      </c>
    </row>
    <row r="1411" spans="1:11" ht="30" customHeight="1" x14ac:dyDescent="0.2">
      <c r="A1411" s="242"/>
      <c r="F1411" s="285" t="str">
        <f t="shared" si="48"/>
        <v/>
      </c>
      <c r="K1411" s="285" t="str">
        <f t="shared" si="49"/>
        <v/>
      </c>
    </row>
    <row r="1412" spans="1:11" ht="30" customHeight="1" x14ac:dyDescent="0.2">
      <c r="A1412" s="242"/>
      <c r="F1412" s="285" t="str">
        <f t="shared" si="48"/>
        <v/>
      </c>
      <c r="K1412" s="285" t="str">
        <f t="shared" si="49"/>
        <v/>
      </c>
    </row>
    <row r="1413" spans="1:11" ht="30" customHeight="1" x14ac:dyDescent="0.2">
      <c r="A1413" s="242"/>
      <c r="F1413" s="285" t="str">
        <f t="shared" ref="F1413:F1476" si="50">IF(A1413="","",A1413)</f>
        <v/>
      </c>
      <c r="K1413" s="285" t="str">
        <f t="shared" si="49"/>
        <v/>
      </c>
    </row>
    <row r="1414" spans="1:11" ht="30" customHeight="1" x14ac:dyDescent="0.2">
      <c r="A1414" s="242"/>
      <c r="F1414" s="285" t="str">
        <f t="shared" si="50"/>
        <v/>
      </c>
      <c r="K1414" s="285" t="str">
        <f t="shared" si="49"/>
        <v/>
      </c>
    </row>
    <row r="1415" spans="1:11" ht="30" customHeight="1" x14ac:dyDescent="0.2">
      <c r="A1415" s="242"/>
      <c r="F1415" s="285" t="str">
        <f t="shared" si="50"/>
        <v/>
      </c>
      <c r="K1415" s="285" t="str">
        <f t="shared" si="49"/>
        <v/>
      </c>
    </row>
    <row r="1416" spans="1:11" ht="30" customHeight="1" x14ac:dyDescent="0.2">
      <c r="A1416" s="242"/>
      <c r="F1416" s="285" t="str">
        <f t="shared" si="50"/>
        <v/>
      </c>
      <c r="K1416" s="246" t="str">
        <f t="shared" ref="K1416:K1466" si="51">IF(A1416="","",A1416)</f>
        <v/>
      </c>
    </row>
    <row r="1417" spans="1:11" ht="30" customHeight="1" x14ac:dyDescent="0.2">
      <c r="A1417" s="242"/>
      <c r="F1417" s="285" t="str">
        <f t="shared" si="50"/>
        <v/>
      </c>
      <c r="K1417" s="246" t="str">
        <f t="shared" si="51"/>
        <v/>
      </c>
    </row>
    <row r="1418" spans="1:11" ht="30" customHeight="1" x14ac:dyDescent="0.2">
      <c r="A1418" s="242"/>
      <c r="F1418" s="285" t="str">
        <f t="shared" si="50"/>
        <v/>
      </c>
      <c r="K1418" s="246" t="str">
        <f t="shared" si="51"/>
        <v/>
      </c>
    </row>
    <row r="1419" spans="1:11" ht="30" customHeight="1" x14ac:dyDescent="0.2">
      <c r="A1419" s="242"/>
      <c r="F1419" s="285" t="str">
        <f t="shared" si="50"/>
        <v/>
      </c>
      <c r="K1419" s="246" t="str">
        <f t="shared" si="51"/>
        <v/>
      </c>
    </row>
    <row r="1420" spans="1:11" ht="30" customHeight="1" x14ac:dyDescent="0.2">
      <c r="A1420" s="242"/>
      <c r="F1420" s="285" t="str">
        <f t="shared" si="50"/>
        <v/>
      </c>
      <c r="K1420" s="246" t="str">
        <f t="shared" si="51"/>
        <v/>
      </c>
    </row>
    <row r="1421" spans="1:11" ht="30" customHeight="1" x14ac:dyDescent="0.2">
      <c r="A1421" s="242"/>
      <c r="F1421" s="285" t="str">
        <f t="shared" si="50"/>
        <v/>
      </c>
      <c r="K1421" s="246" t="str">
        <f t="shared" si="51"/>
        <v/>
      </c>
    </row>
    <row r="1422" spans="1:11" ht="30" customHeight="1" x14ac:dyDescent="0.2">
      <c r="A1422" s="242"/>
      <c r="F1422" s="285" t="str">
        <f t="shared" si="50"/>
        <v/>
      </c>
      <c r="K1422" s="246" t="str">
        <f t="shared" si="51"/>
        <v/>
      </c>
    </row>
    <row r="1423" spans="1:11" ht="30" customHeight="1" x14ac:dyDescent="0.2">
      <c r="A1423" s="242"/>
      <c r="F1423" s="285" t="str">
        <f t="shared" si="50"/>
        <v/>
      </c>
      <c r="K1423" s="246" t="str">
        <f t="shared" si="51"/>
        <v/>
      </c>
    </row>
    <row r="1424" spans="1:11" ht="30" customHeight="1" x14ac:dyDescent="0.2">
      <c r="A1424" s="242"/>
      <c r="F1424" s="285" t="str">
        <f t="shared" si="50"/>
        <v/>
      </c>
      <c r="K1424" s="246" t="str">
        <f t="shared" si="51"/>
        <v/>
      </c>
    </row>
    <row r="1425" spans="1:11" ht="30" customHeight="1" x14ac:dyDescent="0.2">
      <c r="A1425" s="242"/>
      <c r="F1425" s="285" t="str">
        <f t="shared" si="50"/>
        <v/>
      </c>
      <c r="K1425" s="246" t="str">
        <f t="shared" si="51"/>
        <v/>
      </c>
    </row>
    <row r="1426" spans="1:11" ht="30" customHeight="1" x14ac:dyDescent="0.2">
      <c r="A1426" s="242"/>
      <c r="F1426" s="285" t="str">
        <f t="shared" si="50"/>
        <v/>
      </c>
      <c r="K1426" s="246" t="str">
        <f t="shared" si="51"/>
        <v/>
      </c>
    </row>
    <row r="1427" spans="1:11" ht="30" customHeight="1" x14ac:dyDescent="0.2">
      <c r="A1427" s="242"/>
      <c r="F1427" s="285" t="str">
        <f t="shared" si="50"/>
        <v/>
      </c>
      <c r="K1427" s="246" t="str">
        <f t="shared" si="51"/>
        <v/>
      </c>
    </row>
    <row r="1428" spans="1:11" ht="30" customHeight="1" x14ac:dyDescent="0.2">
      <c r="A1428" s="242"/>
      <c r="F1428" s="285" t="str">
        <f t="shared" si="50"/>
        <v/>
      </c>
      <c r="K1428" s="246" t="str">
        <f t="shared" si="51"/>
        <v/>
      </c>
    </row>
    <row r="1429" spans="1:11" ht="30" customHeight="1" x14ac:dyDescent="0.2">
      <c r="A1429" s="242"/>
      <c r="F1429" s="285" t="str">
        <f t="shared" si="50"/>
        <v/>
      </c>
      <c r="K1429" s="246" t="str">
        <f t="shared" si="51"/>
        <v/>
      </c>
    </row>
    <row r="1430" spans="1:11" ht="30" customHeight="1" x14ac:dyDescent="0.2">
      <c r="A1430" s="242"/>
      <c r="F1430" s="285" t="str">
        <f t="shared" si="50"/>
        <v/>
      </c>
      <c r="K1430" s="246" t="str">
        <f t="shared" si="51"/>
        <v/>
      </c>
    </row>
    <row r="1431" spans="1:11" ht="30" customHeight="1" x14ac:dyDescent="0.2">
      <c r="A1431" s="242"/>
      <c r="F1431" s="285" t="str">
        <f t="shared" si="50"/>
        <v/>
      </c>
      <c r="K1431" s="246" t="str">
        <f t="shared" si="51"/>
        <v/>
      </c>
    </row>
    <row r="1432" spans="1:11" ht="30" customHeight="1" x14ac:dyDescent="0.2">
      <c r="A1432" s="242"/>
      <c r="F1432" s="285" t="str">
        <f t="shared" si="50"/>
        <v/>
      </c>
      <c r="K1432" s="246" t="str">
        <f t="shared" si="51"/>
        <v/>
      </c>
    </row>
    <row r="1433" spans="1:11" ht="30" customHeight="1" x14ac:dyDescent="0.2">
      <c r="A1433" s="242"/>
      <c r="F1433" s="285" t="str">
        <f t="shared" si="50"/>
        <v/>
      </c>
      <c r="K1433" s="246" t="str">
        <f t="shared" si="51"/>
        <v/>
      </c>
    </row>
    <row r="1434" spans="1:11" ht="30" customHeight="1" x14ac:dyDescent="0.2">
      <c r="A1434" s="242"/>
      <c r="F1434" s="285" t="str">
        <f t="shared" si="50"/>
        <v/>
      </c>
      <c r="K1434" s="246" t="str">
        <f t="shared" si="51"/>
        <v/>
      </c>
    </row>
    <row r="1435" spans="1:11" ht="30" customHeight="1" x14ac:dyDescent="0.2">
      <c r="A1435" s="242"/>
      <c r="F1435" s="285" t="str">
        <f t="shared" si="50"/>
        <v/>
      </c>
      <c r="K1435" s="246" t="str">
        <f t="shared" si="51"/>
        <v/>
      </c>
    </row>
    <row r="1436" spans="1:11" ht="30" customHeight="1" x14ac:dyDescent="0.2">
      <c r="A1436" s="242"/>
      <c r="F1436" s="285" t="str">
        <f t="shared" si="50"/>
        <v/>
      </c>
      <c r="K1436" s="246" t="str">
        <f t="shared" si="51"/>
        <v/>
      </c>
    </row>
    <row r="1437" spans="1:11" ht="30" customHeight="1" x14ac:dyDescent="0.2">
      <c r="A1437" s="242"/>
      <c r="F1437" s="285" t="str">
        <f t="shared" si="50"/>
        <v/>
      </c>
      <c r="K1437" s="246" t="str">
        <f t="shared" si="51"/>
        <v/>
      </c>
    </row>
    <row r="1438" spans="1:11" ht="30" customHeight="1" x14ac:dyDescent="0.2">
      <c r="A1438" s="242"/>
      <c r="F1438" s="285" t="str">
        <f t="shared" si="50"/>
        <v/>
      </c>
      <c r="K1438" s="246" t="str">
        <f t="shared" si="51"/>
        <v/>
      </c>
    </row>
    <row r="1439" spans="1:11" ht="30" customHeight="1" x14ac:dyDescent="0.2">
      <c r="A1439" s="242"/>
      <c r="F1439" s="285" t="str">
        <f t="shared" si="50"/>
        <v/>
      </c>
      <c r="K1439" s="246" t="str">
        <f t="shared" si="51"/>
        <v/>
      </c>
    </row>
    <row r="1440" spans="1:11" ht="30" customHeight="1" x14ac:dyDescent="0.2">
      <c r="A1440" s="242"/>
      <c r="F1440" s="285" t="str">
        <f t="shared" si="50"/>
        <v/>
      </c>
      <c r="K1440" s="246" t="str">
        <f t="shared" si="51"/>
        <v/>
      </c>
    </row>
    <row r="1441" spans="1:11" ht="30" customHeight="1" x14ac:dyDescent="0.2">
      <c r="A1441" s="242"/>
      <c r="F1441" s="285" t="str">
        <f t="shared" si="50"/>
        <v/>
      </c>
      <c r="K1441" s="246" t="str">
        <f t="shared" si="51"/>
        <v/>
      </c>
    </row>
    <row r="1442" spans="1:11" ht="30" customHeight="1" x14ac:dyDescent="0.2">
      <c r="A1442" s="242"/>
      <c r="F1442" s="285" t="str">
        <f t="shared" si="50"/>
        <v/>
      </c>
      <c r="K1442" s="246" t="str">
        <f t="shared" si="51"/>
        <v/>
      </c>
    </row>
    <row r="1443" spans="1:11" ht="30" customHeight="1" x14ac:dyDescent="0.2">
      <c r="A1443" s="242"/>
      <c r="F1443" s="285" t="str">
        <f t="shared" si="50"/>
        <v/>
      </c>
      <c r="K1443" s="246" t="str">
        <f t="shared" si="51"/>
        <v/>
      </c>
    </row>
    <row r="1444" spans="1:11" ht="30" customHeight="1" x14ac:dyDescent="0.2">
      <c r="A1444" s="242"/>
      <c r="F1444" s="285" t="str">
        <f t="shared" si="50"/>
        <v/>
      </c>
      <c r="K1444" s="246" t="str">
        <f t="shared" si="51"/>
        <v/>
      </c>
    </row>
    <row r="1445" spans="1:11" ht="30" customHeight="1" x14ac:dyDescent="0.2">
      <c r="A1445" s="242"/>
      <c r="F1445" s="285" t="str">
        <f t="shared" si="50"/>
        <v/>
      </c>
      <c r="K1445" s="246" t="str">
        <f t="shared" si="51"/>
        <v/>
      </c>
    </row>
    <row r="1446" spans="1:11" ht="30" customHeight="1" x14ac:dyDescent="0.2">
      <c r="A1446" s="242"/>
      <c r="F1446" s="285" t="str">
        <f t="shared" si="50"/>
        <v/>
      </c>
      <c r="K1446" s="246" t="str">
        <f t="shared" si="51"/>
        <v/>
      </c>
    </row>
    <row r="1447" spans="1:11" ht="30" customHeight="1" x14ac:dyDescent="0.2">
      <c r="A1447" s="242"/>
      <c r="F1447" s="285" t="str">
        <f t="shared" si="50"/>
        <v/>
      </c>
      <c r="K1447" s="246" t="str">
        <f t="shared" si="51"/>
        <v/>
      </c>
    </row>
    <row r="1448" spans="1:11" ht="30" customHeight="1" x14ac:dyDescent="0.2">
      <c r="A1448" s="242"/>
      <c r="F1448" s="285" t="str">
        <f t="shared" si="50"/>
        <v/>
      </c>
      <c r="K1448" s="246" t="str">
        <f t="shared" si="51"/>
        <v/>
      </c>
    </row>
    <row r="1449" spans="1:11" ht="30" customHeight="1" x14ac:dyDescent="0.2">
      <c r="A1449" s="242"/>
      <c r="F1449" s="285" t="str">
        <f t="shared" si="50"/>
        <v/>
      </c>
      <c r="K1449" s="246" t="str">
        <f t="shared" si="51"/>
        <v/>
      </c>
    </row>
    <row r="1450" spans="1:11" ht="30" customHeight="1" x14ac:dyDescent="0.2">
      <c r="A1450" s="242"/>
      <c r="F1450" s="285" t="str">
        <f t="shared" si="50"/>
        <v/>
      </c>
      <c r="K1450" s="246" t="str">
        <f t="shared" si="51"/>
        <v/>
      </c>
    </row>
    <row r="1451" spans="1:11" ht="30" customHeight="1" x14ac:dyDescent="0.2">
      <c r="A1451" s="242"/>
      <c r="F1451" s="285" t="str">
        <f t="shared" si="50"/>
        <v/>
      </c>
      <c r="K1451" s="246" t="str">
        <f t="shared" si="51"/>
        <v/>
      </c>
    </row>
    <row r="1452" spans="1:11" ht="30" customHeight="1" x14ac:dyDescent="0.2">
      <c r="A1452" s="242"/>
      <c r="F1452" s="285" t="str">
        <f t="shared" si="50"/>
        <v/>
      </c>
      <c r="K1452" s="246" t="str">
        <f t="shared" si="51"/>
        <v/>
      </c>
    </row>
    <row r="1453" spans="1:11" ht="30" customHeight="1" x14ac:dyDescent="0.2">
      <c r="A1453" s="242"/>
      <c r="F1453" s="285" t="str">
        <f t="shared" si="50"/>
        <v/>
      </c>
      <c r="K1453" s="246" t="str">
        <f t="shared" si="51"/>
        <v/>
      </c>
    </row>
    <row r="1454" spans="1:11" ht="30" customHeight="1" x14ac:dyDescent="0.2">
      <c r="A1454" s="242"/>
      <c r="F1454" s="285" t="str">
        <f t="shared" si="50"/>
        <v/>
      </c>
      <c r="K1454" s="246" t="str">
        <f t="shared" si="51"/>
        <v/>
      </c>
    </row>
    <row r="1455" spans="1:11" ht="30" customHeight="1" x14ac:dyDescent="0.2">
      <c r="A1455" s="242"/>
      <c r="F1455" s="285" t="str">
        <f t="shared" si="50"/>
        <v/>
      </c>
      <c r="K1455" s="246" t="str">
        <f t="shared" si="51"/>
        <v/>
      </c>
    </row>
    <row r="1456" spans="1:11" ht="30" customHeight="1" x14ac:dyDescent="0.2">
      <c r="A1456" s="242"/>
      <c r="F1456" s="285" t="str">
        <f t="shared" si="50"/>
        <v/>
      </c>
      <c r="K1456" s="246" t="str">
        <f t="shared" si="51"/>
        <v/>
      </c>
    </row>
    <row r="1457" spans="1:11" ht="30" customHeight="1" x14ac:dyDescent="0.2">
      <c r="A1457" s="242"/>
      <c r="F1457" s="285" t="str">
        <f t="shared" si="50"/>
        <v/>
      </c>
      <c r="K1457" s="246" t="str">
        <f t="shared" si="51"/>
        <v/>
      </c>
    </row>
    <row r="1458" spans="1:11" ht="30" customHeight="1" x14ac:dyDescent="0.2">
      <c r="A1458" s="242"/>
      <c r="F1458" s="285" t="str">
        <f t="shared" si="50"/>
        <v/>
      </c>
      <c r="K1458" s="246" t="str">
        <f t="shared" si="51"/>
        <v/>
      </c>
    </row>
    <row r="1459" spans="1:11" ht="30" customHeight="1" x14ac:dyDescent="0.2">
      <c r="A1459" s="242"/>
      <c r="F1459" s="285" t="str">
        <f t="shared" si="50"/>
        <v/>
      </c>
      <c r="K1459" s="246" t="str">
        <f t="shared" si="51"/>
        <v/>
      </c>
    </row>
    <row r="1460" spans="1:11" ht="30" customHeight="1" x14ac:dyDescent="0.2">
      <c r="A1460" s="242"/>
      <c r="F1460" s="285" t="str">
        <f t="shared" si="50"/>
        <v/>
      </c>
      <c r="K1460" s="246" t="str">
        <f t="shared" si="51"/>
        <v/>
      </c>
    </row>
    <row r="1461" spans="1:11" ht="30" customHeight="1" x14ac:dyDescent="0.2">
      <c r="A1461" s="242"/>
      <c r="F1461" s="285" t="str">
        <f t="shared" si="50"/>
        <v/>
      </c>
      <c r="K1461" s="246" t="str">
        <f t="shared" si="51"/>
        <v/>
      </c>
    </row>
    <row r="1462" spans="1:11" ht="30" customHeight="1" x14ac:dyDescent="0.2">
      <c r="A1462" s="242"/>
      <c r="F1462" s="285" t="str">
        <f t="shared" si="50"/>
        <v/>
      </c>
      <c r="K1462" s="246" t="str">
        <f t="shared" si="51"/>
        <v/>
      </c>
    </row>
    <row r="1463" spans="1:11" ht="30" customHeight="1" x14ac:dyDescent="0.2">
      <c r="A1463" s="242"/>
      <c r="F1463" s="285" t="str">
        <f t="shared" si="50"/>
        <v/>
      </c>
      <c r="K1463" s="246" t="str">
        <f t="shared" si="51"/>
        <v/>
      </c>
    </row>
    <row r="1464" spans="1:11" ht="30" customHeight="1" x14ac:dyDescent="0.2">
      <c r="A1464" s="242"/>
      <c r="F1464" s="285" t="str">
        <f t="shared" si="50"/>
        <v/>
      </c>
      <c r="K1464" s="246" t="str">
        <f t="shared" si="51"/>
        <v/>
      </c>
    </row>
    <row r="1465" spans="1:11" ht="30" customHeight="1" x14ac:dyDescent="0.2">
      <c r="A1465" s="242"/>
      <c r="F1465" s="285" t="str">
        <f t="shared" si="50"/>
        <v/>
      </c>
      <c r="K1465" s="246" t="str">
        <f t="shared" si="51"/>
        <v/>
      </c>
    </row>
    <row r="1466" spans="1:11" ht="30" customHeight="1" x14ac:dyDescent="0.2">
      <c r="A1466" s="242"/>
      <c r="F1466" s="285" t="str">
        <f t="shared" si="50"/>
        <v/>
      </c>
      <c r="K1466" s="246" t="str">
        <f t="shared" si="51"/>
        <v/>
      </c>
    </row>
    <row r="1467" spans="1:11" ht="30" customHeight="1" x14ac:dyDescent="0.2">
      <c r="A1467" s="242"/>
      <c r="F1467" s="285" t="str">
        <f t="shared" si="50"/>
        <v/>
      </c>
      <c r="K1467" s="246" t="str">
        <f t="shared" ref="K1467:K1530" si="52">IF(A1467="","",A1467)</f>
        <v/>
      </c>
    </row>
    <row r="1468" spans="1:11" ht="30" customHeight="1" x14ac:dyDescent="0.2">
      <c r="A1468" s="242"/>
      <c r="F1468" s="285" t="str">
        <f t="shared" si="50"/>
        <v/>
      </c>
      <c r="K1468" s="246" t="str">
        <f t="shared" si="52"/>
        <v/>
      </c>
    </row>
    <row r="1469" spans="1:11" ht="30" customHeight="1" x14ac:dyDescent="0.2">
      <c r="A1469" s="242"/>
      <c r="F1469" s="285" t="str">
        <f t="shared" si="50"/>
        <v/>
      </c>
      <c r="K1469" s="246" t="str">
        <f t="shared" si="52"/>
        <v/>
      </c>
    </row>
    <row r="1470" spans="1:11" ht="30" customHeight="1" x14ac:dyDescent="0.2">
      <c r="A1470" s="242"/>
      <c r="F1470" s="285" t="str">
        <f t="shared" si="50"/>
        <v/>
      </c>
      <c r="K1470" s="246" t="str">
        <f t="shared" si="52"/>
        <v/>
      </c>
    </row>
    <row r="1471" spans="1:11" ht="30" customHeight="1" x14ac:dyDescent="0.2">
      <c r="A1471" s="242"/>
      <c r="F1471" s="285" t="str">
        <f t="shared" si="50"/>
        <v/>
      </c>
      <c r="K1471" s="246" t="str">
        <f t="shared" si="52"/>
        <v/>
      </c>
    </row>
    <row r="1472" spans="1:11" ht="30" customHeight="1" x14ac:dyDescent="0.2">
      <c r="A1472" s="242"/>
      <c r="F1472" s="285" t="str">
        <f t="shared" si="50"/>
        <v/>
      </c>
      <c r="K1472" s="246" t="str">
        <f t="shared" si="52"/>
        <v/>
      </c>
    </row>
    <row r="1473" spans="1:11" ht="30" customHeight="1" x14ac:dyDescent="0.2">
      <c r="A1473" s="242"/>
      <c r="F1473" s="285" t="str">
        <f t="shared" si="50"/>
        <v/>
      </c>
      <c r="K1473" s="246" t="str">
        <f t="shared" si="52"/>
        <v/>
      </c>
    </row>
    <row r="1474" spans="1:11" ht="30" customHeight="1" x14ac:dyDescent="0.2">
      <c r="A1474" s="242"/>
      <c r="F1474" s="285" t="str">
        <f t="shared" si="50"/>
        <v/>
      </c>
      <c r="K1474" s="246" t="str">
        <f t="shared" si="52"/>
        <v/>
      </c>
    </row>
    <row r="1475" spans="1:11" ht="30" customHeight="1" x14ac:dyDescent="0.2">
      <c r="A1475" s="242"/>
      <c r="F1475" s="285" t="str">
        <f t="shared" si="50"/>
        <v/>
      </c>
      <c r="K1475" s="246" t="str">
        <f t="shared" si="52"/>
        <v/>
      </c>
    </row>
    <row r="1476" spans="1:11" ht="30" customHeight="1" x14ac:dyDescent="0.2">
      <c r="A1476" s="242"/>
      <c r="F1476" s="285" t="str">
        <f t="shared" si="50"/>
        <v/>
      </c>
      <c r="K1476" s="246" t="str">
        <f t="shared" si="52"/>
        <v/>
      </c>
    </row>
    <row r="1477" spans="1:11" ht="30" customHeight="1" x14ac:dyDescent="0.2">
      <c r="A1477" s="242"/>
      <c r="F1477" s="285" t="str">
        <f t="shared" ref="F1477:F1540" si="53">IF(A1477="","",A1477)</f>
        <v/>
      </c>
      <c r="K1477" s="246" t="str">
        <f t="shared" si="52"/>
        <v/>
      </c>
    </row>
    <row r="1478" spans="1:11" ht="30" customHeight="1" x14ac:dyDescent="0.2">
      <c r="A1478" s="242"/>
      <c r="F1478" s="285" t="str">
        <f t="shared" si="53"/>
        <v/>
      </c>
      <c r="K1478" s="246" t="str">
        <f t="shared" si="52"/>
        <v/>
      </c>
    </row>
    <row r="1479" spans="1:11" ht="30" customHeight="1" x14ac:dyDescent="0.2">
      <c r="A1479" s="242"/>
      <c r="F1479" s="285" t="str">
        <f t="shared" si="53"/>
        <v/>
      </c>
      <c r="K1479" s="246" t="str">
        <f t="shared" si="52"/>
        <v/>
      </c>
    </row>
    <row r="1480" spans="1:11" ht="30" customHeight="1" x14ac:dyDescent="0.2">
      <c r="A1480" s="242"/>
      <c r="F1480" s="285" t="str">
        <f t="shared" si="53"/>
        <v/>
      </c>
      <c r="K1480" s="246" t="str">
        <f t="shared" si="52"/>
        <v/>
      </c>
    </row>
    <row r="1481" spans="1:11" ht="30" customHeight="1" x14ac:dyDescent="0.2">
      <c r="A1481" s="242"/>
      <c r="F1481" s="285" t="str">
        <f t="shared" si="53"/>
        <v/>
      </c>
      <c r="K1481" s="246" t="str">
        <f t="shared" si="52"/>
        <v/>
      </c>
    </row>
    <row r="1482" spans="1:11" ht="30" customHeight="1" x14ac:dyDescent="0.2">
      <c r="A1482" s="242"/>
      <c r="F1482" s="285" t="str">
        <f t="shared" si="53"/>
        <v/>
      </c>
      <c r="K1482" s="246" t="str">
        <f t="shared" si="52"/>
        <v/>
      </c>
    </row>
    <row r="1483" spans="1:11" ht="30" customHeight="1" x14ac:dyDescent="0.2">
      <c r="A1483" s="242"/>
      <c r="F1483" s="285" t="str">
        <f t="shared" si="53"/>
        <v/>
      </c>
      <c r="K1483" s="246" t="str">
        <f t="shared" si="52"/>
        <v/>
      </c>
    </row>
    <row r="1484" spans="1:11" ht="30" customHeight="1" x14ac:dyDescent="0.2">
      <c r="A1484" s="242"/>
      <c r="F1484" s="285" t="str">
        <f t="shared" si="53"/>
        <v/>
      </c>
      <c r="K1484" s="246" t="str">
        <f t="shared" si="52"/>
        <v/>
      </c>
    </row>
    <row r="1485" spans="1:11" ht="30" customHeight="1" x14ac:dyDescent="0.2">
      <c r="A1485" s="242"/>
      <c r="F1485" s="285" t="str">
        <f t="shared" si="53"/>
        <v/>
      </c>
      <c r="K1485" s="246" t="str">
        <f t="shared" si="52"/>
        <v/>
      </c>
    </row>
    <row r="1486" spans="1:11" ht="30" customHeight="1" x14ac:dyDescent="0.2">
      <c r="A1486" s="242"/>
      <c r="F1486" s="285" t="str">
        <f t="shared" si="53"/>
        <v/>
      </c>
      <c r="K1486" s="246" t="str">
        <f t="shared" si="52"/>
        <v/>
      </c>
    </row>
    <row r="1487" spans="1:11" ht="30" customHeight="1" x14ac:dyDescent="0.2">
      <c r="A1487" s="242"/>
      <c r="F1487" s="285" t="str">
        <f t="shared" si="53"/>
        <v/>
      </c>
      <c r="K1487" s="246" t="str">
        <f t="shared" si="52"/>
        <v/>
      </c>
    </row>
    <row r="1488" spans="1:11" ht="30" customHeight="1" x14ac:dyDescent="0.2">
      <c r="A1488" s="242"/>
      <c r="F1488" s="285" t="str">
        <f t="shared" si="53"/>
        <v/>
      </c>
      <c r="K1488" s="246" t="str">
        <f t="shared" si="52"/>
        <v/>
      </c>
    </row>
    <row r="1489" spans="1:11" ht="30" customHeight="1" x14ac:dyDescent="0.2">
      <c r="A1489" s="242"/>
      <c r="F1489" s="285" t="str">
        <f t="shared" si="53"/>
        <v/>
      </c>
      <c r="K1489" s="246" t="str">
        <f t="shared" si="52"/>
        <v/>
      </c>
    </row>
    <row r="1490" spans="1:11" ht="30" customHeight="1" x14ac:dyDescent="0.2">
      <c r="A1490" s="242"/>
      <c r="F1490" s="285" t="str">
        <f t="shared" si="53"/>
        <v/>
      </c>
      <c r="K1490" s="246" t="str">
        <f t="shared" si="52"/>
        <v/>
      </c>
    </row>
    <row r="1491" spans="1:11" ht="30" customHeight="1" x14ac:dyDescent="0.2">
      <c r="A1491" s="242"/>
      <c r="F1491" s="285" t="str">
        <f t="shared" si="53"/>
        <v/>
      </c>
      <c r="K1491" s="246" t="str">
        <f t="shared" si="52"/>
        <v/>
      </c>
    </row>
    <row r="1492" spans="1:11" ht="30" customHeight="1" x14ac:dyDescent="0.2">
      <c r="A1492" s="242"/>
      <c r="F1492" s="285" t="str">
        <f t="shared" si="53"/>
        <v/>
      </c>
      <c r="K1492" s="246" t="str">
        <f t="shared" si="52"/>
        <v/>
      </c>
    </row>
    <row r="1493" spans="1:11" ht="30" customHeight="1" x14ac:dyDescent="0.2">
      <c r="A1493" s="242"/>
      <c r="F1493" s="285" t="str">
        <f t="shared" si="53"/>
        <v/>
      </c>
      <c r="K1493" s="246" t="str">
        <f t="shared" si="52"/>
        <v/>
      </c>
    </row>
    <row r="1494" spans="1:11" ht="30" customHeight="1" x14ac:dyDescent="0.2">
      <c r="A1494" s="242"/>
      <c r="F1494" s="285" t="str">
        <f t="shared" si="53"/>
        <v/>
      </c>
      <c r="K1494" s="246" t="str">
        <f t="shared" si="52"/>
        <v/>
      </c>
    </row>
    <row r="1495" spans="1:11" ht="30" customHeight="1" x14ac:dyDescent="0.2">
      <c r="A1495" s="242"/>
      <c r="F1495" s="285" t="str">
        <f t="shared" si="53"/>
        <v/>
      </c>
      <c r="K1495" s="246" t="str">
        <f t="shared" si="52"/>
        <v/>
      </c>
    </row>
    <row r="1496" spans="1:11" ht="30" customHeight="1" x14ac:dyDescent="0.2">
      <c r="A1496" s="242"/>
      <c r="F1496" s="285" t="str">
        <f t="shared" si="53"/>
        <v/>
      </c>
      <c r="K1496" s="246" t="str">
        <f t="shared" si="52"/>
        <v/>
      </c>
    </row>
    <row r="1497" spans="1:11" ht="30" customHeight="1" x14ac:dyDescent="0.2">
      <c r="A1497" s="242"/>
      <c r="F1497" s="285" t="str">
        <f t="shared" si="53"/>
        <v/>
      </c>
      <c r="K1497" s="246" t="str">
        <f t="shared" si="52"/>
        <v/>
      </c>
    </row>
    <row r="1498" spans="1:11" ht="30" customHeight="1" x14ac:dyDescent="0.2">
      <c r="A1498" s="242"/>
      <c r="F1498" s="285" t="str">
        <f t="shared" si="53"/>
        <v/>
      </c>
      <c r="K1498" s="246" t="str">
        <f t="shared" si="52"/>
        <v/>
      </c>
    </row>
    <row r="1499" spans="1:11" ht="30" customHeight="1" x14ac:dyDescent="0.2">
      <c r="A1499" s="242"/>
      <c r="F1499" s="285" t="str">
        <f t="shared" si="53"/>
        <v/>
      </c>
      <c r="K1499" s="246" t="str">
        <f t="shared" si="52"/>
        <v/>
      </c>
    </row>
    <row r="1500" spans="1:11" ht="30" customHeight="1" x14ac:dyDescent="0.2">
      <c r="A1500" s="242"/>
      <c r="F1500" s="285" t="str">
        <f t="shared" si="53"/>
        <v/>
      </c>
      <c r="K1500" s="246" t="str">
        <f t="shared" si="52"/>
        <v/>
      </c>
    </row>
    <row r="1501" spans="1:11" ht="30" customHeight="1" x14ac:dyDescent="0.2">
      <c r="A1501" s="242"/>
      <c r="F1501" s="285" t="str">
        <f t="shared" si="53"/>
        <v/>
      </c>
      <c r="K1501" s="246" t="str">
        <f t="shared" si="52"/>
        <v/>
      </c>
    </row>
    <row r="1502" spans="1:11" ht="30" customHeight="1" x14ac:dyDescent="0.2">
      <c r="A1502" s="242"/>
      <c r="F1502" s="285" t="str">
        <f t="shared" si="53"/>
        <v/>
      </c>
      <c r="K1502" s="246" t="str">
        <f t="shared" si="52"/>
        <v/>
      </c>
    </row>
    <row r="1503" spans="1:11" ht="30" customHeight="1" x14ac:dyDescent="0.2">
      <c r="A1503" s="242"/>
      <c r="F1503" s="285" t="str">
        <f t="shared" si="53"/>
        <v/>
      </c>
      <c r="K1503" s="246" t="str">
        <f t="shared" si="52"/>
        <v/>
      </c>
    </row>
    <row r="1504" spans="1:11" ht="30" customHeight="1" x14ac:dyDescent="0.2">
      <c r="A1504" s="242"/>
      <c r="F1504" s="285" t="str">
        <f t="shared" si="53"/>
        <v/>
      </c>
      <c r="K1504" s="246" t="str">
        <f t="shared" si="52"/>
        <v/>
      </c>
    </row>
    <row r="1505" spans="1:11" ht="30" customHeight="1" x14ac:dyDescent="0.2">
      <c r="A1505" s="242"/>
      <c r="F1505" s="285" t="str">
        <f t="shared" si="53"/>
        <v/>
      </c>
      <c r="K1505" s="246" t="str">
        <f t="shared" si="52"/>
        <v/>
      </c>
    </row>
    <row r="1506" spans="1:11" ht="30" customHeight="1" x14ac:dyDescent="0.2">
      <c r="A1506" s="242"/>
      <c r="F1506" s="285" t="str">
        <f t="shared" si="53"/>
        <v/>
      </c>
      <c r="K1506" s="246" t="str">
        <f t="shared" si="52"/>
        <v/>
      </c>
    </row>
    <row r="1507" spans="1:11" ht="30" customHeight="1" x14ac:dyDescent="0.2">
      <c r="A1507" s="242"/>
      <c r="F1507" s="285" t="str">
        <f t="shared" si="53"/>
        <v/>
      </c>
      <c r="K1507" s="246" t="str">
        <f t="shared" si="52"/>
        <v/>
      </c>
    </row>
    <row r="1508" spans="1:11" ht="30" customHeight="1" x14ac:dyDescent="0.2">
      <c r="A1508" s="242"/>
      <c r="F1508" s="285" t="str">
        <f t="shared" si="53"/>
        <v/>
      </c>
      <c r="K1508" s="246" t="str">
        <f t="shared" si="52"/>
        <v/>
      </c>
    </row>
    <row r="1509" spans="1:11" ht="30" customHeight="1" x14ac:dyDescent="0.2">
      <c r="A1509" s="242"/>
      <c r="F1509" s="285" t="str">
        <f t="shared" si="53"/>
        <v/>
      </c>
      <c r="K1509" s="246" t="str">
        <f t="shared" si="52"/>
        <v/>
      </c>
    </row>
    <row r="1510" spans="1:11" ht="30" customHeight="1" x14ac:dyDescent="0.2">
      <c r="A1510" s="242"/>
      <c r="F1510" s="285" t="str">
        <f t="shared" si="53"/>
        <v/>
      </c>
      <c r="K1510" s="246" t="str">
        <f t="shared" si="52"/>
        <v/>
      </c>
    </row>
    <row r="1511" spans="1:11" ht="30" customHeight="1" x14ac:dyDescent="0.2">
      <c r="A1511" s="242"/>
      <c r="F1511" s="285" t="str">
        <f t="shared" si="53"/>
        <v/>
      </c>
      <c r="K1511" s="246" t="str">
        <f t="shared" si="52"/>
        <v/>
      </c>
    </row>
    <row r="1512" spans="1:11" ht="30" customHeight="1" x14ac:dyDescent="0.2">
      <c r="A1512" s="242"/>
      <c r="F1512" s="285" t="str">
        <f t="shared" si="53"/>
        <v/>
      </c>
      <c r="K1512" s="246" t="str">
        <f t="shared" si="52"/>
        <v/>
      </c>
    </row>
    <row r="1513" spans="1:11" ht="30" customHeight="1" x14ac:dyDescent="0.2">
      <c r="A1513" s="242"/>
      <c r="F1513" s="285" t="str">
        <f t="shared" si="53"/>
        <v/>
      </c>
      <c r="K1513" s="246" t="str">
        <f t="shared" si="52"/>
        <v/>
      </c>
    </row>
    <row r="1514" spans="1:11" ht="30" customHeight="1" x14ac:dyDescent="0.2">
      <c r="A1514" s="242"/>
      <c r="F1514" s="285" t="str">
        <f t="shared" si="53"/>
        <v/>
      </c>
      <c r="K1514" s="246" t="str">
        <f t="shared" si="52"/>
        <v/>
      </c>
    </row>
    <row r="1515" spans="1:11" ht="30" customHeight="1" x14ac:dyDescent="0.2">
      <c r="A1515" s="242"/>
      <c r="F1515" s="285" t="str">
        <f t="shared" si="53"/>
        <v/>
      </c>
      <c r="K1515" s="246" t="str">
        <f t="shared" si="52"/>
        <v/>
      </c>
    </row>
    <row r="1516" spans="1:11" ht="30" customHeight="1" x14ac:dyDescent="0.2">
      <c r="A1516" s="242"/>
      <c r="F1516" s="285" t="str">
        <f t="shared" si="53"/>
        <v/>
      </c>
      <c r="K1516" s="246" t="str">
        <f t="shared" si="52"/>
        <v/>
      </c>
    </row>
    <row r="1517" spans="1:11" ht="30" customHeight="1" x14ac:dyDescent="0.2">
      <c r="A1517" s="242"/>
      <c r="F1517" s="285" t="str">
        <f t="shared" si="53"/>
        <v/>
      </c>
      <c r="K1517" s="246" t="str">
        <f t="shared" si="52"/>
        <v/>
      </c>
    </row>
    <row r="1518" spans="1:11" ht="30" customHeight="1" x14ac:dyDescent="0.2">
      <c r="A1518" s="242"/>
      <c r="F1518" s="285" t="str">
        <f t="shared" si="53"/>
        <v/>
      </c>
      <c r="K1518" s="246" t="str">
        <f t="shared" si="52"/>
        <v/>
      </c>
    </row>
    <row r="1519" spans="1:11" ht="30" customHeight="1" x14ac:dyDescent="0.2">
      <c r="A1519" s="242"/>
      <c r="F1519" s="285" t="str">
        <f t="shared" si="53"/>
        <v/>
      </c>
      <c r="K1519" s="246" t="str">
        <f t="shared" si="52"/>
        <v/>
      </c>
    </row>
    <row r="1520" spans="1:11" ht="30" customHeight="1" x14ac:dyDescent="0.2">
      <c r="A1520" s="242"/>
      <c r="F1520" s="285" t="str">
        <f t="shared" si="53"/>
        <v/>
      </c>
      <c r="K1520" s="246" t="str">
        <f t="shared" si="52"/>
        <v/>
      </c>
    </row>
    <row r="1521" spans="1:11" ht="30" customHeight="1" x14ac:dyDescent="0.2">
      <c r="A1521" s="242"/>
      <c r="F1521" s="285" t="str">
        <f t="shared" si="53"/>
        <v/>
      </c>
      <c r="K1521" s="246" t="str">
        <f t="shared" si="52"/>
        <v/>
      </c>
    </row>
    <row r="1522" spans="1:11" ht="30" customHeight="1" x14ac:dyDescent="0.2">
      <c r="A1522" s="242"/>
      <c r="F1522" s="285" t="str">
        <f t="shared" si="53"/>
        <v/>
      </c>
      <c r="K1522" s="246" t="str">
        <f t="shared" si="52"/>
        <v/>
      </c>
    </row>
    <row r="1523" spans="1:11" ht="30" customHeight="1" x14ac:dyDescent="0.2">
      <c r="A1523" s="242"/>
      <c r="F1523" s="285" t="str">
        <f t="shared" si="53"/>
        <v/>
      </c>
      <c r="K1523" s="246" t="str">
        <f t="shared" si="52"/>
        <v/>
      </c>
    </row>
    <row r="1524" spans="1:11" ht="30" customHeight="1" x14ac:dyDescent="0.2">
      <c r="A1524" s="242"/>
      <c r="F1524" s="285" t="str">
        <f t="shared" si="53"/>
        <v/>
      </c>
      <c r="K1524" s="246" t="str">
        <f t="shared" si="52"/>
        <v/>
      </c>
    </row>
    <row r="1525" spans="1:11" ht="30" customHeight="1" x14ac:dyDescent="0.2">
      <c r="A1525" s="242"/>
      <c r="F1525" s="285" t="str">
        <f t="shared" si="53"/>
        <v/>
      </c>
      <c r="K1525" s="246" t="str">
        <f t="shared" si="52"/>
        <v/>
      </c>
    </row>
    <row r="1526" spans="1:11" ht="30" customHeight="1" x14ac:dyDescent="0.2">
      <c r="A1526" s="242"/>
      <c r="F1526" s="285" t="str">
        <f t="shared" si="53"/>
        <v/>
      </c>
      <c r="K1526" s="246" t="str">
        <f t="shared" si="52"/>
        <v/>
      </c>
    </row>
    <row r="1527" spans="1:11" ht="30" customHeight="1" x14ac:dyDescent="0.2">
      <c r="A1527" s="242"/>
      <c r="F1527" s="285" t="str">
        <f t="shared" si="53"/>
        <v/>
      </c>
      <c r="K1527" s="246" t="str">
        <f t="shared" si="52"/>
        <v/>
      </c>
    </row>
    <row r="1528" spans="1:11" ht="30" customHeight="1" x14ac:dyDescent="0.2">
      <c r="A1528" s="242"/>
      <c r="F1528" s="285" t="str">
        <f t="shared" si="53"/>
        <v/>
      </c>
      <c r="K1528" s="246" t="str">
        <f t="shared" si="52"/>
        <v/>
      </c>
    </row>
    <row r="1529" spans="1:11" ht="30" customHeight="1" x14ac:dyDescent="0.2">
      <c r="A1529" s="242"/>
      <c r="F1529" s="285" t="str">
        <f t="shared" si="53"/>
        <v/>
      </c>
      <c r="K1529" s="246" t="str">
        <f t="shared" si="52"/>
        <v/>
      </c>
    </row>
    <row r="1530" spans="1:11" ht="30" customHeight="1" x14ac:dyDescent="0.2">
      <c r="A1530" s="242"/>
      <c r="F1530" s="285" t="str">
        <f t="shared" si="53"/>
        <v/>
      </c>
      <c r="K1530" s="246" t="str">
        <f t="shared" si="52"/>
        <v/>
      </c>
    </row>
    <row r="1531" spans="1:11" ht="30" customHeight="1" x14ac:dyDescent="0.2">
      <c r="A1531" s="242"/>
      <c r="F1531" s="285" t="str">
        <f t="shared" si="53"/>
        <v/>
      </c>
      <c r="K1531" s="246" t="str">
        <f t="shared" ref="K1531:K1594" si="54">IF(A1531="","",A1531)</f>
        <v/>
      </c>
    </row>
    <row r="1532" spans="1:11" ht="30" customHeight="1" x14ac:dyDescent="0.2">
      <c r="A1532" s="242"/>
      <c r="F1532" s="285" t="str">
        <f t="shared" si="53"/>
        <v/>
      </c>
      <c r="K1532" s="246" t="str">
        <f t="shared" si="54"/>
        <v/>
      </c>
    </row>
    <row r="1533" spans="1:11" ht="30" customHeight="1" x14ac:dyDescent="0.2">
      <c r="A1533" s="242"/>
      <c r="F1533" s="285" t="str">
        <f t="shared" si="53"/>
        <v/>
      </c>
      <c r="K1533" s="246" t="str">
        <f t="shared" si="54"/>
        <v/>
      </c>
    </row>
    <row r="1534" spans="1:11" ht="30" customHeight="1" x14ac:dyDescent="0.2">
      <c r="A1534" s="242"/>
      <c r="F1534" s="285" t="str">
        <f t="shared" si="53"/>
        <v/>
      </c>
      <c r="K1534" s="246" t="str">
        <f t="shared" si="54"/>
        <v/>
      </c>
    </row>
    <row r="1535" spans="1:11" ht="30" customHeight="1" x14ac:dyDescent="0.2">
      <c r="A1535" s="242"/>
      <c r="F1535" s="285" t="str">
        <f t="shared" si="53"/>
        <v/>
      </c>
      <c r="K1535" s="246" t="str">
        <f t="shared" si="54"/>
        <v/>
      </c>
    </row>
    <row r="1536" spans="1:11" ht="30" customHeight="1" x14ac:dyDescent="0.2">
      <c r="A1536" s="242"/>
      <c r="F1536" s="285" t="str">
        <f t="shared" si="53"/>
        <v/>
      </c>
      <c r="K1536" s="246" t="str">
        <f t="shared" si="54"/>
        <v/>
      </c>
    </row>
    <row r="1537" spans="1:11" ht="30" customHeight="1" x14ac:dyDescent="0.2">
      <c r="A1537" s="242"/>
      <c r="F1537" s="285" t="str">
        <f t="shared" si="53"/>
        <v/>
      </c>
      <c r="K1537" s="246" t="str">
        <f t="shared" si="54"/>
        <v/>
      </c>
    </row>
    <row r="1538" spans="1:11" ht="30" customHeight="1" x14ac:dyDescent="0.2">
      <c r="A1538" s="242"/>
      <c r="F1538" s="285" t="str">
        <f t="shared" si="53"/>
        <v/>
      </c>
      <c r="K1538" s="246" t="str">
        <f t="shared" si="54"/>
        <v/>
      </c>
    </row>
    <row r="1539" spans="1:11" ht="30" customHeight="1" x14ac:dyDescent="0.2">
      <c r="A1539" s="242"/>
      <c r="F1539" s="285" t="str">
        <f t="shared" si="53"/>
        <v/>
      </c>
      <c r="K1539" s="246" t="str">
        <f t="shared" si="54"/>
        <v/>
      </c>
    </row>
    <row r="1540" spans="1:11" ht="30" customHeight="1" x14ac:dyDescent="0.2">
      <c r="A1540" s="242"/>
      <c r="F1540" s="285" t="str">
        <f t="shared" si="53"/>
        <v/>
      </c>
      <c r="K1540" s="246" t="str">
        <f t="shared" si="54"/>
        <v/>
      </c>
    </row>
    <row r="1541" spans="1:11" ht="30" customHeight="1" x14ac:dyDescent="0.2">
      <c r="A1541" s="242"/>
      <c r="F1541" s="285" t="str">
        <f t="shared" ref="F1541:F1604" si="55">IF(A1541="","",A1541)</f>
        <v/>
      </c>
      <c r="K1541" s="246" t="str">
        <f t="shared" si="54"/>
        <v/>
      </c>
    </row>
    <row r="1542" spans="1:11" ht="30" customHeight="1" x14ac:dyDescent="0.2">
      <c r="A1542" s="242"/>
      <c r="F1542" s="285" t="str">
        <f t="shared" si="55"/>
        <v/>
      </c>
      <c r="K1542" s="246" t="str">
        <f t="shared" si="54"/>
        <v/>
      </c>
    </row>
    <row r="1543" spans="1:11" ht="30" customHeight="1" x14ac:dyDescent="0.2">
      <c r="A1543" s="242"/>
      <c r="F1543" s="285" t="str">
        <f t="shared" si="55"/>
        <v/>
      </c>
      <c r="K1543" s="246" t="str">
        <f t="shared" si="54"/>
        <v/>
      </c>
    </row>
    <row r="1544" spans="1:11" ht="30" customHeight="1" x14ac:dyDescent="0.2">
      <c r="A1544" s="242"/>
      <c r="F1544" s="285" t="str">
        <f t="shared" si="55"/>
        <v/>
      </c>
      <c r="K1544" s="246" t="str">
        <f t="shared" si="54"/>
        <v/>
      </c>
    </row>
    <row r="1545" spans="1:11" ht="30" customHeight="1" x14ac:dyDescent="0.2">
      <c r="A1545" s="242"/>
      <c r="F1545" s="285" t="str">
        <f t="shared" si="55"/>
        <v/>
      </c>
      <c r="K1545" s="246" t="str">
        <f t="shared" si="54"/>
        <v/>
      </c>
    </row>
    <row r="1546" spans="1:11" ht="30" customHeight="1" x14ac:dyDescent="0.2">
      <c r="A1546" s="242"/>
      <c r="F1546" s="285" t="str">
        <f t="shared" si="55"/>
        <v/>
      </c>
      <c r="K1546" s="246" t="str">
        <f t="shared" si="54"/>
        <v/>
      </c>
    </row>
    <row r="1547" spans="1:11" ht="30" customHeight="1" x14ac:dyDescent="0.2">
      <c r="A1547" s="242"/>
      <c r="F1547" s="285" t="str">
        <f t="shared" si="55"/>
        <v/>
      </c>
      <c r="K1547" s="246" t="str">
        <f t="shared" si="54"/>
        <v/>
      </c>
    </row>
    <row r="1548" spans="1:11" ht="30" customHeight="1" x14ac:dyDescent="0.2">
      <c r="A1548" s="242"/>
      <c r="F1548" s="285" t="str">
        <f t="shared" si="55"/>
        <v/>
      </c>
      <c r="K1548" s="246" t="str">
        <f t="shared" si="54"/>
        <v/>
      </c>
    </row>
    <row r="1549" spans="1:11" ht="30" customHeight="1" x14ac:dyDescent="0.2">
      <c r="A1549" s="242"/>
      <c r="F1549" s="285" t="str">
        <f t="shared" si="55"/>
        <v/>
      </c>
      <c r="K1549" s="246" t="str">
        <f t="shared" si="54"/>
        <v/>
      </c>
    </row>
    <row r="1550" spans="1:11" ht="30" customHeight="1" x14ac:dyDescent="0.2">
      <c r="A1550" s="242"/>
      <c r="F1550" s="285" t="str">
        <f t="shared" si="55"/>
        <v/>
      </c>
      <c r="K1550" s="246" t="str">
        <f t="shared" si="54"/>
        <v/>
      </c>
    </row>
    <row r="1551" spans="1:11" ht="30" customHeight="1" x14ac:dyDescent="0.2">
      <c r="A1551" s="242"/>
      <c r="F1551" s="285" t="str">
        <f t="shared" si="55"/>
        <v/>
      </c>
      <c r="K1551" s="246" t="str">
        <f t="shared" si="54"/>
        <v/>
      </c>
    </row>
    <row r="1552" spans="1:11" ht="30" customHeight="1" x14ac:dyDescent="0.2">
      <c r="A1552" s="242"/>
      <c r="F1552" s="285" t="str">
        <f t="shared" si="55"/>
        <v/>
      </c>
      <c r="K1552" s="246" t="str">
        <f t="shared" si="54"/>
        <v/>
      </c>
    </row>
    <row r="1553" spans="1:11" ht="30" customHeight="1" x14ac:dyDescent="0.2">
      <c r="A1553" s="242"/>
      <c r="F1553" s="285" t="str">
        <f t="shared" si="55"/>
        <v/>
      </c>
      <c r="K1553" s="246" t="str">
        <f t="shared" si="54"/>
        <v/>
      </c>
    </row>
    <row r="1554" spans="1:11" ht="30" customHeight="1" x14ac:dyDescent="0.2">
      <c r="A1554" s="242"/>
      <c r="F1554" s="285" t="str">
        <f t="shared" si="55"/>
        <v/>
      </c>
      <c r="K1554" s="246" t="str">
        <f t="shared" si="54"/>
        <v/>
      </c>
    </row>
    <row r="1555" spans="1:11" ht="30" customHeight="1" x14ac:dyDescent="0.2">
      <c r="A1555" s="242"/>
      <c r="F1555" s="285" t="str">
        <f t="shared" si="55"/>
        <v/>
      </c>
      <c r="K1555" s="246" t="str">
        <f t="shared" si="54"/>
        <v/>
      </c>
    </row>
    <row r="1556" spans="1:11" ht="30" customHeight="1" x14ac:dyDescent="0.2">
      <c r="A1556" s="242"/>
      <c r="F1556" s="285" t="str">
        <f t="shared" si="55"/>
        <v/>
      </c>
      <c r="K1556" s="246" t="str">
        <f t="shared" si="54"/>
        <v/>
      </c>
    </row>
    <row r="1557" spans="1:11" ht="30" customHeight="1" x14ac:dyDescent="0.2">
      <c r="A1557" s="242"/>
      <c r="F1557" s="285" t="str">
        <f t="shared" si="55"/>
        <v/>
      </c>
      <c r="K1557" s="246" t="str">
        <f t="shared" si="54"/>
        <v/>
      </c>
    </row>
    <row r="1558" spans="1:11" ht="30" customHeight="1" x14ac:dyDescent="0.2">
      <c r="A1558" s="242"/>
      <c r="F1558" s="285" t="str">
        <f t="shared" si="55"/>
        <v/>
      </c>
      <c r="K1558" s="246" t="str">
        <f t="shared" si="54"/>
        <v/>
      </c>
    </row>
    <row r="1559" spans="1:11" ht="30" customHeight="1" x14ac:dyDescent="0.2">
      <c r="A1559" s="242"/>
      <c r="F1559" s="285" t="str">
        <f t="shared" si="55"/>
        <v/>
      </c>
      <c r="K1559" s="246" t="str">
        <f t="shared" si="54"/>
        <v/>
      </c>
    </row>
    <row r="1560" spans="1:11" ht="30" customHeight="1" x14ac:dyDescent="0.2">
      <c r="A1560" s="242"/>
      <c r="F1560" s="285" t="str">
        <f t="shared" si="55"/>
        <v/>
      </c>
      <c r="K1560" s="246" t="str">
        <f t="shared" si="54"/>
        <v/>
      </c>
    </row>
    <row r="1561" spans="1:11" ht="30" customHeight="1" x14ac:dyDescent="0.2">
      <c r="A1561" s="242"/>
      <c r="F1561" s="285" t="str">
        <f t="shared" si="55"/>
        <v/>
      </c>
      <c r="K1561" s="246" t="str">
        <f t="shared" si="54"/>
        <v/>
      </c>
    </row>
    <row r="1562" spans="1:11" ht="30" customHeight="1" x14ac:dyDescent="0.2">
      <c r="A1562" s="242"/>
      <c r="F1562" s="285" t="str">
        <f t="shared" si="55"/>
        <v/>
      </c>
      <c r="K1562" s="246" t="str">
        <f t="shared" si="54"/>
        <v/>
      </c>
    </row>
    <row r="1563" spans="1:11" ht="30" customHeight="1" x14ac:dyDescent="0.2">
      <c r="A1563" s="242"/>
      <c r="F1563" s="285" t="str">
        <f t="shared" si="55"/>
        <v/>
      </c>
      <c r="K1563" s="246" t="str">
        <f t="shared" si="54"/>
        <v/>
      </c>
    </row>
    <row r="1564" spans="1:11" ht="30" customHeight="1" x14ac:dyDescent="0.2">
      <c r="A1564" s="242"/>
      <c r="F1564" s="285" t="str">
        <f t="shared" si="55"/>
        <v/>
      </c>
      <c r="K1564" s="246" t="str">
        <f t="shared" si="54"/>
        <v/>
      </c>
    </row>
    <row r="1565" spans="1:11" ht="30" customHeight="1" x14ac:dyDescent="0.2">
      <c r="A1565" s="242"/>
      <c r="F1565" s="285" t="str">
        <f t="shared" si="55"/>
        <v/>
      </c>
      <c r="K1565" s="246" t="str">
        <f t="shared" si="54"/>
        <v/>
      </c>
    </row>
    <row r="1566" spans="1:11" ht="30" customHeight="1" x14ac:dyDescent="0.2">
      <c r="A1566" s="242"/>
      <c r="F1566" s="285" t="str">
        <f t="shared" si="55"/>
        <v/>
      </c>
      <c r="K1566" s="246" t="str">
        <f t="shared" si="54"/>
        <v/>
      </c>
    </row>
    <row r="1567" spans="1:11" ht="30" customHeight="1" x14ac:dyDescent="0.2">
      <c r="A1567" s="242"/>
      <c r="F1567" s="285" t="str">
        <f t="shared" si="55"/>
        <v/>
      </c>
      <c r="K1567" s="246" t="str">
        <f t="shared" si="54"/>
        <v/>
      </c>
    </row>
    <row r="1568" spans="1:11" ht="30" customHeight="1" x14ac:dyDescent="0.2">
      <c r="A1568" s="242"/>
      <c r="F1568" s="285" t="str">
        <f t="shared" si="55"/>
        <v/>
      </c>
      <c r="K1568" s="246" t="str">
        <f t="shared" si="54"/>
        <v/>
      </c>
    </row>
    <row r="1569" spans="1:11" ht="30" customHeight="1" x14ac:dyDescent="0.2">
      <c r="A1569" s="242"/>
      <c r="F1569" s="285" t="str">
        <f t="shared" si="55"/>
        <v/>
      </c>
      <c r="K1569" s="246" t="str">
        <f t="shared" si="54"/>
        <v/>
      </c>
    </row>
    <row r="1570" spans="1:11" ht="30" customHeight="1" x14ac:dyDescent="0.2">
      <c r="A1570" s="242"/>
      <c r="F1570" s="285" t="str">
        <f t="shared" si="55"/>
        <v/>
      </c>
      <c r="K1570" s="246" t="str">
        <f t="shared" si="54"/>
        <v/>
      </c>
    </row>
    <row r="1571" spans="1:11" ht="30" customHeight="1" x14ac:dyDescent="0.2">
      <c r="A1571" s="242"/>
      <c r="F1571" s="285" t="str">
        <f t="shared" si="55"/>
        <v/>
      </c>
      <c r="K1571" s="246" t="str">
        <f t="shared" si="54"/>
        <v/>
      </c>
    </row>
    <row r="1572" spans="1:11" ht="30" customHeight="1" x14ac:dyDescent="0.2">
      <c r="A1572" s="242"/>
      <c r="F1572" s="285" t="str">
        <f t="shared" si="55"/>
        <v/>
      </c>
      <c r="K1572" s="246" t="str">
        <f t="shared" si="54"/>
        <v/>
      </c>
    </row>
    <row r="1573" spans="1:11" ht="30" customHeight="1" x14ac:dyDescent="0.2">
      <c r="A1573" s="242"/>
      <c r="F1573" s="285" t="str">
        <f t="shared" si="55"/>
        <v/>
      </c>
      <c r="K1573" s="246" t="str">
        <f t="shared" si="54"/>
        <v/>
      </c>
    </row>
    <row r="1574" spans="1:11" ht="30" customHeight="1" x14ac:dyDescent="0.2">
      <c r="A1574" s="242"/>
      <c r="F1574" s="285" t="str">
        <f t="shared" si="55"/>
        <v/>
      </c>
      <c r="K1574" s="246" t="str">
        <f t="shared" si="54"/>
        <v/>
      </c>
    </row>
    <row r="1575" spans="1:11" ht="30" customHeight="1" x14ac:dyDescent="0.2">
      <c r="A1575" s="242"/>
      <c r="F1575" s="285" t="str">
        <f t="shared" si="55"/>
        <v/>
      </c>
      <c r="K1575" s="246" t="str">
        <f t="shared" si="54"/>
        <v/>
      </c>
    </row>
    <row r="1576" spans="1:11" ht="30" customHeight="1" x14ac:dyDescent="0.2">
      <c r="A1576" s="242"/>
      <c r="F1576" s="285" t="str">
        <f t="shared" si="55"/>
        <v/>
      </c>
      <c r="K1576" s="246" t="str">
        <f t="shared" si="54"/>
        <v/>
      </c>
    </row>
    <row r="1577" spans="1:11" ht="30" customHeight="1" x14ac:dyDescent="0.2">
      <c r="A1577" s="242"/>
      <c r="F1577" s="285" t="str">
        <f t="shared" si="55"/>
        <v/>
      </c>
      <c r="K1577" s="246" t="str">
        <f t="shared" si="54"/>
        <v/>
      </c>
    </row>
    <row r="1578" spans="1:11" ht="30" customHeight="1" x14ac:dyDescent="0.2">
      <c r="A1578" s="242"/>
      <c r="F1578" s="285" t="str">
        <f t="shared" si="55"/>
        <v/>
      </c>
      <c r="K1578" s="246" t="str">
        <f t="shared" si="54"/>
        <v/>
      </c>
    </row>
    <row r="1579" spans="1:11" ht="30" customHeight="1" x14ac:dyDescent="0.2">
      <c r="A1579" s="242"/>
      <c r="F1579" s="285" t="str">
        <f t="shared" si="55"/>
        <v/>
      </c>
      <c r="K1579" s="246" t="str">
        <f t="shared" si="54"/>
        <v/>
      </c>
    </row>
    <row r="1580" spans="1:11" ht="30" customHeight="1" x14ac:dyDescent="0.2">
      <c r="A1580" s="242"/>
      <c r="F1580" s="285" t="str">
        <f t="shared" si="55"/>
        <v/>
      </c>
      <c r="K1580" s="246" t="str">
        <f t="shared" si="54"/>
        <v/>
      </c>
    </row>
    <row r="1581" spans="1:11" ht="30" customHeight="1" x14ac:dyDescent="0.2">
      <c r="A1581" s="242"/>
      <c r="F1581" s="285" t="str">
        <f t="shared" si="55"/>
        <v/>
      </c>
      <c r="K1581" s="246" t="str">
        <f t="shared" si="54"/>
        <v/>
      </c>
    </row>
    <row r="1582" spans="1:11" ht="30" customHeight="1" x14ac:dyDescent="0.2">
      <c r="A1582" s="242"/>
      <c r="F1582" s="285" t="str">
        <f t="shared" si="55"/>
        <v/>
      </c>
      <c r="K1582" s="246" t="str">
        <f t="shared" si="54"/>
        <v/>
      </c>
    </row>
    <row r="1583" spans="1:11" ht="30" customHeight="1" x14ac:dyDescent="0.2">
      <c r="A1583" s="242"/>
      <c r="F1583" s="285" t="str">
        <f t="shared" si="55"/>
        <v/>
      </c>
      <c r="K1583" s="246" t="str">
        <f t="shared" si="54"/>
        <v/>
      </c>
    </row>
    <row r="1584" spans="1:11" ht="30" customHeight="1" x14ac:dyDescent="0.2">
      <c r="A1584" s="242"/>
      <c r="F1584" s="285" t="str">
        <f t="shared" si="55"/>
        <v/>
      </c>
      <c r="K1584" s="246" t="str">
        <f t="shared" si="54"/>
        <v/>
      </c>
    </row>
    <row r="1585" spans="1:11" ht="30" customHeight="1" x14ac:dyDescent="0.2">
      <c r="A1585" s="242"/>
      <c r="F1585" s="285" t="str">
        <f t="shared" si="55"/>
        <v/>
      </c>
      <c r="K1585" s="246" t="str">
        <f t="shared" si="54"/>
        <v/>
      </c>
    </row>
    <row r="1586" spans="1:11" ht="30" customHeight="1" x14ac:dyDescent="0.2">
      <c r="A1586" s="242"/>
      <c r="F1586" s="285" t="str">
        <f t="shared" si="55"/>
        <v/>
      </c>
      <c r="K1586" s="246" t="str">
        <f t="shared" si="54"/>
        <v/>
      </c>
    </row>
    <row r="1587" spans="1:11" ht="30" customHeight="1" x14ac:dyDescent="0.2">
      <c r="A1587" s="242"/>
      <c r="F1587" s="285" t="str">
        <f t="shared" si="55"/>
        <v/>
      </c>
      <c r="K1587" s="246" t="str">
        <f t="shared" si="54"/>
        <v/>
      </c>
    </row>
    <row r="1588" spans="1:11" ht="30" customHeight="1" x14ac:dyDescent="0.2">
      <c r="A1588" s="242"/>
      <c r="F1588" s="285" t="str">
        <f t="shared" si="55"/>
        <v/>
      </c>
      <c r="K1588" s="246" t="str">
        <f t="shared" si="54"/>
        <v/>
      </c>
    </row>
    <row r="1589" spans="1:11" ht="30" customHeight="1" x14ac:dyDescent="0.2">
      <c r="A1589" s="242"/>
      <c r="F1589" s="285" t="str">
        <f t="shared" si="55"/>
        <v/>
      </c>
      <c r="K1589" s="246" t="str">
        <f t="shared" si="54"/>
        <v/>
      </c>
    </row>
    <row r="1590" spans="1:11" ht="30" customHeight="1" x14ac:dyDescent="0.2">
      <c r="A1590" s="242"/>
      <c r="F1590" s="285" t="str">
        <f t="shared" si="55"/>
        <v/>
      </c>
      <c r="K1590" s="246" t="str">
        <f t="shared" si="54"/>
        <v/>
      </c>
    </row>
    <row r="1591" spans="1:11" ht="30" customHeight="1" x14ac:dyDescent="0.2">
      <c r="A1591" s="242"/>
      <c r="F1591" s="285" t="str">
        <f t="shared" si="55"/>
        <v/>
      </c>
      <c r="K1591" s="246" t="str">
        <f t="shared" si="54"/>
        <v/>
      </c>
    </row>
    <row r="1592" spans="1:11" ht="30" customHeight="1" x14ac:dyDescent="0.2">
      <c r="A1592" s="242"/>
      <c r="F1592" s="285" t="str">
        <f t="shared" si="55"/>
        <v/>
      </c>
      <c r="K1592" s="246" t="str">
        <f t="shared" si="54"/>
        <v/>
      </c>
    </row>
    <row r="1593" spans="1:11" ht="30" customHeight="1" x14ac:dyDescent="0.2">
      <c r="A1593" s="242"/>
      <c r="F1593" s="285" t="str">
        <f t="shared" si="55"/>
        <v/>
      </c>
      <c r="K1593" s="246" t="str">
        <f t="shared" si="54"/>
        <v/>
      </c>
    </row>
    <row r="1594" spans="1:11" ht="30" customHeight="1" x14ac:dyDescent="0.2">
      <c r="A1594" s="242"/>
      <c r="F1594" s="285" t="str">
        <f t="shared" si="55"/>
        <v/>
      </c>
      <c r="K1594" s="246" t="str">
        <f t="shared" si="54"/>
        <v/>
      </c>
    </row>
    <row r="1595" spans="1:11" ht="30" customHeight="1" x14ac:dyDescent="0.2">
      <c r="A1595" s="242"/>
      <c r="F1595" s="285" t="str">
        <f t="shared" si="55"/>
        <v/>
      </c>
      <c r="K1595" s="246" t="str">
        <f t="shared" ref="K1595:K1658" si="56">IF(A1595="","",A1595)</f>
        <v/>
      </c>
    </row>
    <row r="1596" spans="1:11" ht="30" customHeight="1" x14ac:dyDescent="0.2">
      <c r="A1596" s="242"/>
      <c r="F1596" s="285" t="str">
        <f t="shared" si="55"/>
        <v/>
      </c>
      <c r="K1596" s="246" t="str">
        <f t="shared" si="56"/>
        <v/>
      </c>
    </row>
    <row r="1597" spans="1:11" ht="30" customHeight="1" x14ac:dyDescent="0.2">
      <c r="A1597" s="242"/>
      <c r="F1597" s="285" t="str">
        <f t="shared" si="55"/>
        <v/>
      </c>
      <c r="K1597" s="246" t="str">
        <f t="shared" si="56"/>
        <v/>
      </c>
    </row>
    <row r="1598" spans="1:11" ht="30" customHeight="1" x14ac:dyDescent="0.2">
      <c r="A1598" s="242"/>
      <c r="F1598" s="285" t="str">
        <f t="shared" si="55"/>
        <v/>
      </c>
      <c r="K1598" s="246" t="str">
        <f t="shared" si="56"/>
        <v/>
      </c>
    </row>
    <row r="1599" spans="1:11" ht="30" customHeight="1" x14ac:dyDescent="0.2">
      <c r="A1599" s="242"/>
      <c r="F1599" s="285" t="str">
        <f t="shared" si="55"/>
        <v/>
      </c>
      <c r="K1599" s="246" t="str">
        <f t="shared" si="56"/>
        <v/>
      </c>
    </row>
    <row r="1600" spans="1:11" ht="30" customHeight="1" x14ac:dyDescent="0.2">
      <c r="A1600" s="242"/>
      <c r="F1600" s="285" t="str">
        <f t="shared" si="55"/>
        <v/>
      </c>
      <c r="K1600" s="246" t="str">
        <f t="shared" si="56"/>
        <v/>
      </c>
    </row>
    <row r="1601" spans="1:11" ht="30" customHeight="1" x14ac:dyDescent="0.2">
      <c r="A1601" s="242"/>
      <c r="F1601" s="285" t="str">
        <f t="shared" si="55"/>
        <v/>
      </c>
      <c r="K1601" s="246" t="str">
        <f t="shared" si="56"/>
        <v/>
      </c>
    </row>
    <row r="1602" spans="1:11" ht="30" customHeight="1" x14ac:dyDescent="0.2">
      <c r="A1602" s="242"/>
      <c r="F1602" s="285" t="str">
        <f t="shared" si="55"/>
        <v/>
      </c>
      <c r="K1602" s="246" t="str">
        <f t="shared" si="56"/>
        <v/>
      </c>
    </row>
    <row r="1603" spans="1:11" ht="30" customHeight="1" x14ac:dyDescent="0.2">
      <c r="A1603" s="242"/>
      <c r="F1603" s="285" t="str">
        <f t="shared" si="55"/>
        <v/>
      </c>
      <c r="K1603" s="246" t="str">
        <f t="shared" si="56"/>
        <v/>
      </c>
    </row>
    <row r="1604" spans="1:11" ht="30" customHeight="1" x14ac:dyDescent="0.2">
      <c r="A1604" s="242"/>
      <c r="F1604" s="285" t="str">
        <f t="shared" si="55"/>
        <v/>
      </c>
      <c r="K1604" s="246" t="str">
        <f t="shared" si="56"/>
        <v/>
      </c>
    </row>
    <row r="1605" spans="1:11" ht="30" customHeight="1" x14ac:dyDescent="0.2">
      <c r="A1605" s="242"/>
      <c r="F1605" s="285" t="str">
        <f t="shared" ref="F1605:F1668" si="57">IF(A1605="","",A1605)</f>
        <v/>
      </c>
      <c r="K1605" s="246" t="str">
        <f t="shared" si="56"/>
        <v/>
      </c>
    </row>
    <row r="1606" spans="1:11" ht="30" customHeight="1" x14ac:dyDescent="0.2">
      <c r="A1606" s="242"/>
      <c r="F1606" s="285" t="str">
        <f t="shared" si="57"/>
        <v/>
      </c>
      <c r="K1606" s="246" t="str">
        <f t="shared" si="56"/>
        <v/>
      </c>
    </row>
    <row r="1607" spans="1:11" ht="30" customHeight="1" x14ac:dyDescent="0.2">
      <c r="A1607" s="242"/>
      <c r="F1607" s="285" t="str">
        <f t="shared" si="57"/>
        <v/>
      </c>
      <c r="K1607" s="246" t="str">
        <f t="shared" si="56"/>
        <v/>
      </c>
    </row>
    <row r="1608" spans="1:11" ht="30" customHeight="1" x14ac:dyDescent="0.2">
      <c r="A1608" s="242"/>
      <c r="F1608" s="285" t="str">
        <f t="shared" si="57"/>
        <v/>
      </c>
      <c r="K1608" s="246" t="str">
        <f t="shared" si="56"/>
        <v/>
      </c>
    </row>
    <row r="1609" spans="1:11" ht="30" customHeight="1" x14ac:dyDescent="0.2">
      <c r="A1609" s="242"/>
      <c r="F1609" s="285" t="str">
        <f t="shared" si="57"/>
        <v/>
      </c>
      <c r="K1609" s="246" t="str">
        <f t="shared" si="56"/>
        <v/>
      </c>
    </row>
    <row r="1610" spans="1:11" ht="30" customHeight="1" x14ac:dyDescent="0.2">
      <c r="A1610" s="242"/>
      <c r="F1610" s="285" t="str">
        <f t="shared" si="57"/>
        <v/>
      </c>
      <c r="K1610" s="246" t="str">
        <f t="shared" si="56"/>
        <v/>
      </c>
    </row>
    <row r="1611" spans="1:11" ht="30" customHeight="1" x14ac:dyDescent="0.2">
      <c r="A1611" s="242"/>
      <c r="F1611" s="285" t="str">
        <f t="shared" si="57"/>
        <v/>
      </c>
      <c r="K1611" s="246" t="str">
        <f t="shared" si="56"/>
        <v/>
      </c>
    </row>
    <row r="1612" spans="1:11" ht="30" customHeight="1" x14ac:dyDescent="0.2">
      <c r="A1612" s="242"/>
      <c r="F1612" s="285" t="str">
        <f t="shared" si="57"/>
        <v/>
      </c>
      <c r="K1612" s="246" t="str">
        <f t="shared" si="56"/>
        <v/>
      </c>
    </row>
    <row r="1613" spans="1:11" ht="30" customHeight="1" x14ac:dyDescent="0.2">
      <c r="A1613" s="242"/>
      <c r="F1613" s="285" t="str">
        <f t="shared" si="57"/>
        <v/>
      </c>
      <c r="K1613" s="246" t="str">
        <f t="shared" si="56"/>
        <v/>
      </c>
    </row>
    <row r="1614" spans="1:11" ht="30" customHeight="1" x14ac:dyDescent="0.2">
      <c r="A1614" s="242"/>
      <c r="F1614" s="285" t="str">
        <f t="shared" si="57"/>
        <v/>
      </c>
      <c r="K1614" s="246" t="str">
        <f t="shared" si="56"/>
        <v/>
      </c>
    </row>
    <row r="1615" spans="1:11" ht="30" customHeight="1" x14ac:dyDescent="0.2">
      <c r="A1615" s="242"/>
      <c r="F1615" s="285" t="str">
        <f t="shared" si="57"/>
        <v/>
      </c>
      <c r="K1615" s="246" t="str">
        <f t="shared" si="56"/>
        <v/>
      </c>
    </row>
    <row r="1616" spans="1:11" ht="30" customHeight="1" x14ac:dyDescent="0.2">
      <c r="A1616" s="242"/>
      <c r="F1616" s="285" t="str">
        <f t="shared" si="57"/>
        <v/>
      </c>
      <c r="K1616" s="246" t="str">
        <f t="shared" si="56"/>
        <v/>
      </c>
    </row>
    <row r="1617" spans="1:11" ht="30" customHeight="1" x14ac:dyDescent="0.2">
      <c r="A1617" s="242"/>
      <c r="F1617" s="285" t="str">
        <f t="shared" si="57"/>
        <v/>
      </c>
      <c r="K1617" s="246" t="str">
        <f t="shared" si="56"/>
        <v/>
      </c>
    </row>
    <row r="1618" spans="1:11" ht="30" customHeight="1" x14ac:dyDescent="0.2">
      <c r="A1618" s="242"/>
      <c r="F1618" s="285" t="str">
        <f t="shared" si="57"/>
        <v/>
      </c>
      <c r="K1618" s="246" t="str">
        <f t="shared" si="56"/>
        <v/>
      </c>
    </row>
    <row r="1619" spans="1:11" ht="30" customHeight="1" x14ac:dyDescent="0.2">
      <c r="A1619" s="242"/>
      <c r="F1619" s="285" t="str">
        <f t="shared" si="57"/>
        <v/>
      </c>
      <c r="K1619" s="246" t="str">
        <f t="shared" si="56"/>
        <v/>
      </c>
    </row>
    <row r="1620" spans="1:11" ht="30" customHeight="1" x14ac:dyDescent="0.2">
      <c r="A1620" s="242"/>
      <c r="F1620" s="285" t="str">
        <f t="shared" si="57"/>
        <v/>
      </c>
      <c r="K1620" s="246" t="str">
        <f t="shared" si="56"/>
        <v/>
      </c>
    </row>
    <row r="1621" spans="1:11" ht="30" customHeight="1" x14ac:dyDescent="0.2">
      <c r="A1621" s="242"/>
      <c r="F1621" s="285" t="str">
        <f t="shared" si="57"/>
        <v/>
      </c>
      <c r="K1621" s="246" t="str">
        <f t="shared" si="56"/>
        <v/>
      </c>
    </row>
    <row r="1622" spans="1:11" ht="30" customHeight="1" x14ac:dyDescent="0.2">
      <c r="A1622" s="242"/>
      <c r="F1622" s="285" t="str">
        <f t="shared" si="57"/>
        <v/>
      </c>
      <c r="K1622" s="246" t="str">
        <f t="shared" si="56"/>
        <v/>
      </c>
    </row>
    <row r="1623" spans="1:11" ht="30" customHeight="1" x14ac:dyDescent="0.2">
      <c r="A1623" s="242"/>
      <c r="F1623" s="285" t="str">
        <f t="shared" si="57"/>
        <v/>
      </c>
      <c r="K1623" s="246" t="str">
        <f t="shared" si="56"/>
        <v/>
      </c>
    </row>
    <row r="1624" spans="1:11" ht="30" customHeight="1" x14ac:dyDescent="0.2">
      <c r="A1624" s="242"/>
      <c r="F1624" s="285" t="str">
        <f t="shared" si="57"/>
        <v/>
      </c>
      <c r="K1624" s="246" t="str">
        <f t="shared" si="56"/>
        <v/>
      </c>
    </row>
    <row r="1625" spans="1:11" ht="30" customHeight="1" x14ac:dyDescent="0.2">
      <c r="A1625" s="242"/>
      <c r="F1625" s="285" t="str">
        <f t="shared" si="57"/>
        <v/>
      </c>
      <c r="K1625" s="246" t="str">
        <f t="shared" si="56"/>
        <v/>
      </c>
    </row>
    <row r="1626" spans="1:11" ht="30" customHeight="1" x14ac:dyDescent="0.2">
      <c r="A1626" s="242"/>
      <c r="F1626" s="285" t="str">
        <f t="shared" si="57"/>
        <v/>
      </c>
      <c r="K1626" s="246" t="str">
        <f t="shared" si="56"/>
        <v/>
      </c>
    </row>
    <row r="1627" spans="1:11" ht="30" customHeight="1" x14ac:dyDescent="0.2">
      <c r="A1627" s="242"/>
      <c r="F1627" s="285" t="str">
        <f t="shared" si="57"/>
        <v/>
      </c>
      <c r="K1627" s="246" t="str">
        <f t="shared" si="56"/>
        <v/>
      </c>
    </row>
    <row r="1628" spans="1:11" ht="30" customHeight="1" x14ac:dyDescent="0.2">
      <c r="A1628" s="242"/>
      <c r="F1628" s="285" t="str">
        <f t="shared" si="57"/>
        <v/>
      </c>
      <c r="K1628" s="246" t="str">
        <f t="shared" si="56"/>
        <v/>
      </c>
    </row>
    <row r="1629" spans="1:11" ht="30" customHeight="1" x14ac:dyDescent="0.2">
      <c r="A1629" s="242"/>
      <c r="F1629" s="285" t="str">
        <f t="shared" si="57"/>
        <v/>
      </c>
      <c r="K1629" s="246" t="str">
        <f t="shared" si="56"/>
        <v/>
      </c>
    </row>
    <row r="1630" spans="1:11" ht="30" customHeight="1" x14ac:dyDescent="0.2">
      <c r="A1630" s="242"/>
      <c r="F1630" s="285" t="str">
        <f t="shared" si="57"/>
        <v/>
      </c>
      <c r="K1630" s="246" t="str">
        <f t="shared" si="56"/>
        <v/>
      </c>
    </row>
    <row r="1631" spans="1:11" ht="30" customHeight="1" x14ac:dyDescent="0.2">
      <c r="A1631" s="242"/>
      <c r="F1631" s="285" t="str">
        <f t="shared" si="57"/>
        <v/>
      </c>
      <c r="K1631" s="246" t="str">
        <f t="shared" si="56"/>
        <v/>
      </c>
    </row>
    <row r="1632" spans="1:11" ht="30" customHeight="1" x14ac:dyDescent="0.2">
      <c r="A1632" s="242"/>
      <c r="F1632" s="285" t="str">
        <f t="shared" si="57"/>
        <v/>
      </c>
      <c r="K1632" s="246" t="str">
        <f t="shared" si="56"/>
        <v/>
      </c>
    </row>
    <row r="1633" spans="1:11" ht="30" customHeight="1" x14ac:dyDescent="0.2">
      <c r="A1633" s="242"/>
      <c r="F1633" s="285" t="str">
        <f t="shared" si="57"/>
        <v/>
      </c>
      <c r="K1633" s="246" t="str">
        <f t="shared" si="56"/>
        <v/>
      </c>
    </row>
    <row r="1634" spans="1:11" ht="30" customHeight="1" x14ac:dyDescent="0.2">
      <c r="A1634" s="242"/>
      <c r="F1634" s="285" t="str">
        <f t="shared" si="57"/>
        <v/>
      </c>
      <c r="K1634" s="246" t="str">
        <f t="shared" si="56"/>
        <v/>
      </c>
    </row>
    <row r="1635" spans="1:11" ht="30" customHeight="1" x14ac:dyDescent="0.2">
      <c r="A1635" s="242"/>
      <c r="F1635" s="285" t="str">
        <f t="shared" si="57"/>
        <v/>
      </c>
      <c r="K1635" s="246" t="str">
        <f t="shared" si="56"/>
        <v/>
      </c>
    </row>
    <row r="1636" spans="1:11" ht="30" customHeight="1" x14ac:dyDescent="0.2">
      <c r="A1636" s="242"/>
      <c r="F1636" s="285" t="str">
        <f t="shared" si="57"/>
        <v/>
      </c>
      <c r="K1636" s="246" t="str">
        <f t="shared" si="56"/>
        <v/>
      </c>
    </row>
    <row r="1637" spans="1:11" ht="30" customHeight="1" x14ac:dyDescent="0.2">
      <c r="A1637" s="242"/>
      <c r="F1637" s="285" t="str">
        <f t="shared" si="57"/>
        <v/>
      </c>
      <c r="K1637" s="246" t="str">
        <f t="shared" si="56"/>
        <v/>
      </c>
    </row>
    <row r="1638" spans="1:11" ht="30" customHeight="1" x14ac:dyDescent="0.2">
      <c r="A1638" s="242"/>
      <c r="F1638" s="285" t="str">
        <f t="shared" si="57"/>
        <v/>
      </c>
      <c r="K1638" s="246" t="str">
        <f t="shared" si="56"/>
        <v/>
      </c>
    </row>
    <row r="1639" spans="1:11" ht="30" customHeight="1" x14ac:dyDescent="0.2">
      <c r="A1639" s="242"/>
      <c r="F1639" s="285" t="str">
        <f t="shared" si="57"/>
        <v/>
      </c>
      <c r="K1639" s="246" t="str">
        <f t="shared" si="56"/>
        <v/>
      </c>
    </row>
    <row r="1640" spans="1:11" ht="30" customHeight="1" x14ac:dyDescent="0.2">
      <c r="A1640" s="242"/>
      <c r="F1640" s="285" t="str">
        <f t="shared" si="57"/>
        <v/>
      </c>
      <c r="K1640" s="246" t="str">
        <f t="shared" si="56"/>
        <v/>
      </c>
    </row>
    <row r="1641" spans="1:11" ht="30" customHeight="1" x14ac:dyDescent="0.2">
      <c r="A1641" s="242"/>
      <c r="F1641" s="285" t="str">
        <f t="shared" si="57"/>
        <v/>
      </c>
      <c r="K1641" s="246" t="str">
        <f t="shared" si="56"/>
        <v/>
      </c>
    </row>
    <row r="1642" spans="1:11" ht="30" customHeight="1" x14ac:dyDescent="0.2">
      <c r="A1642" s="242"/>
      <c r="F1642" s="285" t="str">
        <f t="shared" si="57"/>
        <v/>
      </c>
      <c r="K1642" s="246" t="str">
        <f t="shared" si="56"/>
        <v/>
      </c>
    </row>
    <row r="1643" spans="1:11" ht="30" customHeight="1" x14ac:dyDescent="0.2">
      <c r="A1643" s="242"/>
      <c r="F1643" s="285" t="str">
        <f t="shared" si="57"/>
        <v/>
      </c>
      <c r="K1643" s="246" t="str">
        <f t="shared" si="56"/>
        <v/>
      </c>
    </row>
    <row r="1644" spans="1:11" ht="30" customHeight="1" x14ac:dyDescent="0.2">
      <c r="A1644" s="242"/>
      <c r="F1644" s="285" t="str">
        <f t="shared" si="57"/>
        <v/>
      </c>
      <c r="K1644" s="246" t="str">
        <f t="shared" si="56"/>
        <v/>
      </c>
    </row>
    <row r="1645" spans="1:11" ht="30" customHeight="1" x14ac:dyDescent="0.2">
      <c r="A1645" s="242"/>
      <c r="F1645" s="285" t="str">
        <f t="shared" si="57"/>
        <v/>
      </c>
      <c r="K1645" s="246" t="str">
        <f t="shared" si="56"/>
        <v/>
      </c>
    </row>
    <row r="1646" spans="1:11" ht="30" customHeight="1" x14ac:dyDescent="0.2">
      <c r="A1646" s="242"/>
      <c r="F1646" s="285" t="str">
        <f t="shared" si="57"/>
        <v/>
      </c>
      <c r="K1646" s="246" t="str">
        <f t="shared" si="56"/>
        <v/>
      </c>
    </row>
    <row r="1647" spans="1:11" ht="30" customHeight="1" x14ac:dyDescent="0.2">
      <c r="A1647" s="242"/>
      <c r="F1647" s="285" t="str">
        <f t="shared" si="57"/>
        <v/>
      </c>
      <c r="K1647" s="246" t="str">
        <f t="shared" si="56"/>
        <v/>
      </c>
    </row>
    <row r="1648" spans="1:11" ht="30" customHeight="1" x14ac:dyDescent="0.2">
      <c r="A1648" s="242"/>
      <c r="F1648" s="285" t="str">
        <f t="shared" si="57"/>
        <v/>
      </c>
      <c r="K1648" s="246" t="str">
        <f t="shared" si="56"/>
        <v/>
      </c>
    </row>
    <row r="1649" spans="1:11" ht="30" customHeight="1" x14ac:dyDescent="0.2">
      <c r="A1649" s="242"/>
      <c r="F1649" s="285" t="str">
        <f t="shared" si="57"/>
        <v/>
      </c>
      <c r="K1649" s="246" t="str">
        <f t="shared" si="56"/>
        <v/>
      </c>
    </row>
    <row r="1650" spans="1:11" ht="30" customHeight="1" x14ac:dyDescent="0.2">
      <c r="A1650" s="242"/>
      <c r="F1650" s="285" t="str">
        <f t="shared" si="57"/>
        <v/>
      </c>
      <c r="K1650" s="246" t="str">
        <f t="shared" si="56"/>
        <v/>
      </c>
    </row>
    <row r="1651" spans="1:11" ht="30" customHeight="1" x14ac:dyDescent="0.2">
      <c r="A1651" s="242"/>
      <c r="F1651" s="285" t="str">
        <f t="shared" si="57"/>
        <v/>
      </c>
      <c r="K1651" s="246" t="str">
        <f t="shared" si="56"/>
        <v/>
      </c>
    </row>
    <row r="1652" spans="1:11" ht="30" customHeight="1" x14ac:dyDescent="0.2">
      <c r="A1652" s="242"/>
      <c r="F1652" s="285" t="str">
        <f t="shared" si="57"/>
        <v/>
      </c>
      <c r="K1652" s="246" t="str">
        <f t="shared" si="56"/>
        <v/>
      </c>
    </row>
    <row r="1653" spans="1:11" ht="30" customHeight="1" x14ac:dyDescent="0.2">
      <c r="A1653" s="242"/>
      <c r="F1653" s="285" t="str">
        <f t="shared" si="57"/>
        <v/>
      </c>
      <c r="K1653" s="246" t="str">
        <f t="shared" si="56"/>
        <v/>
      </c>
    </row>
    <row r="1654" spans="1:11" ht="30" customHeight="1" x14ac:dyDescent="0.2">
      <c r="A1654" s="242"/>
      <c r="F1654" s="285" t="str">
        <f t="shared" si="57"/>
        <v/>
      </c>
      <c r="K1654" s="246" t="str">
        <f t="shared" si="56"/>
        <v/>
      </c>
    </row>
    <row r="1655" spans="1:11" ht="30" customHeight="1" x14ac:dyDescent="0.2">
      <c r="A1655" s="242"/>
      <c r="F1655" s="285" t="str">
        <f t="shared" si="57"/>
        <v/>
      </c>
      <c r="K1655" s="246" t="str">
        <f t="shared" si="56"/>
        <v/>
      </c>
    </row>
    <row r="1656" spans="1:11" ht="30" customHeight="1" x14ac:dyDescent="0.2">
      <c r="A1656" s="242"/>
      <c r="F1656" s="285" t="str">
        <f t="shared" si="57"/>
        <v/>
      </c>
      <c r="K1656" s="246" t="str">
        <f t="shared" si="56"/>
        <v/>
      </c>
    </row>
    <row r="1657" spans="1:11" ht="30" customHeight="1" x14ac:dyDescent="0.2">
      <c r="A1657" s="242"/>
      <c r="F1657" s="285" t="str">
        <f t="shared" si="57"/>
        <v/>
      </c>
      <c r="K1657" s="246" t="str">
        <f t="shared" si="56"/>
        <v/>
      </c>
    </row>
    <row r="1658" spans="1:11" ht="30" customHeight="1" x14ac:dyDescent="0.2">
      <c r="A1658" s="242"/>
      <c r="F1658" s="285" t="str">
        <f t="shared" si="57"/>
        <v/>
      </c>
      <c r="K1658" s="246" t="str">
        <f t="shared" si="56"/>
        <v/>
      </c>
    </row>
    <row r="1659" spans="1:11" ht="30" customHeight="1" x14ac:dyDescent="0.2">
      <c r="A1659" s="242"/>
      <c r="F1659" s="285" t="str">
        <f t="shared" si="57"/>
        <v/>
      </c>
      <c r="K1659" s="246" t="str">
        <f t="shared" ref="K1659:K1722" si="58">IF(A1659="","",A1659)</f>
        <v/>
      </c>
    </row>
    <row r="1660" spans="1:11" ht="30" customHeight="1" x14ac:dyDescent="0.2">
      <c r="A1660" s="242"/>
      <c r="F1660" s="285" t="str">
        <f t="shared" si="57"/>
        <v/>
      </c>
      <c r="K1660" s="246" t="str">
        <f t="shared" si="58"/>
        <v/>
      </c>
    </row>
    <row r="1661" spans="1:11" ht="30" customHeight="1" x14ac:dyDescent="0.2">
      <c r="A1661" s="242"/>
      <c r="F1661" s="285" t="str">
        <f t="shared" si="57"/>
        <v/>
      </c>
      <c r="K1661" s="246" t="str">
        <f t="shared" si="58"/>
        <v/>
      </c>
    </row>
    <row r="1662" spans="1:11" ht="30" customHeight="1" x14ac:dyDescent="0.2">
      <c r="A1662" s="242"/>
      <c r="F1662" s="285" t="str">
        <f t="shared" si="57"/>
        <v/>
      </c>
      <c r="K1662" s="246" t="str">
        <f t="shared" si="58"/>
        <v/>
      </c>
    </row>
    <row r="1663" spans="1:11" ht="30" customHeight="1" x14ac:dyDescent="0.2">
      <c r="A1663" s="242"/>
      <c r="F1663" s="285" t="str">
        <f t="shared" si="57"/>
        <v/>
      </c>
      <c r="K1663" s="246" t="str">
        <f t="shared" si="58"/>
        <v/>
      </c>
    </row>
    <row r="1664" spans="1:11" ht="30" customHeight="1" x14ac:dyDescent="0.2">
      <c r="A1664" s="242"/>
      <c r="F1664" s="285" t="str">
        <f t="shared" si="57"/>
        <v/>
      </c>
      <c r="K1664" s="246" t="str">
        <f t="shared" si="58"/>
        <v/>
      </c>
    </row>
    <row r="1665" spans="1:11" ht="30" customHeight="1" x14ac:dyDescent="0.2">
      <c r="A1665" s="242"/>
      <c r="F1665" s="285" t="str">
        <f t="shared" si="57"/>
        <v/>
      </c>
      <c r="K1665" s="246" t="str">
        <f t="shared" si="58"/>
        <v/>
      </c>
    </row>
    <row r="1666" spans="1:11" ht="30" customHeight="1" x14ac:dyDescent="0.2">
      <c r="A1666" s="242"/>
      <c r="F1666" s="285" t="str">
        <f t="shared" si="57"/>
        <v/>
      </c>
      <c r="K1666" s="246" t="str">
        <f t="shared" si="58"/>
        <v/>
      </c>
    </row>
    <row r="1667" spans="1:11" ht="30" customHeight="1" x14ac:dyDescent="0.2">
      <c r="A1667" s="242"/>
      <c r="F1667" s="285" t="str">
        <f t="shared" si="57"/>
        <v/>
      </c>
      <c r="K1667" s="246" t="str">
        <f t="shared" si="58"/>
        <v/>
      </c>
    </row>
    <row r="1668" spans="1:11" ht="30" customHeight="1" x14ac:dyDescent="0.2">
      <c r="A1668" s="242"/>
      <c r="F1668" s="285" t="str">
        <f t="shared" si="57"/>
        <v/>
      </c>
      <c r="K1668" s="246" t="str">
        <f t="shared" si="58"/>
        <v/>
      </c>
    </row>
    <row r="1669" spans="1:11" ht="30" customHeight="1" x14ac:dyDescent="0.2">
      <c r="A1669" s="242"/>
      <c r="F1669" s="285" t="str">
        <f t="shared" ref="F1669:F1732" si="59">IF(A1669="","",A1669)</f>
        <v/>
      </c>
      <c r="K1669" s="246" t="str">
        <f t="shared" si="58"/>
        <v/>
      </c>
    </row>
    <row r="1670" spans="1:11" ht="30" customHeight="1" x14ac:dyDescent="0.2">
      <c r="A1670" s="242"/>
      <c r="F1670" s="285" t="str">
        <f t="shared" si="59"/>
        <v/>
      </c>
      <c r="K1670" s="246" t="str">
        <f t="shared" si="58"/>
        <v/>
      </c>
    </row>
    <row r="1671" spans="1:11" ht="30" customHeight="1" x14ac:dyDescent="0.2">
      <c r="A1671" s="242"/>
      <c r="F1671" s="285" t="str">
        <f t="shared" si="59"/>
        <v/>
      </c>
      <c r="K1671" s="246" t="str">
        <f t="shared" si="58"/>
        <v/>
      </c>
    </row>
    <row r="1672" spans="1:11" ht="30" customHeight="1" x14ac:dyDescent="0.2">
      <c r="A1672" s="242"/>
      <c r="F1672" s="285" t="str">
        <f t="shared" si="59"/>
        <v/>
      </c>
      <c r="K1672" s="246" t="str">
        <f t="shared" si="58"/>
        <v/>
      </c>
    </row>
    <row r="1673" spans="1:11" ht="30" customHeight="1" x14ac:dyDescent="0.2">
      <c r="A1673" s="242"/>
      <c r="F1673" s="285" t="str">
        <f t="shared" si="59"/>
        <v/>
      </c>
      <c r="K1673" s="246" t="str">
        <f t="shared" si="58"/>
        <v/>
      </c>
    </row>
    <row r="1674" spans="1:11" ht="30" customHeight="1" x14ac:dyDescent="0.2">
      <c r="A1674" s="242"/>
      <c r="F1674" s="285" t="str">
        <f t="shared" si="59"/>
        <v/>
      </c>
      <c r="K1674" s="246" t="str">
        <f t="shared" si="58"/>
        <v/>
      </c>
    </row>
    <row r="1675" spans="1:11" ht="30" customHeight="1" x14ac:dyDescent="0.2">
      <c r="A1675" s="242"/>
      <c r="F1675" s="285" t="str">
        <f t="shared" si="59"/>
        <v/>
      </c>
      <c r="K1675" s="246" t="str">
        <f t="shared" si="58"/>
        <v/>
      </c>
    </row>
    <row r="1676" spans="1:11" ht="30" customHeight="1" x14ac:dyDescent="0.2">
      <c r="A1676" s="242"/>
      <c r="F1676" s="285" t="str">
        <f t="shared" si="59"/>
        <v/>
      </c>
      <c r="K1676" s="246" t="str">
        <f t="shared" si="58"/>
        <v/>
      </c>
    </row>
    <row r="1677" spans="1:11" ht="30" customHeight="1" x14ac:dyDescent="0.2">
      <c r="A1677" s="242"/>
      <c r="F1677" s="285" t="str">
        <f t="shared" si="59"/>
        <v/>
      </c>
      <c r="K1677" s="246" t="str">
        <f t="shared" si="58"/>
        <v/>
      </c>
    </row>
    <row r="1678" spans="1:11" ht="30" customHeight="1" x14ac:dyDescent="0.2">
      <c r="A1678" s="242"/>
      <c r="F1678" s="285" t="str">
        <f t="shared" si="59"/>
        <v/>
      </c>
      <c r="K1678" s="246" t="str">
        <f t="shared" si="58"/>
        <v/>
      </c>
    </row>
    <row r="1679" spans="1:11" ht="30" customHeight="1" x14ac:dyDescent="0.2">
      <c r="A1679" s="242"/>
      <c r="F1679" s="285" t="str">
        <f t="shared" si="59"/>
        <v/>
      </c>
      <c r="K1679" s="246" t="str">
        <f t="shared" si="58"/>
        <v/>
      </c>
    </row>
    <row r="1680" spans="1:11" ht="30" customHeight="1" x14ac:dyDescent="0.2">
      <c r="A1680" s="242"/>
      <c r="F1680" s="285" t="str">
        <f t="shared" si="59"/>
        <v/>
      </c>
      <c r="K1680" s="246" t="str">
        <f t="shared" si="58"/>
        <v/>
      </c>
    </row>
    <row r="1681" spans="1:11" ht="30" customHeight="1" x14ac:dyDescent="0.2">
      <c r="A1681" s="242"/>
      <c r="F1681" s="285" t="str">
        <f t="shared" si="59"/>
        <v/>
      </c>
      <c r="K1681" s="246" t="str">
        <f t="shared" si="58"/>
        <v/>
      </c>
    </row>
    <row r="1682" spans="1:11" ht="30" customHeight="1" x14ac:dyDescent="0.2">
      <c r="A1682" s="242"/>
      <c r="F1682" s="285" t="str">
        <f t="shared" si="59"/>
        <v/>
      </c>
      <c r="K1682" s="246" t="str">
        <f t="shared" si="58"/>
        <v/>
      </c>
    </row>
    <row r="1683" spans="1:11" ht="30" customHeight="1" x14ac:dyDescent="0.2">
      <c r="A1683" s="242"/>
      <c r="F1683" s="285" t="str">
        <f t="shared" si="59"/>
        <v/>
      </c>
      <c r="K1683" s="246" t="str">
        <f t="shared" si="58"/>
        <v/>
      </c>
    </row>
    <row r="1684" spans="1:11" ht="30" customHeight="1" x14ac:dyDescent="0.2">
      <c r="A1684" s="242"/>
      <c r="F1684" s="285" t="str">
        <f t="shared" si="59"/>
        <v/>
      </c>
      <c r="K1684" s="246" t="str">
        <f t="shared" si="58"/>
        <v/>
      </c>
    </row>
    <row r="1685" spans="1:11" ht="30" customHeight="1" x14ac:dyDescent="0.2">
      <c r="A1685" s="242"/>
      <c r="F1685" s="285" t="str">
        <f t="shared" si="59"/>
        <v/>
      </c>
      <c r="K1685" s="246" t="str">
        <f t="shared" si="58"/>
        <v/>
      </c>
    </row>
    <row r="1686" spans="1:11" ht="30" customHeight="1" x14ac:dyDescent="0.2">
      <c r="A1686" s="242"/>
      <c r="F1686" s="285" t="str">
        <f t="shared" si="59"/>
        <v/>
      </c>
      <c r="K1686" s="246" t="str">
        <f t="shared" si="58"/>
        <v/>
      </c>
    </row>
    <row r="1687" spans="1:11" ht="30" customHeight="1" x14ac:dyDescent="0.2">
      <c r="A1687" s="242"/>
      <c r="F1687" s="285" t="str">
        <f t="shared" si="59"/>
        <v/>
      </c>
      <c r="K1687" s="246" t="str">
        <f t="shared" si="58"/>
        <v/>
      </c>
    </row>
    <row r="1688" spans="1:11" ht="30" customHeight="1" x14ac:dyDescent="0.2">
      <c r="A1688" s="242"/>
      <c r="F1688" s="285" t="str">
        <f t="shared" si="59"/>
        <v/>
      </c>
      <c r="K1688" s="246" t="str">
        <f t="shared" si="58"/>
        <v/>
      </c>
    </row>
    <row r="1689" spans="1:11" ht="30" customHeight="1" x14ac:dyDescent="0.2">
      <c r="A1689" s="242"/>
      <c r="F1689" s="285" t="str">
        <f t="shared" si="59"/>
        <v/>
      </c>
      <c r="K1689" s="246" t="str">
        <f t="shared" si="58"/>
        <v/>
      </c>
    </row>
    <row r="1690" spans="1:11" ht="30" customHeight="1" x14ac:dyDescent="0.2">
      <c r="A1690" s="242"/>
      <c r="F1690" s="285" t="str">
        <f t="shared" si="59"/>
        <v/>
      </c>
      <c r="K1690" s="246" t="str">
        <f t="shared" si="58"/>
        <v/>
      </c>
    </row>
    <row r="1691" spans="1:11" ht="30" customHeight="1" x14ac:dyDescent="0.2">
      <c r="A1691" s="242"/>
      <c r="F1691" s="285" t="str">
        <f t="shared" si="59"/>
        <v/>
      </c>
      <c r="K1691" s="246" t="str">
        <f t="shared" si="58"/>
        <v/>
      </c>
    </row>
    <row r="1692" spans="1:11" ht="30" customHeight="1" x14ac:dyDescent="0.2">
      <c r="A1692" s="242"/>
      <c r="F1692" s="285" t="str">
        <f t="shared" si="59"/>
        <v/>
      </c>
      <c r="K1692" s="246" t="str">
        <f t="shared" si="58"/>
        <v/>
      </c>
    </row>
    <row r="1693" spans="1:11" ht="30" customHeight="1" x14ac:dyDescent="0.2">
      <c r="A1693" s="242"/>
      <c r="F1693" s="285" t="str">
        <f t="shared" si="59"/>
        <v/>
      </c>
      <c r="K1693" s="246" t="str">
        <f t="shared" si="58"/>
        <v/>
      </c>
    </row>
    <row r="1694" spans="1:11" ht="30" customHeight="1" x14ac:dyDescent="0.2">
      <c r="A1694" s="242"/>
      <c r="F1694" s="285" t="str">
        <f t="shared" si="59"/>
        <v/>
      </c>
      <c r="K1694" s="246" t="str">
        <f t="shared" si="58"/>
        <v/>
      </c>
    </row>
    <row r="1695" spans="1:11" ht="30" customHeight="1" x14ac:dyDescent="0.2">
      <c r="A1695" s="242"/>
      <c r="F1695" s="285" t="str">
        <f t="shared" si="59"/>
        <v/>
      </c>
      <c r="K1695" s="246" t="str">
        <f t="shared" si="58"/>
        <v/>
      </c>
    </row>
    <row r="1696" spans="1:11" ht="30" customHeight="1" x14ac:dyDescent="0.2">
      <c r="A1696" s="242"/>
      <c r="F1696" s="285" t="str">
        <f t="shared" si="59"/>
        <v/>
      </c>
      <c r="K1696" s="246" t="str">
        <f t="shared" si="58"/>
        <v/>
      </c>
    </row>
    <row r="1697" spans="1:11" ht="30" customHeight="1" x14ac:dyDescent="0.2">
      <c r="A1697" s="242"/>
      <c r="F1697" s="285" t="str">
        <f t="shared" si="59"/>
        <v/>
      </c>
      <c r="K1697" s="246" t="str">
        <f t="shared" si="58"/>
        <v/>
      </c>
    </row>
    <row r="1698" spans="1:11" ht="30" customHeight="1" x14ac:dyDescent="0.2">
      <c r="A1698" s="242"/>
      <c r="F1698" s="285" t="str">
        <f t="shared" si="59"/>
        <v/>
      </c>
      <c r="K1698" s="246" t="str">
        <f t="shared" si="58"/>
        <v/>
      </c>
    </row>
    <row r="1699" spans="1:11" ht="30" customHeight="1" x14ac:dyDescent="0.2">
      <c r="A1699" s="242"/>
      <c r="F1699" s="285" t="str">
        <f t="shared" si="59"/>
        <v/>
      </c>
      <c r="K1699" s="246" t="str">
        <f t="shared" si="58"/>
        <v/>
      </c>
    </row>
    <row r="1700" spans="1:11" ht="30" customHeight="1" x14ac:dyDescent="0.2">
      <c r="A1700" s="242"/>
      <c r="F1700" s="285" t="str">
        <f t="shared" si="59"/>
        <v/>
      </c>
      <c r="K1700" s="246" t="str">
        <f t="shared" si="58"/>
        <v/>
      </c>
    </row>
    <row r="1701" spans="1:11" ht="30" customHeight="1" x14ac:dyDescent="0.2">
      <c r="A1701" s="242"/>
      <c r="F1701" s="285" t="str">
        <f t="shared" si="59"/>
        <v/>
      </c>
      <c r="K1701" s="246" t="str">
        <f t="shared" si="58"/>
        <v/>
      </c>
    </row>
    <row r="1702" spans="1:11" ht="30" customHeight="1" x14ac:dyDescent="0.2">
      <c r="A1702" s="242"/>
      <c r="F1702" s="285" t="str">
        <f t="shared" si="59"/>
        <v/>
      </c>
      <c r="K1702" s="246" t="str">
        <f t="shared" si="58"/>
        <v/>
      </c>
    </row>
    <row r="1703" spans="1:11" ht="30" customHeight="1" x14ac:dyDescent="0.2">
      <c r="A1703" s="242"/>
      <c r="F1703" s="285" t="str">
        <f t="shared" si="59"/>
        <v/>
      </c>
      <c r="K1703" s="246" t="str">
        <f t="shared" si="58"/>
        <v/>
      </c>
    </row>
    <row r="1704" spans="1:11" ht="30" customHeight="1" x14ac:dyDescent="0.2">
      <c r="A1704" s="242"/>
      <c r="F1704" s="285" t="str">
        <f t="shared" si="59"/>
        <v/>
      </c>
      <c r="K1704" s="246" t="str">
        <f t="shared" si="58"/>
        <v/>
      </c>
    </row>
    <row r="1705" spans="1:11" ht="30" customHeight="1" x14ac:dyDescent="0.2">
      <c r="A1705" s="242"/>
      <c r="F1705" s="285" t="str">
        <f t="shared" si="59"/>
        <v/>
      </c>
      <c r="K1705" s="246" t="str">
        <f t="shared" si="58"/>
        <v/>
      </c>
    </row>
    <row r="1706" spans="1:11" ht="30" customHeight="1" x14ac:dyDescent="0.2">
      <c r="A1706" s="242"/>
      <c r="F1706" s="285" t="str">
        <f t="shared" si="59"/>
        <v/>
      </c>
      <c r="K1706" s="246" t="str">
        <f t="shared" si="58"/>
        <v/>
      </c>
    </row>
    <row r="1707" spans="1:11" ht="30" customHeight="1" x14ac:dyDescent="0.2">
      <c r="A1707" s="242"/>
      <c r="F1707" s="285" t="str">
        <f t="shared" si="59"/>
        <v/>
      </c>
      <c r="K1707" s="246" t="str">
        <f t="shared" si="58"/>
        <v/>
      </c>
    </row>
    <row r="1708" spans="1:11" ht="30" customHeight="1" x14ac:dyDescent="0.2">
      <c r="A1708" s="242"/>
      <c r="F1708" s="285" t="str">
        <f t="shared" si="59"/>
        <v/>
      </c>
      <c r="K1708" s="246" t="str">
        <f t="shared" si="58"/>
        <v/>
      </c>
    </row>
    <row r="1709" spans="1:11" ht="30" customHeight="1" x14ac:dyDescent="0.2">
      <c r="A1709" s="242"/>
      <c r="F1709" s="285" t="str">
        <f t="shared" si="59"/>
        <v/>
      </c>
      <c r="K1709" s="246" t="str">
        <f t="shared" si="58"/>
        <v/>
      </c>
    </row>
    <row r="1710" spans="1:11" ht="30" customHeight="1" x14ac:dyDescent="0.2">
      <c r="A1710" s="242"/>
      <c r="F1710" s="285" t="str">
        <f t="shared" si="59"/>
        <v/>
      </c>
      <c r="K1710" s="246" t="str">
        <f t="shared" si="58"/>
        <v/>
      </c>
    </row>
    <row r="1711" spans="1:11" ht="30" customHeight="1" x14ac:dyDescent="0.2">
      <c r="A1711" s="242"/>
      <c r="F1711" s="285" t="str">
        <f t="shared" si="59"/>
        <v/>
      </c>
      <c r="K1711" s="246" t="str">
        <f t="shared" si="58"/>
        <v/>
      </c>
    </row>
    <row r="1712" spans="1:11" ht="30" customHeight="1" x14ac:dyDescent="0.2">
      <c r="A1712" s="242"/>
      <c r="F1712" s="285" t="str">
        <f t="shared" si="59"/>
        <v/>
      </c>
      <c r="K1712" s="246" t="str">
        <f t="shared" si="58"/>
        <v/>
      </c>
    </row>
    <row r="1713" spans="1:11" ht="30" customHeight="1" x14ac:dyDescent="0.2">
      <c r="A1713" s="242"/>
      <c r="F1713" s="285" t="str">
        <f t="shared" si="59"/>
        <v/>
      </c>
      <c r="K1713" s="246" t="str">
        <f t="shared" si="58"/>
        <v/>
      </c>
    </row>
    <row r="1714" spans="1:11" ht="30" customHeight="1" x14ac:dyDescent="0.2">
      <c r="A1714" s="242"/>
      <c r="F1714" s="285" t="str">
        <f t="shared" si="59"/>
        <v/>
      </c>
      <c r="K1714" s="246" t="str">
        <f t="shared" si="58"/>
        <v/>
      </c>
    </row>
    <row r="1715" spans="1:11" ht="30" customHeight="1" x14ac:dyDescent="0.2">
      <c r="A1715" s="242"/>
      <c r="F1715" s="285" t="str">
        <f t="shared" si="59"/>
        <v/>
      </c>
      <c r="K1715" s="246" t="str">
        <f t="shared" si="58"/>
        <v/>
      </c>
    </row>
    <row r="1716" spans="1:11" ht="30" customHeight="1" x14ac:dyDescent="0.2">
      <c r="A1716" s="242"/>
      <c r="F1716" s="285" t="str">
        <f t="shared" si="59"/>
        <v/>
      </c>
      <c r="K1716" s="246" t="str">
        <f t="shared" si="58"/>
        <v/>
      </c>
    </row>
    <row r="1717" spans="1:11" ht="30" customHeight="1" x14ac:dyDescent="0.2">
      <c r="A1717" s="242"/>
      <c r="F1717" s="285" t="str">
        <f t="shared" si="59"/>
        <v/>
      </c>
      <c r="K1717" s="246" t="str">
        <f t="shared" si="58"/>
        <v/>
      </c>
    </row>
    <row r="1718" spans="1:11" ht="30" customHeight="1" x14ac:dyDescent="0.2">
      <c r="A1718" s="242"/>
      <c r="F1718" s="285" t="str">
        <f t="shared" si="59"/>
        <v/>
      </c>
      <c r="K1718" s="246" t="str">
        <f t="shared" si="58"/>
        <v/>
      </c>
    </row>
    <row r="1719" spans="1:11" ht="30" customHeight="1" x14ac:dyDescent="0.2">
      <c r="A1719" s="242"/>
      <c r="F1719" s="285" t="str">
        <f t="shared" si="59"/>
        <v/>
      </c>
      <c r="K1719" s="246" t="str">
        <f t="shared" si="58"/>
        <v/>
      </c>
    </row>
    <row r="1720" spans="1:11" ht="30" customHeight="1" x14ac:dyDescent="0.2">
      <c r="A1720" s="242"/>
      <c r="F1720" s="285" t="str">
        <f t="shared" si="59"/>
        <v/>
      </c>
      <c r="K1720" s="246" t="str">
        <f t="shared" si="58"/>
        <v/>
      </c>
    </row>
    <row r="1721" spans="1:11" ht="30" customHeight="1" x14ac:dyDescent="0.2">
      <c r="A1721" s="242"/>
      <c r="F1721" s="285" t="str">
        <f t="shared" si="59"/>
        <v/>
      </c>
      <c r="K1721" s="246" t="str">
        <f t="shared" si="58"/>
        <v/>
      </c>
    </row>
    <row r="1722" spans="1:11" ht="30" customHeight="1" x14ac:dyDescent="0.2">
      <c r="A1722" s="242"/>
      <c r="F1722" s="285" t="str">
        <f t="shared" si="59"/>
        <v/>
      </c>
      <c r="K1722" s="246" t="str">
        <f t="shared" si="58"/>
        <v/>
      </c>
    </row>
    <row r="1723" spans="1:11" ht="30" customHeight="1" x14ac:dyDescent="0.2">
      <c r="A1723" s="242"/>
      <c r="F1723" s="285" t="str">
        <f t="shared" si="59"/>
        <v/>
      </c>
      <c r="K1723" s="246" t="str">
        <f t="shared" ref="K1723:K1786" si="60">IF(A1723="","",A1723)</f>
        <v/>
      </c>
    </row>
    <row r="1724" spans="1:11" ht="30" customHeight="1" x14ac:dyDescent="0.2">
      <c r="A1724" s="242"/>
      <c r="F1724" s="285" t="str">
        <f t="shared" si="59"/>
        <v/>
      </c>
      <c r="K1724" s="246" t="str">
        <f t="shared" si="60"/>
        <v/>
      </c>
    </row>
    <row r="1725" spans="1:11" ht="30" customHeight="1" x14ac:dyDescent="0.2">
      <c r="A1725" s="242"/>
      <c r="F1725" s="285" t="str">
        <f t="shared" si="59"/>
        <v/>
      </c>
      <c r="K1725" s="246" t="str">
        <f t="shared" si="60"/>
        <v/>
      </c>
    </row>
    <row r="1726" spans="1:11" ht="30" customHeight="1" x14ac:dyDescent="0.2">
      <c r="A1726" s="242"/>
      <c r="F1726" s="285" t="str">
        <f t="shared" si="59"/>
        <v/>
      </c>
      <c r="K1726" s="246" t="str">
        <f t="shared" si="60"/>
        <v/>
      </c>
    </row>
    <row r="1727" spans="1:11" ht="30" customHeight="1" x14ac:dyDescent="0.2">
      <c r="A1727" s="242"/>
      <c r="F1727" s="285" t="str">
        <f t="shared" si="59"/>
        <v/>
      </c>
      <c r="K1727" s="246" t="str">
        <f t="shared" si="60"/>
        <v/>
      </c>
    </row>
    <row r="1728" spans="1:11" ht="30" customHeight="1" x14ac:dyDescent="0.2">
      <c r="A1728" s="242"/>
      <c r="F1728" s="285" t="str">
        <f t="shared" si="59"/>
        <v/>
      </c>
      <c r="K1728" s="246" t="str">
        <f t="shared" si="60"/>
        <v/>
      </c>
    </row>
    <row r="1729" spans="1:11" ht="30" customHeight="1" x14ac:dyDescent="0.2">
      <c r="A1729" s="242"/>
      <c r="F1729" s="285" t="str">
        <f t="shared" si="59"/>
        <v/>
      </c>
      <c r="K1729" s="246" t="str">
        <f t="shared" si="60"/>
        <v/>
      </c>
    </row>
    <row r="1730" spans="1:11" ht="30" customHeight="1" x14ac:dyDescent="0.2">
      <c r="A1730" s="242"/>
      <c r="F1730" s="285" t="str">
        <f t="shared" si="59"/>
        <v/>
      </c>
      <c r="K1730" s="246" t="str">
        <f t="shared" si="60"/>
        <v/>
      </c>
    </row>
    <row r="1731" spans="1:11" ht="30" customHeight="1" x14ac:dyDescent="0.2">
      <c r="A1731" s="242"/>
      <c r="F1731" s="285" t="str">
        <f t="shared" si="59"/>
        <v/>
      </c>
      <c r="K1731" s="246" t="str">
        <f t="shared" si="60"/>
        <v/>
      </c>
    </row>
    <row r="1732" spans="1:11" ht="30" customHeight="1" x14ac:dyDescent="0.2">
      <c r="A1732" s="242"/>
      <c r="F1732" s="285" t="str">
        <f t="shared" si="59"/>
        <v/>
      </c>
      <c r="K1732" s="246" t="str">
        <f t="shared" si="60"/>
        <v/>
      </c>
    </row>
    <row r="1733" spans="1:11" ht="30" customHeight="1" x14ac:dyDescent="0.2">
      <c r="A1733" s="242"/>
      <c r="F1733" s="285" t="str">
        <f t="shared" ref="F1733:F1796" si="61">IF(A1733="","",A1733)</f>
        <v/>
      </c>
      <c r="K1733" s="246" t="str">
        <f t="shared" si="60"/>
        <v/>
      </c>
    </row>
    <row r="1734" spans="1:11" ht="30" customHeight="1" x14ac:dyDescent="0.2">
      <c r="A1734" s="242"/>
      <c r="F1734" s="285" t="str">
        <f t="shared" si="61"/>
        <v/>
      </c>
      <c r="K1734" s="246" t="str">
        <f t="shared" si="60"/>
        <v/>
      </c>
    </row>
    <row r="1735" spans="1:11" ht="30" customHeight="1" x14ac:dyDescent="0.2">
      <c r="A1735" s="242"/>
      <c r="F1735" s="285" t="str">
        <f t="shared" si="61"/>
        <v/>
      </c>
      <c r="K1735" s="246" t="str">
        <f t="shared" si="60"/>
        <v/>
      </c>
    </row>
    <row r="1736" spans="1:11" ht="30" customHeight="1" x14ac:dyDescent="0.2">
      <c r="A1736" s="242"/>
      <c r="F1736" s="285" t="str">
        <f t="shared" si="61"/>
        <v/>
      </c>
      <c r="K1736" s="246" t="str">
        <f t="shared" si="60"/>
        <v/>
      </c>
    </row>
    <row r="1737" spans="1:11" ht="30" customHeight="1" x14ac:dyDescent="0.2">
      <c r="A1737" s="242"/>
      <c r="F1737" s="285" t="str">
        <f t="shared" si="61"/>
        <v/>
      </c>
      <c r="K1737" s="246" t="str">
        <f t="shared" si="60"/>
        <v/>
      </c>
    </row>
    <row r="1738" spans="1:11" ht="30" customHeight="1" x14ac:dyDescent="0.2">
      <c r="A1738" s="242"/>
      <c r="F1738" s="285" t="str">
        <f t="shared" si="61"/>
        <v/>
      </c>
      <c r="K1738" s="246" t="str">
        <f t="shared" si="60"/>
        <v/>
      </c>
    </row>
    <row r="1739" spans="1:11" ht="30" customHeight="1" x14ac:dyDescent="0.2">
      <c r="A1739" s="242"/>
      <c r="F1739" s="285" t="str">
        <f t="shared" si="61"/>
        <v/>
      </c>
      <c r="K1739" s="246" t="str">
        <f t="shared" si="60"/>
        <v/>
      </c>
    </row>
    <row r="1740" spans="1:11" ht="30" customHeight="1" x14ac:dyDescent="0.2">
      <c r="A1740" s="242"/>
      <c r="F1740" s="285" t="str">
        <f t="shared" si="61"/>
        <v/>
      </c>
      <c r="K1740" s="246" t="str">
        <f t="shared" si="60"/>
        <v/>
      </c>
    </row>
    <row r="1741" spans="1:11" ht="30" customHeight="1" x14ac:dyDescent="0.2">
      <c r="A1741" s="242"/>
      <c r="F1741" s="285" t="str">
        <f t="shared" si="61"/>
        <v/>
      </c>
      <c r="K1741" s="246" t="str">
        <f t="shared" si="60"/>
        <v/>
      </c>
    </row>
    <row r="1742" spans="1:11" ht="30" customHeight="1" x14ac:dyDescent="0.2">
      <c r="A1742" s="242"/>
      <c r="F1742" s="285" t="str">
        <f t="shared" si="61"/>
        <v/>
      </c>
      <c r="K1742" s="246" t="str">
        <f t="shared" si="60"/>
        <v/>
      </c>
    </row>
    <row r="1743" spans="1:11" ht="30" customHeight="1" x14ac:dyDescent="0.2">
      <c r="A1743" s="242"/>
      <c r="F1743" s="285" t="str">
        <f t="shared" si="61"/>
        <v/>
      </c>
      <c r="K1743" s="246" t="str">
        <f t="shared" si="60"/>
        <v/>
      </c>
    </row>
    <row r="1744" spans="1:11" ht="30" customHeight="1" x14ac:dyDescent="0.2">
      <c r="A1744" s="242"/>
      <c r="F1744" s="285" t="str">
        <f t="shared" si="61"/>
        <v/>
      </c>
      <c r="K1744" s="246" t="str">
        <f t="shared" si="60"/>
        <v/>
      </c>
    </row>
    <row r="1745" spans="1:11" ht="30" customHeight="1" x14ac:dyDescent="0.2">
      <c r="A1745" s="242"/>
      <c r="F1745" s="285" t="str">
        <f t="shared" si="61"/>
        <v/>
      </c>
      <c r="K1745" s="246" t="str">
        <f t="shared" si="60"/>
        <v/>
      </c>
    </row>
    <row r="1746" spans="1:11" ht="30" customHeight="1" x14ac:dyDescent="0.2">
      <c r="A1746" s="242"/>
      <c r="F1746" s="285" t="str">
        <f t="shared" si="61"/>
        <v/>
      </c>
      <c r="K1746" s="246" t="str">
        <f t="shared" si="60"/>
        <v/>
      </c>
    </row>
    <row r="1747" spans="1:11" ht="30" customHeight="1" x14ac:dyDescent="0.2">
      <c r="A1747" s="242"/>
      <c r="F1747" s="285" t="str">
        <f t="shared" si="61"/>
        <v/>
      </c>
      <c r="K1747" s="246" t="str">
        <f t="shared" si="60"/>
        <v/>
      </c>
    </row>
    <row r="1748" spans="1:11" ht="30" customHeight="1" x14ac:dyDescent="0.2">
      <c r="A1748" s="242"/>
      <c r="F1748" s="285" t="str">
        <f t="shared" si="61"/>
        <v/>
      </c>
      <c r="K1748" s="246" t="str">
        <f t="shared" si="60"/>
        <v/>
      </c>
    </row>
    <row r="1749" spans="1:11" ht="30" customHeight="1" x14ac:dyDescent="0.2">
      <c r="A1749" s="242"/>
      <c r="F1749" s="285" t="str">
        <f t="shared" si="61"/>
        <v/>
      </c>
      <c r="K1749" s="246" t="str">
        <f t="shared" si="60"/>
        <v/>
      </c>
    </row>
    <row r="1750" spans="1:11" ht="30" customHeight="1" x14ac:dyDescent="0.2">
      <c r="A1750" s="242"/>
      <c r="F1750" s="285" t="str">
        <f t="shared" si="61"/>
        <v/>
      </c>
      <c r="K1750" s="246" t="str">
        <f t="shared" si="60"/>
        <v/>
      </c>
    </row>
    <row r="1751" spans="1:11" ht="30" customHeight="1" x14ac:dyDescent="0.2">
      <c r="A1751" s="242"/>
      <c r="F1751" s="285" t="str">
        <f t="shared" si="61"/>
        <v/>
      </c>
      <c r="K1751" s="246" t="str">
        <f t="shared" si="60"/>
        <v/>
      </c>
    </row>
    <row r="1752" spans="1:11" ht="30" customHeight="1" x14ac:dyDescent="0.2">
      <c r="A1752" s="242"/>
      <c r="F1752" s="285" t="str">
        <f t="shared" si="61"/>
        <v/>
      </c>
      <c r="K1752" s="246" t="str">
        <f t="shared" si="60"/>
        <v/>
      </c>
    </row>
    <row r="1753" spans="1:11" ht="30" customHeight="1" x14ac:dyDescent="0.2">
      <c r="A1753" s="242"/>
      <c r="F1753" s="285" t="str">
        <f t="shared" si="61"/>
        <v/>
      </c>
      <c r="K1753" s="246" t="str">
        <f t="shared" si="60"/>
        <v/>
      </c>
    </row>
    <row r="1754" spans="1:11" ht="30" customHeight="1" x14ac:dyDescent="0.2">
      <c r="A1754" s="242"/>
      <c r="F1754" s="285" t="str">
        <f t="shared" si="61"/>
        <v/>
      </c>
      <c r="K1754" s="246" t="str">
        <f t="shared" si="60"/>
        <v/>
      </c>
    </row>
    <row r="1755" spans="1:11" ht="30" customHeight="1" x14ac:dyDescent="0.2">
      <c r="A1755" s="242"/>
      <c r="F1755" s="285" t="str">
        <f t="shared" si="61"/>
        <v/>
      </c>
      <c r="K1755" s="246" t="str">
        <f t="shared" si="60"/>
        <v/>
      </c>
    </row>
    <row r="1756" spans="1:11" ht="30" customHeight="1" x14ac:dyDescent="0.2">
      <c r="A1756" s="242"/>
      <c r="F1756" s="285" t="str">
        <f t="shared" si="61"/>
        <v/>
      </c>
      <c r="K1756" s="246" t="str">
        <f t="shared" si="60"/>
        <v/>
      </c>
    </row>
    <row r="1757" spans="1:11" ht="30" customHeight="1" x14ac:dyDescent="0.2">
      <c r="A1757" s="242"/>
      <c r="F1757" s="285" t="str">
        <f t="shared" si="61"/>
        <v/>
      </c>
      <c r="K1757" s="246" t="str">
        <f t="shared" si="60"/>
        <v/>
      </c>
    </row>
    <row r="1758" spans="1:11" ht="30" customHeight="1" x14ac:dyDescent="0.2">
      <c r="A1758" s="242"/>
      <c r="F1758" s="285" t="str">
        <f t="shared" si="61"/>
        <v/>
      </c>
      <c r="K1758" s="246" t="str">
        <f t="shared" si="60"/>
        <v/>
      </c>
    </row>
    <row r="1759" spans="1:11" ht="30" customHeight="1" x14ac:dyDescent="0.2">
      <c r="A1759" s="242"/>
      <c r="F1759" s="285" t="str">
        <f t="shared" si="61"/>
        <v/>
      </c>
      <c r="K1759" s="246" t="str">
        <f t="shared" si="60"/>
        <v/>
      </c>
    </row>
    <row r="1760" spans="1:11" ht="30" customHeight="1" x14ac:dyDescent="0.2">
      <c r="A1760" s="242"/>
      <c r="F1760" s="285" t="str">
        <f t="shared" si="61"/>
        <v/>
      </c>
      <c r="K1760" s="246" t="str">
        <f t="shared" si="60"/>
        <v/>
      </c>
    </row>
    <row r="1761" spans="1:11" ht="30" customHeight="1" x14ac:dyDescent="0.2">
      <c r="A1761" s="242"/>
      <c r="F1761" s="285" t="str">
        <f t="shared" si="61"/>
        <v/>
      </c>
      <c r="K1761" s="246" t="str">
        <f t="shared" si="60"/>
        <v/>
      </c>
    </row>
    <row r="1762" spans="1:11" ht="30" customHeight="1" x14ac:dyDescent="0.2">
      <c r="A1762" s="242"/>
      <c r="F1762" s="285" t="str">
        <f t="shared" si="61"/>
        <v/>
      </c>
      <c r="K1762" s="246" t="str">
        <f t="shared" si="60"/>
        <v/>
      </c>
    </row>
    <row r="1763" spans="1:11" ht="30" customHeight="1" x14ac:dyDescent="0.2">
      <c r="A1763" s="242"/>
      <c r="F1763" s="285" t="str">
        <f t="shared" si="61"/>
        <v/>
      </c>
      <c r="K1763" s="246" t="str">
        <f t="shared" si="60"/>
        <v/>
      </c>
    </row>
    <row r="1764" spans="1:11" ht="30" customHeight="1" x14ac:dyDescent="0.2">
      <c r="A1764" s="242"/>
      <c r="F1764" s="285" t="str">
        <f t="shared" si="61"/>
        <v/>
      </c>
      <c r="K1764" s="246" t="str">
        <f t="shared" si="60"/>
        <v/>
      </c>
    </row>
    <row r="1765" spans="1:11" ht="30" customHeight="1" x14ac:dyDescent="0.2">
      <c r="A1765" s="242"/>
      <c r="F1765" s="285" t="str">
        <f t="shared" si="61"/>
        <v/>
      </c>
      <c r="K1765" s="246" t="str">
        <f t="shared" si="60"/>
        <v/>
      </c>
    </row>
    <row r="1766" spans="1:11" ht="30" customHeight="1" x14ac:dyDescent="0.2">
      <c r="A1766" s="242"/>
      <c r="F1766" s="285" t="str">
        <f t="shared" si="61"/>
        <v/>
      </c>
      <c r="K1766" s="246" t="str">
        <f t="shared" si="60"/>
        <v/>
      </c>
    </row>
    <row r="1767" spans="1:11" ht="30" customHeight="1" x14ac:dyDescent="0.2">
      <c r="A1767" s="242"/>
      <c r="F1767" s="285" t="str">
        <f t="shared" si="61"/>
        <v/>
      </c>
      <c r="K1767" s="246" t="str">
        <f t="shared" si="60"/>
        <v/>
      </c>
    </row>
    <row r="1768" spans="1:11" ht="30" customHeight="1" x14ac:dyDescent="0.2">
      <c r="A1768" s="242"/>
      <c r="F1768" s="285" t="str">
        <f t="shared" si="61"/>
        <v/>
      </c>
      <c r="K1768" s="246" t="str">
        <f t="shared" si="60"/>
        <v/>
      </c>
    </row>
    <row r="1769" spans="1:11" ht="30" customHeight="1" x14ac:dyDescent="0.2">
      <c r="A1769" s="242"/>
      <c r="F1769" s="285" t="str">
        <f t="shared" si="61"/>
        <v/>
      </c>
      <c r="K1769" s="246" t="str">
        <f t="shared" si="60"/>
        <v/>
      </c>
    </row>
    <row r="1770" spans="1:11" ht="30" customHeight="1" x14ac:dyDescent="0.2">
      <c r="A1770" s="242"/>
      <c r="F1770" s="285" t="str">
        <f t="shared" si="61"/>
        <v/>
      </c>
      <c r="K1770" s="246" t="str">
        <f t="shared" si="60"/>
        <v/>
      </c>
    </row>
    <row r="1771" spans="1:11" ht="30" customHeight="1" x14ac:dyDescent="0.2">
      <c r="A1771" s="242"/>
      <c r="F1771" s="285" t="str">
        <f t="shared" si="61"/>
        <v/>
      </c>
      <c r="K1771" s="246" t="str">
        <f t="shared" si="60"/>
        <v/>
      </c>
    </row>
    <row r="1772" spans="1:11" ht="30" customHeight="1" x14ac:dyDescent="0.2">
      <c r="A1772" s="242"/>
      <c r="F1772" s="285" t="str">
        <f t="shared" si="61"/>
        <v/>
      </c>
      <c r="K1772" s="246" t="str">
        <f t="shared" si="60"/>
        <v/>
      </c>
    </row>
    <row r="1773" spans="1:11" ht="30" customHeight="1" x14ac:dyDescent="0.2">
      <c r="A1773" s="242"/>
      <c r="F1773" s="285" t="str">
        <f t="shared" si="61"/>
        <v/>
      </c>
      <c r="K1773" s="246" t="str">
        <f t="shared" si="60"/>
        <v/>
      </c>
    </row>
    <row r="1774" spans="1:11" ht="30" customHeight="1" x14ac:dyDescent="0.2">
      <c r="A1774" s="242"/>
      <c r="F1774" s="285" t="str">
        <f t="shared" si="61"/>
        <v/>
      </c>
      <c r="K1774" s="246" t="str">
        <f t="shared" si="60"/>
        <v/>
      </c>
    </row>
    <row r="1775" spans="1:11" ht="30" customHeight="1" x14ac:dyDescent="0.2">
      <c r="A1775" s="242"/>
      <c r="F1775" s="285" t="str">
        <f t="shared" si="61"/>
        <v/>
      </c>
      <c r="K1775" s="246" t="str">
        <f t="shared" si="60"/>
        <v/>
      </c>
    </row>
    <row r="1776" spans="1:11" ht="30" customHeight="1" x14ac:dyDescent="0.2">
      <c r="A1776" s="242"/>
      <c r="F1776" s="285" t="str">
        <f t="shared" si="61"/>
        <v/>
      </c>
      <c r="K1776" s="246" t="str">
        <f t="shared" si="60"/>
        <v/>
      </c>
    </row>
    <row r="1777" spans="1:11" ht="30" customHeight="1" x14ac:dyDescent="0.2">
      <c r="A1777" s="242"/>
      <c r="F1777" s="285" t="str">
        <f t="shared" si="61"/>
        <v/>
      </c>
      <c r="K1777" s="246" t="str">
        <f t="shared" si="60"/>
        <v/>
      </c>
    </row>
    <row r="1778" spans="1:11" ht="30" customHeight="1" x14ac:dyDescent="0.2">
      <c r="A1778" s="242"/>
      <c r="F1778" s="285" t="str">
        <f t="shared" si="61"/>
        <v/>
      </c>
      <c r="K1778" s="246" t="str">
        <f t="shared" si="60"/>
        <v/>
      </c>
    </row>
    <row r="1779" spans="1:11" ht="30" customHeight="1" x14ac:dyDescent="0.2">
      <c r="A1779" s="242"/>
      <c r="F1779" s="285" t="str">
        <f t="shared" si="61"/>
        <v/>
      </c>
      <c r="K1779" s="246" t="str">
        <f t="shared" si="60"/>
        <v/>
      </c>
    </row>
    <row r="1780" spans="1:11" ht="30" customHeight="1" x14ac:dyDescent="0.2">
      <c r="A1780" s="242"/>
      <c r="F1780" s="285" t="str">
        <f t="shared" si="61"/>
        <v/>
      </c>
      <c r="K1780" s="246" t="str">
        <f t="shared" si="60"/>
        <v/>
      </c>
    </row>
    <row r="1781" spans="1:11" ht="30" customHeight="1" x14ac:dyDescent="0.2">
      <c r="A1781" s="242"/>
      <c r="F1781" s="285" t="str">
        <f t="shared" si="61"/>
        <v/>
      </c>
      <c r="K1781" s="246" t="str">
        <f t="shared" si="60"/>
        <v/>
      </c>
    </row>
    <row r="1782" spans="1:11" ht="30" customHeight="1" x14ac:dyDescent="0.2">
      <c r="A1782" s="242"/>
      <c r="F1782" s="285" t="str">
        <f t="shared" si="61"/>
        <v/>
      </c>
      <c r="K1782" s="246" t="str">
        <f t="shared" si="60"/>
        <v/>
      </c>
    </row>
    <row r="1783" spans="1:11" ht="30" customHeight="1" x14ac:dyDescent="0.2">
      <c r="A1783" s="242"/>
      <c r="F1783" s="285" t="str">
        <f t="shared" si="61"/>
        <v/>
      </c>
      <c r="K1783" s="246" t="str">
        <f t="shared" si="60"/>
        <v/>
      </c>
    </row>
    <row r="1784" spans="1:11" ht="30" customHeight="1" x14ac:dyDescent="0.2">
      <c r="A1784" s="242"/>
      <c r="F1784" s="285" t="str">
        <f t="shared" si="61"/>
        <v/>
      </c>
      <c r="K1784" s="246" t="str">
        <f t="shared" si="60"/>
        <v/>
      </c>
    </row>
    <row r="1785" spans="1:11" ht="30" customHeight="1" x14ac:dyDescent="0.2">
      <c r="A1785" s="242"/>
      <c r="F1785" s="285" t="str">
        <f t="shared" si="61"/>
        <v/>
      </c>
      <c r="K1785" s="246" t="str">
        <f t="shared" si="60"/>
        <v/>
      </c>
    </row>
    <row r="1786" spans="1:11" ht="30" customHeight="1" x14ac:dyDescent="0.2">
      <c r="A1786" s="242"/>
      <c r="F1786" s="285" t="str">
        <f t="shared" si="61"/>
        <v/>
      </c>
      <c r="K1786" s="246" t="str">
        <f t="shared" si="60"/>
        <v/>
      </c>
    </row>
    <row r="1787" spans="1:11" ht="30" customHeight="1" x14ac:dyDescent="0.2">
      <c r="A1787" s="242"/>
      <c r="F1787" s="285" t="str">
        <f t="shared" si="61"/>
        <v/>
      </c>
      <c r="K1787" s="246" t="str">
        <f t="shared" ref="K1787:K1850" si="62">IF(A1787="","",A1787)</f>
        <v/>
      </c>
    </row>
    <row r="1788" spans="1:11" ht="30" customHeight="1" x14ac:dyDescent="0.2">
      <c r="A1788" s="242"/>
      <c r="F1788" s="285" t="str">
        <f t="shared" si="61"/>
        <v/>
      </c>
      <c r="K1788" s="246" t="str">
        <f t="shared" si="62"/>
        <v/>
      </c>
    </row>
    <row r="1789" spans="1:11" ht="30" customHeight="1" x14ac:dyDescent="0.2">
      <c r="A1789" s="242"/>
      <c r="F1789" s="285" t="str">
        <f t="shared" si="61"/>
        <v/>
      </c>
      <c r="K1789" s="246" t="str">
        <f t="shared" si="62"/>
        <v/>
      </c>
    </row>
    <row r="1790" spans="1:11" ht="30" customHeight="1" x14ac:dyDescent="0.2">
      <c r="A1790" s="242"/>
      <c r="F1790" s="285" t="str">
        <f t="shared" si="61"/>
        <v/>
      </c>
      <c r="K1790" s="246" t="str">
        <f t="shared" si="62"/>
        <v/>
      </c>
    </row>
    <row r="1791" spans="1:11" ht="30" customHeight="1" x14ac:dyDescent="0.2">
      <c r="A1791" s="242"/>
      <c r="F1791" s="285" t="str">
        <f t="shared" si="61"/>
        <v/>
      </c>
      <c r="K1791" s="246" t="str">
        <f t="shared" si="62"/>
        <v/>
      </c>
    </row>
    <row r="1792" spans="1:11" ht="30" customHeight="1" x14ac:dyDescent="0.2">
      <c r="A1792" s="242"/>
      <c r="F1792" s="285" t="str">
        <f t="shared" si="61"/>
        <v/>
      </c>
      <c r="K1792" s="246" t="str">
        <f t="shared" si="62"/>
        <v/>
      </c>
    </row>
    <row r="1793" spans="1:11" ht="30" customHeight="1" x14ac:dyDescent="0.2">
      <c r="A1793" s="242"/>
      <c r="F1793" s="285" t="str">
        <f t="shared" si="61"/>
        <v/>
      </c>
      <c r="K1793" s="246" t="str">
        <f t="shared" si="62"/>
        <v/>
      </c>
    </row>
    <row r="1794" spans="1:11" ht="30" customHeight="1" x14ac:dyDescent="0.2">
      <c r="A1794" s="242"/>
      <c r="F1794" s="285" t="str">
        <f t="shared" si="61"/>
        <v/>
      </c>
      <c r="K1794" s="246" t="str">
        <f t="shared" si="62"/>
        <v/>
      </c>
    </row>
    <row r="1795" spans="1:11" ht="30" customHeight="1" x14ac:dyDescent="0.2">
      <c r="A1795" s="242"/>
      <c r="F1795" s="285" t="str">
        <f t="shared" si="61"/>
        <v/>
      </c>
      <c r="K1795" s="246" t="str">
        <f t="shared" si="62"/>
        <v/>
      </c>
    </row>
    <row r="1796" spans="1:11" ht="30" customHeight="1" x14ac:dyDescent="0.2">
      <c r="A1796" s="242"/>
      <c r="F1796" s="285" t="str">
        <f t="shared" si="61"/>
        <v/>
      </c>
      <c r="K1796" s="246" t="str">
        <f t="shared" si="62"/>
        <v/>
      </c>
    </row>
    <row r="1797" spans="1:11" ht="30" customHeight="1" x14ac:dyDescent="0.2">
      <c r="A1797" s="242"/>
      <c r="F1797" s="285" t="str">
        <f t="shared" ref="F1797:F1860" si="63">IF(A1797="","",A1797)</f>
        <v/>
      </c>
      <c r="K1797" s="246" t="str">
        <f t="shared" si="62"/>
        <v/>
      </c>
    </row>
    <row r="1798" spans="1:11" ht="30" customHeight="1" x14ac:dyDescent="0.2">
      <c r="A1798" s="242"/>
      <c r="F1798" s="285" t="str">
        <f t="shared" si="63"/>
        <v/>
      </c>
      <c r="K1798" s="246" t="str">
        <f t="shared" si="62"/>
        <v/>
      </c>
    </row>
    <row r="1799" spans="1:11" ht="30" customHeight="1" x14ac:dyDescent="0.2">
      <c r="A1799" s="242"/>
      <c r="F1799" s="285" t="str">
        <f t="shared" si="63"/>
        <v/>
      </c>
      <c r="K1799" s="246" t="str">
        <f t="shared" si="62"/>
        <v/>
      </c>
    </row>
    <row r="1800" spans="1:11" ht="30" customHeight="1" x14ac:dyDescent="0.2">
      <c r="A1800" s="242"/>
      <c r="F1800" s="285" t="str">
        <f t="shared" si="63"/>
        <v/>
      </c>
      <c r="K1800" s="246" t="str">
        <f t="shared" si="62"/>
        <v/>
      </c>
    </row>
    <row r="1801" spans="1:11" ht="30" customHeight="1" x14ac:dyDescent="0.2">
      <c r="A1801" s="242"/>
      <c r="F1801" s="285" t="str">
        <f t="shared" si="63"/>
        <v/>
      </c>
      <c r="K1801" s="246" t="str">
        <f t="shared" si="62"/>
        <v/>
      </c>
    </row>
    <row r="1802" spans="1:11" ht="30" customHeight="1" x14ac:dyDescent="0.2">
      <c r="A1802" s="242"/>
      <c r="F1802" s="285" t="str">
        <f t="shared" si="63"/>
        <v/>
      </c>
      <c r="K1802" s="246" t="str">
        <f t="shared" si="62"/>
        <v/>
      </c>
    </row>
    <row r="1803" spans="1:11" ht="30" customHeight="1" x14ac:dyDescent="0.2">
      <c r="A1803" s="242"/>
      <c r="F1803" s="285" t="str">
        <f t="shared" si="63"/>
        <v/>
      </c>
      <c r="K1803" s="246" t="str">
        <f t="shared" si="62"/>
        <v/>
      </c>
    </row>
    <row r="1804" spans="1:11" ht="30" customHeight="1" x14ac:dyDescent="0.2">
      <c r="A1804" s="242"/>
      <c r="F1804" s="285" t="str">
        <f t="shared" si="63"/>
        <v/>
      </c>
      <c r="K1804" s="246" t="str">
        <f t="shared" si="62"/>
        <v/>
      </c>
    </row>
    <row r="1805" spans="1:11" ht="30" customHeight="1" x14ac:dyDescent="0.2">
      <c r="A1805" s="242"/>
      <c r="F1805" s="285" t="str">
        <f t="shared" si="63"/>
        <v/>
      </c>
      <c r="K1805" s="246" t="str">
        <f t="shared" si="62"/>
        <v/>
      </c>
    </row>
    <row r="1806" spans="1:11" ht="30" customHeight="1" x14ac:dyDescent="0.2">
      <c r="A1806" s="242"/>
      <c r="F1806" s="285" t="str">
        <f t="shared" si="63"/>
        <v/>
      </c>
      <c r="K1806" s="246" t="str">
        <f t="shared" si="62"/>
        <v/>
      </c>
    </row>
    <row r="1807" spans="1:11" ht="30" customHeight="1" x14ac:dyDescent="0.2">
      <c r="A1807" s="242"/>
      <c r="F1807" s="285" t="str">
        <f t="shared" si="63"/>
        <v/>
      </c>
      <c r="K1807" s="246" t="str">
        <f t="shared" si="62"/>
        <v/>
      </c>
    </row>
    <row r="1808" spans="1:11" ht="30" customHeight="1" x14ac:dyDescent="0.2">
      <c r="A1808" s="242"/>
      <c r="F1808" s="285" t="str">
        <f t="shared" si="63"/>
        <v/>
      </c>
      <c r="K1808" s="246" t="str">
        <f t="shared" si="62"/>
        <v/>
      </c>
    </row>
    <row r="1809" spans="1:11" ht="30" customHeight="1" x14ac:dyDescent="0.2">
      <c r="A1809" s="242"/>
      <c r="F1809" s="285" t="str">
        <f t="shared" si="63"/>
        <v/>
      </c>
      <c r="K1809" s="246" t="str">
        <f t="shared" si="62"/>
        <v/>
      </c>
    </row>
    <row r="1810" spans="1:11" ht="30" customHeight="1" x14ac:dyDescent="0.2">
      <c r="A1810" s="242"/>
      <c r="F1810" s="285" t="str">
        <f t="shared" si="63"/>
        <v/>
      </c>
      <c r="K1810" s="246" t="str">
        <f t="shared" si="62"/>
        <v/>
      </c>
    </row>
    <row r="1811" spans="1:11" ht="30" customHeight="1" x14ac:dyDescent="0.2">
      <c r="A1811" s="242"/>
      <c r="F1811" s="285" t="str">
        <f t="shared" si="63"/>
        <v/>
      </c>
      <c r="K1811" s="246" t="str">
        <f t="shared" si="62"/>
        <v/>
      </c>
    </row>
    <row r="1812" spans="1:11" ht="30" customHeight="1" x14ac:dyDescent="0.2">
      <c r="A1812" s="242"/>
      <c r="F1812" s="285" t="str">
        <f t="shared" si="63"/>
        <v/>
      </c>
      <c r="K1812" s="246" t="str">
        <f t="shared" si="62"/>
        <v/>
      </c>
    </row>
    <row r="1813" spans="1:11" ht="30" customHeight="1" x14ac:dyDescent="0.2">
      <c r="A1813" s="242"/>
      <c r="F1813" s="285" t="str">
        <f t="shared" si="63"/>
        <v/>
      </c>
      <c r="K1813" s="246" t="str">
        <f t="shared" si="62"/>
        <v/>
      </c>
    </row>
    <row r="1814" spans="1:11" ht="30" customHeight="1" x14ac:dyDescent="0.2">
      <c r="A1814" s="242"/>
      <c r="F1814" s="285" t="str">
        <f t="shared" si="63"/>
        <v/>
      </c>
      <c r="K1814" s="246" t="str">
        <f t="shared" si="62"/>
        <v/>
      </c>
    </row>
    <row r="1815" spans="1:11" ht="30" customHeight="1" x14ac:dyDescent="0.2">
      <c r="A1815" s="242"/>
      <c r="F1815" s="285" t="str">
        <f t="shared" si="63"/>
        <v/>
      </c>
      <c r="K1815" s="246" t="str">
        <f t="shared" si="62"/>
        <v/>
      </c>
    </row>
    <row r="1816" spans="1:11" ht="30" customHeight="1" x14ac:dyDescent="0.2">
      <c r="A1816" s="242"/>
      <c r="F1816" s="285" t="str">
        <f t="shared" si="63"/>
        <v/>
      </c>
      <c r="K1816" s="246" t="str">
        <f t="shared" si="62"/>
        <v/>
      </c>
    </row>
    <row r="1817" spans="1:11" ht="30" customHeight="1" x14ac:dyDescent="0.2">
      <c r="A1817" s="242"/>
      <c r="F1817" s="285" t="str">
        <f t="shared" si="63"/>
        <v/>
      </c>
      <c r="K1817" s="246" t="str">
        <f t="shared" si="62"/>
        <v/>
      </c>
    </row>
    <row r="1818" spans="1:11" ht="30" customHeight="1" x14ac:dyDescent="0.2">
      <c r="A1818" s="242"/>
      <c r="F1818" s="285" t="str">
        <f t="shared" si="63"/>
        <v/>
      </c>
      <c r="K1818" s="246" t="str">
        <f t="shared" si="62"/>
        <v/>
      </c>
    </row>
    <row r="1819" spans="1:11" ht="30" customHeight="1" x14ac:dyDescent="0.2">
      <c r="A1819" s="242"/>
      <c r="F1819" s="285" t="str">
        <f t="shared" si="63"/>
        <v/>
      </c>
      <c r="K1819" s="246" t="str">
        <f t="shared" si="62"/>
        <v/>
      </c>
    </row>
    <row r="1820" spans="1:11" ht="30" customHeight="1" x14ac:dyDescent="0.2">
      <c r="A1820" s="242"/>
      <c r="F1820" s="285" t="str">
        <f t="shared" si="63"/>
        <v/>
      </c>
      <c r="K1820" s="246" t="str">
        <f t="shared" si="62"/>
        <v/>
      </c>
    </row>
    <row r="1821" spans="1:11" ht="30" customHeight="1" x14ac:dyDescent="0.2">
      <c r="A1821" s="242"/>
      <c r="F1821" s="285" t="str">
        <f t="shared" si="63"/>
        <v/>
      </c>
      <c r="K1821" s="246" t="str">
        <f t="shared" si="62"/>
        <v/>
      </c>
    </row>
    <row r="1822" spans="1:11" ht="30" customHeight="1" x14ac:dyDescent="0.2">
      <c r="A1822" s="242"/>
      <c r="F1822" s="285" t="str">
        <f t="shared" si="63"/>
        <v/>
      </c>
      <c r="K1822" s="246" t="str">
        <f t="shared" si="62"/>
        <v/>
      </c>
    </row>
    <row r="1823" spans="1:11" ht="30" customHeight="1" x14ac:dyDescent="0.2">
      <c r="A1823" s="242"/>
      <c r="F1823" s="285" t="str">
        <f t="shared" si="63"/>
        <v/>
      </c>
      <c r="K1823" s="246" t="str">
        <f t="shared" si="62"/>
        <v/>
      </c>
    </row>
    <row r="1824" spans="1:11" ht="30" customHeight="1" x14ac:dyDescent="0.2">
      <c r="A1824" s="242"/>
      <c r="F1824" s="285" t="str">
        <f t="shared" si="63"/>
        <v/>
      </c>
      <c r="K1824" s="246" t="str">
        <f t="shared" si="62"/>
        <v/>
      </c>
    </row>
    <row r="1825" spans="1:11" ht="30" customHeight="1" x14ac:dyDescent="0.2">
      <c r="A1825" s="242"/>
      <c r="F1825" s="285" t="str">
        <f t="shared" si="63"/>
        <v/>
      </c>
      <c r="K1825" s="246" t="str">
        <f t="shared" si="62"/>
        <v/>
      </c>
    </row>
    <row r="1826" spans="1:11" ht="30" customHeight="1" x14ac:dyDescent="0.2">
      <c r="A1826" s="242"/>
      <c r="F1826" s="285" t="str">
        <f t="shared" si="63"/>
        <v/>
      </c>
      <c r="K1826" s="246" t="str">
        <f t="shared" si="62"/>
        <v/>
      </c>
    </row>
    <row r="1827" spans="1:11" ht="30" customHeight="1" x14ac:dyDescent="0.2">
      <c r="A1827" s="242"/>
      <c r="F1827" s="285" t="str">
        <f t="shared" si="63"/>
        <v/>
      </c>
      <c r="K1827" s="246" t="str">
        <f t="shared" si="62"/>
        <v/>
      </c>
    </row>
    <row r="1828" spans="1:11" ht="30" customHeight="1" x14ac:dyDescent="0.2">
      <c r="A1828" s="242"/>
      <c r="F1828" s="285" t="str">
        <f t="shared" si="63"/>
        <v/>
      </c>
      <c r="K1828" s="246" t="str">
        <f t="shared" si="62"/>
        <v/>
      </c>
    </row>
    <row r="1829" spans="1:11" ht="30" customHeight="1" x14ac:dyDescent="0.2">
      <c r="A1829" s="242"/>
      <c r="F1829" s="285" t="str">
        <f t="shared" si="63"/>
        <v/>
      </c>
      <c r="K1829" s="246" t="str">
        <f t="shared" si="62"/>
        <v/>
      </c>
    </row>
    <row r="1830" spans="1:11" ht="30" customHeight="1" x14ac:dyDescent="0.2">
      <c r="A1830" s="242"/>
      <c r="F1830" s="285" t="str">
        <f t="shared" si="63"/>
        <v/>
      </c>
      <c r="K1830" s="246" t="str">
        <f t="shared" si="62"/>
        <v/>
      </c>
    </row>
    <row r="1831" spans="1:11" ht="30" customHeight="1" x14ac:dyDescent="0.2">
      <c r="A1831" s="242"/>
      <c r="F1831" s="285" t="str">
        <f t="shared" si="63"/>
        <v/>
      </c>
      <c r="K1831" s="246" t="str">
        <f t="shared" si="62"/>
        <v/>
      </c>
    </row>
    <row r="1832" spans="1:11" ht="30" customHeight="1" x14ac:dyDescent="0.2">
      <c r="A1832" s="242"/>
      <c r="F1832" s="285" t="str">
        <f t="shared" si="63"/>
        <v/>
      </c>
      <c r="K1832" s="246" t="str">
        <f t="shared" si="62"/>
        <v/>
      </c>
    </row>
    <row r="1833" spans="1:11" ht="30" customHeight="1" x14ac:dyDescent="0.2">
      <c r="A1833" s="242"/>
      <c r="F1833" s="285" t="str">
        <f t="shared" si="63"/>
        <v/>
      </c>
      <c r="K1833" s="246" t="str">
        <f t="shared" si="62"/>
        <v/>
      </c>
    </row>
    <row r="1834" spans="1:11" ht="30" customHeight="1" x14ac:dyDescent="0.2">
      <c r="A1834" s="242"/>
      <c r="F1834" s="285" t="str">
        <f t="shared" si="63"/>
        <v/>
      </c>
      <c r="K1834" s="246" t="str">
        <f t="shared" si="62"/>
        <v/>
      </c>
    </row>
    <row r="1835" spans="1:11" ht="30" customHeight="1" x14ac:dyDescent="0.2">
      <c r="A1835" s="242"/>
      <c r="F1835" s="285" t="str">
        <f t="shared" si="63"/>
        <v/>
      </c>
      <c r="K1835" s="246" t="str">
        <f t="shared" si="62"/>
        <v/>
      </c>
    </row>
    <row r="1836" spans="1:11" ht="30" customHeight="1" x14ac:dyDescent="0.2">
      <c r="A1836" s="242"/>
      <c r="F1836" s="285" t="str">
        <f t="shared" si="63"/>
        <v/>
      </c>
      <c r="K1836" s="246" t="str">
        <f t="shared" si="62"/>
        <v/>
      </c>
    </row>
    <row r="1837" spans="1:11" ht="30" customHeight="1" x14ac:dyDescent="0.2">
      <c r="A1837" s="242"/>
      <c r="F1837" s="285" t="str">
        <f t="shared" si="63"/>
        <v/>
      </c>
      <c r="K1837" s="246" t="str">
        <f t="shared" si="62"/>
        <v/>
      </c>
    </row>
    <row r="1838" spans="1:11" ht="30" customHeight="1" x14ac:dyDescent="0.2">
      <c r="A1838" s="242"/>
      <c r="F1838" s="285" t="str">
        <f t="shared" si="63"/>
        <v/>
      </c>
      <c r="K1838" s="246" t="str">
        <f t="shared" si="62"/>
        <v/>
      </c>
    </row>
    <row r="1839" spans="1:11" ht="30" customHeight="1" x14ac:dyDescent="0.2">
      <c r="A1839" s="242"/>
      <c r="F1839" s="285" t="str">
        <f t="shared" si="63"/>
        <v/>
      </c>
      <c r="K1839" s="246" t="str">
        <f t="shared" si="62"/>
        <v/>
      </c>
    </row>
    <row r="1840" spans="1:11" ht="30" customHeight="1" x14ac:dyDescent="0.2">
      <c r="A1840" s="242"/>
      <c r="F1840" s="285" t="str">
        <f t="shared" si="63"/>
        <v/>
      </c>
      <c r="K1840" s="246" t="str">
        <f t="shared" si="62"/>
        <v/>
      </c>
    </row>
    <row r="1841" spans="1:11" ht="30" customHeight="1" x14ac:dyDescent="0.2">
      <c r="A1841" s="242"/>
      <c r="F1841" s="285" t="str">
        <f t="shared" si="63"/>
        <v/>
      </c>
      <c r="K1841" s="246" t="str">
        <f t="shared" si="62"/>
        <v/>
      </c>
    </row>
    <row r="1842" spans="1:11" ht="30" customHeight="1" x14ac:dyDescent="0.2">
      <c r="A1842" s="242"/>
      <c r="F1842" s="285" t="str">
        <f t="shared" si="63"/>
        <v/>
      </c>
      <c r="K1842" s="246" t="str">
        <f t="shared" si="62"/>
        <v/>
      </c>
    </row>
    <row r="1843" spans="1:11" ht="30" customHeight="1" x14ac:dyDescent="0.2">
      <c r="A1843" s="242"/>
      <c r="F1843" s="285" t="str">
        <f t="shared" si="63"/>
        <v/>
      </c>
      <c r="K1843" s="246" t="str">
        <f t="shared" si="62"/>
        <v/>
      </c>
    </row>
    <row r="1844" spans="1:11" ht="30" customHeight="1" x14ac:dyDescent="0.2">
      <c r="A1844" s="242"/>
      <c r="F1844" s="285" t="str">
        <f t="shared" si="63"/>
        <v/>
      </c>
      <c r="K1844" s="246" t="str">
        <f t="shared" si="62"/>
        <v/>
      </c>
    </row>
    <row r="1845" spans="1:11" ht="30" customHeight="1" x14ac:dyDescent="0.2">
      <c r="A1845" s="242"/>
      <c r="F1845" s="285" t="str">
        <f t="shared" si="63"/>
        <v/>
      </c>
      <c r="K1845" s="246" t="str">
        <f t="shared" si="62"/>
        <v/>
      </c>
    </row>
    <row r="1846" spans="1:11" ht="30" customHeight="1" x14ac:dyDescent="0.2">
      <c r="A1846" s="242"/>
      <c r="F1846" s="285" t="str">
        <f t="shared" si="63"/>
        <v/>
      </c>
      <c r="K1846" s="246" t="str">
        <f t="shared" si="62"/>
        <v/>
      </c>
    </row>
    <row r="1847" spans="1:11" ht="30" customHeight="1" x14ac:dyDescent="0.2">
      <c r="A1847" s="242"/>
      <c r="F1847" s="285" t="str">
        <f t="shared" si="63"/>
        <v/>
      </c>
      <c r="K1847" s="246" t="str">
        <f t="shared" si="62"/>
        <v/>
      </c>
    </row>
    <row r="1848" spans="1:11" ht="30" customHeight="1" x14ac:dyDescent="0.2">
      <c r="A1848" s="242"/>
      <c r="F1848" s="285" t="str">
        <f t="shared" si="63"/>
        <v/>
      </c>
      <c r="K1848" s="246" t="str">
        <f t="shared" si="62"/>
        <v/>
      </c>
    </row>
    <row r="1849" spans="1:11" ht="30" customHeight="1" x14ac:dyDescent="0.2">
      <c r="A1849" s="242"/>
      <c r="F1849" s="285" t="str">
        <f t="shared" si="63"/>
        <v/>
      </c>
      <c r="K1849" s="246" t="str">
        <f t="shared" si="62"/>
        <v/>
      </c>
    </row>
    <row r="1850" spans="1:11" ht="30" customHeight="1" x14ac:dyDescent="0.2">
      <c r="A1850" s="242"/>
      <c r="F1850" s="285" t="str">
        <f t="shared" si="63"/>
        <v/>
      </c>
      <c r="K1850" s="246" t="str">
        <f t="shared" si="62"/>
        <v/>
      </c>
    </row>
    <row r="1851" spans="1:11" ht="30" customHeight="1" x14ac:dyDescent="0.2">
      <c r="A1851" s="242"/>
      <c r="F1851" s="285" t="str">
        <f t="shared" si="63"/>
        <v/>
      </c>
      <c r="K1851" s="246" t="str">
        <f t="shared" ref="K1851:K1914" si="64">IF(A1851="","",A1851)</f>
        <v/>
      </c>
    </row>
    <row r="1852" spans="1:11" ht="30" customHeight="1" x14ac:dyDescent="0.2">
      <c r="A1852" s="242"/>
      <c r="F1852" s="285" t="str">
        <f t="shared" si="63"/>
        <v/>
      </c>
      <c r="K1852" s="246" t="str">
        <f t="shared" si="64"/>
        <v/>
      </c>
    </row>
    <row r="1853" spans="1:11" ht="30" customHeight="1" x14ac:dyDescent="0.2">
      <c r="A1853" s="242"/>
      <c r="F1853" s="285" t="str">
        <f t="shared" si="63"/>
        <v/>
      </c>
      <c r="K1853" s="246" t="str">
        <f t="shared" si="64"/>
        <v/>
      </c>
    </row>
    <row r="1854" spans="1:11" ht="30" customHeight="1" x14ac:dyDescent="0.2">
      <c r="A1854" s="242"/>
      <c r="F1854" s="285" t="str">
        <f t="shared" si="63"/>
        <v/>
      </c>
      <c r="K1854" s="246" t="str">
        <f t="shared" si="64"/>
        <v/>
      </c>
    </row>
    <row r="1855" spans="1:11" ht="30" customHeight="1" x14ac:dyDescent="0.2">
      <c r="A1855" s="242"/>
      <c r="F1855" s="285" t="str">
        <f t="shared" si="63"/>
        <v/>
      </c>
      <c r="K1855" s="246" t="str">
        <f t="shared" si="64"/>
        <v/>
      </c>
    </row>
    <row r="1856" spans="1:11" ht="30" customHeight="1" x14ac:dyDescent="0.2">
      <c r="A1856" s="242"/>
      <c r="F1856" s="285" t="str">
        <f t="shared" si="63"/>
        <v/>
      </c>
      <c r="K1856" s="246" t="str">
        <f t="shared" si="64"/>
        <v/>
      </c>
    </row>
    <row r="1857" spans="1:11" ht="30" customHeight="1" x14ac:dyDescent="0.2">
      <c r="A1857" s="242"/>
      <c r="F1857" s="285" t="str">
        <f t="shared" si="63"/>
        <v/>
      </c>
      <c r="K1857" s="246" t="str">
        <f t="shared" si="64"/>
        <v/>
      </c>
    </row>
    <row r="1858" spans="1:11" ht="30" customHeight="1" x14ac:dyDescent="0.2">
      <c r="A1858" s="242"/>
      <c r="F1858" s="285" t="str">
        <f t="shared" si="63"/>
        <v/>
      </c>
      <c r="K1858" s="246" t="str">
        <f t="shared" si="64"/>
        <v/>
      </c>
    </row>
    <row r="1859" spans="1:11" ht="30" customHeight="1" x14ac:dyDescent="0.2">
      <c r="A1859" s="242"/>
      <c r="F1859" s="285" t="str">
        <f t="shared" si="63"/>
        <v/>
      </c>
      <c r="K1859" s="246" t="str">
        <f t="shared" si="64"/>
        <v/>
      </c>
    </row>
    <row r="1860" spans="1:11" ht="30" customHeight="1" x14ac:dyDescent="0.2">
      <c r="A1860" s="242"/>
      <c r="F1860" s="285" t="str">
        <f t="shared" si="63"/>
        <v/>
      </c>
      <c r="K1860" s="246" t="str">
        <f t="shared" si="64"/>
        <v/>
      </c>
    </row>
    <row r="1861" spans="1:11" ht="30" customHeight="1" x14ac:dyDescent="0.2">
      <c r="A1861" s="242"/>
      <c r="F1861" s="285" t="str">
        <f t="shared" ref="F1861:F1924" si="65">IF(A1861="","",A1861)</f>
        <v/>
      </c>
      <c r="K1861" s="246" t="str">
        <f t="shared" si="64"/>
        <v/>
      </c>
    </row>
    <row r="1862" spans="1:11" ht="30" customHeight="1" x14ac:dyDescent="0.2">
      <c r="A1862" s="242"/>
      <c r="F1862" s="285" t="str">
        <f t="shared" si="65"/>
        <v/>
      </c>
      <c r="K1862" s="246" t="str">
        <f t="shared" si="64"/>
        <v/>
      </c>
    </row>
    <row r="1863" spans="1:11" ht="30" customHeight="1" x14ac:dyDescent="0.2">
      <c r="A1863" s="242"/>
      <c r="F1863" s="285" t="str">
        <f t="shared" si="65"/>
        <v/>
      </c>
      <c r="K1863" s="246" t="str">
        <f t="shared" si="64"/>
        <v/>
      </c>
    </row>
    <row r="1864" spans="1:11" ht="30" customHeight="1" x14ac:dyDescent="0.2">
      <c r="A1864" s="242"/>
      <c r="F1864" s="285" t="str">
        <f t="shared" si="65"/>
        <v/>
      </c>
      <c r="K1864" s="246" t="str">
        <f t="shared" si="64"/>
        <v/>
      </c>
    </row>
    <row r="1865" spans="1:11" ht="30" customHeight="1" x14ac:dyDescent="0.2">
      <c r="A1865" s="242"/>
      <c r="F1865" s="285" t="str">
        <f t="shared" si="65"/>
        <v/>
      </c>
      <c r="K1865" s="246" t="str">
        <f t="shared" si="64"/>
        <v/>
      </c>
    </row>
    <row r="1866" spans="1:11" ht="30" customHeight="1" x14ac:dyDescent="0.2">
      <c r="A1866" s="242"/>
      <c r="F1866" s="285" t="str">
        <f t="shared" si="65"/>
        <v/>
      </c>
      <c r="K1866" s="246" t="str">
        <f t="shared" si="64"/>
        <v/>
      </c>
    </row>
    <row r="1867" spans="1:11" ht="30" customHeight="1" x14ac:dyDescent="0.2">
      <c r="A1867" s="242"/>
      <c r="F1867" s="285" t="str">
        <f t="shared" si="65"/>
        <v/>
      </c>
      <c r="K1867" s="246" t="str">
        <f t="shared" si="64"/>
        <v/>
      </c>
    </row>
    <row r="1868" spans="1:11" ht="30" customHeight="1" x14ac:dyDescent="0.2">
      <c r="A1868" s="242"/>
      <c r="F1868" s="285" t="str">
        <f t="shared" si="65"/>
        <v/>
      </c>
      <c r="K1868" s="246" t="str">
        <f t="shared" si="64"/>
        <v/>
      </c>
    </row>
    <row r="1869" spans="1:11" ht="30" customHeight="1" x14ac:dyDescent="0.2">
      <c r="A1869" s="242"/>
      <c r="F1869" s="285" t="str">
        <f t="shared" si="65"/>
        <v/>
      </c>
      <c r="K1869" s="246" t="str">
        <f t="shared" si="64"/>
        <v/>
      </c>
    </row>
    <row r="1870" spans="1:11" ht="30" customHeight="1" x14ac:dyDescent="0.2">
      <c r="A1870" s="242"/>
      <c r="F1870" s="285" t="str">
        <f t="shared" si="65"/>
        <v/>
      </c>
      <c r="K1870" s="246" t="str">
        <f t="shared" si="64"/>
        <v/>
      </c>
    </row>
    <row r="1871" spans="1:11" ht="30" customHeight="1" x14ac:dyDescent="0.2">
      <c r="A1871" s="242"/>
      <c r="F1871" s="285" t="str">
        <f t="shared" si="65"/>
        <v/>
      </c>
      <c r="K1871" s="246" t="str">
        <f t="shared" si="64"/>
        <v/>
      </c>
    </row>
    <row r="1872" spans="1:11" ht="30" customHeight="1" x14ac:dyDescent="0.2">
      <c r="A1872" s="242"/>
      <c r="F1872" s="285" t="str">
        <f t="shared" si="65"/>
        <v/>
      </c>
      <c r="K1872" s="246" t="str">
        <f t="shared" si="64"/>
        <v/>
      </c>
    </row>
    <row r="1873" spans="1:11" ht="30" customHeight="1" x14ac:dyDescent="0.2">
      <c r="A1873" s="242"/>
      <c r="F1873" s="285" t="str">
        <f t="shared" si="65"/>
        <v/>
      </c>
      <c r="K1873" s="246" t="str">
        <f t="shared" si="64"/>
        <v/>
      </c>
    </row>
    <row r="1874" spans="1:11" ht="30" customHeight="1" x14ac:dyDescent="0.2">
      <c r="A1874" s="242"/>
      <c r="F1874" s="285" t="str">
        <f t="shared" si="65"/>
        <v/>
      </c>
      <c r="K1874" s="246" t="str">
        <f t="shared" si="64"/>
        <v/>
      </c>
    </row>
    <row r="1875" spans="1:11" ht="30" customHeight="1" x14ac:dyDescent="0.2">
      <c r="A1875" s="242"/>
      <c r="F1875" s="285" t="str">
        <f t="shared" si="65"/>
        <v/>
      </c>
      <c r="K1875" s="246" t="str">
        <f t="shared" si="64"/>
        <v/>
      </c>
    </row>
    <row r="1876" spans="1:11" ht="30" customHeight="1" x14ac:dyDescent="0.2">
      <c r="A1876" s="242"/>
      <c r="F1876" s="285" t="str">
        <f t="shared" si="65"/>
        <v/>
      </c>
      <c r="K1876" s="246" t="str">
        <f t="shared" si="64"/>
        <v/>
      </c>
    </row>
    <row r="1877" spans="1:11" ht="30" customHeight="1" x14ac:dyDescent="0.2">
      <c r="A1877" s="242"/>
      <c r="F1877" s="285" t="str">
        <f t="shared" si="65"/>
        <v/>
      </c>
      <c r="K1877" s="246" t="str">
        <f t="shared" si="64"/>
        <v/>
      </c>
    </row>
    <row r="1878" spans="1:11" ht="30" customHeight="1" x14ac:dyDescent="0.2">
      <c r="A1878" s="242"/>
      <c r="F1878" s="285" t="str">
        <f t="shared" si="65"/>
        <v/>
      </c>
      <c r="K1878" s="246" t="str">
        <f t="shared" si="64"/>
        <v/>
      </c>
    </row>
    <row r="1879" spans="1:11" ht="30" customHeight="1" x14ac:dyDescent="0.2">
      <c r="A1879" s="242"/>
      <c r="F1879" s="285" t="str">
        <f t="shared" si="65"/>
        <v/>
      </c>
      <c r="K1879" s="246" t="str">
        <f t="shared" si="64"/>
        <v/>
      </c>
    </row>
    <row r="1880" spans="1:11" ht="30" customHeight="1" x14ac:dyDescent="0.2">
      <c r="A1880" s="242"/>
      <c r="F1880" s="285" t="str">
        <f t="shared" si="65"/>
        <v/>
      </c>
      <c r="K1880" s="246" t="str">
        <f t="shared" si="64"/>
        <v/>
      </c>
    </row>
    <row r="1881" spans="1:11" ht="30" customHeight="1" x14ac:dyDescent="0.2">
      <c r="A1881" s="242"/>
      <c r="F1881" s="285" t="str">
        <f t="shared" si="65"/>
        <v/>
      </c>
      <c r="K1881" s="246" t="str">
        <f t="shared" si="64"/>
        <v/>
      </c>
    </row>
    <row r="1882" spans="1:11" ht="30" customHeight="1" x14ac:dyDescent="0.2">
      <c r="A1882" s="242"/>
      <c r="F1882" s="285" t="str">
        <f t="shared" si="65"/>
        <v/>
      </c>
      <c r="K1882" s="246" t="str">
        <f t="shared" si="64"/>
        <v/>
      </c>
    </row>
    <row r="1883" spans="1:11" ht="30" customHeight="1" x14ac:dyDescent="0.2">
      <c r="A1883" s="242"/>
      <c r="F1883" s="285" t="str">
        <f t="shared" si="65"/>
        <v/>
      </c>
      <c r="K1883" s="246" t="str">
        <f t="shared" si="64"/>
        <v/>
      </c>
    </row>
    <row r="1884" spans="1:11" ht="30" customHeight="1" x14ac:dyDescent="0.2">
      <c r="A1884" s="242"/>
      <c r="F1884" s="285" t="str">
        <f t="shared" si="65"/>
        <v/>
      </c>
      <c r="K1884" s="246" t="str">
        <f t="shared" si="64"/>
        <v/>
      </c>
    </row>
    <row r="1885" spans="1:11" ht="30" customHeight="1" x14ac:dyDescent="0.2">
      <c r="A1885" s="242"/>
      <c r="F1885" s="285" t="str">
        <f t="shared" si="65"/>
        <v/>
      </c>
      <c r="K1885" s="246" t="str">
        <f t="shared" si="64"/>
        <v/>
      </c>
    </row>
    <row r="1886" spans="1:11" ht="30" customHeight="1" x14ac:dyDescent="0.2">
      <c r="A1886" s="242"/>
      <c r="F1886" s="285" t="str">
        <f t="shared" si="65"/>
        <v/>
      </c>
      <c r="K1886" s="246" t="str">
        <f t="shared" si="64"/>
        <v/>
      </c>
    </row>
    <row r="1887" spans="1:11" ht="30" customHeight="1" x14ac:dyDescent="0.2">
      <c r="A1887" s="242"/>
      <c r="F1887" s="285" t="str">
        <f t="shared" si="65"/>
        <v/>
      </c>
      <c r="K1887" s="246" t="str">
        <f t="shared" si="64"/>
        <v/>
      </c>
    </row>
    <row r="1888" spans="1:11" ht="30" customHeight="1" x14ac:dyDescent="0.2">
      <c r="A1888" s="242"/>
      <c r="F1888" s="285" t="str">
        <f t="shared" si="65"/>
        <v/>
      </c>
      <c r="K1888" s="246" t="str">
        <f t="shared" si="64"/>
        <v/>
      </c>
    </row>
    <row r="1889" spans="1:11" ht="30" customHeight="1" x14ac:dyDescent="0.2">
      <c r="A1889" s="242"/>
      <c r="F1889" s="285" t="str">
        <f t="shared" si="65"/>
        <v/>
      </c>
      <c r="K1889" s="246" t="str">
        <f t="shared" si="64"/>
        <v/>
      </c>
    </row>
    <row r="1890" spans="1:11" ht="30" customHeight="1" x14ac:dyDescent="0.2">
      <c r="A1890" s="242"/>
      <c r="F1890" s="285" t="str">
        <f t="shared" si="65"/>
        <v/>
      </c>
      <c r="K1890" s="246" t="str">
        <f t="shared" si="64"/>
        <v/>
      </c>
    </row>
    <row r="1891" spans="1:11" ht="30" customHeight="1" x14ac:dyDescent="0.2">
      <c r="A1891" s="242"/>
      <c r="F1891" s="285" t="str">
        <f t="shared" si="65"/>
        <v/>
      </c>
      <c r="K1891" s="246" t="str">
        <f t="shared" si="64"/>
        <v/>
      </c>
    </row>
    <row r="1892" spans="1:11" ht="30" customHeight="1" x14ac:dyDescent="0.2">
      <c r="A1892" s="242"/>
      <c r="F1892" s="285" t="str">
        <f t="shared" si="65"/>
        <v/>
      </c>
      <c r="K1892" s="246" t="str">
        <f t="shared" si="64"/>
        <v/>
      </c>
    </row>
    <row r="1893" spans="1:11" ht="30" customHeight="1" x14ac:dyDescent="0.2">
      <c r="A1893" s="242"/>
      <c r="F1893" s="285" t="str">
        <f t="shared" si="65"/>
        <v/>
      </c>
      <c r="K1893" s="246" t="str">
        <f t="shared" si="64"/>
        <v/>
      </c>
    </row>
    <row r="1894" spans="1:11" ht="30" customHeight="1" x14ac:dyDescent="0.2">
      <c r="A1894" s="242"/>
      <c r="F1894" s="285" t="str">
        <f t="shared" si="65"/>
        <v/>
      </c>
      <c r="K1894" s="246" t="str">
        <f t="shared" si="64"/>
        <v/>
      </c>
    </row>
    <row r="1895" spans="1:11" ht="30" customHeight="1" x14ac:dyDescent="0.2">
      <c r="A1895" s="242"/>
      <c r="F1895" s="285" t="str">
        <f t="shared" si="65"/>
        <v/>
      </c>
      <c r="K1895" s="246" t="str">
        <f t="shared" si="64"/>
        <v/>
      </c>
    </row>
    <row r="1896" spans="1:11" ht="30" customHeight="1" x14ac:dyDescent="0.2">
      <c r="A1896" s="242"/>
      <c r="F1896" s="285" t="str">
        <f t="shared" si="65"/>
        <v/>
      </c>
      <c r="K1896" s="246" t="str">
        <f t="shared" si="64"/>
        <v/>
      </c>
    </row>
    <row r="1897" spans="1:11" ht="30" customHeight="1" x14ac:dyDescent="0.2">
      <c r="A1897" s="242"/>
      <c r="F1897" s="285" t="str">
        <f t="shared" si="65"/>
        <v/>
      </c>
      <c r="K1897" s="246" t="str">
        <f t="shared" si="64"/>
        <v/>
      </c>
    </row>
    <row r="1898" spans="1:11" ht="30" customHeight="1" x14ac:dyDescent="0.2">
      <c r="A1898" s="242"/>
      <c r="F1898" s="285" t="str">
        <f t="shared" si="65"/>
        <v/>
      </c>
      <c r="K1898" s="246" t="str">
        <f t="shared" si="64"/>
        <v/>
      </c>
    </row>
    <row r="1899" spans="1:11" ht="30" customHeight="1" x14ac:dyDescent="0.2">
      <c r="A1899" s="242"/>
      <c r="F1899" s="285" t="str">
        <f t="shared" si="65"/>
        <v/>
      </c>
      <c r="K1899" s="246" t="str">
        <f t="shared" si="64"/>
        <v/>
      </c>
    </row>
    <row r="1900" spans="1:11" ht="30" customHeight="1" x14ac:dyDescent="0.2">
      <c r="A1900" s="242"/>
      <c r="F1900" s="285" t="str">
        <f t="shared" si="65"/>
        <v/>
      </c>
      <c r="K1900" s="246" t="str">
        <f t="shared" si="64"/>
        <v/>
      </c>
    </row>
    <row r="1901" spans="1:11" ht="30" customHeight="1" x14ac:dyDescent="0.2">
      <c r="A1901" s="242"/>
      <c r="F1901" s="285" t="str">
        <f t="shared" si="65"/>
        <v/>
      </c>
      <c r="K1901" s="246" t="str">
        <f t="shared" si="64"/>
        <v/>
      </c>
    </row>
    <row r="1902" spans="1:11" ht="30" customHeight="1" x14ac:dyDescent="0.2">
      <c r="A1902" s="242"/>
      <c r="F1902" s="285" t="str">
        <f t="shared" si="65"/>
        <v/>
      </c>
      <c r="K1902" s="246" t="str">
        <f t="shared" si="64"/>
        <v/>
      </c>
    </row>
    <row r="1903" spans="1:11" ht="30" customHeight="1" x14ac:dyDescent="0.2">
      <c r="A1903" s="242"/>
      <c r="F1903" s="285" t="str">
        <f t="shared" si="65"/>
        <v/>
      </c>
      <c r="K1903" s="246" t="str">
        <f t="shared" si="64"/>
        <v/>
      </c>
    </row>
    <row r="1904" spans="1:11" ht="30" customHeight="1" x14ac:dyDescent="0.2">
      <c r="A1904" s="242"/>
      <c r="F1904" s="285" t="str">
        <f t="shared" si="65"/>
        <v/>
      </c>
      <c r="K1904" s="246" t="str">
        <f t="shared" si="64"/>
        <v/>
      </c>
    </row>
    <row r="1905" spans="1:11" ht="30" customHeight="1" x14ac:dyDescent="0.2">
      <c r="A1905" s="242"/>
      <c r="F1905" s="285" t="str">
        <f t="shared" si="65"/>
        <v/>
      </c>
      <c r="K1905" s="246" t="str">
        <f t="shared" si="64"/>
        <v/>
      </c>
    </row>
    <row r="1906" spans="1:11" ht="30" customHeight="1" x14ac:dyDescent="0.2">
      <c r="A1906" s="242"/>
      <c r="F1906" s="285" t="str">
        <f t="shared" si="65"/>
        <v/>
      </c>
      <c r="K1906" s="246" t="str">
        <f t="shared" si="64"/>
        <v/>
      </c>
    </row>
    <row r="1907" spans="1:11" ht="30" customHeight="1" x14ac:dyDescent="0.2">
      <c r="A1907" s="242"/>
      <c r="F1907" s="285" t="str">
        <f t="shared" si="65"/>
        <v/>
      </c>
      <c r="K1907" s="246" t="str">
        <f t="shared" si="64"/>
        <v/>
      </c>
    </row>
    <row r="1908" spans="1:11" ht="30" customHeight="1" x14ac:dyDescent="0.2">
      <c r="A1908" s="242"/>
      <c r="F1908" s="285" t="str">
        <f t="shared" si="65"/>
        <v/>
      </c>
      <c r="K1908" s="246" t="str">
        <f t="shared" si="64"/>
        <v/>
      </c>
    </row>
    <row r="1909" spans="1:11" ht="30" customHeight="1" x14ac:dyDescent="0.2">
      <c r="A1909" s="242"/>
      <c r="F1909" s="285" t="str">
        <f t="shared" si="65"/>
        <v/>
      </c>
      <c r="K1909" s="246" t="str">
        <f t="shared" si="64"/>
        <v/>
      </c>
    </row>
    <row r="1910" spans="1:11" ht="30" customHeight="1" x14ac:dyDescent="0.2">
      <c r="A1910" s="242"/>
      <c r="F1910" s="285" t="str">
        <f t="shared" si="65"/>
        <v/>
      </c>
      <c r="K1910" s="246" t="str">
        <f t="shared" si="64"/>
        <v/>
      </c>
    </row>
    <row r="1911" spans="1:11" ht="30" customHeight="1" x14ac:dyDescent="0.2">
      <c r="A1911" s="242"/>
      <c r="F1911" s="285" t="str">
        <f t="shared" si="65"/>
        <v/>
      </c>
      <c r="K1911" s="246" t="str">
        <f t="shared" si="64"/>
        <v/>
      </c>
    </row>
    <row r="1912" spans="1:11" ht="30" customHeight="1" x14ac:dyDescent="0.2">
      <c r="A1912" s="242"/>
      <c r="F1912" s="285" t="str">
        <f t="shared" si="65"/>
        <v/>
      </c>
      <c r="K1912" s="246" t="str">
        <f t="shared" si="64"/>
        <v/>
      </c>
    </row>
    <row r="1913" spans="1:11" ht="30" customHeight="1" x14ac:dyDescent="0.2">
      <c r="A1913" s="242"/>
      <c r="F1913" s="285" t="str">
        <f t="shared" si="65"/>
        <v/>
      </c>
      <c r="K1913" s="246" t="str">
        <f t="shared" si="64"/>
        <v/>
      </c>
    </row>
    <row r="1914" spans="1:11" ht="30" customHeight="1" x14ac:dyDescent="0.2">
      <c r="A1914" s="242"/>
      <c r="F1914" s="285" t="str">
        <f t="shared" si="65"/>
        <v/>
      </c>
      <c r="K1914" s="246" t="str">
        <f t="shared" si="64"/>
        <v/>
      </c>
    </row>
    <row r="1915" spans="1:11" ht="30" customHeight="1" x14ac:dyDescent="0.2">
      <c r="A1915" s="242"/>
      <c r="F1915" s="285" t="str">
        <f t="shared" si="65"/>
        <v/>
      </c>
      <c r="K1915" s="246" t="str">
        <f t="shared" ref="K1915:K1978" si="66">IF(A1915="","",A1915)</f>
        <v/>
      </c>
    </row>
    <row r="1916" spans="1:11" ht="30" customHeight="1" x14ac:dyDescent="0.2">
      <c r="A1916" s="242"/>
      <c r="F1916" s="285" t="str">
        <f t="shared" si="65"/>
        <v/>
      </c>
      <c r="K1916" s="246" t="str">
        <f t="shared" si="66"/>
        <v/>
      </c>
    </row>
    <row r="1917" spans="1:11" ht="30" customHeight="1" x14ac:dyDescent="0.2">
      <c r="A1917" s="242"/>
      <c r="F1917" s="285" t="str">
        <f t="shared" si="65"/>
        <v/>
      </c>
      <c r="K1917" s="246" t="str">
        <f t="shared" si="66"/>
        <v/>
      </c>
    </row>
    <row r="1918" spans="1:11" ht="30" customHeight="1" x14ac:dyDescent="0.2">
      <c r="A1918" s="242"/>
      <c r="F1918" s="285" t="str">
        <f t="shared" si="65"/>
        <v/>
      </c>
      <c r="K1918" s="246" t="str">
        <f t="shared" si="66"/>
        <v/>
      </c>
    </row>
    <row r="1919" spans="1:11" ht="30" customHeight="1" x14ac:dyDescent="0.2">
      <c r="A1919" s="242"/>
      <c r="F1919" s="285" t="str">
        <f t="shared" si="65"/>
        <v/>
      </c>
      <c r="K1919" s="246" t="str">
        <f t="shared" si="66"/>
        <v/>
      </c>
    </row>
    <row r="1920" spans="1:11" ht="30" customHeight="1" x14ac:dyDescent="0.2">
      <c r="A1920" s="242"/>
      <c r="F1920" s="285" t="str">
        <f t="shared" si="65"/>
        <v/>
      </c>
      <c r="K1920" s="246" t="str">
        <f t="shared" si="66"/>
        <v/>
      </c>
    </row>
    <row r="1921" spans="1:11" ht="30" customHeight="1" x14ac:dyDescent="0.2">
      <c r="A1921" s="242"/>
      <c r="F1921" s="285" t="str">
        <f t="shared" si="65"/>
        <v/>
      </c>
      <c r="K1921" s="246" t="str">
        <f t="shared" si="66"/>
        <v/>
      </c>
    </row>
    <row r="1922" spans="1:11" ht="30" customHeight="1" x14ac:dyDescent="0.2">
      <c r="A1922" s="242"/>
      <c r="F1922" s="285" t="str">
        <f t="shared" si="65"/>
        <v/>
      </c>
      <c r="K1922" s="246" t="str">
        <f t="shared" si="66"/>
        <v/>
      </c>
    </row>
    <row r="1923" spans="1:11" ht="30" customHeight="1" x14ac:dyDescent="0.2">
      <c r="A1923" s="242"/>
      <c r="F1923" s="285" t="str">
        <f t="shared" si="65"/>
        <v/>
      </c>
      <c r="K1923" s="246" t="str">
        <f t="shared" si="66"/>
        <v/>
      </c>
    </row>
    <row r="1924" spans="1:11" ht="30" customHeight="1" x14ac:dyDescent="0.2">
      <c r="A1924" s="242"/>
      <c r="F1924" s="285" t="str">
        <f t="shared" si="65"/>
        <v/>
      </c>
      <c r="K1924" s="246" t="str">
        <f t="shared" si="66"/>
        <v/>
      </c>
    </row>
    <row r="1925" spans="1:11" ht="30" customHeight="1" x14ac:dyDescent="0.2">
      <c r="A1925" s="242"/>
      <c r="F1925" s="285" t="str">
        <f t="shared" ref="F1925:F1988" si="67">IF(A1925="","",A1925)</f>
        <v/>
      </c>
      <c r="K1925" s="246" t="str">
        <f t="shared" si="66"/>
        <v/>
      </c>
    </row>
    <row r="1926" spans="1:11" ht="30" customHeight="1" x14ac:dyDescent="0.2">
      <c r="A1926" s="242"/>
      <c r="F1926" s="285" t="str">
        <f t="shared" si="67"/>
        <v/>
      </c>
      <c r="K1926" s="246" t="str">
        <f t="shared" si="66"/>
        <v/>
      </c>
    </row>
    <row r="1927" spans="1:11" ht="30" customHeight="1" x14ac:dyDescent="0.2">
      <c r="A1927" s="242"/>
      <c r="F1927" s="285" t="str">
        <f t="shared" si="67"/>
        <v/>
      </c>
      <c r="K1927" s="246" t="str">
        <f t="shared" si="66"/>
        <v/>
      </c>
    </row>
    <row r="1928" spans="1:11" ht="30" customHeight="1" x14ac:dyDescent="0.2">
      <c r="A1928" s="242"/>
      <c r="F1928" s="285" t="str">
        <f t="shared" si="67"/>
        <v/>
      </c>
      <c r="K1928" s="246" t="str">
        <f t="shared" si="66"/>
        <v/>
      </c>
    </row>
    <row r="1929" spans="1:11" ht="30" customHeight="1" x14ac:dyDescent="0.2">
      <c r="A1929" s="242"/>
      <c r="F1929" s="285" t="str">
        <f t="shared" si="67"/>
        <v/>
      </c>
      <c r="K1929" s="246" t="str">
        <f t="shared" si="66"/>
        <v/>
      </c>
    </row>
    <row r="1930" spans="1:11" ht="30" customHeight="1" x14ac:dyDescent="0.2">
      <c r="A1930" s="242"/>
      <c r="F1930" s="285" t="str">
        <f t="shared" si="67"/>
        <v/>
      </c>
      <c r="K1930" s="246" t="str">
        <f t="shared" si="66"/>
        <v/>
      </c>
    </row>
    <row r="1931" spans="1:11" ht="30" customHeight="1" x14ac:dyDescent="0.2">
      <c r="A1931" s="242"/>
      <c r="F1931" s="285" t="str">
        <f t="shared" si="67"/>
        <v/>
      </c>
      <c r="K1931" s="246" t="str">
        <f t="shared" si="66"/>
        <v/>
      </c>
    </row>
    <row r="1932" spans="1:11" ht="30" customHeight="1" x14ac:dyDescent="0.2">
      <c r="A1932" s="242"/>
      <c r="F1932" s="285" t="str">
        <f t="shared" si="67"/>
        <v/>
      </c>
      <c r="K1932" s="246" t="str">
        <f t="shared" si="66"/>
        <v/>
      </c>
    </row>
    <row r="1933" spans="1:11" ht="30" customHeight="1" x14ac:dyDescent="0.2">
      <c r="A1933" s="242"/>
      <c r="F1933" s="285" t="str">
        <f t="shared" si="67"/>
        <v/>
      </c>
      <c r="K1933" s="246" t="str">
        <f t="shared" si="66"/>
        <v/>
      </c>
    </row>
    <row r="1934" spans="1:11" ht="30" customHeight="1" x14ac:dyDescent="0.2">
      <c r="A1934" s="242"/>
      <c r="F1934" s="285" t="str">
        <f t="shared" si="67"/>
        <v/>
      </c>
      <c r="K1934" s="246" t="str">
        <f t="shared" si="66"/>
        <v/>
      </c>
    </row>
    <row r="1935" spans="1:11" ht="30" customHeight="1" x14ac:dyDescent="0.2">
      <c r="A1935" s="242"/>
      <c r="F1935" s="285" t="str">
        <f t="shared" si="67"/>
        <v/>
      </c>
      <c r="K1935" s="246" t="str">
        <f t="shared" si="66"/>
        <v/>
      </c>
    </row>
    <row r="1936" spans="1:11" ht="30" customHeight="1" x14ac:dyDescent="0.2">
      <c r="A1936" s="242"/>
      <c r="F1936" s="285" t="str">
        <f t="shared" si="67"/>
        <v/>
      </c>
      <c r="K1936" s="246" t="str">
        <f t="shared" si="66"/>
        <v/>
      </c>
    </row>
    <row r="1937" spans="1:11" ht="30" customHeight="1" x14ac:dyDescent="0.2">
      <c r="A1937" s="242"/>
      <c r="F1937" s="285" t="str">
        <f t="shared" si="67"/>
        <v/>
      </c>
      <c r="K1937" s="246" t="str">
        <f t="shared" si="66"/>
        <v/>
      </c>
    </row>
    <row r="1938" spans="1:11" ht="30" customHeight="1" x14ac:dyDescent="0.2">
      <c r="A1938" s="242"/>
      <c r="F1938" s="285" t="str">
        <f t="shared" si="67"/>
        <v/>
      </c>
      <c r="K1938" s="246" t="str">
        <f t="shared" si="66"/>
        <v/>
      </c>
    </row>
    <row r="1939" spans="1:11" ht="30" customHeight="1" x14ac:dyDescent="0.2">
      <c r="A1939" s="242"/>
      <c r="F1939" s="285" t="str">
        <f t="shared" si="67"/>
        <v/>
      </c>
      <c r="K1939" s="246" t="str">
        <f t="shared" si="66"/>
        <v/>
      </c>
    </row>
    <row r="1940" spans="1:11" ht="30" customHeight="1" x14ac:dyDescent="0.2">
      <c r="A1940" s="242"/>
      <c r="F1940" s="285" t="str">
        <f t="shared" si="67"/>
        <v/>
      </c>
      <c r="K1940" s="246" t="str">
        <f t="shared" si="66"/>
        <v/>
      </c>
    </row>
    <row r="1941" spans="1:11" ht="30" customHeight="1" x14ac:dyDescent="0.2">
      <c r="A1941" s="242"/>
      <c r="F1941" s="285" t="str">
        <f t="shared" si="67"/>
        <v/>
      </c>
      <c r="K1941" s="246" t="str">
        <f t="shared" si="66"/>
        <v/>
      </c>
    </row>
    <row r="1942" spans="1:11" ht="30" customHeight="1" x14ac:dyDescent="0.2">
      <c r="A1942" s="242"/>
      <c r="F1942" s="285" t="str">
        <f t="shared" si="67"/>
        <v/>
      </c>
      <c r="K1942" s="246" t="str">
        <f t="shared" si="66"/>
        <v/>
      </c>
    </row>
    <row r="1943" spans="1:11" ht="30" customHeight="1" x14ac:dyDescent="0.2">
      <c r="A1943" s="242"/>
      <c r="F1943" s="285" t="str">
        <f t="shared" si="67"/>
        <v/>
      </c>
      <c r="K1943" s="246" t="str">
        <f t="shared" si="66"/>
        <v/>
      </c>
    </row>
    <row r="1944" spans="1:11" ht="30" customHeight="1" x14ac:dyDescent="0.2">
      <c r="A1944" s="242"/>
      <c r="F1944" s="285" t="str">
        <f t="shared" si="67"/>
        <v/>
      </c>
      <c r="K1944" s="246" t="str">
        <f t="shared" si="66"/>
        <v/>
      </c>
    </row>
    <row r="1945" spans="1:11" ht="30" customHeight="1" x14ac:dyDescent="0.2">
      <c r="A1945" s="242"/>
      <c r="F1945" s="285" t="str">
        <f t="shared" si="67"/>
        <v/>
      </c>
      <c r="K1945" s="246" t="str">
        <f t="shared" si="66"/>
        <v/>
      </c>
    </row>
    <row r="1946" spans="1:11" ht="30" customHeight="1" x14ac:dyDescent="0.2">
      <c r="A1946" s="242"/>
      <c r="F1946" s="285" t="str">
        <f t="shared" si="67"/>
        <v/>
      </c>
      <c r="K1946" s="246" t="str">
        <f t="shared" si="66"/>
        <v/>
      </c>
    </row>
    <row r="1947" spans="1:11" ht="30" customHeight="1" x14ac:dyDescent="0.2">
      <c r="A1947" s="242"/>
      <c r="F1947" s="285" t="str">
        <f t="shared" si="67"/>
        <v/>
      </c>
      <c r="K1947" s="246" t="str">
        <f t="shared" si="66"/>
        <v/>
      </c>
    </row>
    <row r="1948" spans="1:11" ht="30" customHeight="1" x14ac:dyDescent="0.2">
      <c r="A1948" s="242"/>
      <c r="F1948" s="285" t="str">
        <f t="shared" si="67"/>
        <v/>
      </c>
      <c r="K1948" s="246" t="str">
        <f t="shared" si="66"/>
        <v/>
      </c>
    </row>
    <row r="1949" spans="1:11" ht="30" customHeight="1" x14ac:dyDescent="0.2">
      <c r="A1949" s="242"/>
      <c r="F1949" s="285" t="str">
        <f t="shared" si="67"/>
        <v/>
      </c>
      <c r="K1949" s="246" t="str">
        <f t="shared" si="66"/>
        <v/>
      </c>
    </row>
    <row r="1950" spans="1:11" ht="30" customHeight="1" x14ac:dyDescent="0.2">
      <c r="A1950" s="242"/>
      <c r="F1950" s="285" t="str">
        <f t="shared" si="67"/>
        <v/>
      </c>
      <c r="K1950" s="246" t="str">
        <f t="shared" si="66"/>
        <v/>
      </c>
    </row>
    <row r="1951" spans="1:11" ht="30" customHeight="1" x14ac:dyDescent="0.2">
      <c r="A1951" s="242"/>
      <c r="F1951" s="285" t="str">
        <f t="shared" si="67"/>
        <v/>
      </c>
      <c r="K1951" s="246" t="str">
        <f t="shared" si="66"/>
        <v/>
      </c>
    </row>
    <row r="1952" spans="1:11" ht="30" customHeight="1" x14ac:dyDescent="0.2">
      <c r="A1952" s="242"/>
      <c r="F1952" s="285" t="str">
        <f t="shared" si="67"/>
        <v/>
      </c>
      <c r="K1952" s="246" t="str">
        <f t="shared" si="66"/>
        <v/>
      </c>
    </row>
    <row r="1953" spans="1:11" ht="30" customHeight="1" x14ac:dyDescent="0.2">
      <c r="A1953" s="242"/>
      <c r="F1953" s="285" t="str">
        <f t="shared" si="67"/>
        <v/>
      </c>
      <c r="K1953" s="246" t="str">
        <f t="shared" si="66"/>
        <v/>
      </c>
    </row>
    <row r="1954" spans="1:11" ht="30" customHeight="1" x14ac:dyDescent="0.2">
      <c r="A1954" s="242"/>
      <c r="F1954" s="285" t="str">
        <f t="shared" si="67"/>
        <v/>
      </c>
      <c r="K1954" s="246" t="str">
        <f t="shared" si="66"/>
        <v/>
      </c>
    </row>
    <row r="1955" spans="1:11" ht="30" customHeight="1" x14ac:dyDescent="0.2">
      <c r="A1955" s="242"/>
      <c r="F1955" s="285" t="str">
        <f t="shared" si="67"/>
        <v/>
      </c>
      <c r="K1955" s="246" t="str">
        <f t="shared" si="66"/>
        <v/>
      </c>
    </row>
    <row r="1956" spans="1:11" ht="30" customHeight="1" x14ac:dyDescent="0.2">
      <c r="A1956" s="242"/>
      <c r="F1956" s="285" t="str">
        <f t="shared" si="67"/>
        <v/>
      </c>
      <c r="K1956" s="246" t="str">
        <f t="shared" si="66"/>
        <v/>
      </c>
    </row>
    <row r="1957" spans="1:11" ht="30" customHeight="1" x14ac:dyDescent="0.2">
      <c r="A1957" s="242"/>
      <c r="F1957" s="285" t="str">
        <f t="shared" si="67"/>
        <v/>
      </c>
      <c r="K1957" s="246" t="str">
        <f t="shared" si="66"/>
        <v/>
      </c>
    </row>
    <row r="1958" spans="1:11" ht="30" customHeight="1" x14ac:dyDescent="0.2">
      <c r="A1958" s="242"/>
      <c r="F1958" s="285" t="str">
        <f t="shared" si="67"/>
        <v/>
      </c>
      <c r="K1958" s="246" t="str">
        <f t="shared" si="66"/>
        <v/>
      </c>
    </row>
    <row r="1959" spans="1:11" ht="30" customHeight="1" x14ac:dyDescent="0.2">
      <c r="A1959" s="242"/>
      <c r="F1959" s="285" t="str">
        <f t="shared" si="67"/>
        <v/>
      </c>
      <c r="K1959" s="246" t="str">
        <f t="shared" si="66"/>
        <v/>
      </c>
    </row>
    <row r="1960" spans="1:11" ht="30" customHeight="1" x14ac:dyDescent="0.2">
      <c r="A1960" s="242"/>
      <c r="F1960" s="285" t="str">
        <f t="shared" si="67"/>
        <v/>
      </c>
      <c r="K1960" s="246" t="str">
        <f t="shared" si="66"/>
        <v/>
      </c>
    </row>
    <row r="1961" spans="1:11" ht="30" customHeight="1" x14ac:dyDescent="0.2">
      <c r="A1961" s="242"/>
      <c r="F1961" s="285" t="str">
        <f t="shared" si="67"/>
        <v/>
      </c>
      <c r="K1961" s="246" t="str">
        <f t="shared" si="66"/>
        <v/>
      </c>
    </row>
    <row r="1962" spans="1:11" ht="30" customHeight="1" x14ac:dyDescent="0.2">
      <c r="A1962" s="242"/>
      <c r="F1962" s="285" t="str">
        <f t="shared" si="67"/>
        <v/>
      </c>
      <c r="K1962" s="246" t="str">
        <f t="shared" si="66"/>
        <v/>
      </c>
    </row>
    <row r="1963" spans="1:11" ht="30" customHeight="1" x14ac:dyDescent="0.2">
      <c r="A1963" s="242"/>
      <c r="F1963" s="285" t="str">
        <f t="shared" si="67"/>
        <v/>
      </c>
      <c r="K1963" s="246" t="str">
        <f t="shared" si="66"/>
        <v/>
      </c>
    </row>
    <row r="1964" spans="1:11" ht="30" customHeight="1" x14ac:dyDescent="0.2">
      <c r="A1964" s="242"/>
      <c r="F1964" s="285" t="str">
        <f t="shared" si="67"/>
        <v/>
      </c>
      <c r="K1964" s="246" t="str">
        <f t="shared" si="66"/>
        <v/>
      </c>
    </row>
    <row r="1965" spans="1:11" ht="30" customHeight="1" x14ac:dyDescent="0.2">
      <c r="A1965" s="242"/>
      <c r="F1965" s="285" t="str">
        <f t="shared" si="67"/>
        <v/>
      </c>
      <c r="K1965" s="246" t="str">
        <f t="shared" si="66"/>
        <v/>
      </c>
    </row>
    <row r="1966" spans="1:11" ht="30" customHeight="1" x14ac:dyDescent="0.2">
      <c r="A1966" s="242"/>
      <c r="F1966" s="285" t="str">
        <f t="shared" si="67"/>
        <v/>
      </c>
      <c r="K1966" s="246" t="str">
        <f t="shared" si="66"/>
        <v/>
      </c>
    </row>
    <row r="1967" spans="1:11" ht="30" customHeight="1" x14ac:dyDescent="0.2">
      <c r="A1967" s="242"/>
      <c r="F1967" s="285" t="str">
        <f t="shared" si="67"/>
        <v/>
      </c>
      <c r="K1967" s="246" t="str">
        <f t="shared" si="66"/>
        <v/>
      </c>
    </row>
    <row r="1968" spans="1:11" ht="30" customHeight="1" x14ac:dyDescent="0.2">
      <c r="A1968" s="242"/>
      <c r="F1968" s="285" t="str">
        <f t="shared" si="67"/>
        <v/>
      </c>
      <c r="K1968" s="246" t="str">
        <f t="shared" si="66"/>
        <v/>
      </c>
    </row>
    <row r="1969" spans="1:11" ht="30" customHeight="1" x14ac:dyDescent="0.2">
      <c r="A1969" s="242"/>
      <c r="F1969" s="285" t="str">
        <f t="shared" si="67"/>
        <v/>
      </c>
      <c r="K1969" s="246" t="str">
        <f t="shared" si="66"/>
        <v/>
      </c>
    </row>
    <row r="1970" spans="1:11" ht="30" customHeight="1" x14ac:dyDescent="0.2">
      <c r="A1970" s="242"/>
      <c r="F1970" s="285" t="str">
        <f t="shared" si="67"/>
        <v/>
      </c>
      <c r="K1970" s="246" t="str">
        <f t="shared" si="66"/>
        <v/>
      </c>
    </row>
    <row r="1971" spans="1:11" ht="30" customHeight="1" x14ac:dyDescent="0.2">
      <c r="A1971" s="242"/>
      <c r="F1971" s="285" t="str">
        <f t="shared" si="67"/>
        <v/>
      </c>
      <c r="K1971" s="246" t="str">
        <f t="shared" si="66"/>
        <v/>
      </c>
    </row>
    <row r="1972" spans="1:11" ht="30" customHeight="1" x14ac:dyDescent="0.2">
      <c r="A1972" s="242"/>
      <c r="F1972" s="285" t="str">
        <f t="shared" si="67"/>
        <v/>
      </c>
      <c r="K1972" s="246" t="str">
        <f t="shared" si="66"/>
        <v/>
      </c>
    </row>
    <row r="1973" spans="1:11" ht="30" customHeight="1" x14ac:dyDescent="0.2">
      <c r="A1973" s="242"/>
      <c r="F1973" s="285" t="str">
        <f t="shared" si="67"/>
        <v/>
      </c>
      <c r="K1973" s="246" t="str">
        <f t="shared" si="66"/>
        <v/>
      </c>
    </row>
    <row r="1974" spans="1:11" ht="30" customHeight="1" x14ac:dyDescent="0.2">
      <c r="A1974" s="242"/>
      <c r="F1974" s="285" t="str">
        <f t="shared" si="67"/>
        <v/>
      </c>
      <c r="K1974" s="246" t="str">
        <f t="shared" si="66"/>
        <v/>
      </c>
    </row>
    <row r="1975" spans="1:11" ht="30" customHeight="1" x14ac:dyDescent="0.2">
      <c r="A1975" s="242"/>
      <c r="F1975" s="285" t="str">
        <f t="shared" si="67"/>
        <v/>
      </c>
      <c r="K1975" s="246" t="str">
        <f t="shared" si="66"/>
        <v/>
      </c>
    </row>
    <row r="1976" spans="1:11" ht="30" customHeight="1" x14ac:dyDescent="0.2">
      <c r="A1976" s="242"/>
      <c r="F1976" s="285" t="str">
        <f t="shared" si="67"/>
        <v/>
      </c>
      <c r="K1976" s="246" t="str">
        <f t="shared" si="66"/>
        <v/>
      </c>
    </row>
    <row r="1977" spans="1:11" ht="30" customHeight="1" x14ac:dyDescent="0.2">
      <c r="A1977" s="242"/>
      <c r="F1977" s="285" t="str">
        <f t="shared" si="67"/>
        <v/>
      </c>
      <c r="K1977" s="246" t="str">
        <f t="shared" si="66"/>
        <v/>
      </c>
    </row>
    <row r="1978" spans="1:11" ht="30" customHeight="1" x14ac:dyDescent="0.2">
      <c r="A1978" s="242"/>
      <c r="F1978" s="285" t="str">
        <f t="shared" si="67"/>
        <v/>
      </c>
      <c r="K1978" s="246" t="str">
        <f t="shared" si="66"/>
        <v/>
      </c>
    </row>
    <row r="1979" spans="1:11" ht="30" customHeight="1" x14ac:dyDescent="0.2">
      <c r="A1979" s="242"/>
      <c r="F1979" s="285" t="str">
        <f t="shared" si="67"/>
        <v/>
      </c>
      <c r="K1979" s="246" t="str">
        <f t="shared" ref="K1979:K2042" si="68">IF(A1979="","",A1979)</f>
        <v/>
      </c>
    </row>
    <row r="1980" spans="1:11" ht="30" customHeight="1" x14ac:dyDescent="0.2">
      <c r="A1980" s="242"/>
      <c r="F1980" s="285" t="str">
        <f t="shared" si="67"/>
        <v/>
      </c>
      <c r="K1980" s="246" t="str">
        <f t="shared" si="68"/>
        <v/>
      </c>
    </row>
    <row r="1981" spans="1:11" ht="30" customHeight="1" x14ac:dyDescent="0.2">
      <c r="A1981" s="242"/>
      <c r="F1981" s="285" t="str">
        <f t="shared" si="67"/>
        <v/>
      </c>
      <c r="K1981" s="246" t="str">
        <f t="shared" si="68"/>
        <v/>
      </c>
    </row>
    <row r="1982" spans="1:11" ht="30" customHeight="1" x14ac:dyDescent="0.2">
      <c r="A1982" s="242"/>
      <c r="F1982" s="285" t="str">
        <f t="shared" si="67"/>
        <v/>
      </c>
      <c r="K1982" s="246" t="str">
        <f t="shared" si="68"/>
        <v/>
      </c>
    </row>
    <row r="1983" spans="1:11" ht="30" customHeight="1" x14ac:dyDescent="0.2">
      <c r="A1983" s="242"/>
      <c r="F1983" s="285" t="str">
        <f t="shared" si="67"/>
        <v/>
      </c>
      <c r="K1983" s="246" t="str">
        <f t="shared" si="68"/>
        <v/>
      </c>
    </row>
    <row r="1984" spans="1:11" ht="30" customHeight="1" x14ac:dyDescent="0.2">
      <c r="A1984" s="242"/>
      <c r="F1984" s="285" t="str">
        <f t="shared" si="67"/>
        <v/>
      </c>
      <c r="K1984" s="246" t="str">
        <f t="shared" si="68"/>
        <v/>
      </c>
    </row>
    <row r="1985" spans="1:11" ht="30" customHeight="1" x14ac:dyDescent="0.2">
      <c r="A1985" s="242"/>
      <c r="F1985" s="285" t="str">
        <f t="shared" si="67"/>
        <v/>
      </c>
      <c r="K1985" s="246" t="str">
        <f t="shared" si="68"/>
        <v/>
      </c>
    </row>
    <row r="1986" spans="1:11" ht="30" customHeight="1" x14ac:dyDescent="0.2">
      <c r="A1986" s="242"/>
      <c r="F1986" s="285" t="str">
        <f t="shared" si="67"/>
        <v/>
      </c>
      <c r="K1986" s="246" t="str">
        <f t="shared" si="68"/>
        <v/>
      </c>
    </row>
    <row r="1987" spans="1:11" ht="30" customHeight="1" x14ac:dyDescent="0.2">
      <c r="A1987" s="242"/>
      <c r="F1987" s="285" t="str">
        <f t="shared" si="67"/>
        <v/>
      </c>
      <c r="K1987" s="246" t="str">
        <f t="shared" si="68"/>
        <v/>
      </c>
    </row>
    <row r="1988" spans="1:11" ht="30" customHeight="1" x14ac:dyDescent="0.2">
      <c r="A1988" s="242"/>
      <c r="F1988" s="285" t="str">
        <f t="shared" si="67"/>
        <v/>
      </c>
      <c r="K1988" s="246" t="str">
        <f t="shared" si="68"/>
        <v/>
      </c>
    </row>
    <row r="1989" spans="1:11" ht="30" customHeight="1" x14ac:dyDescent="0.2">
      <c r="A1989" s="242"/>
      <c r="F1989" s="285" t="str">
        <f t="shared" ref="F1989:F2052" si="69">IF(A1989="","",A1989)</f>
        <v/>
      </c>
      <c r="K1989" s="246" t="str">
        <f t="shared" si="68"/>
        <v/>
      </c>
    </row>
    <row r="1990" spans="1:11" ht="30" customHeight="1" x14ac:dyDescent="0.2">
      <c r="A1990" s="242"/>
      <c r="F1990" s="285" t="str">
        <f t="shared" si="69"/>
        <v/>
      </c>
      <c r="K1990" s="246" t="str">
        <f t="shared" si="68"/>
        <v/>
      </c>
    </row>
    <row r="1991" spans="1:11" ht="30" customHeight="1" x14ac:dyDescent="0.2">
      <c r="A1991" s="242"/>
      <c r="F1991" s="285" t="str">
        <f t="shared" si="69"/>
        <v/>
      </c>
      <c r="K1991" s="246" t="str">
        <f t="shared" si="68"/>
        <v/>
      </c>
    </row>
    <row r="1992" spans="1:11" ht="30" customHeight="1" x14ac:dyDescent="0.2">
      <c r="A1992" s="242"/>
      <c r="F1992" s="285" t="str">
        <f t="shared" si="69"/>
        <v/>
      </c>
      <c r="K1992" s="246" t="str">
        <f t="shared" si="68"/>
        <v/>
      </c>
    </row>
    <row r="1993" spans="1:11" ht="30" customHeight="1" x14ac:dyDescent="0.2">
      <c r="A1993" s="242"/>
      <c r="F1993" s="285" t="str">
        <f t="shared" si="69"/>
        <v/>
      </c>
      <c r="K1993" s="246" t="str">
        <f t="shared" si="68"/>
        <v/>
      </c>
    </row>
    <row r="1994" spans="1:11" ht="30" customHeight="1" x14ac:dyDescent="0.2">
      <c r="A1994" s="242"/>
      <c r="F1994" s="285" t="str">
        <f t="shared" si="69"/>
        <v/>
      </c>
      <c r="K1994" s="246" t="str">
        <f t="shared" si="68"/>
        <v/>
      </c>
    </row>
    <row r="1995" spans="1:11" ht="30" customHeight="1" x14ac:dyDescent="0.2">
      <c r="A1995" s="242"/>
      <c r="F1995" s="285" t="str">
        <f t="shared" si="69"/>
        <v/>
      </c>
      <c r="K1995" s="246" t="str">
        <f t="shared" si="68"/>
        <v/>
      </c>
    </row>
    <row r="1996" spans="1:11" ht="30" customHeight="1" x14ac:dyDescent="0.2">
      <c r="A1996" s="242"/>
      <c r="F1996" s="285" t="str">
        <f t="shared" si="69"/>
        <v/>
      </c>
      <c r="K1996" s="246" t="str">
        <f t="shared" si="68"/>
        <v/>
      </c>
    </row>
    <row r="1997" spans="1:11" ht="30" customHeight="1" x14ac:dyDescent="0.2">
      <c r="A1997" s="242"/>
      <c r="F1997" s="285" t="str">
        <f t="shared" si="69"/>
        <v/>
      </c>
      <c r="K1997" s="246" t="str">
        <f t="shared" si="68"/>
        <v/>
      </c>
    </row>
    <row r="1998" spans="1:11" ht="30" customHeight="1" x14ac:dyDescent="0.2">
      <c r="A1998" s="242"/>
      <c r="F1998" s="285" t="str">
        <f t="shared" si="69"/>
        <v/>
      </c>
      <c r="K1998" s="246" t="str">
        <f t="shared" si="68"/>
        <v/>
      </c>
    </row>
    <row r="1999" spans="1:11" ht="30" customHeight="1" x14ac:dyDescent="0.2">
      <c r="A1999" s="242"/>
      <c r="F1999" s="285" t="str">
        <f t="shared" si="69"/>
        <v/>
      </c>
      <c r="K1999" s="246" t="str">
        <f t="shared" si="68"/>
        <v/>
      </c>
    </row>
    <row r="2000" spans="1:11" ht="30" customHeight="1" x14ac:dyDescent="0.2">
      <c r="A2000" s="242"/>
      <c r="F2000" s="285" t="str">
        <f t="shared" si="69"/>
        <v/>
      </c>
      <c r="K2000" s="246" t="str">
        <f t="shared" si="68"/>
        <v/>
      </c>
    </row>
    <row r="2001" spans="1:11" ht="30" customHeight="1" x14ac:dyDescent="0.2">
      <c r="A2001" s="242"/>
      <c r="F2001" s="285" t="str">
        <f t="shared" si="69"/>
        <v/>
      </c>
      <c r="K2001" s="246" t="str">
        <f t="shared" si="68"/>
        <v/>
      </c>
    </row>
    <row r="2002" spans="1:11" ht="30" customHeight="1" x14ac:dyDescent="0.2">
      <c r="A2002" s="242"/>
      <c r="F2002" s="285" t="str">
        <f t="shared" si="69"/>
        <v/>
      </c>
      <c r="K2002" s="246" t="str">
        <f t="shared" si="68"/>
        <v/>
      </c>
    </row>
    <row r="2003" spans="1:11" ht="30" customHeight="1" x14ac:dyDescent="0.2">
      <c r="A2003" s="242"/>
      <c r="F2003" s="285" t="str">
        <f t="shared" si="69"/>
        <v/>
      </c>
      <c r="K2003" s="246" t="str">
        <f t="shared" si="68"/>
        <v/>
      </c>
    </row>
    <row r="2004" spans="1:11" ht="30" customHeight="1" x14ac:dyDescent="0.2">
      <c r="A2004" s="242"/>
      <c r="F2004" s="285" t="str">
        <f t="shared" si="69"/>
        <v/>
      </c>
      <c r="K2004" s="246" t="str">
        <f t="shared" si="68"/>
        <v/>
      </c>
    </row>
    <row r="2005" spans="1:11" ht="30" customHeight="1" x14ac:dyDescent="0.2">
      <c r="A2005" s="242"/>
      <c r="F2005" s="285" t="str">
        <f t="shared" si="69"/>
        <v/>
      </c>
      <c r="K2005" s="246" t="str">
        <f t="shared" si="68"/>
        <v/>
      </c>
    </row>
    <row r="2006" spans="1:11" ht="30" customHeight="1" x14ac:dyDescent="0.2">
      <c r="A2006" s="242"/>
      <c r="F2006" s="285" t="str">
        <f t="shared" si="69"/>
        <v/>
      </c>
      <c r="K2006" s="246" t="str">
        <f t="shared" si="68"/>
        <v/>
      </c>
    </row>
    <row r="2007" spans="1:11" ht="30" customHeight="1" x14ac:dyDescent="0.2">
      <c r="A2007" s="242"/>
      <c r="F2007" s="285" t="str">
        <f t="shared" si="69"/>
        <v/>
      </c>
      <c r="K2007" s="246" t="str">
        <f t="shared" si="68"/>
        <v/>
      </c>
    </row>
    <row r="2008" spans="1:11" ht="30" customHeight="1" x14ac:dyDescent="0.2">
      <c r="A2008" s="242"/>
      <c r="F2008" s="285" t="str">
        <f t="shared" si="69"/>
        <v/>
      </c>
      <c r="K2008" s="246" t="str">
        <f t="shared" si="68"/>
        <v/>
      </c>
    </row>
    <row r="2009" spans="1:11" ht="30" customHeight="1" x14ac:dyDescent="0.2">
      <c r="A2009" s="242"/>
      <c r="F2009" s="285" t="str">
        <f t="shared" si="69"/>
        <v/>
      </c>
      <c r="K2009" s="246" t="str">
        <f t="shared" si="68"/>
        <v/>
      </c>
    </row>
    <row r="2010" spans="1:11" ht="30" customHeight="1" x14ac:dyDescent="0.2">
      <c r="A2010" s="242"/>
      <c r="F2010" s="285" t="str">
        <f t="shared" si="69"/>
        <v/>
      </c>
      <c r="K2010" s="246" t="str">
        <f t="shared" si="68"/>
        <v/>
      </c>
    </row>
    <row r="2011" spans="1:11" ht="30" customHeight="1" x14ac:dyDescent="0.2">
      <c r="A2011" s="242"/>
      <c r="F2011" s="285" t="str">
        <f t="shared" si="69"/>
        <v/>
      </c>
      <c r="K2011" s="246" t="str">
        <f t="shared" si="68"/>
        <v/>
      </c>
    </row>
    <row r="2012" spans="1:11" ht="30" customHeight="1" x14ac:dyDescent="0.2">
      <c r="A2012" s="242"/>
      <c r="F2012" s="285" t="str">
        <f t="shared" si="69"/>
        <v/>
      </c>
      <c r="K2012" s="246" t="str">
        <f t="shared" si="68"/>
        <v/>
      </c>
    </row>
    <row r="2013" spans="1:11" ht="30" customHeight="1" x14ac:dyDescent="0.2">
      <c r="A2013" s="242"/>
      <c r="F2013" s="285" t="str">
        <f t="shared" si="69"/>
        <v/>
      </c>
      <c r="K2013" s="246" t="str">
        <f t="shared" si="68"/>
        <v/>
      </c>
    </row>
    <row r="2014" spans="1:11" ht="30" customHeight="1" x14ac:dyDescent="0.2">
      <c r="A2014" s="242"/>
      <c r="F2014" s="285" t="str">
        <f t="shared" si="69"/>
        <v/>
      </c>
      <c r="K2014" s="246" t="str">
        <f t="shared" si="68"/>
        <v/>
      </c>
    </row>
    <row r="2015" spans="1:11" ht="30" customHeight="1" x14ac:dyDescent="0.2">
      <c r="A2015" s="242"/>
      <c r="F2015" s="285" t="str">
        <f t="shared" si="69"/>
        <v/>
      </c>
      <c r="K2015" s="246" t="str">
        <f t="shared" si="68"/>
        <v/>
      </c>
    </row>
    <row r="2016" spans="1:11" ht="30" customHeight="1" x14ac:dyDescent="0.2">
      <c r="A2016" s="242"/>
      <c r="F2016" s="285" t="str">
        <f t="shared" si="69"/>
        <v/>
      </c>
      <c r="K2016" s="246" t="str">
        <f t="shared" si="68"/>
        <v/>
      </c>
    </row>
    <row r="2017" spans="1:11" ht="30" customHeight="1" x14ac:dyDescent="0.2">
      <c r="A2017" s="242"/>
      <c r="F2017" s="285" t="str">
        <f t="shared" si="69"/>
        <v/>
      </c>
      <c r="K2017" s="246" t="str">
        <f t="shared" si="68"/>
        <v/>
      </c>
    </row>
    <row r="2018" spans="1:11" ht="30" customHeight="1" x14ac:dyDescent="0.2">
      <c r="A2018" s="242"/>
      <c r="F2018" s="285" t="str">
        <f t="shared" si="69"/>
        <v/>
      </c>
      <c r="K2018" s="246" t="str">
        <f t="shared" si="68"/>
        <v/>
      </c>
    </row>
    <row r="2019" spans="1:11" ht="30" customHeight="1" x14ac:dyDescent="0.2">
      <c r="A2019" s="242"/>
      <c r="F2019" s="285" t="str">
        <f t="shared" si="69"/>
        <v/>
      </c>
      <c r="K2019" s="246" t="str">
        <f t="shared" si="68"/>
        <v/>
      </c>
    </row>
    <row r="2020" spans="1:11" ht="30" customHeight="1" x14ac:dyDescent="0.2">
      <c r="A2020" s="242"/>
      <c r="F2020" s="285" t="str">
        <f t="shared" si="69"/>
        <v/>
      </c>
      <c r="K2020" s="246" t="str">
        <f t="shared" si="68"/>
        <v/>
      </c>
    </row>
    <row r="2021" spans="1:11" ht="30" customHeight="1" x14ac:dyDescent="0.2">
      <c r="A2021" s="242"/>
      <c r="F2021" s="285" t="str">
        <f t="shared" si="69"/>
        <v/>
      </c>
      <c r="K2021" s="246" t="str">
        <f t="shared" si="68"/>
        <v/>
      </c>
    </row>
    <row r="2022" spans="1:11" ht="30" customHeight="1" x14ac:dyDescent="0.2">
      <c r="A2022" s="242"/>
      <c r="F2022" s="285" t="str">
        <f t="shared" si="69"/>
        <v/>
      </c>
      <c r="K2022" s="246" t="str">
        <f t="shared" si="68"/>
        <v/>
      </c>
    </row>
    <row r="2023" spans="1:11" ht="30" customHeight="1" x14ac:dyDescent="0.2">
      <c r="A2023" s="242"/>
      <c r="F2023" s="285" t="str">
        <f t="shared" si="69"/>
        <v/>
      </c>
      <c r="K2023" s="246" t="str">
        <f t="shared" si="68"/>
        <v/>
      </c>
    </row>
    <row r="2024" spans="1:11" ht="30" customHeight="1" x14ac:dyDescent="0.2">
      <c r="A2024" s="242"/>
      <c r="F2024" s="285" t="str">
        <f t="shared" si="69"/>
        <v/>
      </c>
      <c r="K2024" s="246" t="str">
        <f t="shared" si="68"/>
        <v/>
      </c>
    </row>
    <row r="2025" spans="1:11" ht="30" customHeight="1" x14ac:dyDescent="0.2">
      <c r="A2025" s="242"/>
      <c r="F2025" s="285" t="str">
        <f t="shared" si="69"/>
        <v/>
      </c>
      <c r="K2025" s="246" t="str">
        <f t="shared" si="68"/>
        <v/>
      </c>
    </row>
    <row r="2026" spans="1:11" ht="30" customHeight="1" x14ac:dyDescent="0.2">
      <c r="A2026" s="242"/>
      <c r="F2026" s="285" t="str">
        <f t="shared" si="69"/>
        <v/>
      </c>
      <c r="K2026" s="246" t="str">
        <f t="shared" si="68"/>
        <v/>
      </c>
    </row>
    <row r="2027" spans="1:11" ht="30" customHeight="1" x14ac:dyDescent="0.2">
      <c r="A2027" s="242"/>
      <c r="F2027" s="285" t="str">
        <f t="shared" si="69"/>
        <v/>
      </c>
      <c r="K2027" s="246" t="str">
        <f t="shared" si="68"/>
        <v/>
      </c>
    </row>
    <row r="2028" spans="1:11" ht="30" customHeight="1" x14ac:dyDescent="0.2">
      <c r="A2028" s="242"/>
      <c r="F2028" s="285" t="str">
        <f t="shared" si="69"/>
        <v/>
      </c>
      <c r="K2028" s="246" t="str">
        <f t="shared" si="68"/>
        <v/>
      </c>
    </row>
    <row r="2029" spans="1:11" ht="30" customHeight="1" x14ac:dyDescent="0.2">
      <c r="A2029" s="242"/>
      <c r="F2029" s="285" t="str">
        <f t="shared" si="69"/>
        <v/>
      </c>
      <c r="K2029" s="246" t="str">
        <f t="shared" si="68"/>
        <v/>
      </c>
    </row>
    <row r="2030" spans="1:11" ht="30" customHeight="1" x14ac:dyDescent="0.2">
      <c r="A2030" s="242"/>
      <c r="F2030" s="285" t="str">
        <f t="shared" si="69"/>
        <v/>
      </c>
      <c r="K2030" s="246" t="str">
        <f t="shared" si="68"/>
        <v/>
      </c>
    </row>
    <row r="2031" spans="1:11" ht="30" customHeight="1" x14ac:dyDescent="0.2">
      <c r="A2031" s="242"/>
      <c r="F2031" s="285" t="str">
        <f t="shared" si="69"/>
        <v/>
      </c>
      <c r="K2031" s="246" t="str">
        <f t="shared" si="68"/>
        <v/>
      </c>
    </row>
    <row r="2032" spans="1:11" ht="30" customHeight="1" x14ac:dyDescent="0.2">
      <c r="A2032" s="242"/>
      <c r="F2032" s="285" t="str">
        <f t="shared" si="69"/>
        <v/>
      </c>
      <c r="K2032" s="246" t="str">
        <f t="shared" si="68"/>
        <v/>
      </c>
    </row>
    <row r="2033" spans="1:11" ht="30" customHeight="1" x14ac:dyDescent="0.2">
      <c r="A2033" s="242"/>
      <c r="F2033" s="285" t="str">
        <f t="shared" si="69"/>
        <v/>
      </c>
      <c r="K2033" s="246" t="str">
        <f t="shared" si="68"/>
        <v/>
      </c>
    </row>
    <row r="2034" spans="1:11" ht="30" customHeight="1" x14ac:dyDescent="0.2">
      <c r="A2034" s="242"/>
      <c r="F2034" s="285" t="str">
        <f t="shared" si="69"/>
        <v/>
      </c>
      <c r="K2034" s="246" t="str">
        <f t="shared" si="68"/>
        <v/>
      </c>
    </row>
    <row r="2035" spans="1:11" ht="30" customHeight="1" x14ac:dyDescent="0.2">
      <c r="A2035" s="242"/>
      <c r="F2035" s="285" t="str">
        <f t="shared" si="69"/>
        <v/>
      </c>
      <c r="K2035" s="246" t="str">
        <f t="shared" si="68"/>
        <v/>
      </c>
    </row>
    <row r="2036" spans="1:11" ht="30" customHeight="1" x14ac:dyDescent="0.2">
      <c r="A2036" s="242"/>
      <c r="F2036" s="285" t="str">
        <f t="shared" si="69"/>
        <v/>
      </c>
      <c r="K2036" s="246" t="str">
        <f t="shared" si="68"/>
        <v/>
      </c>
    </row>
    <row r="2037" spans="1:11" ht="30" customHeight="1" x14ac:dyDescent="0.2">
      <c r="A2037" s="242"/>
      <c r="F2037" s="285" t="str">
        <f t="shared" si="69"/>
        <v/>
      </c>
      <c r="K2037" s="246" t="str">
        <f t="shared" si="68"/>
        <v/>
      </c>
    </row>
    <row r="2038" spans="1:11" ht="30" customHeight="1" x14ac:dyDescent="0.2">
      <c r="A2038" s="242"/>
      <c r="F2038" s="285" t="str">
        <f t="shared" si="69"/>
        <v/>
      </c>
      <c r="K2038" s="246" t="str">
        <f t="shared" si="68"/>
        <v/>
      </c>
    </row>
    <row r="2039" spans="1:11" ht="30" customHeight="1" x14ac:dyDescent="0.2">
      <c r="A2039" s="242"/>
      <c r="F2039" s="285" t="str">
        <f t="shared" si="69"/>
        <v/>
      </c>
      <c r="K2039" s="246" t="str">
        <f t="shared" si="68"/>
        <v/>
      </c>
    </row>
    <row r="2040" spans="1:11" ht="30" customHeight="1" x14ac:dyDescent="0.2">
      <c r="A2040" s="242"/>
      <c r="F2040" s="285" t="str">
        <f t="shared" si="69"/>
        <v/>
      </c>
      <c r="K2040" s="246" t="str">
        <f t="shared" si="68"/>
        <v/>
      </c>
    </row>
    <row r="2041" spans="1:11" ht="30" customHeight="1" x14ac:dyDescent="0.2">
      <c r="A2041" s="242"/>
      <c r="F2041" s="285" t="str">
        <f t="shared" si="69"/>
        <v/>
      </c>
      <c r="K2041" s="246" t="str">
        <f t="shared" si="68"/>
        <v/>
      </c>
    </row>
    <row r="2042" spans="1:11" ht="30" customHeight="1" x14ac:dyDescent="0.2">
      <c r="A2042" s="242"/>
      <c r="F2042" s="285" t="str">
        <f t="shared" si="69"/>
        <v/>
      </c>
      <c r="K2042" s="246" t="str">
        <f t="shared" si="68"/>
        <v/>
      </c>
    </row>
    <row r="2043" spans="1:11" ht="30" customHeight="1" x14ac:dyDescent="0.2">
      <c r="A2043" s="242"/>
      <c r="F2043" s="285" t="str">
        <f t="shared" si="69"/>
        <v/>
      </c>
      <c r="K2043" s="246" t="str">
        <f t="shared" ref="K2043:K2106" si="70">IF(A2043="","",A2043)</f>
        <v/>
      </c>
    </row>
    <row r="2044" spans="1:11" ht="30" customHeight="1" x14ac:dyDescent="0.2">
      <c r="A2044" s="242"/>
      <c r="F2044" s="285" t="str">
        <f t="shared" si="69"/>
        <v/>
      </c>
      <c r="K2044" s="246" t="str">
        <f t="shared" si="70"/>
        <v/>
      </c>
    </row>
    <row r="2045" spans="1:11" ht="30" customHeight="1" x14ac:dyDescent="0.2">
      <c r="A2045" s="242"/>
      <c r="F2045" s="285" t="str">
        <f t="shared" si="69"/>
        <v/>
      </c>
      <c r="K2045" s="246" t="str">
        <f t="shared" si="70"/>
        <v/>
      </c>
    </row>
    <row r="2046" spans="1:11" ht="30" customHeight="1" x14ac:dyDescent="0.2">
      <c r="A2046" s="242"/>
      <c r="F2046" s="285" t="str">
        <f t="shared" si="69"/>
        <v/>
      </c>
      <c r="K2046" s="246" t="str">
        <f t="shared" si="70"/>
        <v/>
      </c>
    </row>
    <row r="2047" spans="1:11" ht="30" customHeight="1" x14ac:dyDescent="0.2">
      <c r="A2047" s="242"/>
      <c r="F2047" s="285" t="str">
        <f t="shared" si="69"/>
        <v/>
      </c>
      <c r="K2047" s="246" t="str">
        <f t="shared" si="70"/>
        <v/>
      </c>
    </row>
    <row r="2048" spans="1:11" ht="30" customHeight="1" x14ac:dyDescent="0.2">
      <c r="A2048" s="242"/>
      <c r="F2048" s="285" t="str">
        <f t="shared" si="69"/>
        <v/>
      </c>
      <c r="K2048" s="246" t="str">
        <f t="shared" si="70"/>
        <v/>
      </c>
    </row>
    <row r="2049" spans="1:11" ht="30" customHeight="1" x14ac:dyDescent="0.2">
      <c r="A2049" s="242"/>
      <c r="F2049" s="285" t="str">
        <f t="shared" si="69"/>
        <v/>
      </c>
      <c r="K2049" s="246" t="str">
        <f t="shared" si="70"/>
        <v/>
      </c>
    </row>
    <row r="2050" spans="1:11" ht="30" customHeight="1" x14ac:dyDescent="0.2">
      <c r="A2050" s="242"/>
      <c r="F2050" s="285" t="str">
        <f t="shared" si="69"/>
        <v/>
      </c>
      <c r="K2050" s="246" t="str">
        <f t="shared" si="70"/>
        <v/>
      </c>
    </row>
    <row r="2051" spans="1:11" ht="30" customHeight="1" x14ac:dyDescent="0.2">
      <c r="A2051" s="242"/>
      <c r="F2051" s="285" t="str">
        <f t="shared" si="69"/>
        <v/>
      </c>
      <c r="K2051" s="246" t="str">
        <f t="shared" si="70"/>
        <v/>
      </c>
    </row>
    <row r="2052" spans="1:11" ht="30" customHeight="1" x14ac:dyDescent="0.2">
      <c r="A2052" s="242"/>
      <c r="F2052" s="285" t="str">
        <f t="shared" si="69"/>
        <v/>
      </c>
      <c r="K2052" s="246" t="str">
        <f t="shared" si="70"/>
        <v/>
      </c>
    </row>
    <row r="2053" spans="1:11" ht="30" customHeight="1" x14ac:dyDescent="0.2">
      <c r="A2053" s="242"/>
      <c r="F2053" s="285" t="str">
        <f t="shared" ref="F2053:F2116" si="71">IF(A2053="","",A2053)</f>
        <v/>
      </c>
      <c r="K2053" s="246" t="str">
        <f t="shared" si="70"/>
        <v/>
      </c>
    </row>
    <row r="2054" spans="1:11" ht="30" customHeight="1" x14ac:dyDescent="0.2">
      <c r="A2054" s="242"/>
      <c r="F2054" s="285" t="str">
        <f t="shared" si="71"/>
        <v/>
      </c>
      <c r="K2054" s="246" t="str">
        <f t="shared" si="70"/>
        <v/>
      </c>
    </row>
    <row r="2055" spans="1:11" ht="30" customHeight="1" x14ac:dyDescent="0.2">
      <c r="A2055" s="242"/>
      <c r="F2055" s="285" t="str">
        <f t="shared" si="71"/>
        <v/>
      </c>
      <c r="K2055" s="246" t="str">
        <f t="shared" si="70"/>
        <v/>
      </c>
    </row>
    <row r="2056" spans="1:11" ht="30" customHeight="1" x14ac:dyDescent="0.2">
      <c r="A2056" s="242"/>
      <c r="F2056" s="285" t="str">
        <f t="shared" si="71"/>
        <v/>
      </c>
      <c r="K2056" s="246" t="str">
        <f t="shared" si="70"/>
        <v/>
      </c>
    </row>
    <row r="2057" spans="1:11" ht="30" customHeight="1" x14ac:dyDescent="0.2">
      <c r="A2057" s="242"/>
      <c r="F2057" s="285" t="str">
        <f t="shared" si="71"/>
        <v/>
      </c>
      <c r="K2057" s="246" t="str">
        <f t="shared" si="70"/>
        <v/>
      </c>
    </row>
    <row r="2058" spans="1:11" ht="30" customHeight="1" x14ac:dyDescent="0.2">
      <c r="A2058" s="242"/>
      <c r="F2058" s="285" t="str">
        <f t="shared" si="71"/>
        <v/>
      </c>
      <c r="K2058" s="246" t="str">
        <f t="shared" si="70"/>
        <v/>
      </c>
    </row>
    <row r="2059" spans="1:11" ht="30" customHeight="1" x14ac:dyDescent="0.2">
      <c r="A2059" s="242"/>
      <c r="F2059" s="285" t="str">
        <f t="shared" si="71"/>
        <v/>
      </c>
      <c r="K2059" s="246" t="str">
        <f t="shared" si="70"/>
        <v/>
      </c>
    </row>
    <row r="2060" spans="1:11" ht="30" customHeight="1" x14ac:dyDescent="0.2">
      <c r="A2060" s="242"/>
      <c r="F2060" s="285" t="str">
        <f t="shared" si="71"/>
        <v/>
      </c>
      <c r="K2060" s="246" t="str">
        <f t="shared" si="70"/>
        <v/>
      </c>
    </row>
    <row r="2061" spans="1:11" ht="30" customHeight="1" x14ac:dyDescent="0.2">
      <c r="A2061" s="242"/>
      <c r="F2061" s="285" t="str">
        <f t="shared" si="71"/>
        <v/>
      </c>
      <c r="K2061" s="246" t="str">
        <f t="shared" si="70"/>
        <v/>
      </c>
    </row>
    <row r="2062" spans="1:11" ht="30" customHeight="1" x14ac:dyDescent="0.2">
      <c r="A2062" s="242"/>
      <c r="F2062" s="285" t="str">
        <f t="shared" si="71"/>
        <v/>
      </c>
      <c r="K2062" s="246" t="str">
        <f t="shared" si="70"/>
        <v/>
      </c>
    </row>
    <row r="2063" spans="1:11" ht="30" customHeight="1" x14ac:dyDescent="0.2">
      <c r="A2063" s="242"/>
      <c r="F2063" s="285" t="str">
        <f t="shared" si="71"/>
        <v/>
      </c>
      <c r="K2063" s="246" t="str">
        <f t="shared" si="70"/>
        <v/>
      </c>
    </row>
    <row r="2064" spans="1:11" ht="30" customHeight="1" x14ac:dyDescent="0.2">
      <c r="A2064" s="242"/>
      <c r="F2064" s="285" t="str">
        <f t="shared" si="71"/>
        <v/>
      </c>
      <c r="K2064" s="246" t="str">
        <f t="shared" si="70"/>
        <v/>
      </c>
    </row>
    <row r="2065" spans="1:11" ht="30" customHeight="1" x14ac:dyDescent="0.2">
      <c r="A2065" s="242"/>
      <c r="F2065" s="285" t="str">
        <f t="shared" si="71"/>
        <v/>
      </c>
      <c r="K2065" s="246" t="str">
        <f t="shared" si="70"/>
        <v/>
      </c>
    </row>
    <row r="2066" spans="1:11" ht="30" customHeight="1" x14ac:dyDescent="0.2">
      <c r="A2066" s="242"/>
      <c r="F2066" s="285" t="str">
        <f t="shared" si="71"/>
        <v/>
      </c>
      <c r="K2066" s="246" t="str">
        <f t="shared" si="70"/>
        <v/>
      </c>
    </row>
    <row r="2067" spans="1:11" ht="30" customHeight="1" x14ac:dyDescent="0.2">
      <c r="A2067" s="242"/>
      <c r="F2067" s="285" t="str">
        <f t="shared" si="71"/>
        <v/>
      </c>
      <c r="K2067" s="246" t="str">
        <f t="shared" si="70"/>
        <v/>
      </c>
    </row>
    <row r="2068" spans="1:11" ht="30" customHeight="1" x14ac:dyDescent="0.2">
      <c r="A2068" s="242"/>
      <c r="F2068" s="285" t="str">
        <f t="shared" si="71"/>
        <v/>
      </c>
      <c r="K2068" s="246" t="str">
        <f t="shared" si="70"/>
        <v/>
      </c>
    </row>
    <row r="2069" spans="1:11" ht="30" customHeight="1" x14ac:dyDescent="0.2">
      <c r="A2069" s="242"/>
      <c r="F2069" s="285" t="str">
        <f t="shared" si="71"/>
        <v/>
      </c>
      <c r="K2069" s="246" t="str">
        <f t="shared" si="70"/>
        <v/>
      </c>
    </row>
    <row r="2070" spans="1:11" ht="30" customHeight="1" x14ac:dyDescent="0.2">
      <c r="A2070" s="242"/>
      <c r="F2070" s="285" t="str">
        <f t="shared" si="71"/>
        <v/>
      </c>
      <c r="K2070" s="246" t="str">
        <f t="shared" si="70"/>
        <v/>
      </c>
    </row>
    <row r="2071" spans="1:11" ht="30" customHeight="1" x14ac:dyDescent="0.2">
      <c r="A2071" s="242"/>
      <c r="F2071" s="285" t="str">
        <f t="shared" si="71"/>
        <v/>
      </c>
      <c r="K2071" s="246" t="str">
        <f t="shared" si="70"/>
        <v/>
      </c>
    </row>
    <row r="2072" spans="1:11" ht="30" customHeight="1" x14ac:dyDescent="0.2">
      <c r="A2072" s="242"/>
      <c r="F2072" s="285" t="str">
        <f t="shared" si="71"/>
        <v/>
      </c>
      <c r="K2072" s="246" t="str">
        <f t="shared" si="70"/>
        <v/>
      </c>
    </row>
    <row r="2073" spans="1:11" ht="30" customHeight="1" x14ac:dyDescent="0.2">
      <c r="A2073" s="242"/>
      <c r="F2073" s="285" t="str">
        <f t="shared" si="71"/>
        <v/>
      </c>
      <c r="K2073" s="246" t="str">
        <f t="shared" si="70"/>
        <v/>
      </c>
    </row>
    <row r="2074" spans="1:11" ht="30" customHeight="1" x14ac:dyDescent="0.2">
      <c r="A2074" s="242"/>
      <c r="F2074" s="285" t="str">
        <f t="shared" si="71"/>
        <v/>
      </c>
      <c r="K2074" s="246" t="str">
        <f t="shared" si="70"/>
        <v/>
      </c>
    </row>
    <row r="2075" spans="1:11" ht="30" customHeight="1" x14ac:dyDescent="0.2">
      <c r="A2075" s="242"/>
      <c r="F2075" s="285" t="str">
        <f t="shared" si="71"/>
        <v/>
      </c>
      <c r="K2075" s="246" t="str">
        <f t="shared" si="70"/>
        <v/>
      </c>
    </row>
    <row r="2076" spans="1:11" ht="30" customHeight="1" x14ac:dyDescent="0.2">
      <c r="A2076" s="242"/>
      <c r="F2076" s="285" t="str">
        <f t="shared" si="71"/>
        <v/>
      </c>
      <c r="K2076" s="246" t="str">
        <f t="shared" si="70"/>
        <v/>
      </c>
    </row>
    <row r="2077" spans="1:11" ht="30" customHeight="1" x14ac:dyDescent="0.2">
      <c r="A2077" s="242"/>
      <c r="F2077" s="285" t="str">
        <f t="shared" si="71"/>
        <v/>
      </c>
      <c r="K2077" s="246" t="str">
        <f t="shared" si="70"/>
        <v/>
      </c>
    </row>
    <row r="2078" spans="1:11" ht="30" customHeight="1" x14ac:dyDescent="0.2">
      <c r="A2078" s="242"/>
      <c r="F2078" s="285" t="str">
        <f t="shared" si="71"/>
        <v/>
      </c>
      <c r="K2078" s="246" t="str">
        <f t="shared" si="70"/>
        <v/>
      </c>
    </row>
    <row r="2079" spans="1:11" ht="30" customHeight="1" x14ac:dyDescent="0.2">
      <c r="A2079" s="242"/>
      <c r="F2079" s="285" t="str">
        <f t="shared" si="71"/>
        <v/>
      </c>
      <c r="K2079" s="246" t="str">
        <f t="shared" si="70"/>
        <v/>
      </c>
    </row>
    <row r="2080" spans="1:11" ht="30" customHeight="1" x14ac:dyDescent="0.2">
      <c r="A2080" s="242"/>
      <c r="F2080" s="285" t="str">
        <f t="shared" si="71"/>
        <v/>
      </c>
      <c r="K2080" s="246" t="str">
        <f t="shared" si="70"/>
        <v/>
      </c>
    </row>
    <row r="2081" spans="1:11" ht="30" customHeight="1" x14ac:dyDescent="0.2">
      <c r="A2081" s="242"/>
      <c r="F2081" s="285" t="str">
        <f t="shared" si="71"/>
        <v/>
      </c>
      <c r="K2081" s="246" t="str">
        <f t="shared" si="70"/>
        <v/>
      </c>
    </row>
    <row r="2082" spans="1:11" ht="30" customHeight="1" x14ac:dyDescent="0.2">
      <c r="A2082" s="242"/>
      <c r="F2082" s="285" t="str">
        <f t="shared" si="71"/>
        <v/>
      </c>
      <c r="K2082" s="246" t="str">
        <f t="shared" si="70"/>
        <v/>
      </c>
    </row>
    <row r="2083" spans="1:11" ht="30" customHeight="1" x14ac:dyDescent="0.2">
      <c r="A2083" s="242"/>
      <c r="F2083" s="285" t="str">
        <f t="shared" si="71"/>
        <v/>
      </c>
      <c r="K2083" s="246" t="str">
        <f t="shared" si="70"/>
        <v/>
      </c>
    </row>
    <row r="2084" spans="1:11" ht="30" customHeight="1" x14ac:dyDescent="0.2">
      <c r="A2084" s="242"/>
      <c r="F2084" s="285" t="str">
        <f t="shared" si="71"/>
        <v/>
      </c>
      <c r="K2084" s="246" t="str">
        <f t="shared" si="70"/>
        <v/>
      </c>
    </row>
    <row r="2085" spans="1:11" ht="30" customHeight="1" x14ac:dyDescent="0.2">
      <c r="A2085" s="242"/>
      <c r="F2085" s="285" t="str">
        <f t="shared" si="71"/>
        <v/>
      </c>
      <c r="K2085" s="246" t="str">
        <f t="shared" si="70"/>
        <v/>
      </c>
    </row>
    <row r="2086" spans="1:11" ht="30" customHeight="1" x14ac:dyDescent="0.2">
      <c r="A2086" s="242"/>
      <c r="F2086" s="285" t="str">
        <f t="shared" si="71"/>
        <v/>
      </c>
      <c r="K2086" s="246" t="str">
        <f t="shared" si="70"/>
        <v/>
      </c>
    </row>
    <row r="2087" spans="1:11" ht="30" customHeight="1" x14ac:dyDescent="0.2">
      <c r="A2087" s="242"/>
      <c r="F2087" s="285" t="str">
        <f t="shared" si="71"/>
        <v/>
      </c>
      <c r="K2087" s="246" t="str">
        <f t="shared" si="70"/>
        <v/>
      </c>
    </row>
    <row r="2088" spans="1:11" ht="30" customHeight="1" x14ac:dyDescent="0.2">
      <c r="A2088" s="242"/>
      <c r="F2088" s="285" t="str">
        <f t="shared" si="71"/>
        <v/>
      </c>
      <c r="K2088" s="246" t="str">
        <f t="shared" si="70"/>
        <v/>
      </c>
    </row>
    <row r="2089" spans="1:11" ht="30" customHeight="1" x14ac:dyDescent="0.2">
      <c r="A2089" s="242"/>
      <c r="F2089" s="285" t="str">
        <f t="shared" si="71"/>
        <v/>
      </c>
      <c r="K2089" s="246" t="str">
        <f t="shared" si="70"/>
        <v/>
      </c>
    </row>
    <row r="2090" spans="1:11" ht="30" customHeight="1" x14ac:dyDescent="0.2">
      <c r="A2090" s="242"/>
      <c r="F2090" s="285" t="str">
        <f t="shared" si="71"/>
        <v/>
      </c>
      <c r="K2090" s="246" t="str">
        <f t="shared" si="70"/>
        <v/>
      </c>
    </row>
    <row r="2091" spans="1:11" ht="30" customHeight="1" x14ac:dyDescent="0.2">
      <c r="A2091" s="242"/>
      <c r="F2091" s="285" t="str">
        <f t="shared" si="71"/>
        <v/>
      </c>
      <c r="K2091" s="246" t="str">
        <f t="shared" si="70"/>
        <v/>
      </c>
    </row>
    <row r="2092" spans="1:11" ht="30" customHeight="1" x14ac:dyDescent="0.2">
      <c r="A2092" s="242"/>
      <c r="F2092" s="285" t="str">
        <f t="shared" si="71"/>
        <v/>
      </c>
      <c r="K2092" s="246" t="str">
        <f t="shared" si="70"/>
        <v/>
      </c>
    </row>
    <row r="2093" spans="1:11" ht="30" customHeight="1" x14ac:dyDescent="0.2">
      <c r="A2093" s="242"/>
      <c r="F2093" s="285" t="str">
        <f t="shared" si="71"/>
        <v/>
      </c>
      <c r="K2093" s="246" t="str">
        <f t="shared" si="70"/>
        <v/>
      </c>
    </row>
    <row r="2094" spans="1:11" ht="30" customHeight="1" x14ac:dyDescent="0.2">
      <c r="A2094" s="242"/>
      <c r="F2094" s="285" t="str">
        <f t="shared" si="71"/>
        <v/>
      </c>
      <c r="K2094" s="246" t="str">
        <f t="shared" si="70"/>
        <v/>
      </c>
    </row>
    <row r="2095" spans="1:11" ht="30" customHeight="1" x14ac:dyDescent="0.2">
      <c r="A2095" s="242"/>
      <c r="F2095" s="285" t="str">
        <f t="shared" si="71"/>
        <v/>
      </c>
      <c r="K2095" s="246" t="str">
        <f t="shared" si="70"/>
        <v/>
      </c>
    </row>
    <row r="2096" spans="1:11" ht="30" customHeight="1" x14ac:dyDescent="0.2">
      <c r="A2096" s="242"/>
      <c r="F2096" s="285" t="str">
        <f t="shared" si="71"/>
        <v/>
      </c>
      <c r="K2096" s="246" t="str">
        <f t="shared" si="70"/>
        <v/>
      </c>
    </row>
    <row r="2097" spans="1:11" ht="30" customHeight="1" x14ac:dyDescent="0.2">
      <c r="A2097" s="242"/>
      <c r="F2097" s="285" t="str">
        <f t="shared" si="71"/>
        <v/>
      </c>
      <c r="K2097" s="246" t="str">
        <f t="shared" si="70"/>
        <v/>
      </c>
    </row>
    <row r="2098" spans="1:11" ht="30" customHeight="1" x14ac:dyDescent="0.2">
      <c r="A2098" s="242"/>
      <c r="F2098" s="285" t="str">
        <f t="shared" si="71"/>
        <v/>
      </c>
      <c r="K2098" s="246" t="str">
        <f t="shared" si="70"/>
        <v/>
      </c>
    </row>
    <row r="2099" spans="1:11" ht="30" customHeight="1" x14ac:dyDescent="0.2">
      <c r="A2099" s="242"/>
      <c r="F2099" s="285" t="str">
        <f t="shared" si="71"/>
        <v/>
      </c>
      <c r="K2099" s="246" t="str">
        <f t="shared" si="70"/>
        <v/>
      </c>
    </row>
    <row r="2100" spans="1:11" ht="30" customHeight="1" x14ac:dyDescent="0.2">
      <c r="A2100" s="242"/>
      <c r="F2100" s="285" t="str">
        <f t="shared" si="71"/>
        <v/>
      </c>
      <c r="K2100" s="246" t="str">
        <f t="shared" si="70"/>
        <v/>
      </c>
    </row>
    <row r="2101" spans="1:11" ht="30" customHeight="1" x14ac:dyDescent="0.2">
      <c r="A2101" s="242"/>
      <c r="F2101" s="285" t="str">
        <f t="shared" si="71"/>
        <v/>
      </c>
      <c r="K2101" s="246" t="str">
        <f t="shared" si="70"/>
        <v/>
      </c>
    </row>
    <row r="2102" spans="1:11" ht="30" customHeight="1" x14ac:dyDescent="0.2">
      <c r="A2102" s="242"/>
      <c r="F2102" s="285" t="str">
        <f t="shared" si="71"/>
        <v/>
      </c>
      <c r="K2102" s="246" t="str">
        <f t="shared" si="70"/>
        <v/>
      </c>
    </row>
    <row r="2103" spans="1:11" ht="30" customHeight="1" x14ac:dyDescent="0.2">
      <c r="A2103" s="242"/>
      <c r="F2103" s="285" t="str">
        <f t="shared" si="71"/>
        <v/>
      </c>
      <c r="K2103" s="246" t="str">
        <f t="shared" si="70"/>
        <v/>
      </c>
    </row>
    <row r="2104" spans="1:11" ht="30" customHeight="1" x14ac:dyDescent="0.2">
      <c r="A2104" s="242"/>
      <c r="F2104" s="285" t="str">
        <f t="shared" si="71"/>
        <v/>
      </c>
      <c r="K2104" s="246" t="str">
        <f t="shared" si="70"/>
        <v/>
      </c>
    </row>
    <row r="2105" spans="1:11" ht="30" customHeight="1" x14ac:dyDescent="0.2">
      <c r="A2105" s="242"/>
      <c r="F2105" s="285" t="str">
        <f t="shared" si="71"/>
        <v/>
      </c>
      <c r="K2105" s="246" t="str">
        <f t="shared" si="70"/>
        <v/>
      </c>
    </row>
    <row r="2106" spans="1:11" ht="30" customHeight="1" x14ac:dyDescent="0.2">
      <c r="A2106" s="242"/>
      <c r="F2106" s="285" t="str">
        <f t="shared" si="71"/>
        <v/>
      </c>
      <c r="K2106" s="246" t="str">
        <f t="shared" si="70"/>
        <v/>
      </c>
    </row>
    <row r="2107" spans="1:11" ht="30" customHeight="1" x14ac:dyDescent="0.2">
      <c r="A2107" s="242"/>
      <c r="F2107" s="285" t="str">
        <f t="shared" si="71"/>
        <v/>
      </c>
      <c r="K2107" s="246" t="str">
        <f t="shared" ref="K2107:K2170" si="72">IF(A2107="","",A2107)</f>
        <v/>
      </c>
    </row>
    <row r="2108" spans="1:11" ht="30" customHeight="1" x14ac:dyDescent="0.2">
      <c r="A2108" s="242"/>
      <c r="F2108" s="285" t="str">
        <f t="shared" si="71"/>
        <v/>
      </c>
      <c r="K2108" s="246" t="str">
        <f t="shared" si="72"/>
        <v/>
      </c>
    </row>
    <row r="2109" spans="1:11" ht="30" customHeight="1" x14ac:dyDescent="0.2">
      <c r="A2109" s="242"/>
      <c r="F2109" s="285" t="str">
        <f t="shared" si="71"/>
        <v/>
      </c>
      <c r="K2109" s="246" t="str">
        <f t="shared" si="72"/>
        <v/>
      </c>
    </row>
    <row r="2110" spans="1:11" ht="30" customHeight="1" x14ac:dyDescent="0.2">
      <c r="A2110" s="242"/>
      <c r="F2110" s="285" t="str">
        <f t="shared" si="71"/>
        <v/>
      </c>
      <c r="K2110" s="246" t="str">
        <f t="shared" si="72"/>
        <v/>
      </c>
    </row>
    <row r="2111" spans="1:11" ht="30" customHeight="1" x14ac:dyDescent="0.2">
      <c r="A2111" s="242"/>
      <c r="F2111" s="285" t="str">
        <f t="shared" si="71"/>
        <v/>
      </c>
      <c r="K2111" s="246" t="str">
        <f t="shared" si="72"/>
        <v/>
      </c>
    </row>
    <row r="2112" spans="1:11" ht="30" customHeight="1" x14ac:dyDescent="0.2">
      <c r="A2112" s="242"/>
      <c r="F2112" s="285" t="str">
        <f t="shared" si="71"/>
        <v/>
      </c>
      <c r="K2112" s="246" t="str">
        <f t="shared" si="72"/>
        <v/>
      </c>
    </row>
    <row r="2113" spans="1:11" ht="30" customHeight="1" x14ac:dyDescent="0.2">
      <c r="A2113" s="242"/>
      <c r="F2113" s="285" t="str">
        <f t="shared" si="71"/>
        <v/>
      </c>
      <c r="K2113" s="246" t="str">
        <f t="shared" si="72"/>
        <v/>
      </c>
    </row>
    <row r="2114" spans="1:11" ht="30" customHeight="1" x14ac:dyDescent="0.2">
      <c r="A2114" s="242"/>
      <c r="F2114" s="285" t="str">
        <f t="shared" si="71"/>
        <v/>
      </c>
      <c r="K2114" s="246" t="str">
        <f t="shared" si="72"/>
        <v/>
      </c>
    </row>
    <row r="2115" spans="1:11" ht="30" customHeight="1" x14ac:dyDescent="0.2">
      <c r="A2115" s="242"/>
      <c r="F2115" s="285" t="str">
        <f t="shared" si="71"/>
        <v/>
      </c>
      <c r="K2115" s="246" t="str">
        <f t="shared" si="72"/>
        <v/>
      </c>
    </row>
    <row r="2116" spans="1:11" ht="30" customHeight="1" x14ac:dyDescent="0.2">
      <c r="A2116" s="242"/>
      <c r="F2116" s="285" t="str">
        <f t="shared" si="71"/>
        <v/>
      </c>
      <c r="K2116" s="246" t="str">
        <f t="shared" si="72"/>
        <v/>
      </c>
    </row>
    <row r="2117" spans="1:11" ht="30" customHeight="1" x14ac:dyDescent="0.2">
      <c r="A2117" s="242"/>
      <c r="F2117" s="285" t="str">
        <f t="shared" ref="F2117:F2180" si="73">IF(A2117="","",A2117)</f>
        <v/>
      </c>
      <c r="K2117" s="246" t="str">
        <f t="shared" si="72"/>
        <v/>
      </c>
    </row>
    <row r="2118" spans="1:11" ht="30" customHeight="1" x14ac:dyDescent="0.2">
      <c r="A2118" s="242"/>
      <c r="F2118" s="285" t="str">
        <f t="shared" si="73"/>
        <v/>
      </c>
      <c r="K2118" s="246" t="str">
        <f t="shared" si="72"/>
        <v/>
      </c>
    </row>
    <row r="2119" spans="1:11" ht="30" customHeight="1" x14ac:dyDescent="0.2">
      <c r="A2119" s="242"/>
      <c r="F2119" s="285" t="str">
        <f t="shared" si="73"/>
        <v/>
      </c>
      <c r="K2119" s="246" t="str">
        <f t="shared" si="72"/>
        <v/>
      </c>
    </row>
    <row r="2120" spans="1:11" ht="30" customHeight="1" x14ac:dyDescent="0.2">
      <c r="A2120" s="242"/>
      <c r="F2120" s="285" t="str">
        <f t="shared" si="73"/>
        <v/>
      </c>
      <c r="K2120" s="246" t="str">
        <f t="shared" si="72"/>
        <v/>
      </c>
    </row>
    <row r="2121" spans="1:11" ht="30" customHeight="1" x14ac:dyDescent="0.2">
      <c r="A2121" s="242"/>
      <c r="F2121" s="285" t="str">
        <f t="shared" si="73"/>
        <v/>
      </c>
      <c r="K2121" s="246" t="str">
        <f t="shared" si="72"/>
        <v/>
      </c>
    </row>
    <row r="2122" spans="1:11" ht="30" customHeight="1" x14ac:dyDescent="0.2">
      <c r="A2122" s="242"/>
      <c r="F2122" s="285" t="str">
        <f t="shared" si="73"/>
        <v/>
      </c>
      <c r="K2122" s="246" t="str">
        <f t="shared" si="72"/>
        <v/>
      </c>
    </row>
    <row r="2123" spans="1:11" ht="30" customHeight="1" x14ac:dyDescent="0.2">
      <c r="A2123" s="242"/>
      <c r="F2123" s="285" t="str">
        <f t="shared" si="73"/>
        <v/>
      </c>
      <c r="K2123" s="246" t="str">
        <f t="shared" si="72"/>
        <v/>
      </c>
    </row>
    <row r="2124" spans="1:11" ht="30" customHeight="1" x14ac:dyDescent="0.2">
      <c r="A2124" s="242"/>
      <c r="F2124" s="285" t="str">
        <f t="shared" si="73"/>
        <v/>
      </c>
      <c r="K2124" s="246" t="str">
        <f t="shared" si="72"/>
        <v/>
      </c>
    </row>
    <row r="2125" spans="1:11" ht="30" customHeight="1" x14ac:dyDescent="0.2">
      <c r="A2125" s="242"/>
      <c r="F2125" s="285" t="str">
        <f t="shared" si="73"/>
        <v/>
      </c>
      <c r="K2125" s="246" t="str">
        <f t="shared" si="72"/>
        <v/>
      </c>
    </row>
    <row r="2126" spans="1:11" ht="30" customHeight="1" x14ac:dyDescent="0.2">
      <c r="A2126" s="242"/>
      <c r="F2126" s="285" t="str">
        <f t="shared" si="73"/>
        <v/>
      </c>
      <c r="K2126" s="246" t="str">
        <f t="shared" si="72"/>
        <v/>
      </c>
    </row>
    <row r="2127" spans="1:11" ht="30" customHeight="1" x14ac:dyDescent="0.2">
      <c r="A2127" s="242"/>
      <c r="F2127" s="285" t="str">
        <f t="shared" si="73"/>
        <v/>
      </c>
      <c r="K2127" s="246" t="str">
        <f t="shared" si="72"/>
        <v/>
      </c>
    </row>
    <row r="2128" spans="1:11" ht="30" customHeight="1" x14ac:dyDescent="0.2">
      <c r="A2128" s="242"/>
      <c r="F2128" s="285" t="str">
        <f t="shared" si="73"/>
        <v/>
      </c>
      <c r="K2128" s="246" t="str">
        <f t="shared" si="72"/>
        <v/>
      </c>
    </row>
    <row r="2129" spans="1:11" ht="30" customHeight="1" x14ac:dyDescent="0.2">
      <c r="A2129" s="242"/>
      <c r="F2129" s="285" t="str">
        <f t="shared" si="73"/>
        <v/>
      </c>
      <c r="K2129" s="246" t="str">
        <f t="shared" si="72"/>
        <v/>
      </c>
    </row>
    <row r="2130" spans="1:11" ht="30" customHeight="1" x14ac:dyDescent="0.2">
      <c r="A2130" s="242"/>
      <c r="F2130" s="285" t="str">
        <f t="shared" si="73"/>
        <v/>
      </c>
      <c r="K2130" s="246" t="str">
        <f t="shared" si="72"/>
        <v/>
      </c>
    </row>
    <row r="2131" spans="1:11" ht="30" customHeight="1" x14ac:dyDescent="0.2">
      <c r="A2131" s="242"/>
      <c r="F2131" s="285" t="str">
        <f t="shared" si="73"/>
        <v/>
      </c>
      <c r="K2131" s="246" t="str">
        <f t="shared" si="72"/>
        <v/>
      </c>
    </row>
    <row r="2132" spans="1:11" ht="30" customHeight="1" x14ac:dyDescent="0.2">
      <c r="A2132" s="242"/>
      <c r="F2132" s="285" t="str">
        <f t="shared" si="73"/>
        <v/>
      </c>
      <c r="K2132" s="246" t="str">
        <f t="shared" si="72"/>
        <v/>
      </c>
    </row>
    <row r="2133" spans="1:11" ht="30" customHeight="1" x14ac:dyDescent="0.2">
      <c r="A2133" s="242"/>
      <c r="F2133" s="285" t="str">
        <f t="shared" si="73"/>
        <v/>
      </c>
      <c r="K2133" s="246" t="str">
        <f t="shared" si="72"/>
        <v/>
      </c>
    </row>
    <row r="2134" spans="1:11" ht="30" customHeight="1" x14ac:dyDescent="0.2">
      <c r="A2134" s="242"/>
      <c r="F2134" s="285" t="str">
        <f t="shared" si="73"/>
        <v/>
      </c>
      <c r="K2134" s="246" t="str">
        <f t="shared" si="72"/>
        <v/>
      </c>
    </row>
    <row r="2135" spans="1:11" ht="30" customHeight="1" x14ac:dyDescent="0.2">
      <c r="A2135" s="242"/>
      <c r="F2135" s="285" t="str">
        <f t="shared" si="73"/>
        <v/>
      </c>
      <c r="K2135" s="246" t="str">
        <f t="shared" si="72"/>
        <v/>
      </c>
    </row>
    <row r="2136" spans="1:11" ht="30" customHeight="1" x14ac:dyDescent="0.2">
      <c r="A2136" s="242"/>
      <c r="F2136" s="285" t="str">
        <f t="shared" si="73"/>
        <v/>
      </c>
      <c r="K2136" s="246" t="str">
        <f t="shared" si="72"/>
        <v/>
      </c>
    </row>
    <row r="2137" spans="1:11" ht="30" customHeight="1" x14ac:dyDescent="0.2">
      <c r="A2137" s="242"/>
      <c r="F2137" s="285" t="str">
        <f t="shared" si="73"/>
        <v/>
      </c>
      <c r="K2137" s="246" t="str">
        <f t="shared" si="72"/>
        <v/>
      </c>
    </row>
    <row r="2138" spans="1:11" ht="30" customHeight="1" x14ac:dyDescent="0.2">
      <c r="A2138" s="242"/>
      <c r="F2138" s="285" t="str">
        <f t="shared" si="73"/>
        <v/>
      </c>
      <c r="K2138" s="246" t="str">
        <f t="shared" si="72"/>
        <v/>
      </c>
    </row>
    <row r="2139" spans="1:11" ht="30" customHeight="1" x14ac:dyDescent="0.2">
      <c r="A2139" s="242"/>
      <c r="F2139" s="285" t="str">
        <f t="shared" si="73"/>
        <v/>
      </c>
      <c r="K2139" s="246" t="str">
        <f t="shared" si="72"/>
        <v/>
      </c>
    </row>
    <row r="2140" spans="1:11" ht="30" customHeight="1" x14ac:dyDescent="0.2">
      <c r="A2140" s="242"/>
      <c r="F2140" s="285" t="str">
        <f t="shared" si="73"/>
        <v/>
      </c>
      <c r="K2140" s="246" t="str">
        <f t="shared" si="72"/>
        <v/>
      </c>
    </row>
    <row r="2141" spans="1:11" ht="30" customHeight="1" x14ac:dyDescent="0.2">
      <c r="A2141" s="242"/>
      <c r="F2141" s="285" t="str">
        <f t="shared" si="73"/>
        <v/>
      </c>
      <c r="K2141" s="246" t="str">
        <f t="shared" si="72"/>
        <v/>
      </c>
    </row>
    <row r="2142" spans="1:11" ht="30" customHeight="1" x14ac:dyDescent="0.2">
      <c r="A2142" s="242"/>
      <c r="F2142" s="285" t="str">
        <f t="shared" si="73"/>
        <v/>
      </c>
      <c r="K2142" s="246" t="str">
        <f t="shared" si="72"/>
        <v/>
      </c>
    </row>
    <row r="2143" spans="1:11" ht="30" customHeight="1" x14ac:dyDescent="0.2">
      <c r="A2143" s="242"/>
      <c r="F2143" s="285" t="str">
        <f t="shared" si="73"/>
        <v/>
      </c>
      <c r="K2143" s="246" t="str">
        <f t="shared" si="72"/>
        <v/>
      </c>
    </row>
    <row r="2144" spans="1:11" ht="30" customHeight="1" x14ac:dyDescent="0.2">
      <c r="A2144" s="242"/>
      <c r="F2144" s="285" t="str">
        <f t="shared" si="73"/>
        <v/>
      </c>
      <c r="K2144" s="246" t="str">
        <f t="shared" si="72"/>
        <v/>
      </c>
    </row>
    <row r="2145" spans="1:11" ht="30" customHeight="1" x14ac:dyDescent="0.2">
      <c r="A2145" s="242"/>
      <c r="F2145" s="285" t="str">
        <f t="shared" si="73"/>
        <v/>
      </c>
      <c r="K2145" s="246" t="str">
        <f t="shared" si="72"/>
        <v/>
      </c>
    </row>
    <row r="2146" spans="1:11" ht="30" customHeight="1" x14ac:dyDescent="0.2">
      <c r="A2146" s="242"/>
      <c r="F2146" s="285" t="str">
        <f t="shared" si="73"/>
        <v/>
      </c>
      <c r="K2146" s="246" t="str">
        <f t="shared" si="72"/>
        <v/>
      </c>
    </row>
    <row r="2147" spans="1:11" ht="30" customHeight="1" x14ac:dyDescent="0.2">
      <c r="A2147" s="242"/>
      <c r="F2147" s="285" t="str">
        <f t="shared" si="73"/>
        <v/>
      </c>
      <c r="K2147" s="246" t="str">
        <f t="shared" si="72"/>
        <v/>
      </c>
    </row>
    <row r="2148" spans="1:11" ht="30" customHeight="1" x14ac:dyDescent="0.2">
      <c r="A2148" s="242"/>
      <c r="F2148" s="285" t="str">
        <f t="shared" si="73"/>
        <v/>
      </c>
      <c r="K2148" s="246" t="str">
        <f t="shared" si="72"/>
        <v/>
      </c>
    </row>
    <row r="2149" spans="1:11" ht="30" customHeight="1" x14ac:dyDescent="0.2">
      <c r="A2149" s="242"/>
      <c r="F2149" s="285" t="str">
        <f t="shared" si="73"/>
        <v/>
      </c>
      <c r="K2149" s="246" t="str">
        <f t="shared" si="72"/>
        <v/>
      </c>
    </row>
    <row r="2150" spans="1:11" ht="30" customHeight="1" x14ac:dyDescent="0.2">
      <c r="A2150" s="242"/>
      <c r="F2150" s="285" t="str">
        <f t="shared" si="73"/>
        <v/>
      </c>
      <c r="K2150" s="246" t="str">
        <f t="shared" si="72"/>
        <v/>
      </c>
    </row>
    <row r="2151" spans="1:11" ht="30" customHeight="1" x14ac:dyDescent="0.2">
      <c r="A2151" s="242"/>
      <c r="F2151" s="285" t="str">
        <f t="shared" si="73"/>
        <v/>
      </c>
      <c r="K2151" s="246" t="str">
        <f t="shared" si="72"/>
        <v/>
      </c>
    </row>
    <row r="2152" spans="1:11" ht="30" customHeight="1" x14ac:dyDescent="0.2">
      <c r="A2152" s="242"/>
      <c r="F2152" s="285" t="str">
        <f t="shared" si="73"/>
        <v/>
      </c>
      <c r="K2152" s="246" t="str">
        <f t="shared" si="72"/>
        <v/>
      </c>
    </row>
    <row r="2153" spans="1:11" ht="30" customHeight="1" x14ac:dyDescent="0.2">
      <c r="A2153" s="242"/>
      <c r="F2153" s="285" t="str">
        <f t="shared" si="73"/>
        <v/>
      </c>
      <c r="K2153" s="246" t="str">
        <f t="shared" si="72"/>
        <v/>
      </c>
    </row>
    <row r="2154" spans="1:11" ht="30" customHeight="1" x14ac:dyDescent="0.2">
      <c r="A2154" s="242"/>
      <c r="F2154" s="285" t="str">
        <f t="shared" si="73"/>
        <v/>
      </c>
      <c r="K2154" s="246" t="str">
        <f t="shared" si="72"/>
        <v/>
      </c>
    </row>
    <row r="2155" spans="1:11" ht="30" customHeight="1" x14ac:dyDescent="0.2">
      <c r="A2155" s="242"/>
      <c r="F2155" s="285" t="str">
        <f t="shared" si="73"/>
        <v/>
      </c>
      <c r="K2155" s="246" t="str">
        <f t="shared" si="72"/>
        <v/>
      </c>
    </row>
    <row r="2156" spans="1:11" ht="30" customHeight="1" x14ac:dyDescent="0.2">
      <c r="A2156" s="242"/>
      <c r="F2156" s="285" t="str">
        <f t="shared" si="73"/>
        <v/>
      </c>
      <c r="K2156" s="246" t="str">
        <f t="shared" si="72"/>
        <v/>
      </c>
    </row>
    <row r="2157" spans="1:11" ht="30" customHeight="1" x14ac:dyDescent="0.2">
      <c r="A2157" s="242"/>
      <c r="F2157" s="285" t="str">
        <f t="shared" si="73"/>
        <v/>
      </c>
      <c r="K2157" s="246" t="str">
        <f t="shared" si="72"/>
        <v/>
      </c>
    </row>
    <row r="2158" spans="1:11" ht="30" customHeight="1" x14ac:dyDescent="0.2">
      <c r="A2158" s="242"/>
      <c r="F2158" s="285" t="str">
        <f t="shared" si="73"/>
        <v/>
      </c>
      <c r="K2158" s="246" t="str">
        <f t="shared" si="72"/>
        <v/>
      </c>
    </row>
    <row r="2159" spans="1:11" ht="30" customHeight="1" x14ac:dyDescent="0.2">
      <c r="A2159" s="242"/>
      <c r="F2159" s="285" t="str">
        <f t="shared" si="73"/>
        <v/>
      </c>
      <c r="K2159" s="246" t="str">
        <f t="shared" si="72"/>
        <v/>
      </c>
    </row>
    <row r="2160" spans="1:11" ht="30" customHeight="1" x14ac:dyDescent="0.2">
      <c r="A2160" s="242"/>
      <c r="F2160" s="285" t="str">
        <f t="shared" si="73"/>
        <v/>
      </c>
      <c r="K2160" s="246" t="str">
        <f t="shared" si="72"/>
        <v/>
      </c>
    </row>
    <row r="2161" spans="1:11" ht="30" customHeight="1" x14ac:dyDescent="0.2">
      <c r="A2161" s="242"/>
      <c r="F2161" s="285" t="str">
        <f t="shared" si="73"/>
        <v/>
      </c>
      <c r="K2161" s="246" t="str">
        <f t="shared" si="72"/>
        <v/>
      </c>
    </row>
    <row r="2162" spans="1:11" ht="30" customHeight="1" x14ac:dyDescent="0.2">
      <c r="A2162" s="242"/>
      <c r="F2162" s="285" t="str">
        <f t="shared" si="73"/>
        <v/>
      </c>
      <c r="K2162" s="246" t="str">
        <f t="shared" si="72"/>
        <v/>
      </c>
    </row>
    <row r="2163" spans="1:11" ht="30" customHeight="1" x14ac:dyDescent="0.2">
      <c r="A2163" s="242"/>
      <c r="F2163" s="285" t="str">
        <f t="shared" si="73"/>
        <v/>
      </c>
      <c r="K2163" s="246" t="str">
        <f t="shared" si="72"/>
        <v/>
      </c>
    </row>
    <row r="2164" spans="1:11" ht="30" customHeight="1" x14ac:dyDescent="0.2">
      <c r="A2164" s="242"/>
      <c r="F2164" s="285" t="str">
        <f t="shared" si="73"/>
        <v/>
      </c>
      <c r="K2164" s="246" t="str">
        <f t="shared" si="72"/>
        <v/>
      </c>
    </row>
    <row r="2165" spans="1:11" ht="30" customHeight="1" x14ac:dyDescent="0.2">
      <c r="A2165" s="242"/>
      <c r="F2165" s="285" t="str">
        <f t="shared" si="73"/>
        <v/>
      </c>
      <c r="K2165" s="246" t="str">
        <f t="shared" si="72"/>
        <v/>
      </c>
    </row>
    <row r="2166" spans="1:11" ht="30" customHeight="1" x14ac:dyDescent="0.2">
      <c r="A2166" s="242"/>
      <c r="F2166" s="285" t="str">
        <f t="shared" si="73"/>
        <v/>
      </c>
      <c r="K2166" s="246" t="str">
        <f t="shared" si="72"/>
        <v/>
      </c>
    </row>
    <row r="2167" spans="1:11" ht="30" customHeight="1" x14ac:dyDescent="0.2">
      <c r="A2167" s="242"/>
      <c r="F2167" s="285" t="str">
        <f t="shared" si="73"/>
        <v/>
      </c>
      <c r="K2167" s="246" t="str">
        <f t="shared" si="72"/>
        <v/>
      </c>
    </row>
    <row r="2168" spans="1:11" ht="30" customHeight="1" x14ac:dyDescent="0.2">
      <c r="A2168" s="242"/>
      <c r="F2168" s="285" t="str">
        <f t="shared" si="73"/>
        <v/>
      </c>
      <c r="K2168" s="246" t="str">
        <f t="shared" si="72"/>
        <v/>
      </c>
    </row>
    <row r="2169" spans="1:11" ht="30" customHeight="1" x14ac:dyDescent="0.2">
      <c r="A2169" s="242"/>
      <c r="F2169" s="285" t="str">
        <f t="shared" si="73"/>
        <v/>
      </c>
      <c r="K2169" s="246" t="str">
        <f t="shared" si="72"/>
        <v/>
      </c>
    </row>
    <row r="2170" spans="1:11" ht="30" customHeight="1" x14ac:dyDescent="0.2">
      <c r="A2170" s="242"/>
      <c r="F2170" s="285" t="str">
        <f t="shared" si="73"/>
        <v/>
      </c>
      <c r="K2170" s="246" t="str">
        <f t="shared" si="72"/>
        <v/>
      </c>
    </row>
    <row r="2171" spans="1:11" ht="30" customHeight="1" x14ac:dyDescent="0.2">
      <c r="A2171" s="242"/>
      <c r="F2171" s="285" t="str">
        <f t="shared" si="73"/>
        <v/>
      </c>
      <c r="K2171" s="246" t="str">
        <f t="shared" ref="K2171:K2234" si="74">IF(A2171="","",A2171)</f>
        <v/>
      </c>
    </row>
    <row r="2172" spans="1:11" ht="30" customHeight="1" x14ac:dyDescent="0.2">
      <c r="A2172" s="242"/>
      <c r="F2172" s="285" t="str">
        <f t="shared" si="73"/>
        <v/>
      </c>
      <c r="K2172" s="246" t="str">
        <f t="shared" si="74"/>
        <v/>
      </c>
    </row>
    <row r="2173" spans="1:11" ht="30" customHeight="1" x14ac:dyDescent="0.2">
      <c r="A2173" s="242"/>
      <c r="F2173" s="285" t="str">
        <f t="shared" si="73"/>
        <v/>
      </c>
      <c r="K2173" s="246" t="str">
        <f t="shared" si="74"/>
        <v/>
      </c>
    </row>
    <row r="2174" spans="1:11" ht="30" customHeight="1" x14ac:dyDescent="0.2">
      <c r="A2174" s="242"/>
      <c r="F2174" s="285" t="str">
        <f t="shared" si="73"/>
        <v/>
      </c>
      <c r="K2174" s="246" t="str">
        <f t="shared" si="74"/>
        <v/>
      </c>
    </row>
    <row r="2175" spans="1:11" ht="30" customHeight="1" x14ac:dyDescent="0.2">
      <c r="A2175" s="242"/>
      <c r="F2175" s="285" t="str">
        <f t="shared" si="73"/>
        <v/>
      </c>
      <c r="K2175" s="246" t="str">
        <f t="shared" si="74"/>
        <v/>
      </c>
    </row>
    <row r="2176" spans="1:11" ht="30" customHeight="1" x14ac:dyDescent="0.2">
      <c r="A2176" s="242"/>
      <c r="F2176" s="285" t="str">
        <f t="shared" si="73"/>
        <v/>
      </c>
      <c r="K2176" s="246" t="str">
        <f t="shared" si="74"/>
        <v/>
      </c>
    </row>
    <row r="2177" spans="1:11" ht="30" customHeight="1" x14ac:dyDescent="0.2">
      <c r="A2177" s="242"/>
      <c r="F2177" s="285" t="str">
        <f t="shared" si="73"/>
        <v/>
      </c>
      <c r="K2177" s="246" t="str">
        <f t="shared" si="74"/>
        <v/>
      </c>
    </row>
    <row r="2178" spans="1:11" ht="30" customHeight="1" x14ac:dyDescent="0.2">
      <c r="A2178" s="242"/>
      <c r="F2178" s="285" t="str">
        <f t="shared" si="73"/>
        <v/>
      </c>
      <c r="K2178" s="246" t="str">
        <f t="shared" si="74"/>
        <v/>
      </c>
    </row>
    <row r="2179" spans="1:11" ht="30" customHeight="1" x14ac:dyDescent="0.2">
      <c r="A2179" s="242"/>
      <c r="F2179" s="285" t="str">
        <f t="shared" si="73"/>
        <v/>
      </c>
      <c r="K2179" s="246" t="str">
        <f t="shared" si="74"/>
        <v/>
      </c>
    </row>
    <row r="2180" spans="1:11" ht="30" customHeight="1" x14ac:dyDescent="0.2">
      <c r="A2180" s="242"/>
      <c r="F2180" s="285" t="str">
        <f t="shared" si="73"/>
        <v/>
      </c>
      <c r="K2180" s="246" t="str">
        <f t="shared" si="74"/>
        <v/>
      </c>
    </row>
    <row r="2181" spans="1:11" ht="30" customHeight="1" x14ac:dyDescent="0.2">
      <c r="A2181" s="242"/>
      <c r="F2181" s="285" t="str">
        <f t="shared" ref="F2181:F2244" si="75">IF(A2181="","",A2181)</f>
        <v/>
      </c>
      <c r="K2181" s="246" t="str">
        <f t="shared" si="74"/>
        <v/>
      </c>
    </row>
    <row r="2182" spans="1:11" ht="30" customHeight="1" x14ac:dyDescent="0.2">
      <c r="A2182" s="242"/>
      <c r="F2182" s="285" t="str">
        <f t="shared" si="75"/>
        <v/>
      </c>
      <c r="K2182" s="246" t="str">
        <f t="shared" si="74"/>
        <v/>
      </c>
    </row>
    <row r="2183" spans="1:11" ht="30" customHeight="1" x14ac:dyDescent="0.2">
      <c r="A2183" s="242"/>
      <c r="F2183" s="285" t="str">
        <f t="shared" si="75"/>
        <v/>
      </c>
      <c r="K2183" s="246" t="str">
        <f t="shared" si="74"/>
        <v/>
      </c>
    </row>
    <row r="2184" spans="1:11" ht="30" customHeight="1" x14ac:dyDescent="0.2">
      <c r="A2184" s="242"/>
      <c r="F2184" s="285" t="str">
        <f t="shared" si="75"/>
        <v/>
      </c>
      <c r="K2184" s="246" t="str">
        <f t="shared" si="74"/>
        <v/>
      </c>
    </row>
    <row r="2185" spans="1:11" ht="30" customHeight="1" x14ac:dyDescent="0.2">
      <c r="A2185" s="242"/>
      <c r="F2185" s="285" t="str">
        <f t="shared" si="75"/>
        <v/>
      </c>
      <c r="K2185" s="246" t="str">
        <f t="shared" si="74"/>
        <v/>
      </c>
    </row>
    <row r="2186" spans="1:11" ht="30" customHeight="1" x14ac:dyDescent="0.2">
      <c r="A2186" s="242"/>
      <c r="F2186" s="285" t="str">
        <f t="shared" si="75"/>
        <v/>
      </c>
      <c r="K2186" s="246" t="str">
        <f t="shared" si="74"/>
        <v/>
      </c>
    </row>
    <row r="2187" spans="1:11" ht="30" customHeight="1" x14ac:dyDescent="0.2">
      <c r="A2187" s="242"/>
      <c r="F2187" s="285" t="str">
        <f t="shared" si="75"/>
        <v/>
      </c>
      <c r="K2187" s="246" t="str">
        <f t="shared" si="74"/>
        <v/>
      </c>
    </row>
    <row r="2188" spans="1:11" ht="30" customHeight="1" x14ac:dyDescent="0.2">
      <c r="A2188" s="242"/>
      <c r="F2188" s="285" t="str">
        <f t="shared" si="75"/>
        <v/>
      </c>
      <c r="K2188" s="246" t="str">
        <f t="shared" si="74"/>
        <v/>
      </c>
    </row>
    <row r="2189" spans="1:11" ht="30" customHeight="1" x14ac:dyDescent="0.2">
      <c r="A2189" s="242"/>
      <c r="F2189" s="285" t="str">
        <f t="shared" si="75"/>
        <v/>
      </c>
      <c r="K2189" s="246" t="str">
        <f t="shared" si="74"/>
        <v/>
      </c>
    </row>
    <row r="2190" spans="1:11" ht="30" customHeight="1" x14ac:dyDescent="0.2">
      <c r="A2190" s="242"/>
      <c r="F2190" s="285" t="str">
        <f t="shared" si="75"/>
        <v/>
      </c>
      <c r="K2190" s="246" t="str">
        <f t="shared" si="74"/>
        <v/>
      </c>
    </row>
    <row r="2191" spans="1:11" ht="30" customHeight="1" x14ac:dyDescent="0.2">
      <c r="A2191" s="242"/>
      <c r="F2191" s="285" t="str">
        <f t="shared" si="75"/>
        <v/>
      </c>
      <c r="K2191" s="246" t="str">
        <f t="shared" si="74"/>
        <v/>
      </c>
    </row>
    <row r="2192" spans="1:11" ht="30" customHeight="1" x14ac:dyDescent="0.2">
      <c r="A2192" s="242"/>
      <c r="F2192" s="285" t="str">
        <f t="shared" si="75"/>
        <v/>
      </c>
      <c r="K2192" s="246" t="str">
        <f t="shared" si="74"/>
        <v/>
      </c>
    </row>
    <row r="2193" spans="1:11" ht="30" customHeight="1" x14ac:dyDescent="0.2">
      <c r="A2193" s="242"/>
      <c r="F2193" s="285" t="str">
        <f t="shared" si="75"/>
        <v/>
      </c>
      <c r="K2193" s="246" t="str">
        <f t="shared" si="74"/>
        <v/>
      </c>
    </row>
    <row r="2194" spans="1:11" ht="30" customHeight="1" x14ac:dyDescent="0.2">
      <c r="A2194" s="242"/>
      <c r="F2194" s="285" t="str">
        <f t="shared" si="75"/>
        <v/>
      </c>
      <c r="K2194" s="246" t="str">
        <f t="shared" si="74"/>
        <v/>
      </c>
    </row>
    <row r="2195" spans="1:11" ht="30" customHeight="1" x14ac:dyDescent="0.2">
      <c r="A2195" s="242"/>
      <c r="F2195" s="285" t="str">
        <f t="shared" si="75"/>
        <v/>
      </c>
      <c r="K2195" s="246" t="str">
        <f t="shared" si="74"/>
        <v/>
      </c>
    </row>
    <row r="2196" spans="1:11" ht="30" customHeight="1" x14ac:dyDescent="0.2">
      <c r="A2196" s="242"/>
      <c r="F2196" s="285" t="str">
        <f t="shared" si="75"/>
        <v/>
      </c>
      <c r="K2196" s="246" t="str">
        <f t="shared" si="74"/>
        <v/>
      </c>
    </row>
    <row r="2197" spans="1:11" ht="30" customHeight="1" x14ac:dyDescent="0.2">
      <c r="A2197" s="242"/>
      <c r="F2197" s="285" t="str">
        <f t="shared" si="75"/>
        <v/>
      </c>
      <c r="K2197" s="246" t="str">
        <f t="shared" si="74"/>
        <v/>
      </c>
    </row>
    <row r="2198" spans="1:11" ht="30" customHeight="1" x14ac:dyDescent="0.2">
      <c r="A2198" s="242"/>
      <c r="F2198" s="285" t="str">
        <f t="shared" si="75"/>
        <v/>
      </c>
      <c r="K2198" s="246" t="str">
        <f t="shared" si="74"/>
        <v/>
      </c>
    </row>
    <row r="2199" spans="1:11" ht="30" customHeight="1" x14ac:dyDescent="0.2">
      <c r="A2199" s="242"/>
      <c r="F2199" s="285" t="str">
        <f t="shared" si="75"/>
        <v/>
      </c>
      <c r="K2199" s="246" t="str">
        <f t="shared" si="74"/>
        <v/>
      </c>
    </row>
    <row r="2200" spans="1:11" ht="30" customHeight="1" x14ac:dyDescent="0.2">
      <c r="A2200" s="242"/>
      <c r="F2200" s="285" t="str">
        <f t="shared" si="75"/>
        <v/>
      </c>
      <c r="K2200" s="246" t="str">
        <f t="shared" si="74"/>
        <v/>
      </c>
    </row>
    <row r="2201" spans="1:11" ht="30" customHeight="1" x14ac:dyDescent="0.2">
      <c r="A2201" s="242"/>
      <c r="F2201" s="285" t="str">
        <f t="shared" si="75"/>
        <v/>
      </c>
      <c r="K2201" s="246" t="str">
        <f t="shared" si="74"/>
        <v/>
      </c>
    </row>
    <row r="2202" spans="1:11" ht="30" customHeight="1" x14ac:dyDescent="0.2">
      <c r="A2202" s="242"/>
      <c r="F2202" s="285" t="str">
        <f t="shared" si="75"/>
        <v/>
      </c>
      <c r="K2202" s="246" t="str">
        <f t="shared" si="74"/>
        <v/>
      </c>
    </row>
    <row r="2203" spans="1:11" ht="30" customHeight="1" x14ac:dyDescent="0.2">
      <c r="A2203" s="242"/>
      <c r="F2203" s="285" t="str">
        <f t="shared" si="75"/>
        <v/>
      </c>
      <c r="K2203" s="246" t="str">
        <f t="shared" si="74"/>
        <v/>
      </c>
    </row>
    <row r="2204" spans="1:11" ht="30" customHeight="1" x14ac:dyDescent="0.2">
      <c r="A2204" s="242"/>
      <c r="F2204" s="285" t="str">
        <f t="shared" si="75"/>
        <v/>
      </c>
      <c r="K2204" s="246" t="str">
        <f t="shared" si="74"/>
        <v/>
      </c>
    </row>
    <row r="2205" spans="1:11" ht="30" customHeight="1" x14ac:dyDescent="0.2">
      <c r="A2205" s="242"/>
      <c r="F2205" s="285" t="str">
        <f t="shared" si="75"/>
        <v/>
      </c>
      <c r="K2205" s="246" t="str">
        <f t="shared" si="74"/>
        <v/>
      </c>
    </row>
    <row r="2206" spans="1:11" ht="30" customHeight="1" x14ac:dyDescent="0.2">
      <c r="A2206" s="242"/>
      <c r="F2206" s="285" t="str">
        <f t="shared" si="75"/>
        <v/>
      </c>
      <c r="K2206" s="246" t="str">
        <f t="shared" si="74"/>
        <v/>
      </c>
    </row>
    <row r="2207" spans="1:11" ht="30" customHeight="1" x14ac:dyDescent="0.2">
      <c r="A2207" s="242"/>
      <c r="F2207" s="285" t="str">
        <f t="shared" si="75"/>
        <v/>
      </c>
      <c r="K2207" s="246" t="str">
        <f t="shared" si="74"/>
        <v/>
      </c>
    </row>
    <row r="2208" spans="1:11" ht="30" customHeight="1" x14ac:dyDescent="0.2">
      <c r="A2208" s="242"/>
      <c r="F2208" s="285" t="str">
        <f t="shared" si="75"/>
        <v/>
      </c>
      <c r="K2208" s="246" t="str">
        <f t="shared" si="74"/>
        <v/>
      </c>
    </row>
    <row r="2209" spans="1:11" ht="30" customHeight="1" x14ac:dyDescent="0.2">
      <c r="A2209" s="242"/>
      <c r="F2209" s="285" t="str">
        <f t="shared" si="75"/>
        <v/>
      </c>
      <c r="K2209" s="246" t="str">
        <f t="shared" si="74"/>
        <v/>
      </c>
    </row>
    <row r="2210" spans="1:11" ht="30" customHeight="1" x14ac:dyDescent="0.2">
      <c r="A2210" s="242"/>
      <c r="F2210" s="285" t="str">
        <f t="shared" si="75"/>
        <v/>
      </c>
      <c r="K2210" s="246" t="str">
        <f t="shared" si="74"/>
        <v/>
      </c>
    </row>
    <row r="2211" spans="1:11" ht="30" customHeight="1" x14ac:dyDescent="0.2">
      <c r="A2211" s="242"/>
      <c r="F2211" s="285" t="str">
        <f t="shared" si="75"/>
        <v/>
      </c>
      <c r="K2211" s="246" t="str">
        <f t="shared" si="74"/>
        <v/>
      </c>
    </row>
    <row r="2212" spans="1:11" ht="30" customHeight="1" x14ac:dyDescent="0.2">
      <c r="A2212" s="242"/>
      <c r="F2212" s="285" t="str">
        <f t="shared" si="75"/>
        <v/>
      </c>
      <c r="K2212" s="246" t="str">
        <f t="shared" si="74"/>
        <v/>
      </c>
    </row>
    <row r="2213" spans="1:11" ht="30" customHeight="1" x14ac:dyDescent="0.2">
      <c r="A2213" s="242"/>
      <c r="F2213" s="285" t="str">
        <f t="shared" si="75"/>
        <v/>
      </c>
      <c r="K2213" s="246" t="str">
        <f t="shared" si="74"/>
        <v/>
      </c>
    </row>
    <row r="2214" spans="1:11" ht="30" customHeight="1" x14ac:dyDescent="0.2">
      <c r="A2214" s="242"/>
      <c r="F2214" s="285" t="str">
        <f t="shared" si="75"/>
        <v/>
      </c>
      <c r="K2214" s="246" t="str">
        <f t="shared" si="74"/>
        <v/>
      </c>
    </row>
    <row r="2215" spans="1:11" ht="30" customHeight="1" x14ac:dyDescent="0.2">
      <c r="A2215" s="242"/>
      <c r="F2215" s="285" t="str">
        <f t="shared" si="75"/>
        <v/>
      </c>
      <c r="K2215" s="246" t="str">
        <f t="shared" si="74"/>
        <v/>
      </c>
    </row>
    <row r="2216" spans="1:11" ht="30" customHeight="1" x14ac:dyDescent="0.2">
      <c r="A2216" s="242"/>
      <c r="F2216" s="285" t="str">
        <f t="shared" si="75"/>
        <v/>
      </c>
      <c r="K2216" s="246" t="str">
        <f t="shared" si="74"/>
        <v/>
      </c>
    </row>
    <row r="2217" spans="1:11" ht="30" customHeight="1" x14ac:dyDescent="0.2">
      <c r="A2217" s="242"/>
      <c r="F2217" s="285" t="str">
        <f t="shared" si="75"/>
        <v/>
      </c>
      <c r="K2217" s="246" t="str">
        <f t="shared" si="74"/>
        <v/>
      </c>
    </row>
    <row r="2218" spans="1:11" ht="30" customHeight="1" x14ac:dyDescent="0.2">
      <c r="A2218" s="242"/>
      <c r="F2218" s="285" t="str">
        <f t="shared" si="75"/>
        <v/>
      </c>
      <c r="K2218" s="246" t="str">
        <f t="shared" si="74"/>
        <v/>
      </c>
    </row>
    <row r="2219" spans="1:11" ht="30" customHeight="1" x14ac:dyDescent="0.2">
      <c r="A2219" s="242"/>
      <c r="F2219" s="285" t="str">
        <f t="shared" si="75"/>
        <v/>
      </c>
      <c r="K2219" s="246" t="str">
        <f t="shared" si="74"/>
        <v/>
      </c>
    </row>
    <row r="2220" spans="1:11" ht="30" customHeight="1" x14ac:dyDescent="0.2">
      <c r="A2220" s="242"/>
      <c r="F2220" s="285" t="str">
        <f t="shared" si="75"/>
        <v/>
      </c>
      <c r="K2220" s="246" t="str">
        <f t="shared" si="74"/>
        <v/>
      </c>
    </row>
    <row r="2221" spans="1:11" ht="30" customHeight="1" x14ac:dyDescent="0.2">
      <c r="A2221" s="242"/>
      <c r="F2221" s="285" t="str">
        <f t="shared" si="75"/>
        <v/>
      </c>
      <c r="K2221" s="246" t="str">
        <f t="shared" si="74"/>
        <v/>
      </c>
    </row>
    <row r="2222" spans="1:11" ht="30" customHeight="1" x14ac:dyDescent="0.2">
      <c r="A2222" s="242"/>
      <c r="F2222" s="285" t="str">
        <f t="shared" si="75"/>
        <v/>
      </c>
      <c r="K2222" s="246" t="str">
        <f t="shared" si="74"/>
        <v/>
      </c>
    </row>
    <row r="2223" spans="1:11" ht="30" customHeight="1" x14ac:dyDescent="0.2">
      <c r="A2223" s="242"/>
      <c r="F2223" s="285" t="str">
        <f t="shared" si="75"/>
        <v/>
      </c>
      <c r="K2223" s="246" t="str">
        <f t="shared" si="74"/>
        <v/>
      </c>
    </row>
    <row r="2224" spans="1:11" ht="30" customHeight="1" x14ac:dyDescent="0.2">
      <c r="A2224" s="242"/>
      <c r="F2224" s="285" t="str">
        <f t="shared" si="75"/>
        <v/>
      </c>
      <c r="K2224" s="246" t="str">
        <f t="shared" si="74"/>
        <v/>
      </c>
    </row>
    <row r="2225" spans="1:11" ht="30" customHeight="1" x14ac:dyDescent="0.2">
      <c r="A2225" s="242"/>
      <c r="F2225" s="285" t="str">
        <f t="shared" si="75"/>
        <v/>
      </c>
      <c r="K2225" s="246" t="str">
        <f t="shared" si="74"/>
        <v/>
      </c>
    </row>
    <row r="2226" spans="1:11" ht="30" customHeight="1" x14ac:dyDescent="0.2">
      <c r="A2226" s="242"/>
      <c r="F2226" s="285" t="str">
        <f t="shared" si="75"/>
        <v/>
      </c>
      <c r="K2226" s="246" t="str">
        <f t="shared" si="74"/>
        <v/>
      </c>
    </row>
    <row r="2227" spans="1:11" ht="30" customHeight="1" x14ac:dyDescent="0.2">
      <c r="A2227" s="242"/>
      <c r="F2227" s="285" t="str">
        <f t="shared" si="75"/>
        <v/>
      </c>
      <c r="K2227" s="246" t="str">
        <f t="shared" si="74"/>
        <v/>
      </c>
    </row>
    <row r="2228" spans="1:11" ht="30" customHeight="1" x14ac:dyDescent="0.2">
      <c r="A2228" s="242"/>
      <c r="F2228" s="285" t="str">
        <f t="shared" si="75"/>
        <v/>
      </c>
      <c r="K2228" s="246" t="str">
        <f t="shared" si="74"/>
        <v/>
      </c>
    </row>
    <row r="2229" spans="1:11" ht="30" customHeight="1" x14ac:dyDescent="0.2">
      <c r="A2229" s="242"/>
      <c r="F2229" s="285" t="str">
        <f t="shared" si="75"/>
        <v/>
      </c>
      <c r="K2229" s="246" t="str">
        <f t="shared" si="74"/>
        <v/>
      </c>
    </row>
    <row r="2230" spans="1:11" ht="30" customHeight="1" x14ac:dyDescent="0.2">
      <c r="A2230" s="242"/>
      <c r="F2230" s="285" t="str">
        <f t="shared" si="75"/>
        <v/>
      </c>
      <c r="K2230" s="246" t="str">
        <f t="shared" si="74"/>
        <v/>
      </c>
    </row>
    <row r="2231" spans="1:11" ht="30" customHeight="1" x14ac:dyDescent="0.2">
      <c r="A2231" s="242"/>
      <c r="F2231" s="285" t="str">
        <f t="shared" si="75"/>
        <v/>
      </c>
      <c r="K2231" s="246" t="str">
        <f t="shared" si="74"/>
        <v/>
      </c>
    </row>
    <row r="2232" spans="1:11" ht="30" customHeight="1" x14ac:dyDescent="0.2">
      <c r="A2232" s="242"/>
      <c r="F2232" s="285" t="str">
        <f t="shared" si="75"/>
        <v/>
      </c>
      <c r="K2232" s="246" t="str">
        <f t="shared" si="74"/>
        <v/>
      </c>
    </row>
    <row r="2233" spans="1:11" ht="30" customHeight="1" x14ac:dyDescent="0.2">
      <c r="A2233" s="242"/>
      <c r="F2233" s="285" t="str">
        <f t="shared" si="75"/>
        <v/>
      </c>
      <c r="K2233" s="246" t="str">
        <f t="shared" si="74"/>
        <v/>
      </c>
    </row>
    <row r="2234" spans="1:11" ht="30" customHeight="1" x14ac:dyDescent="0.2">
      <c r="A2234" s="242"/>
      <c r="F2234" s="285" t="str">
        <f t="shared" si="75"/>
        <v/>
      </c>
      <c r="K2234" s="246" t="str">
        <f t="shared" si="74"/>
        <v/>
      </c>
    </row>
    <row r="2235" spans="1:11" ht="30" customHeight="1" x14ac:dyDescent="0.2">
      <c r="A2235" s="242"/>
      <c r="F2235" s="285" t="str">
        <f t="shared" si="75"/>
        <v/>
      </c>
      <c r="K2235" s="246" t="str">
        <f t="shared" ref="K2235:K2298" si="76">IF(A2235="","",A2235)</f>
        <v/>
      </c>
    </row>
    <row r="2236" spans="1:11" ht="30" customHeight="1" x14ac:dyDescent="0.2">
      <c r="A2236" s="242"/>
      <c r="F2236" s="285" t="str">
        <f t="shared" si="75"/>
        <v/>
      </c>
      <c r="K2236" s="246" t="str">
        <f t="shared" si="76"/>
        <v/>
      </c>
    </row>
    <row r="2237" spans="1:11" ht="30" customHeight="1" x14ac:dyDescent="0.2">
      <c r="A2237" s="242"/>
      <c r="F2237" s="285" t="str">
        <f t="shared" si="75"/>
        <v/>
      </c>
      <c r="K2237" s="246" t="str">
        <f t="shared" si="76"/>
        <v/>
      </c>
    </row>
    <row r="2238" spans="1:11" ht="30" customHeight="1" x14ac:dyDescent="0.2">
      <c r="A2238" s="242"/>
      <c r="F2238" s="285" t="str">
        <f t="shared" si="75"/>
        <v/>
      </c>
      <c r="K2238" s="246" t="str">
        <f t="shared" si="76"/>
        <v/>
      </c>
    </row>
    <row r="2239" spans="1:11" ht="30" customHeight="1" x14ac:dyDescent="0.2">
      <c r="A2239" s="242"/>
      <c r="F2239" s="285" t="str">
        <f t="shared" si="75"/>
        <v/>
      </c>
      <c r="K2239" s="246" t="str">
        <f t="shared" si="76"/>
        <v/>
      </c>
    </row>
    <row r="2240" spans="1:11" ht="30" customHeight="1" x14ac:dyDescent="0.2">
      <c r="A2240" s="242"/>
      <c r="F2240" s="285" t="str">
        <f t="shared" si="75"/>
        <v/>
      </c>
      <c r="K2240" s="246" t="str">
        <f t="shared" si="76"/>
        <v/>
      </c>
    </row>
    <row r="2241" spans="1:11" ht="30" customHeight="1" x14ac:dyDescent="0.2">
      <c r="A2241" s="242"/>
      <c r="F2241" s="285" t="str">
        <f t="shared" si="75"/>
        <v/>
      </c>
      <c r="K2241" s="246" t="str">
        <f t="shared" si="76"/>
        <v/>
      </c>
    </row>
    <row r="2242" spans="1:11" ht="30" customHeight="1" x14ac:dyDescent="0.2">
      <c r="A2242" s="242"/>
      <c r="F2242" s="285" t="str">
        <f t="shared" si="75"/>
        <v/>
      </c>
      <c r="K2242" s="246" t="str">
        <f t="shared" si="76"/>
        <v/>
      </c>
    </row>
    <row r="2243" spans="1:11" ht="30" customHeight="1" x14ac:dyDescent="0.2">
      <c r="A2243" s="242"/>
      <c r="F2243" s="285" t="str">
        <f t="shared" si="75"/>
        <v/>
      </c>
      <c r="K2243" s="246" t="str">
        <f t="shared" si="76"/>
        <v/>
      </c>
    </row>
    <row r="2244" spans="1:11" ht="30" customHeight="1" x14ac:dyDescent="0.2">
      <c r="A2244" s="242"/>
      <c r="F2244" s="285" t="str">
        <f t="shared" si="75"/>
        <v/>
      </c>
      <c r="K2244" s="246" t="str">
        <f t="shared" si="76"/>
        <v/>
      </c>
    </row>
    <row r="2245" spans="1:11" ht="30" customHeight="1" x14ac:dyDescent="0.2">
      <c r="A2245" s="242"/>
      <c r="F2245" s="285" t="str">
        <f t="shared" ref="F2245:F2308" si="77">IF(A2245="","",A2245)</f>
        <v/>
      </c>
      <c r="K2245" s="246" t="str">
        <f t="shared" si="76"/>
        <v/>
      </c>
    </row>
    <row r="2246" spans="1:11" ht="30" customHeight="1" x14ac:dyDescent="0.2">
      <c r="A2246" s="242"/>
      <c r="F2246" s="285" t="str">
        <f t="shared" si="77"/>
        <v/>
      </c>
      <c r="K2246" s="246" t="str">
        <f t="shared" si="76"/>
        <v/>
      </c>
    </row>
    <row r="2247" spans="1:11" ht="30" customHeight="1" x14ac:dyDescent="0.2">
      <c r="A2247" s="242"/>
      <c r="F2247" s="285" t="str">
        <f t="shared" si="77"/>
        <v/>
      </c>
      <c r="K2247" s="246" t="str">
        <f t="shared" si="76"/>
        <v/>
      </c>
    </row>
    <row r="2248" spans="1:11" ht="30" customHeight="1" x14ac:dyDescent="0.2">
      <c r="A2248" s="242"/>
      <c r="F2248" s="285" t="str">
        <f t="shared" si="77"/>
        <v/>
      </c>
      <c r="K2248" s="246" t="str">
        <f t="shared" si="76"/>
        <v/>
      </c>
    </row>
    <row r="2249" spans="1:11" ht="30" customHeight="1" x14ac:dyDescent="0.2">
      <c r="A2249" s="242"/>
      <c r="F2249" s="285" t="str">
        <f t="shared" si="77"/>
        <v/>
      </c>
      <c r="K2249" s="246" t="str">
        <f t="shared" si="76"/>
        <v/>
      </c>
    </row>
    <row r="2250" spans="1:11" ht="30" customHeight="1" x14ac:dyDescent="0.2">
      <c r="A2250" s="242"/>
      <c r="F2250" s="285" t="str">
        <f t="shared" si="77"/>
        <v/>
      </c>
      <c r="K2250" s="246" t="str">
        <f t="shared" si="76"/>
        <v/>
      </c>
    </row>
    <row r="2251" spans="1:11" ht="30" customHeight="1" x14ac:dyDescent="0.2">
      <c r="A2251" s="242"/>
      <c r="F2251" s="285" t="str">
        <f t="shared" si="77"/>
        <v/>
      </c>
      <c r="K2251" s="246" t="str">
        <f t="shared" si="76"/>
        <v/>
      </c>
    </row>
    <row r="2252" spans="1:11" ht="30" customHeight="1" x14ac:dyDescent="0.2">
      <c r="A2252" s="242"/>
      <c r="F2252" s="285" t="str">
        <f t="shared" si="77"/>
        <v/>
      </c>
      <c r="K2252" s="246" t="str">
        <f t="shared" si="76"/>
        <v/>
      </c>
    </row>
    <row r="2253" spans="1:11" ht="30" customHeight="1" x14ac:dyDescent="0.2">
      <c r="A2253" s="242"/>
      <c r="F2253" s="285" t="str">
        <f t="shared" si="77"/>
        <v/>
      </c>
      <c r="K2253" s="246" t="str">
        <f t="shared" si="76"/>
        <v/>
      </c>
    </row>
    <row r="2254" spans="1:11" ht="30" customHeight="1" x14ac:dyDescent="0.2">
      <c r="A2254" s="242"/>
      <c r="F2254" s="285" t="str">
        <f t="shared" si="77"/>
        <v/>
      </c>
      <c r="K2254" s="246" t="str">
        <f t="shared" si="76"/>
        <v/>
      </c>
    </row>
    <row r="2255" spans="1:11" ht="30" customHeight="1" x14ac:dyDescent="0.2">
      <c r="A2255" s="242"/>
      <c r="F2255" s="285" t="str">
        <f t="shared" si="77"/>
        <v/>
      </c>
      <c r="K2255" s="246" t="str">
        <f t="shared" si="76"/>
        <v/>
      </c>
    </row>
    <row r="2256" spans="1:11" ht="30" customHeight="1" x14ac:dyDescent="0.2">
      <c r="A2256" s="242"/>
      <c r="F2256" s="285" t="str">
        <f t="shared" si="77"/>
        <v/>
      </c>
      <c r="K2256" s="246" t="str">
        <f t="shared" si="76"/>
        <v/>
      </c>
    </row>
    <row r="2257" spans="1:11" ht="30" customHeight="1" x14ac:dyDescent="0.2">
      <c r="A2257" s="242"/>
      <c r="F2257" s="285" t="str">
        <f t="shared" si="77"/>
        <v/>
      </c>
      <c r="K2257" s="246" t="str">
        <f t="shared" si="76"/>
        <v/>
      </c>
    </row>
    <row r="2258" spans="1:11" ht="30" customHeight="1" x14ac:dyDescent="0.2">
      <c r="A2258" s="242"/>
      <c r="F2258" s="285" t="str">
        <f t="shared" si="77"/>
        <v/>
      </c>
      <c r="K2258" s="246" t="str">
        <f t="shared" si="76"/>
        <v/>
      </c>
    </row>
    <row r="2259" spans="1:11" ht="30" customHeight="1" x14ac:dyDescent="0.2">
      <c r="A2259" s="242"/>
      <c r="F2259" s="285" t="str">
        <f t="shared" si="77"/>
        <v/>
      </c>
      <c r="K2259" s="246" t="str">
        <f t="shared" si="76"/>
        <v/>
      </c>
    </row>
    <row r="2260" spans="1:11" ht="30" customHeight="1" x14ac:dyDescent="0.2">
      <c r="A2260" s="242"/>
      <c r="F2260" s="285" t="str">
        <f t="shared" si="77"/>
        <v/>
      </c>
      <c r="K2260" s="246" t="str">
        <f t="shared" si="76"/>
        <v/>
      </c>
    </row>
    <row r="2261" spans="1:11" ht="30" customHeight="1" x14ac:dyDescent="0.2">
      <c r="A2261" s="242"/>
      <c r="F2261" s="285" t="str">
        <f t="shared" si="77"/>
        <v/>
      </c>
      <c r="K2261" s="246" t="str">
        <f t="shared" si="76"/>
        <v/>
      </c>
    </row>
    <row r="2262" spans="1:11" ht="30" customHeight="1" x14ac:dyDescent="0.2">
      <c r="A2262" s="242"/>
      <c r="F2262" s="285" t="str">
        <f t="shared" si="77"/>
        <v/>
      </c>
      <c r="K2262" s="246" t="str">
        <f t="shared" si="76"/>
        <v/>
      </c>
    </row>
    <row r="2263" spans="1:11" ht="30" customHeight="1" x14ac:dyDescent="0.2">
      <c r="A2263" s="242"/>
      <c r="F2263" s="285" t="str">
        <f t="shared" si="77"/>
        <v/>
      </c>
      <c r="K2263" s="246" t="str">
        <f t="shared" si="76"/>
        <v/>
      </c>
    </row>
    <row r="2264" spans="1:11" ht="30" customHeight="1" x14ac:dyDescent="0.2">
      <c r="A2264" s="242"/>
      <c r="F2264" s="285" t="str">
        <f t="shared" si="77"/>
        <v/>
      </c>
      <c r="K2264" s="246" t="str">
        <f t="shared" si="76"/>
        <v/>
      </c>
    </row>
    <row r="2265" spans="1:11" ht="30" customHeight="1" x14ac:dyDescent="0.2">
      <c r="A2265" s="242"/>
      <c r="F2265" s="285" t="str">
        <f t="shared" si="77"/>
        <v/>
      </c>
      <c r="K2265" s="246" t="str">
        <f t="shared" si="76"/>
        <v/>
      </c>
    </row>
    <row r="2266" spans="1:11" ht="30" customHeight="1" x14ac:dyDescent="0.2">
      <c r="A2266" s="242"/>
      <c r="F2266" s="285" t="str">
        <f t="shared" si="77"/>
        <v/>
      </c>
      <c r="K2266" s="246" t="str">
        <f t="shared" si="76"/>
        <v/>
      </c>
    </row>
    <row r="2267" spans="1:11" ht="30" customHeight="1" x14ac:dyDescent="0.2">
      <c r="A2267" s="242"/>
      <c r="F2267" s="285" t="str">
        <f t="shared" si="77"/>
        <v/>
      </c>
      <c r="K2267" s="246" t="str">
        <f t="shared" si="76"/>
        <v/>
      </c>
    </row>
    <row r="2268" spans="1:11" ht="30" customHeight="1" x14ac:dyDescent="0.2">
      <c r="A2268" s="242"/>
      <c r="F2268" s="285" t="str">
        <f t="shared" si="77"/>
        <v/>
      </c>
      <c r="K2268" s="246" t="str">
        <f t="shared" si="76"/>
        <v/>
      </c>
    </row>
    <row r="2269" spans="1:11" ht="30" customHeight="1" x14ac:dyDescent="0.2">
      <c r="A2269" s="242"/>
      <c r="F2269" s="285" t="str">
        <f t="shared" si="77"/>
        <v/>
      </c>
      <c r="K2269" s="246" t="str">
        <f t="shared" si="76"/>
        <v/>
      </c>
    </row>
    <row r="2270" spans="1:11" ht="30" customHeight="1" x14ac:dyDescent="0.2">
      <c r="A2270" s="242"/>
      <c r="F2270" s="285" t="str">
        <f t="shared" si="77"/>
        <v/>
      </c>
      <c r="K2270" s="246" t="str">
        <f t="shared" si="76"/>
        <v/>
      </c>
    </row>
    <row r="2271" spans="1:11" ht="30" customHeight="1" x14ac:dyDescent="0.2">
      <c r="A2271" s="242"/>
      <c r="F2271" s="285" t="str">
        <f t="shared" si="77"/>
        <v/>
      </c>
      <c r="K2271" s="246" t="str">
        <f t="shared" si="76"/>
        <v/>
      </c>
    </row>
    <row r="2272" spans="1:11" ht="30" customHeight="1" x14ac:dyDescent="0.2">
      <c r="A2272" s="242"/>
      <c r="F2272" s="285" t="str">
        <f t="shared" si="77"/>
        <v/>
      </c>
      <c r="K2272" s="246" t="str">
        <f t="shared" si="76"/>
        <v/>
      </c>
    </row>
    <row r="2273" spans="1:11" ht="30" customHeight="1" x14ac:dyDescent="0.2">
      <c r="A2273" s="242"/>
      <c r="F2273" s="285" t="str">
        <f t="shared" si="77"/>
        <v/>
      </c>
      <c r="K2273" s="246" t="str">
        <f t="shared" si="76"/>
        <v/>
      </c>
    </row>
    <row r="2274" spans="1:11" ht="30" customHeight="1" x14ac:dyDescent="0.2">
      <c r="A2274" s="242"/>
      <c r="F2274" s="285" t="str">
        <f t="shared" si="77"/>
        <v/>
      </c>
      <c r="K2274" s="246" t="str">
        <f t="shared" si="76"/>
        <v/>
      </c>
    </row>
    <row r="2275" spans="1:11" ht="30" customHeight="1" x14ac:dyDescent="0.2">
      <c r="A2275" s="242"/>
      <c r="F2275" s="285" t="str">
        <f t="shared" si="77"/>
        <v/>
      </c>
      <c r="K2275" s="246" t="str">
        <f t="shared" si="76"/>
        <v/>
      </c>
    </row>
    <row r="2276" spans="1:11" ht="30" customHeight="1" x14ac:dyDescent="0.2">
      <c r="A2276" s="242"/>
      <c r="F2276" s="285" t="str">
        <f t="shared" si="77"/>
        <v/>
      </c>
      <c r="K2276" s="246" t="str">
        <f t="shared" si="76"/>
        <v/>
      </c>
    </row>
    <row r="2277" spans="1:11" ht="30" customHeight="1" x14ac:dyDescent="0.2">
      <c r="A2277" s="242"/>
      <c r="F2277" s="285" t="str">
        <f t="shared" si="77"/>
        <v/>
      </c>
      <c r="K2277" s="246" t="str">
        <f t="shared" si="76"/>
        <v/>
      </c>
    </row>
    <row r="2278" spans="1:11" ht="30" customHeight="1" x14ac:dyDescent="0.2">
      <c r="A2278" s="242"/>
      <c r="F2278" s="285" t="str">
        <f t="shared" si="77"/>
        <v/>
      </c>
      <c r="K2278" s="246" t="str">
        <f t="shared" si="76"/>
        <v/>
      </c>
    </row>
    <row r="2279" spans="1:11" ht="30" customHeight="1" x14ac:dyDescent="0.2">
      <c r="A2279" s="242"/>
      <c r="F2279" s="285" t="str">
        <f t="shared" si="77"/>
        <v/>
      </c>
      <c r="K2279" s="246" t="str">
        <f t="shared" si="76"/>
        <v/>
      </c>
    </row>
    <row r="2280" spans="1:11" ht="30" customHeight="1" x14ac:dyDescent="0.2">
      <c r="A2280" s="242"/>
      <c r="F2280" s="285" t="str">
        <f t="shared" si="77"/>
        <v/>
      </c>
      <c r="K2280" s="246" t="str">
        <f t="shared" si="76"/>
        <v/>
      </c>
    </row>
    <row r="2281" spans="1:11" ht="30" customHeight="1" x14ac:dyDescent="0.2">
      <c r="A2281" s="242"/>
      <c r="F2281" s="285" t="str">
        <f t="shared" si="77"/>
        <v/>
      </c>
      <c r="K2281" s="246" t="str">
        <f t="shared" si="76"/>
        <v/>
      </c>
    </row>
    <row r="2282" spans="1:11" ht="30" customHeight="1" x14ac:dyDescent="0.2">
      <c r="A2282" s="242"/>
      <c r="F2282" s="285" t="str">
        <f t="shared" si="77"/>
        <v/>
      </c>
      <c r="K2282" s="246" t="str">
        <f t="shared" si="76"/>
        <v/>
      </c>
    </row>
    <row r="2283" spans="1:11" ht="30" customHeight="1" x14ac:dyDescent="0.2">
      <c r="A2283" s="242"/>
      <c r="F2283" s="285" t="str">
        <f t="shared" si="77"/>
        <v/>
      </c>
      <c r="K2283" s="246" t="str">
        <f t="shared" si="76"/>
        <v/>
      </c>
    </row>
    <row r="2284" spans="1:11" ht="30" customHeight="1" x14ac:dyDescent="0.2">
      <c r="A2284" s="242"/>
      <c r="F2284" s="285" t="str">
        <f t="shared" si="77"/>
        <v/>
      </c>
      <c r="K2284" s="246" t="str">
        <f t="shared" si="76"/>
        <v/>
      </c>
    </row>
    <row r="2285" spans="1:11" ht="30" customHeight="1" x14ac:dyDescent="0.2">
      <c r="A2285" s="242"/>
      <c r="F2285" s="285" t="str">
        <f t="shared" si="77"/>
        <v/>
      </c>
      <c r="K2285" s="246" t="str">
        <f t="shared" si="76"/>
        <v/>
      </c>
    </row>
    <row r="2286" spans="1:11" ht="30" customHeight="1" x14ac:dyDescent="0.2">
      <c r="A2286" s="242"/>
      <c r="F2286" s="285" t="str">
        <f t="shared" si="77"/>
        <v/>
      </c>
      <c r="K2286" s="246" t="str">
        <f t="shared" si="76"/>
        <v/>
      </c>
    </row>
    <row r="2287" spans="1:11" ht="30" customHeight="1" x14ac:dyDescent="0.2">
      <c r="A2287" s="242"/>
      <c r="F2287" s="285" t="str">
        <f t="shared" si="77"/>
        <v/>
      </c>
      <c r="K2287" s="246" t="str">
        <f t="shared" si="76"/>
        <v/>
      </c>
    </row>
    <row r="2288" spans="1:11" ht="30" customHeight="1" x14ac:dyDescent="0.2">
      <c r="A2288" s="242"/>
      <c r="F2288" s="285" t="str">
        <f t="shared" si="77"/>
        <v/>
      </c>
      <c r="K2288" s="246" t="str">
        <f t="shared" si="76"/>
        <v/>
      </c>
    </row>
    <row r="2289" spans="1:11" ht="30" customHeight="1" x14ac:dyDescent="0.2">
      <c r="A2289" s="242"/>
      <c r="F2289" s="285" t="str">
        <f t="shared" si="77"/>
        <v/>
      </c>
      <c r="K2289" s="246" t="str">
        <f t="shared" si="76"/>
        <v/>
      </c>
    </row>
    <row r="2290" spans="1:11" ht="30" customHeight="1" x14ac:dyDescent="0.2">
      <c r="A2290" s="242"/>
      <c r="F2290" s="285" t="str">
        <f t="shared" si="77"/>
        <v/>
      </c>
      <c r="K2290" s="246" t="str">
        <f t="shared" si="76"/>
        <v/>
      </c>
    </row>
    <row r="2291" spans="1:11" ht="30" customHeight="1" x14ac:dyDescent="0.2">
      <c r="A2291" s="242"/>
      <c r="F2291" s="285" t="str">
        <f t="shared" si="77"/>
        <v/>
      </c>
      <c r="K2291" s="246" t="str">
        <f t="shared" si="76"/>
        <v/>
      </c>
    </row>
    <row r="2292" spans="1:11" ht="30" customHeight="1" x14ac:dyDescent="0.2">
      <c r="A2292" s="242"/>
      <c r="F2292" s="285" t="str">
        <f t="shared" si="77"/>
        <v/>
      </c>
      <c r="K2292" s="246" t="str">
        <f t="shared" si="76"/>
        <v/>
      </c>
    </row>
    <row r="2293" spans="1:11" ht="30" customHeight="1" x14ac:dyDescent="0.2">
      <c r="A2293" s="242"/>
      <c r="F2293" s="285" t="str">
        <f t="shared" si="77"/>
        <v/>
      </c>
      <c r="K2293" s="246" t="str">
        <f t="shared" si="76"/>
        <v/>
      </c>
    </row>
    <row r="2294" spans="1:11" ht="30" customHeight="1" x14ac:dyDescent="0.2">
      <c r="A2294" s="242"/>
      <c r="F2294" s="285" t="str">
        <f t="shared" si="77"/>
        <v/>
      </c>
      <c r="K2294" s="246" t="str">
        <f t="shared" si="76"/>
        <v/>
      </c>
    </row>
    <row r="2295" spans="1:11" ht="30" customHeight="1" x14ac:dyDescent="0.2">
      <c r="A2295" s="242"/>
      <c r="F2295" s="285" t="str">
        <f t="shared" si="77"/>
        <v/>
      </c>
      <c r="K2295" s="246" t="str">
        <f t="shared" si="76"/>
        <v/>
      </c>
    </row>
    <row r="2296" spans="1:11" ht="30" customHeight="1" x14ac:dyDescent="0.2">
      <c r="A2296" s="242"/>
      <c r="F2296" s="285" t="str">
        <f t="shared" si="77"/>
        <v/>
      </c>
      <c r="K2296" s="246" t="str">
        <f t="shared" si="76"/>
        <v/>
      </c>
    </row>
    <row r="2297" spans="1:11" ht="30" customHeight="1" x14ac:dyDescent="0.2">
      <c r="A2297" s="242"/>
      <c r="F2297" s="285" t="str">
        <f t="shared" si="77"/>
        <v/>
      </c>
      <c r="K2297" s="246" t="str">
        <f t="shared" si="76"/>
        <v/>
      </c>
    </row>
    <row r="2298" spans="1:11" ht="30" customHeight="1" x14ac:dyDescent="0.2">
      <c r="A2298" s="242"/>
      <c r="F2298" s="285" t="str">
        <f t="shared" si="77"/>
        <v/>
      </c>
      <c r="K2298" s="246" t="str">
        <f t="shared" si="76"/>
        <v/>
      </c>
    </row>
    <row r="2299" spans="1:11" ht="30" customHeight="1" x14ac:dyDescent="0.2">
      <c r="A2299" s="242"/>
      <c r="F2299" s="285" t="str">
        <f t="shared" si="77"/>
        <v/>
      </c>
      <c r="K2299" s="246" t="str">
        <f t="shared" ref="K2299:K2362" si="78">IF(A2299="","",A2299)</f>
        <v/>
      </c>
    </row>
    <row r="2300" spans="1:11" ht="30" customHeight="1" x14ac:dyDescent="0.2">
      <c r="A2300" s="242"/>
      <c r="F2300" s="285" t="str">
        <f t="shared" si="77"/>
        <v/>
      </c>
      <c r="K2300" s="246" t="str">
        <f t="shared" si="78"/>
        <v/>
      </c>
    </row>
    <row r="2301" spans="1:11" ht="30" customHeight="1" x14ac:dyDescent="0.2">
      <c r="A2301" s="242"/>
      <c r="F2301" s="285" t="str">
        <f t="shared" si="77"/>
        <v/>
      </c>
      <c r="K2301" s="246" t="str">
        <f t="shared" si="78"/>
        <v/>
      </c>
    </row>
    <row r="2302" spans="1:11" ht="30" customHeight="1" x14ac:dyDescent="0.2">
      <c r="A2302" s="242"/>
      <c r="F2302" s="285" t="str">
        <f t="shared" si="77"/>
        <v/>
      </c>
      <c r="K2302" s="246" t="str">
        <f t="shared" si="78"/>
        <v/>
      </c>
    </row>
    <row r="2303" spans="1:11" ht="30" customHeight="1" x14ac:dyDescent="0.2">
      <c r="A2303" s="242"/>
      <c r="F2303" s="285" t="str">
        <f t="shared" si="77"/>
        <v/>
      </c>
      <c r="K2303" s="246" t="str">
        <f t="shared" si="78"/>
        <v/>
      </c>
    </row>
    <row r="2304" spans="1:11" ht="30" customHeight="1" x14ac:dyDescent="0.2">
      <c r="A2304" s="242"/>
      <c r="F2304" s="285" t="str">
        <f t="shared" si="77"/>
        <v/>
      </c>
      <c r="K2304" s="246" t="str">
        <f t="shared" si="78"/>
        <v/>
      </c>
    </row>
    <row r="2305" spans="1:11" ht="30" customHeight="1" x14ac:dyDescent="0.2">
      <c r="A2305" s="242"/>
      <c r="F2305" s="285" t="str">
        <f t="shared" si="77"/>
        <v/>
      </c>
      <c r="K2305" s="246" t="str">
        <f t="shared" si="78"/>
        <v/>
      </c>
    </row>
    <row r="2306" spans="1:11" ht="30" customHeight="1" x14ac:dyDescent="0.2">
      <c r="A2306" s="242"/>
      <c r="F2306" s="285" t="str">
        <f t="shared" si="77"/>
        <v/>
      </c>
      <c r="K2306" s="246" t="str">
        <f t="shared" si="78"/>
        <v/>
      </c>
    </row>
    <row r="2307" spans="1:11" ht="30" customHeight="1" x14ac:dyDescent="0.2">
      <c r="A2307" s="242"/>
      <c r="F2307" s="285" t="str">
        <f t="shared" si="77"/>
        <v/>
      </c>
      <c r="K2307" s="246" t="str">
        <f t="shared" si="78"/>
        <v/>
      </c>
    </row>
    <row r="2308" spans="1:11" ht="30" customHeight="1" x14ac:dyDescent="0.2">
      <c r="A2308" s="242"/>
      <c r="F2308" s="285" t="str">
        <f t="shared" si="77"/>
        <v/>
      </c>
      <c r="K2308" s="246" t="str">
        <f t="shared" si="78"/>
        <v/>
      </c>
    </row>
    <row r="2309" spans="1:11" ht="30" customHeight="1" x14ac:dyDescent="0.2">
      <c r="A2309" s="242"/>
      <c r="F2309" s="285" t="str">
        <f t="shared" ref="F2309:F2372" si="79">IF(A2309="","",A2309)</f>
        <v/>
      </c>
      <c r="K2309" s="246" t="str">
        <f t="shared" si="78"/>
        <v/>
      </c>
    </row>
    <row r="2310" spans="1:11" ht="30" customHeight="1" x14ac:dyDescent="0.2">
      <c r="A2310" s="242"/>
      <c r="F2310" s="285" t="str">
        <f t="shared" si="79"/>
        <v/>
      </c>
      <c r="K2310" s="246" t="str">
        <f t="shared" si="78"/>
        <v/>
      </c>
    </row>
    <row r="2311" spans="1:11" ht="30" customHeight="1" x14ac:dyDescent="0.2">
      <c r="A2311" s="242"/>
      <c r="F2311" s="285" t="str">
        <f t="shared" si="79"/>
        <v/>
      </c>
      <c r="K2311" s="246" t="str">
        <f t="shared" si="78"/>
        <v/>
      </c>
    </row>
    <row r="2312" spans="1:11" ht="30" customHeight="1" x14ac:dyDescent="0.2">
      <c r="A2312" s="242"/>
      <c r="F2312" s="285" t="str">
        <f t="shared" si="79"/>
        <v/>
      </c>
      <c r="K2312" s="246" t="str">
        <f t="shared" si="78"/>
        <v/>
      </c>
    </row>
    <row r="2313" spans="1:11" ht="30" customHeight="1" x14ac:dyDescent="0.2">
      <c r="A2313" s="242"/>
      <c r="F2313" s="285" t="str">
        <f t="shared" si="79"/>
        <v/>
      </c>
      <c r="K2313" s="246" t="str">
        <f t="shared" si="78"/>
        <v/>
      </c>
    </row>
    <row r="2314" spans="1:11" ht="30" customHeight="1" x14ac:dyDescent="0.2">
      <c r="A2314" s="242"/>
      <c r="F2314" s="285" t="str">
        <f t="shared" si="79"/>
        <v/>
      </c>
      <c r="K2314" s="246" t="str">
        <f t="shared" si="78"/>
        <v/>
      </c>
    </row>
    <row r="2315" spans="1:11" ht="30" customHeight="1" x14ac:dyDescent="0.2">
      <c r="A2315" s="242"/>
      <c r="F2315" s="285" t="str">
        <f t="shared" si="79"/>
        <v/>
      </c>
      <c r="K2315" s="246" t="str">
        <f t="shared" si="78"/>
        <v/>
      </c>
    </row>
    <row r="2316" spans="1:11" ht="30" customHeight="1" x14ac:dyDescent="0.2">
      <c r="A2316" s="242"/>
      <c r="F2316" s="285" t="str">
        <f t="shared" si="79"/>
        <v/>
      </c>
      <c r="K2316" s="246" t="str">
        <f t="shared" si="78"/>
        <v/>
      </c>
    </row>
    <row r="2317" spans="1:11" ht="30" customHeight="1" x14ac:dyDescent="0.2">
      <c r="A2317" s="242"/>
      <c r="F2317" s="285" t="str">
        <f t="shared" si="79"/>
        <v/>
      </c>
      <c r="K2317" s="246" t="str">
        <f t="shared" si="78"/>
        <v/>
      </c>
    </row>
    <row r="2318" spans="1:11" ht="30" customHeight="1" x14ac:dyDescent="0.2">
      <c r="A2318" s="242"/>
      <c r="F2318" s="285" t="str">
        <f t="shared" si="79"/>
        <v/>
      </c>
      <c r="K2318" s="246" t="str">
        <f t="shared" si="78"/>
        <v/>
      </c>
    </row>
    <row r="2319" spans="1:11" ht="30" customHeight="1" x14ac:dyDescent="0.2">
      <c r="A2319" s="242"/>
      <c r="F2319" s="285" t="str">
        <f t="shared" si="79"/>
        <v/>
      </c>
      <c r="K2319" s="246" t="str">
        <f t="shared" si="78"/>
        <v/>
      </c>
    </row>
    <row r="2320" spans="1:11" ht="30" customHeight="1" x14ac:dyDescent="0.2">
      <c r="A2320" s="242"/>
      <c r="F2320" s="285" t="str">
        <f t="shared" si="79"/>
        <v/>
      </c>
      <c r="K2320" s="246" t="str">
        <f t="shared" si="78"/>
        <v/>
      </c>
    </row>
    <row r="2321" spans="1:11" ht="30" customHeight="1" x14ac:dyDescent="0.2">
      <c r="A2321" s="242"/>
      <c r="F2321" s="285" t="str">
        <f t="shared" si="79"/>
        <v/>
      </c>
      <c r="K2321" s="246" t="str">
        <f t="shared" si="78"/>
        <v/>
      </c>
    </row>
    <row r="2322" spans="1:11" ht="30" customHeight="1" x14ac:dyDescent="0.2">
      <c r="A2322" s="242"/>
      <c r="F2322" s="285" t="str">
        <f t="shared" si="79"/>
        <v/>
      </c>
      <c r="K2322" s="246" t="str">
        <f t="shared" si="78"/>
        <v/>
      </c>
    </row>
    <row r="2323" spans="1:11" ht="30" customHeight="1" x14ac:dyDescent="0.2">
      <c r="A2323" s="242"/>
      <c r="F2323" s="285" t="str">
        <f t="shared" si="79"/>
        <v/>
      </c>
      <c r="K2323" s="246" t="str">
        <f t="shared" si="78"/>
        <v/>
      </c>
    </row>
    <row r="2324" spans="1:11" ht="30" customHeight="1" x14ac:dyDescent="0.2">
      <c r="A2324" s="242"/>
      <c r="F2324" s="285" t="str">
        <f t="shared" si="79"/>
        <v/>
      </c>
      <c r="K2324" s="246" t="str">
        <f t="shared" si="78"/>
        <v/>
      </c>
    </row>
    <row r="2325" spans="1:11" ht="30" customHeight="1" x14ac:dyDescent="0.2">
      <c r="A2325" s="242"/>
      <c r="F2325" s="285" t="str">
        <f t="shared" si="79"/>
        <v/>
      </c>
      <c r="K2325" s="246" t="str">
        <f t="shared" si="78"/>
        <v/>
      </c>
    </row>
    <row r="2326" spans="1:11" ht="30" customHeight="1" x14ac:dyDescent="0.2">
      <c r="A2326" s="242"/>
      <c r="F2326" s="285" t="str">
        <f t="shared" si="79"/>
        <v/>
      </c>
      <c r="K2326" s="246" t="str">
        <f t="shared" si="78"/>
        <v/>
      </c>
    </row>
    <row r="2327" spans="1:11" ht="30" customHeight="1" x14ac:dyDescent="0.2">
      <c r="A2327" s="242"/>
      <c r="F2327" s="285" t="str">
        <f t="shared" si="79"/>
        <v/>
      </c>
      <c r="K2327" s="246" t="str">
        <f t="shared" si="78"/>
        <v/>
      </c>
    </row>
    <row r="2328" spans="1:11" ht="30" customHeight="1" x14ac:dyDescent="0.2">
      <c r="A2328" s="242"/>
      <c r="F2328" s="285" t="str">
        <f t="shared" si="79"/>
        <v/>
      </c>
      <c r="K2328" s="246" t="str">
        <f t="shared" si="78"/>
        <v/>
      </c>
    </row>
    <row r="2329" spans="1:11" ht="30" customHeight="1" x14ac:dyDescent="0.2">
      <c r="A2329" s="242"/>
      <c r="F2329" s="285" t="str">
        <f t="shared" si="79"/>
        <v/>
      </c>
      <c r="K2329" s="246" t="str">
        <f t="shared" si="78"/>
        <v/>
      </c>
    </row>
    <row r="2330" spans="1:11" ht="30" customHeight="1" x14ac:dyDescent="0.2">
      <c r="A2330" s="242"/>
      <c r="F2330" s="285" t="str">
        <f t="shared" si="79"/>
        <v/>
      </c>
      <c r="K2330" s="246" t="str">
        <f t="shared" si="78"/>
        <v/>
      </c>
    </row>
    <row r="2331" spans="1:11" ht="30" customHeight="1" x14ac:dyDescent="0.2">
      <c r="A2331" s="242"/>
      <c r="F2331" s="285" t="str">
        <f t="shared" si="79"/>
        <v/>
      </c>
      <c r="K2331" s="246" t="str">
        <f t="shared" si="78"/>
        <v/>
      </c>
    </row>
    <row r="2332" spans="1:11" ht="30" customHeight="1" x14ac:dyDescent="0.2">
      <c r="A2332" s="242"/>
      <c r="F2332" s="285" t="str">
        <f t="shared" si="79"/>
        <v/>
      </c>
      <c r="K2332" s="246" t="str">
        <f t="shared" si="78"/>
        <v/>
      </c>
    </row>
    <row r="2333" spans="1:11" ht="30" customHeight="1" x14ac:dyDescent="0.2">
      <c r="A2333" s="242"/>
      <c r="F2333" s="285" t="str">
        <f t="shared" si="79"/>
        <v/>
      </c>
      <c r="K2333" s="246" t="str">
        <f t="shared" si="78"/>
        <v/>
      </c>
    </row>
    <row r="2334" spans="1:11" ht="30" customHeight="1" x14ac:dyDescent="0.2">
      <c r="A2334" s="242"/>
      <c r="F2334" s="285" t="str">
        <f t="shared" si="79"/>
        <v/>
      </c>
      <c r="K2334" s="246" t="str">
        <f t="shared" si="78"/>
        <v/>
      </c>
    </row>
    <row r="2335" spans="1:11" ht="30" customHeight="1" x14ac:dyDescent="0.2">
      <c r="A2335" s="242"/>
      <c r="F2335" s="285" t="str">
        <f t="shared" si="79"/>
        <v/>
      </c>
      <c r="K2335" s="246" t="str">
        <f t="shared" si="78"/>
        <v/>
      </c>
    </row>
    <row r="2336" spans="1:11" ht="30" customHeight="1" x14ac:dyDescent="0.2">
      <c r="A2336" s="242"/>
      <c r="F2336" s="285" t="str">
        <f t="shared" si="79"/>
        <v/>
      </c>
      <c r="K2336" s="246" t="str">
        <f t="shared" si="78"/>
        <v/>
      </c>
    </row>
    <row r="2337" spans="1:11" ht="30" customHeight="1" x14ac:dyDescent="0.2">
      <c r="A2337" s="242"/>
      <c r="F2337" s="285" t="str">
        <f t="shared" si="79"/>
        <v/>
      </c>
      <c r="K2337" s="246" t="str">
        <f t="shared" si="78"/>
        <v/>
      </c>
    </row>
    <row r="2338" spans="1:11" ht="30" customHeight="1" x14ac:dyDescent="0.2">
      <c r="A2338" s="242"/>
      <c r="F2338" s="285" t="str">
        <f t="shared" si="79"/>
        <v/>
      </c>
      <c r="K2338" s="246" t="str">
        <f t="shared" si="78"/>
        <v/>
      </c>
    </row>
    <row r="2339" spans="1:11" ht="30" customHeight="1" x14ac:dyDescent="0.2">
      <c r="A2339" s="242"/>
      <c r="F2339" s="285" t="str">
        <f t="shared" si="79"/>
        <v/>
      </c>
      <c r="K2339" s="246" t="str">
        <f t="shared" si="78"/>
        <v/>
      </c>
    </row>
    <row r="2340" spans="1:11" ht="30" customHeight="1" x14ac:dyDescent="0.2">
      <c r="A2340" s="242"/>
      <c r="F2340" s="285" t="str">
        <f t="shared" si="79"/>
        <v/>
      </c>
      <c r="K2340" s="246" t="str">
        <f t="shared" si="78"/>
        <v/>
      </c>
    </row>
    <row r="2341" spans="1:11" ht="30" customHeight="1" x14ac:dyDescent="0.2">
      <c r="A2341" s="242"/>
      <c r="F2341" s="285" t="str">
        <f t="shared" si="79"/>
        <v/>
      </c>
      <c r="K2341" s="246" t="str">
        <f t="shared" si="78"/>
        <v/>
      </c>
    </row>
    <row r="2342" spans="1:11" ht="30" customHeight="1" x14ac:dyDescent="0.2">
      <c r="A2342" s="242"/>
      <c r="F2342" s="285" t="str">
        <f t="shared" si="79"/>
        <v/>
      </c>
      <c r="K2342" s="246" t="str">
        <f t="shared" si="78"/>
        <v/>
      </c>
    </row>
    <row r="2343" spans="1:11" ht="30" customHeight="1" x14ac:dyDescent="0.2">
      <c r="A2343" s="242"/>
      <c r="F2343" s="285" t="str">
        <f t="shared" si="79"/>
        <v/>
      </c>
      <c r="K2343" s="246" t="str">
        <f t="shared" si="78"/>
        <v/>
      </c>
    </row>
    <row r="2344" spans="1:11" ht="30" customHeight="1" x14ac:dyDescent="0.2">
      <c r="A2344" s="242"/>
      <c r="F2344" s="285" t="str">
        <f t="shared" si="79"/>
        <v/>
      </c>
      <c r="K2344" s="246" t="str">
        <f t="shared" si="78"/>
        <v/>
      </c>
    </row>
    <row r="2345" spans="1:11" ht="30" customHeight="1" x14ac:dyDescent="0.2">
      <c r="A2345" s="242"/>
      <c r="F2345" s="285" t="str">
        <f t="shared" si="79"/>
        <v/>
      </c>
      <c r="K2345" s="246" t="str">
        <f t="shared" si="78"/>
        <v/>
      </c>
    </row>
    <row r="2346" spans="1:11" ht="30" customHeight="1" x14ac:dyDescent="0.2">
      <c r="A2346" s="242"/>
      <c r="F2346" s="285" t="str">
        <f t="shared" si="79"/>
        <v/>
      </c>
      <c r="K2346" s="246" t="str">
        <f t="shared" si="78"/>
        <v/>
      </c>
    </row>
    <row r="2347" spans="1:11" ht="30" customHeight="1" x14ac:dyDescent="0.2">
      <c r="A2347" s="242"/>
      <c r="F2347" s="285" t="str">
        <f t="shared" si="79"/>
        <v/>
      </c>
      <c r="K2347" s="246" t="str">
        <f t="shared" si="78"/>
        <v/>
      </c>
    </row>
    <row r="2348" spans="1:11" ht="30" customHeight="1" x14ac:dyDescent="0.2">
      <c r="A2348" s="242"/>
      <c r="F2348" s="285" t="str">
        <f t="shared" si="79"/>
        <v/>
      </c>
      <c r="K2348" s="246" t="str">
        <f t="shared" si="78"/>
        <v/>
      </c>
    </row>
    <row r="2349" spans="1:11" ht="30" customHeight="1" x14ac:dyDescent="0.2">
      <c r="A2349" s="242"/>
      <c r="F2349" s="285" t="str">
        <f t="shared" si="79"/>
        <v/>
      </c>
      <c r="K2349" s="246" t="str">
        <f t="shared" si="78"/>
        <v/>
      </c>
    </row>
    <row r="2350" spans="1:11" ht="30" customHeight="1" x14ac:dyDescent="0.2">
      <c r="A2350" s="242"/>
      <c r="F2350" s="285" t="str">
        <f t="shared" si="79"/>
        <v/>
      </c>
      <c r="K2350" s="246" t="str">
        <f t="shared" si="78"/>
        <v/>
      </c>
    </row>
    <row r="2351" spans="1:11" ht="30" customHeight="1" x14ac:dyDescent="0.2">
      <c r="A2351" s="242"/>
      <c r="F2351" s="285" t="str">
        <f t="shared" si="79"/>
        <v/>
      </c>
      <c r="K2351" s="246" t="str">
        <f t="shared" si="78"/>
        <v/>
      </c>
    </row>
    <row r="2352" spans="1:11" ht="30" customHeight="1" x14ac:dyDescent="0.2">
      <c r="A2352" s="242"/>
      <c r="F2352" s="285" t="str">
        <f t="shared" si="79"/>
        <v/>
      </c>
      <c r="K2352" s="246" t="str">
        <f t="shared" si="78"/>
        <v/>
      </c>
    </row>
    <row r="2353" spans="1:11" ht="30" customHeight="1" x14ac:dyDescent="0.2">
      <c r="A2353" s="242"/>
      <c r="F2353" s="285" t="str">
        <f t="shared" si="79"/>
        <v/>
      </c>
      <c r="K2353" s="246" t="str">
        <f t="shared" si="78"/>
        <v/>
      </c>
    </row>
    <row r="2354" spans="1:11" ht="30" customHeight="1" x14ac:dyDescent="0.2">
      <c r="A2354" s="242"/>
      <c r="F2354" s="285" t="str">
        <f t="shared" si="79"/>
        <v/>
      </c>
      <c r="K2354" s="246" t="str">
        <f t="shared" si="78"/>
        <v/>
      </c>
    </row>
    <row r="2355" spans="1:11" ht="30" customHeight="1" x14ac:dyDescent="0.2">
      <c r="A2355" s="242"/>
      <c r="F2355" s="285" t="str">
        <f t="shared" si="79"/>
        <v/>
      </c>
      <c r="K2355" s="246" t="str">
        <f t="shared" si="78"/>
        <v/>
      </c>
    </row>
    <row r="2356" spans="1:11" ht="30" customHeight="1" x14ac:dyDescent="0.2">
      <c r="A2356" s="242"/>
      <c r="F2356" s="285" t="str">
        <f t="shared" si="79"/>
        <v/>
      </c>
      <c r="K2356" s="246" t="str">
        <f t="shared" si="78"/>
        <v/>
      </c>
    </row>
    <row r="2357" spans="1:11" ht="30" customHeight="1" x14ac:dyDescent="0.2">
      <c r="A2357" s="242"/>
      <c r="F2357" s="285" t="str">
        <f t="shared" si="79"/>
        <v/>
      </c>
      <c r="K2357" s="246" t="str">
        <f t="shared" si="78"/>
        <v/>
      </c>
    </row>
    <row r="2358" spans="1:11" ht="30" customHeight="1" x14ac:dyDescent="0.2">
      <c r="A2358" s="242"/>
      <c r="F2358" s="285" t="str">
        <f t="shared" si="79"/>
        <v/>
      </c>
      <c r="K2358" s="246" t="str">
        <f t="shared" si="78"/>
        <v/>
      </c>
    </row>
    <row r="2359" spans="1:11" ht="30" customHeight="1" x14ac:dyDescent="0.2">
      <c r="A2359" s="242"/>
      <c r="F2359" s="285" t="str">
        <f t="shared" si="79"/>
        <v/>
      </c>
      <c r="K2359" s="246" t="str">
        <f t="shared" si="78"/>
        <v/>
      </c>
    </row>
    <row r="2360" spans="1:11" ht="30" customHeight="1" x14ac:dyDescent="0.2">
      <c r="A2360" s="242"/>
      <c r="F2360" s="285" t="str">
        <f t="shared" si="79"/>
        <v/>
      </c>
      <c r="K2360" s="246" t="str">
        <f t="shared" si="78"/>
        <v/>
      </c>
    </row>
    <row r="2361" spans="1:11" ht="30" customHeight="1" x14ac:dyDescent="0.2">
      <c r="A2361" s="242"/>
      <c r="F2361" s="285" t="str">
        <f t="shared" si="79"/>
        <v/>
      </c>
      <c r="K2361" s="246" t="str">
        <f t="shared" si="78"/>
        <v/>
      </c>
    </row>
    <row r="2362" spans="1:11" ht="30" customHeight="1" x14ac:dyDescent="0.2">
      <c r="A2362" s="242"/>
      <c r="F2362" s="285" t="str">
        <f t="shared" si="79"/>
        <v/>
      </c>
      <c r="K2362" s="246" t="str">
        <f t="shared" si="78"/>
        <v/>
      </c>
    </row>
    <row r="2363" spans="1:11" ht="30" customHeight="1" x14ac:dyDescent="0.2">
      <c r="A2363" s="242"/>
      <c r="F2363" s="285" t="str">
        <f t="shared" si="79"/>
        <v/>
      </c>
      <c r="K2363" s="246" t="str">
        <f t="shared" ref="K2363:K2426" si="80">IF(A2363="","",A2363)</f>
        <v/>
      </c>
    </row>
    <row r="2364" spans="1:11" ht="30" customHeight="1" x14ac:dyDescent="0.2">
      <c r="A2364" s="242"/>
      <c r="F2364" s="285" t="str">
        <f t="shared" si="79"/>
        <v/>
      </c>
      <c r="K2364" s="246" t="str">
        <f t="shared" si="80"/>
        <v/>
      </c>
    </row>
    <row r="2365" spans="1:11" ht="30" customHeight="1" x14ac:dyDescent="0.2">
      <c r="A2365" s="242"/>
      <c r="F2365" s="285" t="str">
        <f t="shared" si="79"/>
        <v/>
      </c>
      <c r="K2365" s="246" t="str">
        <f t="shared" si="80"/>
        <v/>
      </c>
    </row>
    <row r="2366" spans="1:11" ht="30" customHeight="1" x14ac:dyDescent="0.2">
      <c r="A2366" s="242"/>
      <c r="F2366" s="285" t="str">
        <f t="shared" si="79"/>
        <v/>
      </c>
      <c r="K2366" s="246" t="str">
        <f t="shared" si="80"/>
        <v/>
      </c>
    </row>
    <row r="2367" spans="1:11" ht="30" customHeight="1" x14ac:dyDescent="0.2">
      <c r="A2367" s="242"/>
      <c r="F2367" s="285" t="str">
        <f t="shared" si="79"/>
        <v/>
      </c>
      <c r="K2367" s="246" t="str">
        <f t="shared" si="80"/>
        <v/>
      </c>
    </row>
    <row r="2368" spans="1:11" ht="30" customHeight="1" x14ac:dyDescent="0.2">
      <c r="A2368" s="242"/>
      <c r="F2368" s="285" t="str">
        <f t="shared" si="79"/>
        <v/>
      </c>
      <c r="K2368" s="246" t="str">
        <f t="shared" si="80"/>
        <v/>
      </c>
    </row>
    <row r="2369" spans="1:11" ht="30" customHeight="1" x14ac:dyDescent="0.2">
      <c r="A2369" s="242"/>
      <c r="F2369" s="285" t="str">
        <f t="shared" si="79"/>
        <v/>
      </c>
      <c r="K2369" s="246" t="str">
        <f t="shared" si="80"/>
        <v/>
      </c>
    </row>
    <row r="2370" spans="1:11" ht="30" customHeight="1" x14ac:dyDescent="0.2">
      <c r="A2370" s="242"/>
      <c r="F2370" s="285" t="str">
        <f t="shared" si="79"/>
        <v/>
      </c>
      <c r="K2370" s="246" t="str">
        <f t="shared" si="80"/>
        <v/>
      </c>
    </row>
    <row r="2371" spans="1:11" ht="30" customHeight="1" x14ac:dyDescent="0.2">
      <c r="A2371" s="242"/>
      <c r="F2371" s="285" t="str">
        <f t="shared" si="79"/>
        <v/>
      </c>
      <c r="K2371" s="246" t="str">
        <f t="shared" si="80"/>
        <v/>
      </c>
    </row>
    <row r="2372" spans="1:11" ht="30" customHeight="1" x14ac:dyDescent="0.2">
      <c r="A2372" s="242"/>
      <c r="F2372" s="285" t="str">
        <f t="shared" si="79"/>
        <v/>
      </c>
      <c r="K2372" s="246" t="str">
        <f t="shared" si="80"/>
        <v/>
      </c>
    </row>
    <row r="2373" spans="1:11" ht="30" customHeight="1" x14ac:dyDescent="0.2">
      <c r="A2373" s="242"/>
      <c r="F2373" s="285" t="str">
        <f t="shared" ref="F2373:F2436" si="81">IF(A2373="","",A2373)</f>
        <v/>
      </c>
      <c r="K2373" s="246" t="str">
        <f t="shared" si="80"/>
        <v/>
      </c>
    </row>
    <row r="2374" spans="1:11" ht="30" customHeight="1" x14ac:dyDescent="0.2">
      <c r="A2374" s="242"/>
      <c r="F2374" s="285" t="str">
        <f t="shared" si="81"/>
        <v/>
      </c>
      <c r="K2374" s="246" t="str">
        <f t="shared" si="80"/>
        <v/>
      </c>
    </row>
    <row r="2375" spans="1:11" ht="30" customHeight="1" x14ac:dyDescent="0.2">
      <c r="A2375" s="242"/>
      <c r="F2375" s="285" t="str">
        <f t="shared" si="81"/>
        <v/>
      </c>
      <c r="K2375" s="246" t="str">
        <f t="shared" si="80"/>
        <v/>
      </c>
    </row>
    <row r="2376" spans="1:11" ht="30" customHeight="1" x14ac:dyDescent="0.2">
      <c r="A2376" s="242"/>
      <c r="F2376" s="285" t="str">
        <f t="shared" si="81"/>
        <v/>
      </c>
      <c r="K2376" s="246" t="str">
        <f t="shared" si="80"/>
        <v/>
      </c>
    </row>
    <row r="2377" spans="1:11" ht="30" customHeight="1" x14ac:dyDescent="0.2">
      <c r="A2377" s="242"/>
      <c r="F2377" s="285" t="str">
        <f t="shared" si="81"/>
        <v/>
      </c>
      <c r="K2377" s="246" t="str">
        <f t="shared" si="80"/>
        <v/>
      </c>
    </row>
    <row r="2378" spans="1:11" ht="30" customHeight="1" x14ac:dyDescent="0.2">
      <c r="A2378" s="242"/>
      <c r="F2378" s="285" t="str">
        <f t="shared" si="81"/>
        <v/>
      </c>
      <c r="K2378" s="246" t="str">
        <f t="shared" si="80"/>
        <v/>
      </c>
    </row>
    <row r="2379" spans="1:11" ht="30" customHeight="1" x14ac:dyDescent="0.2">
      <c r="A2379" s="242"/>
      <c r="F2379" s="285" t="str">
        <f t="shared" si="81"/>
        <v/>
      </c>
      <c r="K2379" s="246" t="str">
        <f t="shared" si="80"/>
        <v/>
      </c>
    </row>
    <row r="2380" spans="1:11" ht="30" customHeight="1" x14ac:dyDescent="0.2">
      <c r="A2380" s="242"/>
      <c r="F2380" s="285" t="str">
        <f t="shared" si="81"/>
        <v/>
      </c>
      <c r="K2380" s="246" t="str">
        <f t="shared" si="80"/>
        <v/>
      </c>
    </row>
    <row r="2381" spans="1:11" ht="30" customHeight="1" x14ac:dyDescent="0.2">
      <c r="A2381" s="242"/>
      <c r="F2381" s="285" t="str">
        <f t="shared" si="81"/>
        <v/>
      </c>
      <c r="K2381" s="246" t="str">
        <f t="shared" si="80"/>
        <v/>
      </c>
    </row>
    <row r="2382" spans="1:11" ht="30" customHeight="1" x14ac:dyDescent="0.2">
      <c r="A2382" s="242"/>
      <c r="F2382" s="285" t="str">
        <f t="shared" si="81"/>
        <v/>
      </c>
      <c r="K2382" s="246" t="str">
        <f t="shared" si="80"/>
        <v/>
      </c>
    </row>
    <row r="2383" spans="1:11" ht="30" customHeight="1" x14ac:dyDescent="0.2">
      <c r="A2383" s="242"/>
      <c r="F2383" s="285" t="str">
        <f t="shared" si="81"/>
        <v/>
      </c>
      <c r="K2383" s="246" t="str">
        <f t="shared" si="80"/>
        <v/>
      </c>
    </row>
    <row r="2384" spans="1:11" ht="30" customHeight="1" x14ac:dyDescent="0.2">
      <c r="A2384" s="242"/>
      <c r="F2384" s="285" t="str">
        <f t="shared" si="81"/>
        <v/>
      </c>
      <c r="K2384" s="246" t="str">
        <f t="shared" si="80"/>
        <v/>
      </c>
    </row>
    <row r="2385" spans="1:11" ht="30" customHeight="1" x14ac:dyDescent="0.2">
      <c r="A2385" s="242"/>
      <c r="F2385" s="285" t="str">
        <f t="shared" si="81"/>
        <v/>
      </c>
      <c r="K2385" s="246" t="str">
        <f t="shared" si="80"/>
        <v/>
      </c>
    </row>
    <row r="2386" spans="1:11" ht="30" customHeight="1" x14ac:dyDescent="0.2">
      <c r="A2386" s="242"/>
      <c r="F2386" s="285" t="str">
        <f t="shared" si="81"/>
        <v/>
      </c>
      <c r="K2386" s="246" t="str">
        <f t="shared" si="80"/>
        <v/>
      </c>
    </row>
    <row r="2387" spans="1:11" ht="30" customHeight="1" x14ac:dyDescent="0.2">
      <c r="A2387" s="242"/>
      <c r="F2387" s="285" t="str">
        <f t="shared" si="81"/>
        <v/>
      </c>
      <c r="K2387" s="246" t="str">
        <f t="shared" si="80"/>
        <v/>
      </c>
    </row>
    <row r="2388" spans="1:11" ht="30" customHeight="1" x14ac:dyDescent="0.2">
      <c r="A2388" s="242"/>
      <c r="F2388" s="285" t="str">
        <f t="shared" si="81"/>
        <v/>
      </c>
      <c r="K2388" s="246" t="str">
        <f t="shared" si="80"/>
        <v/>
      </c>
    </row>
    <row r="2389" spans="1:11" ht="30" customHeight="1" x14ac:dyDescent="0.2">
      <c r="A2389" s="242"/>
      <c r="F2389" s="285" t="str">
        <f t="shared" si="81"/>
        <v/>
      </c>
      <c r="K2389" s="246" t="str">
        <f t="shared" si="80"/>
        <v/>
      </c>
    </row>
    <row r="2390" spans="1:11" ht="30" customHeight="1" x14ac:dyDescent="0.2">
      <c r="A2390" s="242"/>
      <c r="F2390" s="285" t="str">
        <f t="shared" si="81"/>
        <v/>
      </c>
      <c r="K2390" s="246" t="str">
        <f t="shared" si="80"/>
        <v/>
      </c>
    </row>
    <row r="2391" spans="1:11" ht="30" customHeight="1" x14ac:dyDescent="0.2">
      <c r="A2391" s="242"/>
      <c r="F2391" s="285" t="str">
        <f t="shared" si="81"/>
        <v/>
      </c>
      <c r="K2391" s="246" t="str">
        <f t="shared" si="80"/>
        <v/>
      </c>
    </row>
    <row r="2392" spans="1:11" ht="30" customHeight="1" x14ac:dyDescent="0.2">
      <c r="A2392" s="242"/>
      <c r="F2392" s="285" t="str">
        <f t="shared" si="81"/>
        <v/>
      </c>
      <c r="K2392" s="246" t="str">
        <f t="shared" si="80"/>
        <v/>
      </c>
    </row>
    <row r="2393" spans="1:11" ht="30" customHeight="1" x14ac:dyDescent="0.2">
      <c r="A2393" s="242"/>
      <c r="F2393" s="285" t="str">
        <f t="shared" si="81"/>
        <v/>
      </c>
      <c r="K2393" s="246" t="str">
        <f t="shared" si="80"/>
        <v/>
      </c>
    </row>
    <row r="2394" spans="1:11" ht="30" customHeight="1" x14ac:dyDescent="0.2">
      <c r="A2394" s="242"/>
      <c r="F2394" s="285" t="str">
        <f t="shared" si="81"/>
        <v/>
      </c>
      <c r="K2394" s="246" t="str">
        <f t="shared" si="80"/>
        <v/>
      </c>
    </row>
    <row r="2395" spans="1:11" ht="30" customHeight="1" x14ac:dyDescent="0.2">
      <c r="A2395" s="242"/>
      <c r="F2395" s="285" t="str">
        <f t="shared" si="81"/>
        <v/>
      </c>
      <c r="K2395" s="246" t="str">
        <f t="shared" si="80"/>
        <v/>
      </c>
    </row>
    <row r="2396" spans="1:11" ht="30" customHeight="1" x14ac:dyDescent="0.2">
      <c r="A2396" s="242"/>
      <c r="F2396" s="285" t="str">
        <f t="shared" si="81"/>
        <v/>
      </c>
      <c r="K2396" s="246" t="str">
        <f t="shared" si="80"/>
        <v/>
      </c>
    </row>
    <row r="2397" spans="1:11" ht="30" customHeight="1" x14ac:dyDescent="0.2">
      <c r="A2397" s="242"/>
      <c r="F2397" s="285" t="str">
        <f t="shared" si="81"/>
        <v/>
      </c>
      <c r="K2397" s="246" t="str">
        <f t="shared" si="80"/>
        <v/>
      </c>
    </row>
    <row r="2398" spans="1:11" ht="30" customHeight="1" x14ac:dyDescent="0.2">
      <c r="A2398" s="242"/>
      <c r="F2398" s="285" t="str">
        <f t="shared" si="81"/>
        <v/>
      </c>
      <c r="K2398" s="246" t="str">
        <f t="shared" si="80"/>
        <v/>
      </c>
    </row>
    <row r="2399" spans="1:11" ht="30" customHeight="1" x14ac:dyDescent="0.2">
      <c r="A2399" s="242"/>
      <c r="F2399" s="285" t="str">
        <f t="shared" si="81"/>
        <v/>
      </c>
      <c r="K2399" s="246" t="str">
        <f t="shared" si="80"/>
        <v/>
      </c>
    </row>
    <row r="2400" spans="1:11" ht="30" customHeight="1" x14ac:dyDescent="0.2">
      <c r="A2400" s="242"/>
      <c r="F2400" s="285" t="str">
        <f t="shared" si="81"/>
        <v/>
      </c>
      <c r="K2400" s="246" t="str">
        <f t="shared" si="80"/>
        <v/>
      </c>
    </row>
    <row r="2401" spans="1:11" ht="30" customHeight="1" x14ac:dyDescent="0.2">
      <c r="A2401" s="242"/>
      <c r="F2401" s="285" t="str">
        <f t="shared" si="81"/>
        <v/>
      </c>
      <c r="K2401" s="246" t="str">
        <f t="shared" si="80"/>
        <v/>
      </c>
    </row>
    <row r="2402" spans="1:11" ht="30" customHeight="1" x14ac:dyDescent="0.2">
      <c r="A2402" s="242"/>
      <c r="F2402" s="285" t="str">
        <f t="shared" si="81"/>
        <v/>
      </c>
      <c r="K2402" s="246" t="str">
        <f t="shared" si="80"/>
        <v/>
      </c>
    </row>
    <row r="2403" spans="1:11" ht="30" customHeight="1" x14ac:dyDescent="0.2">
      <c r="A2403" s="242"/>
      <c r="F2403" s="285" t="str">
        <f t="shared" si="81"/>
        <v/>
      </c>
      <c r="K2403" s="246" t="str">
        <f t="shared" si="80"/>
        <v/>
      </c>
    </row>
    <row r="2404" spans="1:11" ht="30" customHeight="1" x14ac:dyDescent="0.2">
      <c r="A2404" s="242"/>
      <c r="F2404" s="285" t="str">
        <f t="shared" si="81"/>
        <v/>
      </c>
      <c r="K2404" s="246" t="str">
        <f t="shared" si="80"/>
        <v/>
      </c>
    </row>
    <row r="2405" spans="1:11" ht="30" customHeight="1" x14ac:dyDescent="0.2">
      <c r="A2405" s="242"/>
      <c r="F2405" s="285" t="str">
        <f t="shared" si="81"/>
        <v/>
      </c>
      <c r="K2405" s="246" t="str">
        <f t="shared" si="80"/>
        <v/>
      </c>
    </row>
    <row r="2406" spans="1:11" ht="30" customHeight="1" x14ac:dyDescent="0.2">
      <c r="A2406" s="242"/>
      <c r="F2406" s="285" t="str">
        <f t="shared" si="81"/>
        <v/>
      </c>
      <c r="K2406" s="246" t="str">
        <f t="shared" si="80"/>
        <v/>
      </c>
    </row>
    <row r="2407" spans="1:11" ht="30" customHeight="1" x14ac:dyDescent="0.2">
      <c r="A2407" s="242"/>
      <c r="F2407" s="285" t="str">
        <f t="shared" si="81"/>
        <v/>
      </c>
      <c r="K2407" s="246" t="str">
        <f t="shared" si="80"/>
        <v/>
      </c>
    </row>
    <row r="2408" spans="1:11" ht="30" customHeight="1" x14ac:dyDescent="0.2">
      <c r="A2408" s="242"/>
      <c r="F2408" s="285" t="str">
        <f t="shared" si="81"/>
        <v/>
      </c>
      <c r="K2408" s="246" t="str">
        <f t="shared" si="80"/>
        <v/>
      </c>
    </row>
    <row r="2409" spans="1:11" ht="30" customHeight="1" x14ac:dyDescent="0.2">
      <c r="A2409" s="242"/>
      <c r="F2409" s="285" t="str">
        <f t="shared" si="81"/>
        <v/>
      </c>
      <c r="K2409" s="246" t="str">
        <f t="shared" si="80"/>
        <v/>
      </c>
    </row>
    <row r="2410" spans="1:11" ht="30" customHeight="1" x14ac:dyDescent="0.2">
      <c r="A2410" s="242"/>
      <c r="F2410" s="285" t="str">
        <f t="shared" si="81"/>
        <v/>
      </c>
      <c r="K2410" s="246" t="str">
        <f t="shared" si="80"/>
        <v/>
      </c>
    </row>
    <row r="2411" spans="1:11" ht="30" customHeight="1" x14ac:dyDescent="0.2">
      <c r="A2411" s="242"/>
      <c r="F2411" s="285" t="str">
        <f t="shared" si="81"/>
        <v/>
      </c>
      <c r="K2411" s="246" t="str">
        <f t="shared" si="80"/>
        <v/>
      </c>
    </row>
    <row r="2412" spans="1:11" ht="30" customHeight="1" x14ac:dyDescent="0.2">
      <c r="A2412" s="242"/>
      <c r="F2412" s="285" t="str">
        <f t="shared" si="81"/>
        <v/>
      </c>
      <c r="K2412" s="246" t="str">
        <f t="shared" si="80"/>
        <v/>
      </c>
    </row>
    <row r="2413" spans="1:11" ht="30" customHeight="1" x14ac:dyDescent="0.2">
      <c r="A2413" s="242"/>
      <c r="F2413" s="285" t="str">
        <f t="shared" si="81"/>
        <v/>
      </c>
      <c r="K2413" s="246" t="str">
        <f t="shared" si="80"/>
        <v/>
      </c>
    </row>
    <row r="2414" spans="1:11" ht="30" customHeight="1" x14ac:dyDescent="0.2">
      <c r="A2414" s="242"/>
      <c r="F2414" s="285" t="str">
        <f t="shared" si="81"/>
        <v/>
      </c>
      <c r="K2414" s="246" t="str">
        <f t="shared" si="80"/>
        <v/>
      </c>
    </row>
    <row r="2415" spans="1:11" ht="30" customHeight="1" x14ac:dyDescent="0.2">
      <c r="A2415" s="242"/>
      <c r="F2415" s="285" t="str">
        <f t="shared" si="81"/>
        <v/>
      </c>
      <c r="K2415" s="246" t="str">
        <f t="shared" si="80"/>
        <v/>
      </c>
    </row>
    <row r="2416" spans="1:11" ht="30" customHeight="1" x14ac:dyDescent="0.2">
      <c r="A2416" s="242"/>
      <c r="F2416" s="285" t="str">
        <f t="shared" si="81"/>
        <v/>
      </c>
      <c r="K2416" s="246" t="str">
        <f t="shared" si="80"/>
        <v/>
      </c>
    </row>
    <row r="2417" spans="1:11" ht="30" customHeight="1" x14ac:dyDescent="0.2">
      <c r="A2417" s="242"/>
      <c r="F2417" s="285" t="str">
        <f t="shared" si="81"/>
        <v/>
      </c>
      <c r="K2417" s="246" t="str">
        <f t="shared" si="80"/>
        <v/>
      </c>
    </row>
    <row r="2418" spans="1:11" ht="30" customHeight="1" x14ac:dyDescent="0.2">
      <c r="A2418" s="242"/>
      <c r="F2418" s="285" t="str">
        <f t="shared" si="81"/>
        <v/>
      </c>
      <c r="K2418" s="246" t="str">
        <f t="shared" si="80"/>
        <v/>
      </c>
    </row>
    <row r="2419" spans="1:11" ht="30" customHeight="1" x14ac:dyDescent="0.2">
      <c r="A2419" s="242"/>
      <c r="F2419" s="285" t="str">
        <f t="shared" si="81"/>
        <v/>
      </c>
      <c r="K2419" s="246" t="str">
        <f t="shared" si="80"/>
        <v/>
      </c>
    </row>
    <row r="2420" spans="1:11" ht="30" customHeight="1" x14ac:dyDescent="0.2">
      <c r="A2420" s="242"/>
      <c r="F2420" s="285" t="str">
        <f t="shared" si="81"/>
        <v/>
      </c>
      <c r="K2420" s="246" t="str">
        <f t="shared" si="80"/>
        <v/>
      </c>
    </row>
    <row r="2421" spans="1:11" ht="30" customHeight="1" x14ac:dyDescent="0.2">
      <c r="A2421" s="242"/>
      <c r="F2421" s="285" t="str">
        <f t="shared" si="81"/>
        <v/>
      </c>
      <c r="K2421" s="246" t="str">
        <f t="shared" si="80"/>
        <v/>
      </c>
    </row>
    <row r="2422" spans="1:11" ht="30" customHeight="1" x14ac:dyDescent="0.2">
      <c r="A2422" s="242"/>
      <c r="F2422" s="285" t="str">
        <f t="shared" si="81"/>
        <v/>
      </c>
      <c r="K2422" s="246" t="str">
        <f t="shared" si="80"/>
        <v/>
      </c>
    </row>
    <row r="2423" spans="1:11" ht="30" customHeight="1" x14ac:dyDescent="0.2">
      <c r="A2423" s="242"/>
      <c r="F2423" s="285" t="str">
        <f t="shared" si="81"/>
        <v/>
      </c>
      <c r="K2423" s="246" t="str">
        <f t="shared" si="80"/>
        <v/>
      </c>
    </row>
    <row r="2424" spans="1:11" ht="30" customHeight="1" x14ac:dyDescent="0.2">
      <c r="A2424" s="242"/>
      <c r="F2424" s="285" t="str">
        <f t="shared" si="81"/>
        <v/>
      </c>
      <c r="K2424" s="246" t="str">
        <f t="shared" si="80"/>
        <v/>
      </c>
    </row>
    <row r="2425" spans="1:11" ht="30" customHeight="1" x14ac:dyDescent="0.2">
      <c r="A2425" s="242"/>
      <c r="F2425" s="285" t="str">
        <f t="shared" si="81"/>
        <v/>
      </c>
      <c r="K2425" s="246" t="str">
        <f t="shared" si="80"/>
        <v/>
      </c>
    </row>
    <row r="2426" spans="1:11" ht="30" customHeight="1" x14ac:dyDescent="0.2">
      <c r="A2426" s="242"/>
      <c r="F2426" s="285" t="str">
        <f t="shared" si="81"/>
        <v/>
      </c>
      <c r="K2426" s="246" t="str">
        <f t="shared" si="80"/>
        <v/>
      </c>
    </row>
    <row r="2427" spans="1:11" ht="30" customHeight="1" x14ac:dyDescent="0.2">
      <c r="A2427" s="242"/>
      <c r="F2427" s="285" t="str">
        <f t="shared" si="81"/>
        <v/>
      </c>
      <c r="K2427" s="246" t="str">
        <f t="shared" ref="K2427:K2490" si="82">IF(A2427="","",A2427)</f>
        <v/>
      </c>
    </row>
    <row r="2428" spans="1:11" ht="30" customHeight="1" x14ac:dyDescent="0.2">
      <c r="A2428" s="242"/>
      <c r="F2428" s="285" t="str">
        <f t="shared" si="81"/>
        <v/>
      </c>
      <c r="K2428" s="246" t="str">
        <f t="shared" si="82"/>
        <v/>
      </c>
    </row>
    <row r="2429" spans="1:11" ht="30" customHeight="1" x14ac:dyDescent="0.2">
      <c r="A2429" s="242"/>
      <c r="F2429" s="285" t="str">
        <f t="shared" si="81"/>
        <v/>
      </c>
      <c r="K2429" s="246" t="str">
        <f t="shared" si="82"/>
        <v/>
      </c>
    </row>
    <row r="2430" spans="1:11" ht="30" customHeight="1" x14ac:dyDescent="0.2">
      <c r="A2430" s="242"/>
      <c r="F2430" s="285" t="str">
        <f t="shared" si="81"/>
        <v/>
      </c>
      <c r="K2430" s="246" t="str">
        <f t="shared" si="82"/>
        <v/>
      </c>
    </row>
    <row r="2431" spans="1:11" ht="30" customHeight="1" x14ac:dyDescent="0.2">
      <c r="A2431" s="242"/>
      <c r="F2431" s="285" t="str">
        <f t="shared" si="81"/>
        <v/>
      </c>
      <c r="K2431" s="246" t="str">
        <f t="shared" si="82"/>
        <v/>
      </c>
    </row>
    <row r="2432" spans="1:11" ht="30" customHeight="1" x14ac:dyDescent="0.2">
      <c r="A2432" s="242"/>
      <c r="F2432" s="285" t="str">
        <f t="shared" si="81"/>
        <v/>
      </c>
      <c r="K2432" s="246" t="str">
        <f t="shared" si="82"/>
        <v/>
      </c>
    </row>
    <row r="2433" spans="1:11" ht="30" customHeight="1" x14ac:dyDescent="0.2">
      <c r="A2433" s="242"/>
      <c r="F2433" s="285" t="str">
        <f t="shared" si="81"/>
        <v/>
      </c>
      <c r="K2433" s="246" t="str">
        <f t="shared" si="82"/>
        <v/>
      </c>
    </row>
    <row r="2434" spans="1:11" ht="30" customHeight="1" x14ac:dyDescent="0.2">
      <c r="A2434" s="242"/>
      <c r="F2434" s="285" t="str">
        <f t="shared" si="81"/>
        <v/>
      </c>
      <c r="K2434" s="246" t="str">
        <f t="shared" si="82"/>
        <v/>
      </c>
    </row>
    <row r="2435" spans="1:11" ht="30" customHeight="1" x14ac:dyDescent="0.2">
      <c r="A2435" s="242"/>
      <c r="F2435" s="285" t="str">
        <f t="shared" si="81"/>
        <v/>
      </c>
      <c r="K2435" s="246" t="str">
        <f t="shared" si="82"/>
        <v/>
      </c>
    </row>
    <row r="2436" spans="1:11" ht="30" customHeight="1" x14ac:dyDescent="0.2">
      <c r="A2436" s="242"/>
      <c r="F2436" s="285" t="str">
        <f t="shared" si="81"/>
        <v/>
      </c>
      <c r="K2436" s="246" t="str">
        <f t="shared" si="82"/>
        <v/>
      </c>
    </row>
    <row r="2437" spans="1:11" ht="30" customHeight="1" x14ac:dyDescent="0.2">
      <c r="A2437" s="242"/>
      <c r="F2437" s="285" t="str">
        <f t="shared" ref="F2437:F2500" si="83">IF(A2437="","",A2437)</f>
        <v/>
      </c>
      <c r="K2437" s="246" t="str">
        <f t="shared" si="82"/>
        <v/>
      </c>
    </row>
    <row r="2438" spans="1:11" ht="30" customHeight="1" x14ac:dyDescent="0.2">
      <c r="A2438" s="242"/>
      <c r="F2438" s="285" t="str">
        <f t="shared" si="83"/>
        <v/>
      </c>
      <c r="K2438" s="246" t="str">
        <f t="shared" si="82"/>
        <v/>
      </c>
    </row>
    <row r="2439" spans="1:11" ht="30" customHeight="1" x14ac:dyDescent="0.2">
      <c r="A2439" s="242"/>
      <c r="F2439" s="285" t="str">
        <f t="shared" si="83"/>
        <v/>
      </c>
      <c r="K2439" s="246" t="str">
        <f t="shared" si="82"/>
        <v/>
      </c>
    </row>
    <row r="2440" spans="1:11" ht="30" customHeight="1" x14ac:dyDescent="0.2">
      <c r="A2440" s="242"/>
      <c r="F2440" s="285" t="str">
        <f t="shared" si="83"/>
        <v/>
      </c>
      <c r="K2440" s="246" t="str">
        <f t="shared" si="82"/>
        <v/>
      </c>
    </row>
    <row r="2441" spans="1:11" ht="30" customHeight="1" x14ac:dyDescent="0.2">
      <c r="A2441" s="242"/>
      <c r="F2441" s="285" t="str">
        <f t="shared" si="83"/>
        <v/>
      </c>
      <c r="K2441" s="246" t="str">
        <f t="shared" si="82"/>
        <v/>
      </c>
    </row>
    <row r="2442" spans="1:11" ht="30" customHeight="1" x14ac:dyDescent="0.2">
      <c r="A2442" s="242"/>
      <c r="F2442" s="285" t="str">
        <f t="shared" si="83"/>
        <v/>
      </c>
      <c r="K2442" s="246" t="str">
        <f t="shared" si="82"/>
        <v/>
      </c>
    </row>
    <row r="2443" spans="1:11" ht="30" customHeight="1" x14ac:dyDescent="0.2">
      <c r="A2443" s="242"/>
      <c r="F2443" s="285" t="str">
        <f t="shared" si="83"/>
        <v/>
      </c>
      <c r="K2443" s="246" t="str">
        <f t="shared" si="82"/>
        <v/>
      </c>
    </row>
    <row r="2444" spans="1:11" ht="30" customHeight="1" x14ac:dyDescent="0.2">
      <c r="A2444" s="242"/>
      <c r="F2444" s="285" t="str">
        <f t="shared" si="83"/>
        <v/>
      </c>
      <c r="K2444" s="246" t="str">
        <f t="shared" si="82"/>
        <v/>
      </c>
    </row>
    <row r="2445" spans="1:11" ht="30" customHeight="1" x14ac:dyDescent="0.2">
      <c r="A2445" s="242"/>
      <c r="F2445" s="285" t="str">
        <f t="shared" si="83"/>
        <v/>
      </c>
      <c r="K2445" s="246" t="str">
        <f t="shared" si="82"/>
        <v/>
      </c>
    </row>
    <row r="2446" spans="1:11" ht="30" customHeight="1" x14ac:dyDescent="0.2">
      <c r="A2446" s="242"/>
      <c r="F2446" s="285" t="str">
        <f t="shared" si="83"/>
        <v/>
      </c>
      <c r="K2446" s="246" t="str">
        <f t="shared" si="82"/>
        <v/>
      </c>
    </row>
    <row r="2447" spans="1:11" ht="30" customHeight="1" x14ac:dyDescent="0.2">
      <c r="A2447" s="242"/>
      <c r="F2447" s="285" t="str">
        <f t="shared" si="83"/>
        <v/>
      </c>
      <c r="K2447" s="246" t="str">
        <f t="shared" si="82"/>
        <v/>
      </c>
    </row>
    <row r="2448" spans="1:11" ht="30" customHeight="1" x14ac:dyDescent="0.2">
      <c r="A2448" s="242"/>
      <c r="F2448" s="285" t="str">
        <f t="shared" si="83"/>
        <v/>
      </c>
      <c r="K2448" s="246" t="str">
        <f t="shared" si="82"/>
        <v/>
      </c>
    </row>
    <row r="2449" spans="1:11" ht="30" customHeight="1" x14ac:dyDescent="0.2">
      <c r="A2449" s="242"/>
      <c r="F2449" s="285" t="str">
        <f t="shared" si="83"/>
        <v/>
      </c>
      <c r="K2449" s="246" t="str">
        <f t="shared" si="82"/>
        <v/>
      </c>
    </row>
    <row r="2450" spans="1:11" ht="30" customHeight="1" x14ac:dyDescent="0.2">
      <c r="A2450" s="242"/>
      <c r="F2450" s="285" t="str">
        <f t="shared" si="83"/>
        <v/>
      </c>
      <c r="K2450" s="246" t="str">
        <f t="shared" si="82"/>
        <v/>
      </c>
    </row>
    <row r="2451" spans="1:11" ht="30" customHeight="1" x14ac:dyDescent="0.2">
      <c r="A2451" s="242"/>
      <c r="F2451" s="285" t="str">
        <f t="shared" si="83"/>
        <v/>
      </c>
      <c r="K2451" s="246" t="str">
        <f t="shared" si="82"/>
        <v/>
      </c>
    </row>
    <row r="2452" spans="1:11" ht="30" customHeight="1" x14ac:dyDescent="0.2">
      <c r="A2452" s="242"/>
      <c r="F2452" s="285" t="str">
        <f t="shared" si="83"/>
        <v/>
      </c>
      <c r="K2452" s="246" t="str">
        <f t="shared" si="82"/>
        <v/>
      </c>
    </row>
    <row r="2453" spans="1:11" ht="30" customHeight="1" x14ac:dyDescent="0.2">
      <c r="A2453" s="242"/>
      <c r="F2453" s="285" t="str">
        <f t="shared" si="83"/>
        <v/>
      </c>
      <c r="K2453" s="246" t="str">
        <f t="shared" si="82"/>
        <v/>
      </c>
    </row>
    <row r="2454" spans="1:11" ht="30" customHeight="1" x14ac:dyDescent="0.2">
      <c r="A2454" s="242"/>
      <c r="F2454" s="285" t="str">
        <f t="shared" si="83"/>
        <v/>
      </c>
      <c r="K2454" s="246" t="str">
        <f t="shared" si="82"/>
        <v/>
      </c>
    </row>
    <row r="2455" spans="1:11" ht="30" customHeight="1" x14ac:dyDescent="0.2">
      <c r="A2455" s="242"/>
      <c r="F2455" s="285" t="str">
        <f t="shared" si="83"/>
        <v/>
      </c>
      <c r="K2455" s="246" t="str">
        <f t="shared" si="82"/>
        <v/>
      </c>
    </row>
    <row r="2456" spans="1:11" ht="30" customHeight="1" x14ac:dyDescent="0.2">
      <c r="A2456" s="242"/>
      <c r="F2456" s="285" t="str">
        <f t="shared" si="83"/>
        <v/>
      </c>
      <c r="K2456" s="246" t="str">
        <f t="shared" si="82"/>
        <v/>
      </c>
    </row>
    <row r="2457" spans="1:11" ht="30" customHeight="1" x14ac:dyDescent="0.2">
      <c r="A2457" s="242"/>
      <c r="F2457" s="285" t="str">
        <f t="shared" si="83"/>
        <v/>
      </c>
      <c r="K2457" s="246" t="str">
        <f t="shared" si="82"/>
        <v/>
      </c>
    </row>
    <row r="2458" spans="1:11" ht="30" customHeight="1" x14ac:dyDescent="0.2">
      <c r="A2458" s="242"/>
      <c r="F2458" s="285" t="str">
        <f t="shared" si="83"/>
        <v/>
      </c>
      <c r="K2458" s="246" t="str">
        <f t="shared" si="82"/>
        <v/>
      </c>
    </row>
    <row r="2459" spans="1:11" ht="30" customHeight="1" x14ac:dyDescent="0.2">
      <c r="A2459" s="242"/>
      <c r="F2459" s="285" t="str">
        <f t="shared" si="83"/>
        <v/>
      </c>
      <c r="K2459" s="246" t="str">
        <f t="shared" si="82"/>
        <v/>
      </c>
    </row>
    <row r="2460" spans="1:11" ht="30" customHeight="1" x14ac:dyDescent="0.2">
      <c r="A2460" s="242"/>
      <c r="F2460" s="285" t="str">
        <f t="shared" si="83"/>
        <v/>
      </c>
      <c r="K2460" s="246" t="str">
        <f t="shared" si="82"/>
        <v/>
      </c>
    </row>
    <row r="2461" spans="1:11" ht="30" customHeight="1" x14ac:dyDescent="0.2">
      <c r="A2461" s="242"/>
      <c r="F2461" s="285" t="str">
        <f t="shared" si="83"/>
        <v/>
      </c>
      <c r="K2461" s="246" t="str">
        <f t="shared" si="82"/>
        <v/>
      </c>
    </row>
    <row r="2462" spans="1:11" ht="30" customHeight="1" x14ac:dyDescent="0.2">
      <c r="A2462" s="242"/>
      <c r="F2462" s="285" t="str">
        <f t="shared" si="83"/>
        <v/>
      </c>
      <c r="K2462" s="246" t="str">
        <f t="shared" si="82"/>
        <v/>
      </c>
    </row>
    <row r="2463" spans="1:11" ht="30" customHeight="1" x14ac:dyDescent="0.2">
      <c r="A2463" s="242"/>
      <c r="F2463" s="285" t="str">
        <f t="shared" si="83"/>
        <v/>
      </c>
      <c r="K2463" s="246" t="str">
        <f t="shared" si="82"/>
        <v/>
      </c>
    </row>
    <row r="2464" spans="1:11" ht="30" customHeight="1" x14ac:dyDescent="0.2">
      <c r="A2464" s="242"/>
      <c r="F2464" s="285" t="str">
        <f t="shared" si="83"/>
        <v/>
      </c>
      <c r="K2464" s="246" t="str">
        <f t="shared" si="82"/>
        <v/>
      </c>
    </row>
    <row r="2465" spans="1:11" ht="30" customHeight="1" x14ac:dyDescent="0.2">
      <c r="A2465" s="242"/>
      <c r="F2465" s="285" t="str">
        <f t="shared" si="83"/>
        <v/>
      </c>
      <c r="K2465" s="246" t="str">
        <f t="shared" si="82"/>
        <v/>
      </c>
    </row>
    <row r="2466" spans="1:11" ht="30" customHeight="1" x14ac:dyDescent="0.2">
      <c r="A2466" s="242"/>
      <c r="F2466" s="285" t="str">
        <f t="shared" si="83"/>
        <v/>
      </c>
      <c r="K2466" s="246" t="str">
        <f t="shared" si="82"/>
        <v/>
      </c>
    </row>
    <row r="2467" spans="1:11" ht="30" customHeight="1" x14ac:dyDescent="0.2">
      <c r="A2467" s="242"/>
      <c r="F2467" s="285" t="str">
        <f t="shared" si="83"/>
        <v/>
      </c>
      <c r="K2467" s="246" t="str">
        <f t="shared" si="82"/>
        <v/>
      </c>
    </row>
    <row r="2468" spans="1:11" ht="30" customHeight="1" x14ac:dyDescent="0.2">
      <c r="A2468" s="242"/>
      <c r="F2468" s="285" t="str">
        <f t="shared" si="83"/>
        <v/>
      </c>
      <c r="K2468" s="246" t="str">
        <f t="shared" si="82"/>
        <v/>
      </c>
    </row>
    <row r="2469" spans="1:11" ht="30" customHeight="1" x14ac:dyDescent="0.2">
      <c r="A2469" s="242"/>
      <c r="F2469" s="285" t="str">
        <f t="shared" si="83"/>
        <v/>
      </c>
      <c r="K2469" s="246" t="str">
        <f t="shared" si="82"/>
        <v/>
      </c>
    </row>
    <row r="2470" spans="1:11" ht="30" customHeight="1" x14ac:dyDescent="0.2">
      <c r="A2470" s="242"/>
      <c r="F2470" s="285" t="str">
        <f t="shared" si="83"/>
        <v/>
      </c>
      <c r="K2470" s="246" t="str">
        <f t="shared" si="82"/>
        <v/>
      </c>
    </row>
    <row r="2471" spans="1:11" ht="30" customHeight="1" x14ac:dyDescent="0.2">
      <c r="A2471" s="242"/>
      <c r="F2471" s="285" t="str">
        <f t="shared" si="83"/>
        <v/>
      </c>
      <c r="K2471" s="246" t="str">
        <f t="shared" si="82"/>
        <v/>
      </c>
    </row>
    <row r="2472" spans="1:11" ht="30" customHeight="1" x14ac:dyDescent="0.2">
      <c r="A2472" s="242"/>
      <c r="F2472" s="285" t="str">
        <f t="shared" si="83"/>
        <v/>
      </c>
      <c r="K2472" s="246" t="str">
        <f t="shared" si="82"/>
        <v/>
      </c>
    </row>
    <row r="2473" spans="1:11" ht="30" customHeight="1" x14ac:dyDescent="0.2">
      <c r="A2473" s="242"/>
      <c r="F2473" s="285" t="str">
        <f t="shared" si="83"/>
        <v/>
      </c>
      <c r="K2473" s="246" t="str">
        <f t="shared" si="82"/>
        <v/>
      </c>
    </row>
    <row r="2474" spans="1:11" ht="30" customHeight="1" x14ac:dyDescent="0.2">
      <c r="A2474" s="242"/>
      <c r="F2474" s="285" t="str">
        <f t="shared" si="83"/>
        <v/>
      </c>
      <c r="K2474" s="246" t="str">
        <f t="shared" si="82"/>
        <v/>
      </c>
    </row>
    <row r="2475" spans="1:11" ht="30" customHeight="1" x14ac:dyDescent="0.2">
      <c r="A2475" s="242"/>
      <c r="F2475" s="285" t="str">
        <f t="shared" si="83"/>
        <v/>
      </c>
      <c r="K2475" s="246" t="str">
        <f t="shared" si="82"/>
        <v/>
      </c>
    </row>
    <row r="2476" spans="1:11" ht="30" customHeight="1" x14ac:dyDescent="0.2">
      <c r="A2476" s="242"/>
      <c r="F2476" s="285" t="str">
        <f t="shared" si="83"/>
        <v/>
      </c>
      <c r="K2476" s="246" t="str">
        <f t="shared" si="82"/>
        <v/>
      </c>
    </row>
    <row r="2477" spans="1:11" ht="30" customHeight="1" x14ac:dyDescent="0.2">
      <c r="A2477" s="242"/>
      <c r="F2477" s="285" t="str">
        <f t="shared" si="83"/>
        <v/>
      </c>
      <c r="K2477" s="246" t="str">
        <f t="shared" si="82"/>
        <v/>
      </c>
    </row>
    <row r="2478" spans="1:11" ht="30" customHeight="1" x14ac:dyDescent="0.2">
      <c r="A2478" s="242"/>
      <c r="F2478" s="285" t="str">
        <f t="shared" si="83"/>
        <v/>
      </c>
      <c r="K2478" s="246" t="str">
        <f t="shared" si="82"/>
        <v/>
      </c>
    </row>
    <row r="2479" spans="1:11" ht="30" customHeight="1" x14ac:dyDescent="0.2">
      <c r="A2479" s="242"/>
      <c r="F2479" s="285" t="str">
        <f t="shared" si="83"/>
        <v/>
      </c>
      <c r="K2479" s="246" t="str">
        <f t="shared" si="82"/>
        <v/>
      </c>
    </row>
    <row r="2480" spans="1:11" ht="30" customHeight="1" x14ac:dyDescent="0.2">
      <c r="A2480" s="242"/>
      <c r="F2480" s="285" t="str">
        <f t="shared" si="83"/>
        <v/>
      </c>
      <c r="K2480" s="246" t="str">
        <f t="shared" si="82"/>
        <v/>
      </c>
    </row>
    <row r="2481" spans="1:11" ht="30" customHeight="1" x14ac:dyDescent="0.2">
      <c r="A2481" s="242"/>
      <c r="F2481" s="285" t="str">
        <f t="shared" si="83"/>
        <v/>
      </c>
      <c r="K2481" s="246" t="str">
        <f t="shared" si="82"/>
        <v/>
      </c>
    </row>
    <row r="2482" spans="1:11" ht="30" customHeight="1" x14ac:dyDescent="0.2">
      <c r="A2482" s="242"/>
      <c r="F2482" s="285" t="str">
        <f t="shared" si="83"/>
        <v/>
      </c>
      <c r="K2482" s="246" t="str">
        <f t="shared" si="82"/>
        <v/>
      </c>
    </row>
    <row r="2483" spans="1:11" ht="30" customHeight="1" x14ac:dyDescent="0.2">
      <c r="A2483" s="242"/>
      <c r="F2483" s="285" t="str">
        <f t="shared" si="83"/>
        <v/>
      </c>
      <c r="K2483" s="246" t="str">
        <f t="shared" si="82"/>
        <v/>
      </c>
    </row>
    <row r="2484" spans="1:11" ht="30" customHeight="1" x14ac:dyDescent="0.2">
      <c r="A2484" s="242"/>
      <c r="F2484" s="285" t="str">
        <f t="shared" si="83"/>
        <v/>
      </c>
      <c r="K2484" s="246" t="str">
        <f t="shared" si="82"/>
        <v/>
      </c>
    </row>
    <row r="2485" spans="1:11" ht="30" customHeight="1" x14ac:dyDescent="0.2">
      <c r="A2485" s="242"/>
      <c r="F2485" s="285" t="str">
        <f t="shared" si="83"/>
        <v/>
      </c>
      <c r="K2485" s="246" t="str">
        <f t="shared" si="82"/>
        <v/>
      </c>
    </row>
    <row r="2486" spans="1:11" ht="30" customHeight="1" x14ac:dyDescent="0.2">
      <c r="A2486" s="242"/>
      <c r="F2486" s="285" t="str">
        <f t="shared" si="83"/>
        <v/>
      </c>
      <c r="K2486" s="246" t="str">
        <f t="shared" si="82"/>
        <v/>
      </c>
    </row>
    <row r="2487" spans="1:11" ht="30" customHeight="1" x14ac:dyDescent="0.2">
      <c r="A2487" s="242"/>
      <c r="F2487" s="285" t="str">
        <f t="shared" si="83"/>
        <v/>
      </c>
      <c r="K2487" s="246" t="str">
        <f t="shared" si="82"/>
        <v/>
      </c>
    </row>
    <row r="2488" spans="1:11" ht="30" customHeight="1" x14ac:dyDescent="0.2">
      <c r="A2488" s="242"/>
      <c r="F2488" s="285" t="str">
        <f t="shared" si="83"/>
        <v/>
      </c>
      <c r="K2488" s="246" t="str">
        <f t="shared" si="82"/>
        <v/>
      </c>
    </row>
    <row r="2489" spans="1:11" ht="30" customHeight="1" x14ac:dyDescent="0.2">
      <c r="A2489" s="242"/>
      <c r="F2489" s="285" t="str">
        <f t="shared" si="83"/>
        <v/>
      </c>
      <c r="K2489" s="246" t="str">
        <f t="shared" si="82"/>
        <v/>
      </c>
    </row>
    <row r="2490" spans="1:11" ht="30" customHeight="1" x14ac:dyDescent="0.2">
      <c r="A2490" s="242"/>
      <c r="F2490" s="285" t="str">
        <f t="shared" si="83"/>
        <v/>
      </c>
      <c r="K2490" s="246" t="str">
        <f t="shared" si="82"/>
        <v/>
      </c>
    </row>
    <row r="2491" spans="1:11" ht="30" customHeight="1" x14ac:dyDescent="0.2">
      <c r="A2491" s="242"/>
      <c r="F2491" s="285" t="str">
        <f t="shared" si="83"/>
        <v/>
      </c>
      <c r="K2491" s="246" t="str">
        <f t="shared" ref="K2491:K2554" si="84">IF(A2491="","",A2491)</f>
        <v/>
      </c>
    </row>
    <row r="2492" spans="1:11" ht="30" customHeight="1" x14ac:dyDescent="0.2">
      <c r="A2492" s="242"/>
      <c r="F2492" s="285" t="str">
        <f t="shared" si="83"/>
        <v/>
      </c>
      <c r="K2492" s="246" t="str">
        <f t="shared" si="84"/>
        <v/>
      </c>
    </row>
    <row r="2493" spans="1:11" ht="30" customHeight="1" x14ac:dyDescent="0.2">
      <c r="A2493" s="242"/>
      <c r="F2493" s="285" t="str">
        <f t="shared" si="83"/>
        <v/>
      </c>
      <c r="K2493" s="246" t="str">
        <f t="shared" si="84"/>
        <v/>
      </c>
    </row>
    <row r="2494" spans="1:11" ht="30" customHeight="1" x14ac:dyDescent="0.2">
      <c r="A2494" s="242"/>
      <c r="F2494" s="285" t="str">
        <f t="shared" si="83"/>
        <v/>
      </c>
      <c r="K2494" s="246" t="str">
        <f t="shared" si="84"/>
        <v/>
      </c>
    </row>
    <row r="2495" spans="1:11" ht="30" customHeight="1" x14ac:dyDescent="0.2">
      <c r="A2495" s="242"/>
      <c r="F2495" s="285" t="str">
        <f t="shared" si="83"/>
        <v/>
      </c>
      <c r="K2495" s="246" t="str">
        <f t="shared" si="84"/>
        <v/>
      </c>
    </row>
    <row r="2496" spans="1:11" ht="30" customHeight="1" x14ac:dyDescent="0.2">
      <c r="A2496" s="242"/>
      <c r="F2496" s="285" t="str">
        <f t="shared" si="83"/>
        <v/>
      </c>
      <c r="K2496" s="246" t="str">
        <f t="shared" si="84"/>
        <v/>
      </c>
    </row>
    <row r="2497" spans="1:11" ht="30" customHeight="1" x14ac:dyDescent="0.2">
      <c r="A2497" s="242"/>
      <c r="F2497" s="285" t="str">
        <f t="shared" si="83"/>
        <v/>
      </c>
      <c r="K2497" s="246" t="str">
        <f t="shared" si="84"/>
        <v/>
      </c>
    </row>
    <row r="2498" spans="1:11" ht="30" customHeight="1" x14ac:dyDescent="0.2">
      <c r="A2498" s="242"/>
      <c r="F2498" s="285" t="str">
        <f t="shared" si="83"/>
        <v/>
      </c>
      <c r="K2498" s="246" t="str">
        <f t="shared" si="84"/>
        <v/>
      </c>
    </row>
    <row r="2499" spans="1:11" ht="30" customHeight="1" x14ac:dyDescent="0.2">
      <c r="A2499" s="242"/>
      <c r="F2499" s="285" t="str">
        <f t="shared" si="83"/>
        <v/>
      </c>
      <c r="K2499" s="246" t="str">
        <f t="shared" si="84"/>
        <v/>
      </c>
    </row>
    <row r="2500" spans="1:11" ht="30" customHeight="1" x14ac:dyDescent="0.2">
      <c r="A2500" s="242"/>
      <c r="F2500" s="285" t="str">
        <f t="shared" si="83"/>
        <v/>
      </c>
      <c r="K2500" s="246" t="str">
        <f t="shared" si="84"/>
        <v/>
      </c>
    </row>
    <row r="2501" spans="1:11" ht="30" customHeight="1" x14ac:dyDescent="0.2">
      <c r="A2501" s="242"/>
      <c r="F2501" s="285" t="str">
        <f t="shared" ref="F2501:F2564" si="85">IF(A2501="","",A2501)</f>
        <v/>
      </c>
      <c r="K2501" s="246" t="str">
        <f t="shared" si="84"/>
        <v/>
      </c>
    </row>
    <row r="2502" spans="1:11" ht="30" customHeight="1" x14ac:dyDescent="0.2">
      <c r="A2502" s="242"/>
      <c r="F2502" s="285" t="str">
        <f t="shared" si="85"/>
        <v/>
      </c>
      <c r="K2502" s="246" t="str">
        <f t="shared" si="84"/>
        <v/>
      </c>
    </row>
    <row r="2503" spans="1:11" ht="30" customHeight="1" x14ac:dyDescent="0.2">
      <c r="A2503" s="242"/>
      <c r="F2503" s="285" t="str">
        <f t="shared" si="85"/>
        <v/>
      </c>
      <c r="K2503" s="246" t="str">
        <f t="shared" si="84"/>
        <v/>
      </c>
    </row>
    <row r="2504" spans="1:11" ht="30" customHeight="1" x14ac:dyDescent="0.2">
      <c r="A2504" s="242"/>
      <c r="F2504" s="285" t="str">
        <f t="shared" si="85"/>
        <v/>
      </c>
      <c r="K2504" s="246" t="str">
        <f t="shared" si="84"/>
        <v/>
      </c>
    </row>
    <row r="2505" spans="1:11" ht="30" customHeight="1" x14ac:dyDescent="0.2">
      <c r="A2505" s="242"/>
      <c r="F2505" s="285" t="str">
        <f t="shared" si="85"/>
        <v/>
      </c>
      <c r="K2505" s="246" t="str">
        <f t="shared" si="84"/>
        <v/>
      </c>
    </row>
    <row r="2506" spans="1:11" ht="30" customHeight="1" x14ac:dyDescent="0.2">
      <c r="A2506" s="242"/>
      <c r="F2506" s="285" t="str">
        <f t="shared" si="85"/>
        <v/>
      </c>
      <c r="K2506" s="246" t="str">
        <f t="shared" si="84"/>
        <v/>
      </c>
    </row>
    <row r="2507" spans="1:11" ht="30" customHeight="1" x14ac:dyDescent="0.2">
      <c r="A2507" s="242"/>
      <c r="F2507" s="285" t="str">
        <f t="shared" si="85"/>
        <v/>
      </c>
      <c r="K2507" s="246" t="str">
        <f t="shared" si="84"/>
        <v/>
      </c>
    </row>
    <row r="2508" spans="1:11" ht="30" customHeight="1" x14ac:dyDescent="0.2">
      <c r="A2508" s="242"/>
      <c r="F2508" s="285" t="str">
        <f t="shared" si="85"/>
        <v/>
      </c>
      <c r="K2508" s="246" t="str">
        <f t="shared" si="84"/>
        <v/>
      </c>
    </row>
    <row r="2509" spans="1:11" ht="30" customHeight="1" x14ac:dyDescent="0.2">
      <c r="A2509" s="242"/>
      <c r="F2509" s="285" t="str">
        <f t="shared" si="85"/>
        <v/>
      </c>
      <c r="K2509" s="246" t="str">
        <f t="shared" si="84"/>
        <v/>
      </c>
    </row>
    <row r="2510" spans="1:11" ht="30" customHeight="1" x14ac:dyDescent="0.2">
      <c r="A2510" s="242"/>
      <c r="F2510" s="285" t="str">
        <f t="shared" si="85"/>
        <v/>
      </c>
      <c r="K2510" s="246" t="str">
        <f t="shared" si="84"/>
        <v/>
      </c>
    </row>
    <row r="2511" spans="1:11" ht="30" customHeight="1" x14ac:dyDescent="0.2">
      <c r="A2511" s="242"/>
      <c r="F2511" s="285" t="str">
        <f t="shared" si="85"/>
        <v/>
      </c>
      <c r="K2511" s="246" t="str">
        <f t="shared" si="84"/>
        <v/>
      </c>
    </row>
    <row r="2512" spans="1:11" ht="30" customHeight="1" x14ac:dyDescent="0.2">
      <c r="A2512" s="242"/>
      <c r="F2512" s="285" t="str">
        <f t="shared" si="85"/>
        <v/>
      </c>
      <c r="K2512" s="246" t="str">
        <f t="shared" si="84"/>
        <v/>
      </c>
    </row>
    <row r="2513" spans="1:11" ht="30" customHeight="1" x14ac:dyDescent="0.2">
      <c r="A2513" s="242"/>
      <c r="F2513" s="285" t="str">
        <f t="shared" si="85"/>
        <v/>
      </c>
      <c r="K2513" s="246" t="str">
        <f t="shared" si="84"/>
        <v/>
      </c>
    </row>
    <row r="2514" spans="1:11" ht="30" customHeight="1" x14ac:dyDescent="0.2">
      <c r="A2514" s="242"/>
      <c r="F2514" s="285" t="str">
        <f t="shared" si="85"/>
        <v/>
      </c>
      <c r="K2514" s="246" t="str">
        <f t="shared" si="84"/>
        <v/>
      </c>
    </row>
    <row r="2515" spans="1:11" ht="30" customHeight="1" x14ac:dyDescent="0.2">
      <c r="A2515" s="242"/>
      <c r="F2515" s="285" t="str">
        <f t="shared" si="85"/>
        <v/>
      </c>
      <c r="K2515" s="246" t="str">
        <f t="shared" si="84"/>
        <v/>
      </c>
    </row>
    <row r="2516" spans="1:11" ht="30" customHeight="1" x14ac:dyDescent="0.2">
      <c r="A2516" s="242"/>
      <c r="F2516" s="285" t="str">
        <f t="shared" si="85"/>
        <v/>
      </c>
      <c r="K2516" s="246" t="str">
        <f t="shared" si="84"/>
        <v/>
      </c>
    </row>
    <row r="2517" spans="1:11" ht="30" customHeight="1" x14ac:dyDescent="0.2">
      <c r="A2517" s="242"/>
      <c r="F2517" s="285" t="str">
        <f t="shared" si="85"/>
        <v/>
      </c>
      <c r="K2517" s="246" t="str">
        <f t="shared" si="84"/>
        <v/>
      </c>
    </row>
    <row r="2518" spans="1:11" ht="30" customHeight="1" x14ac:dyDescent="0.2">
      <c r="A2518" s="242"/>
      <c r="F2518" s="285" t="str">
        <f t="shared" si="85"/>
        <v/>
      </c>
      <c r="K2518" s="246" t="str">
        <f t="shared" si="84"/>
        <v/>
      </c>
    </row>
    <row r="2519" spans="1:11" ht="30" customHeight="1" x14ac:dyDescent="0.2">
      <c r="A2519" s="242"/>
      <c r="F2519" s="285" t="str">
        <f t="shared" si="85"/>
        <v/>
      </c>
      <c r="K2519" s="246" t="str">
        <f t="shared" si="84"/>
        <v/>
      </c>
    </row>
    <row r="2520" spans="1:11" ht="30" customHeight="1" x14ac:dyDescent="0.2">
      <c r="A2520" s="242"/>
      <c r="F2520" s="285" t="str">
        <f t="shared" si="85"/>
        <v/>
      </c>
      <c r="K2520" s="246" t="str">
        <f t="shared" si="84"/>
        <v/>
      </c>
    </row>
    <row r="2521" spans="1:11" ht="30" customHeight="1" x14ac:dyDescent="0.2">
      <c r="A2521" s="242"/>
      <c r="F2521" s="285" t="str">
        <f t="shared" si="85"/>
        <v/>
      </c>
      <c r="K2521" s="246" t="str">
        <f t="shared" si="84"/>
        <v/>
      </c>
    </row>
    <row r="2522" spans="1:11" ht="30" customHeight="1" x14ac:dyDescent="0.2">
      <c r="A2522" s="242"/>
      <c r="F2522" s="285" t="str">
        <f t="shared" si="85"/>
        <v/>
      </c>
      <c r="K2522" s="246" t="str">
        <f t="shared" si="84"/>
        <v/>
      </c>
    </row>
    <row r="2523" spans="1:11" ht="30" customHeight="1" x14ac:dyDescent="0.2">
      <c r="A2523" s="242"/>
      <c r="F2523" s="285" t="str">
        <f t="shared" si="85"/>
        <v/>
      </c>
      <c r="K2523" s="246" t="str">
        <f t="shared" si="84"/>
        <v/>
      </c>
    </row>
    <row r="2524" spans="1:11" ht="30" customHeight="1" x14ac:dyDescent="0.2">
      <c r="A2524" s="242"/>
      <c r="F2524" s="285" t="str">
        <f t="shared" si="85"/>
        <v/>
      </c>
      <c r="K2524" s="246" t="str">
        <f t="shared" si="84"/>
        <v/>
      </c>
    </row>
    <row r="2525" spans="1:11" ht="30" customHeight="1" x14ac:dyDescent="0.2">
      <c r="A2525" s="242"/>
      <c r="F2525" s="285" t="str">
        <f t="shared" si="85"/>
        <v/>
      </c>
      <c r="K2525" s="246" t="str">
        <f t="shared" si="84"/>
        <v/>
      </c>
    </row>
    <row r="2526" spans="1:11" ht="30" customHeight="1" x14ac:dyDescent="0.2">
      <c r="A2526" s="242"/>
      <c r="F2526" s="285" t="str">
        <f t="shared" si="85"/>
        <v/>
      </c>
      <c r="K2526" s="246" t="str">
        <f t="shared" si="84"/>
        <v/>
      </c>
    </row>
    <row r="2527" spans="1:11" ht="30" customHeight="1" x14ac:dyDescent="0.2">
      <c r="A2527" s="242"/>
      <c r="F2527" s="285" t="str">
        <f t="shared" si="85"/>
        <v/>
      </c>
      <c r="K2527" s="246" t="str">
        <f t="shared" si="84"/>
        <v/>
      </c>
    </row>
    <row r="2528" spans="1:11" ht="30" customHeight="1" x14ac:dyDescent="0.2">
      <c r="A2528" s="242"/>
      <c r="F2528" s="285" t="str">
        <f t="shared" si="85"/>
        <v/>
      </c>
      <c r="K2528" s="246" t="str">
        <f t="shared" si="84"/>
        <v/>
      </c>
    </row>
    <row r="2529" spans="1:11" ht="30" customHeight="1" x14ac:dyDescent="0.2">
      <c r="A2529" s="242"/>
      <c r="F2529" s="285" t="str">
        <f t="shared" si="85"/>
        <v/>
      </c>
      <c r="K2529" s="246" t="str">
        <f t="shared" si="84"/>
        <v/>
      </c>
    </row>
    <row r="2530" spans="1:11" ht="30" customHeight="1" x14ac:dyDescent="0.2">
      <c r="A2530" s="242"/>
      <c r="F2530" s="285" t="str">
        <f t="shared" si="85"/>
        <v/>
      </c>
      <c r="K2530" s="246" t="str">
        <f t="shared" si="84"/>
        <v/>
      </c>
    </row>
    <row r="2531" spans="1:11" ht="30" customHeight="1" x14ac:dyDescent="0.2">
      <c r="A2531" s="242"/>
      <c r="F2531" s="285" t="str">
        <f t="shared" si="85"/>
        <v/>
      </c>
      <c r="K2531" s="246" t="str">
        <f t="shared" si="84"/>
        <v/>
      </c>
    </row>
    <row r="2532" spans="1:11" ht="30" customHeight="1" x14ac:dyDescent="0.2">
      <c r="A2532" s="242"/>
      <c r="F2532" s="285" t="str">
        <f t="shared" si="85"/>
        <v/>
      </c>
      <c r="K2532" s="246" t="str">
        <f t="shared" si="84"/>
        <v/>
      </c>
    </row>
    <row r="2533" spans="1:11" ht="30" customHeight="1" x14ac:dyDescent="0.2">
      <c r="A2533" s="242"/>
      <c r="F2533" s="285" t="str">
        <f t="shared" si="85"/>
        <v/>
      </c>
      <c r="K2533" s="246" t="str">
        <f t="shared" si="84"/>
        <v/>
      </c>
    </row>
    <row r="2534" spans="1:11" ht="30" customHeight="1" x14ac:dyDescent="0.2">
      <c r="A2534" s="242"/>
      <c r="F2534" s="285" t="str">
        <f t="shared" si="85"/>
        <v/>
      </c>
      <c r="K2534" s="246" t="str">
        <f t="shared" si="84"/>
        <v/>
      </c>
    </row>
    <row r="2535" spans="1:11" ht="30" customHeight="1" x14ac:dyDescent="0.2">
      <c r="A2535" s="242"/>
      <c r="F2535" s="285" t="str">
        <f t="shared" si="85"/>
        <v/>
      </c>
      <c r="K2535" s="246" t="str">
        <f t="shared" si="84"/>
        <v/>
      </c>
    </row>
    <row r="2536" spans="1:11" ht="30" customHeight="1" x14ac:dyDescent="0.2">
      <c r="A2536" s="242"/>
      <c r="F2536" s="285" t="str">
        <f t="shared" si="85"/>
        <v/>
      </c>
      <c r="K2536" s="246" t="str">
        <f t="shared" si="84"/>
        <v/>
      </c>
    </row>
    <row r="2537" spans="1:11" ht="30" customHeight="1" x14ac:dyDescent="0.2">
      <c r="A2537" s="242"/>
      <c r="F2537" s="285" t="str">
        <f t="shared" si="85"/>
        <v/>
      </c>
      <c r="K2537" s="246" t="str">
        <f t="shared" si="84"/>
        <v/>
      </c>
    </row>
    <row r="2538" spans="1:11" ht="30" customHeight="1" x14ac:dyDescent="0.2">
      <c r="A2538" s="242"/>
      <c r="F2538" s="285" t="str">
        <f t="shared" si="85"/>
        <v/>
      </c>
      <c r="K2538" s="246" t="str">
        <f t="shared" si="84"/>
        <v/>
      </c>
    </row>
    <row r="2539" spans="1:11" ht="30" customHeight="1" x14ac:dyDescent="0.2">
      <c r="A2539" s="242"/>
      <c r="F2539" s="285" t="str">
        <f t="shared" si="85"/>
        <v/>
      </c>
      <c r="K2539" s="246" t="str">
        <f t="shared" si="84"/>
        <v/>
      </c>
    </row>
    <row r="2540" spans="1:11" ht="30" customHeight="1" x14ac:dyDescent="0.2">
      <c r="A2540" s="242"/>
      <c r="F2540" s="285" t="str">
        <f t="shared" si="85"/>
        <v/>
      </c>
      <c r="K2540" s="246" t="str">
        <f t="shared" si="84"/>
        <v/>
      </c>
    </row>
    <row r="2541" spans="1:11" ht="30" customHeight="1" x14ac:dyDescent="0.2">
      <c r="A2541" s="242"/>
      <c r="F2541" s="285" t="str">
        <f t="shared" si="85"/>
        <v/>
      </c>
      <c r="K2541" s="246" t="str">
        <f t="shared" si="84"/>
        <v/>
      </c>
    </row>
    <row r="2542" spans="1:11" ht="30" customHeight="1" x14ac:dyDescent="0.2">
      <c r="A2542" s="242"/>
      <c r="F2542" s="285" t="str">
        <f t="shared" si="85"/>
        <v/>
      </c>
      <c r="K2542" s="246" t="str">
        <f t="shared" si="84"/>
        <v/>
      </c>
    </row>
    <row r="2543" spans="1:11" ht="30" customHeight="1" x14ac:dyDescent="0.2">
      <c r="A2543" s="242"/>
      <c r="F2543" s="285" t="str">
        <f t="shared" si="85"/>
        <v/>
      </c>
      <c r="K2543" s="246" t="str">
        <f t="shared" si="84"/>
        <v/>
      </c>
    </row>
    <row r="2544" spans="1:11" ht="30" customHeight="1" x14ac:dyDescent="0.2">
      <c r="A2544" s="242"/>
      <c r="F2544" s="285" t="str">
        <f t="shared" si="85"/>
        <v/>
      </c>
      <c r="K2544" s="246" t="str">
        <f t="shared" si="84"/>
        <v/>
      </c>
    </row>
    <row r="2545" spans="1:11" ht="30" customHeight="1" x14ac:dyDescent="0.2">
      <c r="A2545" s="242"/>
      <c r="F2545" s="285" t="str">
        <f t="shared" si="85"/>
        <v/>
      </c>
      <c r="K2545" s="246" t="str">
        <f t="shared" si="84"/>
        <v/>
      </c>
    </row>
    <row r="2546" spans="1:11" ht="30" customHeight="1" x14ac:dyDescent="0.2">
      <c r="A2546" s="242"/>
      <c r="F2546" s="285" t="str">
        <f t="shared" si="85"/>
        <v/>
      </c>
      <c r="K2546" s="246" t="str">
        <f t="shared" si="84"/>
        <v/>
      </c>
    </row>
    <row r="2547" spans="1:11" ht="30" customHeight="1" x14ac:dyDescent="0.2">
      <c r="A2547" s="242"/>
      <c r="F2547" s="285" t="str">
        <f t="shared" si="85"/>
        <v/>
      </c>
      <c r="K2547" s="246" t="str">
        <f t="shared" si="84"/>
        <v/>
      </c>
    </row>
    <row r="2548" spans="1:11" ht="30" customHeight="1" x14ac:dyDescent="0.2">
      <c r="A2548" s="242"/>
      <c r="F2548" s="285" t="str">
        <f t="shared" si="85"/>
        <v/>
      </c>
      <c r="K2548" s="246" t="str">
        <f t="shared" si="84"/>
        <v/>
      </c>
    </row>
    <row r="2549" spans="1:11" ht="30" customHeight="1" x14ac:dyDescent="0.2">
      <c r="A2549" s="242"/>
      <c r="F2549" s="285" t="str">
        <f t="shared" si="85"/>
        <v/>
      </c>
      <c r="K2549" s="246" t="str">
        <f t="shared" si="84"/>
        <v/>
      </c>
    </row>
    <row r="2550" spans="1:11" ht="30" customHeight="1" x14ac:dyDescent="0.2">
      <c r="A2550" s="242"/>
      <c r="F2550" s="285" t="str">
        <f t="shared" si="85"/>
        <v/>
      </c>
      <c r="K2550" s="246" t="str">
        <f t="shared" si="84"/>
        <v/>
      </c>
    </row>
    <row r="2551" spans="1:11" ht="30" customHeight="1" x14ac:dyDescent="0.2">
      <c r="A2551" s="242"/>
      <c r="F2551" s="285" t="str">
        <f t="shared" si="85"/>
        <v/>
      </c>
      <c r="K2551" s="246" t="str">
        <f t="shared" si="84"/>
        <v/>
      </c>
    </row>
    <row r="2552" spans="1:11" ht="30" customHeight="1" x14ac:dyDescent="0.2">
      <c r="A2552" s="242"/>
      <c r="F2552" s="285" t="str">
        <f t="shared" si="85"/>
        <v/>
      </c>
      <c r="K2552" s="246" t="str">
        <f t="shared" si="84"/>
        <v/>
      </c>
    </row>
    <row r="2553" spans="1:11" ht="30" customHeight="1" x14ac:dyDescent="0.2">
      <c r="A2553" s="242"/>
      <c r="F2553" s="285" t="str">
        <f t="shared" si="85"/>
        <v/>
      </c>
      <c r="K2553" s="246" t="str">
        <f t="shared" si="84"/>
        <v/>
      </c>
    </row>
    <row r="2554" spans="1:11" ht="30" customHeight="1" x14ac:dyDescent="0.2">
      <c r="A2554" s="242"/>
      <c r="F2554" s="285" t="str">
        <f t="shared" si="85"/>
        <v/>
      </c>
      <c r="K2554" s="246" t="str">
        <f t="shared" si="84"/>
        <v/>
      </c>
    </row>
    <row r="2555" spans="1:11" ht="30" customHeight="1" x14ac:dyDescent="0.2">
      <c r="A2555" s="242"/>
      <c r="F2555" s="285" t="str">
        <f t="shared" si="85"/>
        <v/>
      </c>
      <c r="K2555" s="246" t="str">
        <f t="shared" ref="K2555:K2618" si="86">IF(A2555="","",A2555)</f>
        <v/>
      </c>
    </row>
    <row r="2556" spans="1:11" ht="30" customHeight="1" x14ac:dyDescent="0.2">
      <c r="A2556" s="242"/>
      <c r="F2556" s="285" t="str">
        <f t="shared" si="85"/>
        <v/>
      </c>
      <c r="K2556" s="246" t="str">
        <f t="shared" si="86"/>
        <v/>
      </c>
    </row>
    <row r="2557" spans="1:11" ht="30" customHeight="1" x14ac:dyDescent="0.2">
      <c r="A2557" s="242"/>
      <c r="F2557" s="285" t="str">
        <f t="shared" si="85"/>
        <v/>
      </c>
      <c r="K2557" s="246" t="str">
        <f t="shared" si="86"/>
        <v/>
      </c>
    </row>
    <row r="2558" spans="1:11" ht="30" customHeight="1" x14ac:dyDescent="0.2">
      <c r="A2558" s="242"/>
      <c r="F2558" s="285" t="str">
        <f t="shared" si="85"/>
        <v/>
      </c>
      <c r="K2558" s="246" t="str">
        <f t="shared" si="86"/>
        <v/>
      </c>
    </row>
    <row r="2559" spans="1:11" ht="30" customHeight="1" x14ac:dyDescent="0.2">
      <c r="A2559" s="242"/>
      <c r="F2559" s="285" t="str">
        <f t="shared" si="85"/>
        <v/>
      </c>
      <c r="K2559" s="246" t="str">
        <f t="shared" si="86"/>
        <v/>
      </c>
    </row>
    <row r="2560" spans="1:11" ht="30" customHeight="1" x14ac:dyDescent="0.2">
      <c r="A2560" s="242"/>
      <c r="F2560" s="285" t="str">
        <f t="shared" si="85"/>
        <v/>
      </c>
      <c r="K2560" s="246" t="str">
        <f t="shared" si="86"/>
        <v/>
      </c>
    </row>
    <row r="2561" spans="1:11" ht="30" customHeight="1" x14ac:dyDescent="0.2">
      <c r="A2561" s="242"/>
      <c r="F2561" s="285" t="str">
        <f t="shared" si="85"/>
        <v/>
      </c>
      <c r="K2561" s="246" t="str">
        <f t="shared" si="86"/>
        <v/>
      </c>
    </row>
    <row r="2562" spans="1:11" ht="30" customHeight="1" x14ac:dyDescent="0.2">
      <c r="A2562" s="242"/>
      <c r="F2562" s="285" t="str">
        <f t="shared" si="85"/>
        <v/>
      </c>
      <c r="K2562" s="246" t="str">
        <f t="shared" si="86"/>
        <v/>
      </c>
    </row>
    <row r="2563" spans="1:11" ht="30" customHeight="1" x14ac:dyDescent="0.2">
      <c r="A2563" s="242"/>
      <c r="F2563" s="285" t="str">
        <f t="shared" si="85"/>
        <v/>
      </c>
      <c r="K2563" s="246" t="str">
        <f t="shared" si="86"/>
        <v/>
      </c>
    </row>
    <row r="2564" spans="1:11" ht="30" customHeight="1" x14ac:dyDescent="0.2">
      <c r="A2564" s="242"/>
      <c r="F2564" s="285" t="str">
        <f t="shared" si="85"/>
        <v/>
      </c>
      <c r="K2564" s="246" t="str">
        <f t="shared" si="86"/>
        <v/>
      </c>
    </row>
    <row r="2565" spans="1:11" ht="30" customHeight="1" x14ac:dyDescent="0.2">
      <c r="A2565" s="242"/>
      <c r="F2565" s="285" t="str">
        <f t="shared" ref="F2565:F2628" si="87">IF(A2565="","",A2565)</f>
        <v/>
      </c>
      <c r="K2565" s="246" t="str">
        <f t="shared" si="86"/>
        <v/>
      </c>
    </row>
    <row r="2566" spans="1:11" ht="30" customHeight="1" x14ac:dyDescent="0.2">
      <c r="A2566" s="242"/>
      <c r="F2566" s="285" t="str">
        <f t="shared" si="87"/>
        <v/>
      </c>
      <c r="K2566" s="246" t="str">
        <f t="shared" si="86"/>
        <v/>
      </c>
    </row>
    <row r="2567" spans="1:11" ht="30" customHeight="1" x14ac:dyDescent="0.2">
      <c r="A2567" s="242"/>
      <c r="F2567" s="285" t="str">
        <f t="shared" si="87"/>
        <v/>
      </c>
      <c r="K2567" s="246" t="str">
        <f t="shared" si="86"/>
        <v/>
      </c>
    </row>
    <row r="2568" spans="1:11" ht="30" customHeight="1" x14ac:dyDescent="0.2">
      <c r="A2568" s="242"/>
      <c r="F2568" s="285" t="str">
        <f t="shared" si="87"/>
        <v/>
      </c>
      <c r="K2568" s="246" t="str">
        <f t="shared" si="86"/>
        <v/>
      </c>
    </row>
    <row r="2569" spans="1:11" ht="30" customHeight="1" x14ac:dyDescent="0.2">
      <c r="A2569" s="242"/>
      <c r="F2569" s="285" t="str">
        <f t="shared" si="87"/>
        <v/>
      </c>
      <c r="K2569" s="246" t="str">
        <f t="shared" si="86"/>
        <v/>
      </c>
    </row>
    <row r="2570" spans="1:11" ht="30" customHeight="1" x14ac:dyDescent="0.2">
      <c r="A2570" s="242"/>
      <c r="F2570" s="285" t="str">
        <f t="shared" si="87"/>
        <v/>
      </c>
      <c r="K2570" s="246" t="str">
        <f t="shared" si="86"/>
        <v/>
      </c>
    </row>
    <row r="2571" spans="1:11" ht="30" customHeight="1" x14ac:dyDescent="0.2">
      <c r="A2571" s="242"/>
      <c r="F2571" s="285" t="str">
        <f t="shared" si="87"/>
        <v/>
      </c>
      <c r="K2571" s="246" t="str">
        <f t="shared" si="86"/>
        <v/>
      </c>
    </row>
    <row r="2572" spans="1:11" ht="30" customHeight="1" x14ac:dyDescent="0.2">
      <c r="A2572" s="242"/>
      <c r="F2572" s="285" t="str">
        <f t="shared" si="87"/>
        <v/>
      </c>
      <c r="K2572" s="246" t="str">
        <f t="shared" si="86"/>
        <v/>
      </c>
    </row>
    <row r="2573" spans="1:11" ht="30" customHeight="1" x14ac:dyDescent="0.2">
      <c r="A2573" s="242"/>
      <c r="F2573" s="285" t="str">
        <f t="shared" si="87"/>
        <v/>
      </c>
      <c r="K2573" s="246" t="str">
        <f t="shared" si="86"/>
        <v/>
      </c>
    </row>
    <row r="2574" spans="1:11" ht="30" customHeight="1" x14ac:dyDescent="0.2">
      <c r="A2574" s="242"/>
      <c r="F2574" s="285" t="str">
        <f t="shared" si="87"/>
        <v/>
      </c>
      <c r="K2574" s="246" t="str">
        <f t="shared" si="86"/>
        <v/>
      </c>
    </row>
    <row r="2575" spans="1:11" ht="30" customHeight="1" x14ac:dyDescent="0.2">
      <c r="A2575" s="242"/>
      <c r="F2575" s="285" t="str">
        <f t="shared" si="87"/>
        <v/>
      </c>
      <c r="K2575" s="246" t="str">
        <f t="shared" si="86"/>
        <v/>
      </c>
    </row>
    <row r="2576" spans="1:11" ht="30" customHeight="1" x14ac:dyDescent="0.2">
      <c r="A2576" s="242"/>
      <c r="F2576" s="285" t="str">
        <f t="shared" si="87"/>
        <v/>
      </c>
      <c r="K2576" s="246" t="str">
        <f t="shared" si="86"/>
        <v/>
      </c>
    </row>
    <row r="2577" spans="1:11" ht="30" customHeight="1" x14ac:dyDescent="0.2">
      <c r="A2577" s="242"/>
      <c r="F2577" s="285" t="str">
        <f t="shared" si="87"/>
        <v/>
      </c>
      <c r="K2577" s="246" t="str">
        <f t="shared" si="86"/>
        <v/>
      </c>
    </row>
    <row r="2578" spans="1:11" ht="30" customHeight="1" x14ac:dyDescent="0.2">
      <c r="A2578" s="242"/>
      <c r="F2578" s="285" t="str">
        <f t="shared" si="87"/>
        <v/>
      </c>
      <c r="K2578" s="246" t="str">
        <f t="shared" si="86"/>
        <v/>
      </c>
    </row>
    <row r="2579" spans="1:11" ht="30" customHeight="1" x14ac:dyDescent="0.2">
      <c r="A2579" s="242"/>
      <c r="F2579" s="285" t="str">
        <f t="shared" si="87"/>
        <v/>
      </c>
      <c r="K2579" s="246" t="str">
        <f t="shared" si="86"/>
        <v/>
      </c>
    </row>
    <row r="2580" spans="1:11" ht="30" customHeight="1" x14ac:dyDescent="0.2">
      <c r="A2580" s="242"/>
      <c r="F2580" s="285" t="str">
        <f t="shared" si="87"/>
        <v/>
      </c>
      <c r="K2580" s="246" t="str">
        <f t="shared" si="86"/>
        <v/>
      </c>
    </row>
    <row r="2581" spans="1:11" ht="30" customHeight="1" x14ac:dyDescent="0.2">
      <c r="A2581" s="242"/>
      <c r="F2581" s="285" t="str">
        <f t="shared" si="87"/>
        <v/>
      </c>
      <c r="K2581" s="246" t="str">
        <f t="shared" si="86"/>
        <v/>
      </c>
    </row>
    <row r="2582" spans="1:11" ht="30" customHeight="1" x14ac:dyDescent="0.2">
      <c r="A2582" s="242"/>
      <c r="F2582" s="285" t="str">
        <f t="shared" si="87"/>
        <v/>
      </c>
      <c r="K2582" s="246" t="str">
        <f t="shared" si="86"/>
        <v/>
      </c>
    </row>
    <row r="2583" spans="1:11" ht="30" customHeight="1" x14ac:dyDescent="0.2">
      <c r="A2583" s="242"/>
      <c r="F2583" s="285" t="str">
        <f t="shared" si="87"/>
        <v/>
      </c>
      <c r="K2583" s="246" t="str">
        <f t="shared" si="86"/>
        <v/>
      </c>
    </row>
    <row r="2584" spans="1:11" ht="30" customHeight="1" x14ac:dyDescent="0.2">
      <c r="A2584" s="242"/>
      <c r="F2584" s="285" t="str">
        <f t="shared" si="87"/>
        <v/>
      </c>
      <c r="K2584" s="246" t="str">
        <f t="shared" si="86"/>
        <v/>
      </c>
    </row>
    <row r="2585" spans="1:11" ht="30" customHeight="1" x14ac:dyDescent="0.2">
      <c r="A2585" s="242"/>
      <c r="F2585" s="285" t="str">
        <f t="shared" si="87"/>
        <v/>
      </c>
      <c r="K2585" s="246" t="str">
        <f t="shared" si="86"/>
        <v/>
      </c>
    </row>
    <row r="2586" spans="1:11" ht="30" customHeight="1" x14ac:dyDescent="0.2">
      <c r="A2586" s="242"/>
      <c r="F2586" s="285" t="str">
        <f t="shared" si="87"/>
        <v/>
      </c>
      <c r="K2586" s="246" t="str">
        <f t="shared" si="86"/>
        <v/>
      </c>
    </row>
    <row r="2587" spans="1:11" ht="30" customHeight="1" x14ac:dyDescent="0.2">
      <c r="A2587" s="242"/>
      <c r="F2587" s="285" t="str">
        <f t="shared" si="87"/>
        <v/>
      </c>
      <c r="K2587" s="246" t="str">
        <f t="shared" si="86"/>
        <v/>
      </c>
    </row>
    <row r="2588" spans="1:11" ht="30" customHeight="1" x14ac:dyDescent="0.2">
      <c r="A2588" s="242"/>
      <c r="F2588" s="285" t="str">
        <f t="shared" si="87"/>
        <v/>
      </c>
      <c r="K2588" s="246" t="str">
        <f t="shared" si="86"/>
        <v/>
      </c>
    </row>
    <row r="2589" spans="1:11" ht="30" customHeight="1" x14ac:dyDescent="0.2">
      <c r="A2589" s="242"/>
      <c r="F2589" s="285" t="str">
        <f t="shared" si="87"/>
        <v/>
      </c>
      <c r="K2589" s="246" t="str">
        <f t="shared" si="86"/>
        <v/>
      </c>
    </row>
    <row r="2590" spans="1:11" ht="30" customHeight="1" x14ac:dyDescent="0.2">
      <c r="A2590" s="242"/>
      <c r="F2590" s="285" t="str">
        <f t="shared" si="87"/>
        <v/>
      </c>
      <c r="K2590" s="246" t="str">
        <f t="shared" si="86"/>
        <v/>
      </c>
    </row>
    <row r="2591" spans="1:11" ht="30" customHeight="1" x14ac:dyDescent="0.2">
      <c r="A2591" s="242"/>
      <c r="F2591" s="285" t="str">
        <f t="shared" si="87"/>
        <v/>
      </c>
      <c r="K2591" s="246" t="str">
        <f t="shared" si="86"/>
        <v/>
      </c>
    </row>
    <row r="2592" spans="1:11" ht="30" customHeight="1" x14ac:dyDescent="0.2">
      <c r="A2592" s="242"/>
      <c r="F2592" s="285" t="str">
        <f t="shared" si="87"/>
        <v/>
      </c>
      <c r="K2592" s="246" t="str">
        <f t="shared" si="86"/>
        <v/>
      </c>
    </row>
    <row r="2593" spans="1:11" ht="30" customHeight="1" x14ac:dyDescent="0.2">
      <c r="A2593" s="242"/>
      <c r="F2593" s="285" t="str">
        <f t="shared" si="87"/>
        <v/>
      </c>
      <c r="K2593" s="246" t="str">
        <f t="shared" si="86"/>
        <v/>
      </c>
    </row>
    <row r="2594" spans="1:11" ht="30" customHeight="1" x14ac:dyDescent="0.2">
      <c r="A2594" s="242"/>
      <c r="F2594" s="285" t="str">
        <f t="shared" si="87"/>
        <v/>
      </c>
      <c r="K2594" s="246" t="str">
        <f t="shared" si="86"/>
        <v/>
      </c>
    </row>
    <row r="2595" spans="1:11" ht="30" customHeight="1" x14ac:dyDescent="0.2">
      <c r="A2595" s="242"/>
      <c r="F2595" s="285" t="str">
        <f t="shared" si="87"/>
        <v/>
      </c>
      <c r="K2595" s="246" t="str">
        <f t="shared" si="86"/>
        <v/>
      </c>
    </row>
    <row r="2596" spans="1:11" ht="30" customHeight="1" x14ac:dyDescent="0.2">
      <c r="A2596" s="242"/>
      <c r="F2596" s="285" t="str">
        <f t="shared" si="87"/>
        <v/>
      </c>
      <c r="K2596" s="246" t="str">
        <f t="shared" si="86"/>
        <v/>
      </c>
    </row>
    <row r="2597" spans="1:11" ht="30" customHeight="1" x14ac:dyDescent="0.2">
      <c r="A2597" s="242"/>
      <c r="F2597" s="285" t="str">
        <f t="shared" si="87"/>
        <v/>
      </c>
      <c r="K2597" s="246" t="str">
        <f t="shared" si="86"/>
        <v/>
      </c>
    </row>
    <row r="2598" spans="1:11" ht="30" customHeight="1" x14ac:dyDescent="0.2">
      <c r="A2598" s="242"/>
      <c r="F2598" s="285" t="str">
        <f t="shared" si="87"/>
        <v/>
      </c>
      <c r="K2598" s="246" t="str">
        <f t="shared" si="86"/>
        <v/>
      </c>
    </row>
    <row r="2599" spans="1:11" ht="30" customHeight="1" x14ac:dyDescent="0.2">
      <c r="A2599" s="242"/>
      <c r="F2599" s="285" t="str">
        <f t="shared" si="87"/>
        <v/>
      </c>
      <c r="K2599" s="246" t="str">
        <f t="shared" si="86"/>
        <v/>
      </c>
    </row>
    <row r="2600" spans="1:11" ht="30" customHeight="1" x14ac:dyDescent="0.2">
      <c r="A2600" s="242"/>
      <c r="F2600" s="285" t="str">
        <f t="shared" si="87"/>
        <v/>
      </c>
      <c r="K2600" s="246" t="str">
        <f t="shared" si="86"/>
        <v/>
      </c>
    </row>
    <row r="2601" spans="1:11" ht="30" customHeight="1" x14ac:dyDescent="0.2">
      <c r="A2601" s="242"/>
      <c r="F2601" s="285" t="str">
        <f t="shared" si="87"/>
        <v/>
      </c>
      <c r="K2601" s="246" t="str">
        <f t="shared" si="86"/>
        <v/>
      </c>
    </row>
    <row r="2602" spans="1:11" ht="30" customHeight="1" x14ac:dyDescent="0.2">
      <c r="A2602" s="242"/>
      <c r="F2602" s="285" t="str">
        <f t="shared" si="87"/>
        <v/>
      </c>
      <c r="K2602" s="246" t="str">
        <f t="shared" si="86"/>
        <v/>
      </c>
    </row>
    <row r="2603" spans="1:11" ht="30" customHeight="1" x14ac:dyDescent="0.2">
      <c r="A2603" s="242"/>
      <c r="F2603" s="285" t="str">
        <f t="shared" si="87"/>
        <v/>
      </c>
      <c r="K2603" s="246" t="str">
        <f t="shared" si="86"/>
        <v/>
      </c>
    </row>
    <row r="2604" spans="1:11" ht="30" customHeight="1" x14ac:dyDescent="0.2">
      <c r="A2604" s="242"/>
      <c r="F2604" s="285" t="str">
        <f t="shared" si="87"/>
        <v/>
      </c>
      <c r="K2604" s="246" t="str">
        <f t="shared" si="86"/>
        <v/>
      </c>
    </row>
    <row r="2605" spans="1:11" ht="30" customHeight="1" x14ac:dyDescent="0.2">
      <c r="A2605" s="242"/>
      <c r="F2605" s="285" t="str">
        <f t="shared" si="87"/>
        <v/>
      </c>
      <c r="K2605" s="246" t="str">
        <f t="shared" si="86"/>
        <v/>
      </c>
    </row>
    <row r="2606" spans="1:11" ht="30" customHeight="1" x14ac:dyDescent="0.2">
      <c r="A2606" s="242"/>
      <c r="F2606" s="285" t="str">
        <f t="shared" si="87"/>
        <v/>
      </c>
      <c r="K2606" s="246" t="str">
        <f t="shared" si="86"/>
        <v/>
      </c>
    </row>
    <row r="2607" spans="1:11" ht="30" customHeight="1" x14ac:dyDescent="0.2">
      <c r="A2607" s="242"/>
      <c r="F2607" s="285" t="str">
        <f t="shared" si="87"/>
        <v/>
      </c>
      <c r="K2607" s="246" t="str">
        <f t="shared" si="86"/>
        <v/>
      </c>
    </row>
    <row r="2608" spans="1:11" ht="30" customHeight="1" x14ac:dyDescent="0.2">
      <c r="A2608" s="242"/>
      <c r="F2608" s="285" t="str">
        <f t="shared" si="87"/>
        <v/>
      </c>
      <c r="K2608" s="246" t="str">
        <f t="shared" si="86"/>
        <v/>
      </c>
    </row>
    <row r="2609" spans="1:11" ht="30" customHeight="1" x14ac:dyDescent="0.2">
      <c r="A2609" s="242"/>
      <c r="F2609" s="285" t="str">
        <f t="shared" si="87"/>
        <v/>
      </c>
      <c r="K2609" s="246" t="str">
        <f t="shared" si="86"/>
        <v/>
      </c>
    </row>
    <row r="2610" spans="1:11" ht="30" customHeight="1" x14ac:dyDescent="0.2">
      <c r="A2610" s="242"/>
      <c r="F2610" s="285" t="str">
        <f t="shared" si="87"/>
        <v/>
      </c>
      <c r="K2610" s="246" t="str">
        <f t="shared" si="86"/>
        <v/>
      </c>
    </row>
    <row r="2611" spans="1:11" ht="30" customHeight="1" x14ac:dyDescent="0.2">
      <c r="A2611" s="242"/>
      <c r="F2611" s="285" t="str">
        <f t="shared" si="87"/>
        <v/>
      </c>
      <c r="K2611" s="246" t="str">
        <f t="shared" si="86"/>
        <v/>
      </c>
    </row>
    <row r="2612" spans="1:11" ht="30" customHeight="1" x14ac:dyDescent="0.2">
      <c r="A2612" s="242"/>
      <c r="F2612" s="285" t="str">
        <f t="shared" si="87"/>
        <v/>
      </c>
      <c r="K2612" s="246" t="str">
        <f t="shared" si="86"/>
        <v/>
      </c>
    </row>
    <row r="2613" spans="1:11" ht="30" customHeight="1" x14ac:dyDescent="0.2">
      <c r="A2613" s="242"/>
      <c r="F2613" s="285" t="str">
        <f t="shared" si="87"/>
        <v/>
      </c>
      <c r="K2613" s="246" t="str">
        <f t="shared" si="86"/>
        <v/>
      </c>
    </row>
    <row r="2614" spans="1:11" ht="30" customHeight="1" x14ac:dyDescent="0.2">
      <c r="A2614" s="242"/>
      <c r="F2614" s="285" t="str">
        <f t="shared" si="87"/>
        <v/>
      </c>
      <c r="K2614" s="246" t="str">
        <f t="shared" si="86"/>
        <v/>
      </c>
    </row>
    <row r="2615" spans="1:11" ht="30" customHeight="1" x14ac:dyDescent="0.2">
      <c r="A2615" s="242"/>
      <c r="F2615" s="285" t="str">
        <f t="shared" si="87"/>
        <v/>
      </c>
      <c r="K2615" s="246" t="str">
        <f t="shared" si="86"/>
        <v/>
      </c>
    </row>
    <row r="2616" spans="1:11" ht="30" customHeight="1" x14ac:dyDescent="0.2">
      <c r="A2616" s="242"/>
      <c r="F2616" s="285" t="str">
        <f t="shared" si="87"/>
        <v/>
      </c>
      <c r="K2616" s="246" t="str">
        <f t="shared" si="86"/>
        <v/>
      </c>
    </row>
    <row r="2617" spans="1:11" ht="30" customHeight="1" x14ac:dyDescent="0.2">
      <c r="A2617" s="242"/>
      <c r="F2617" s="285" t="str">
        <f t="shared" si="87"/>
        <v/>
      </c>
      <c r="K2617" s="246" t="str">
        <f t="shared" si="86"/>
        <v/>
      </c>
    </row>
    <row r="2618" spans="1:11" ht="30" customHeight="1" x14ac:dyDescent="0.2">
      <c r="A2618" s="242"/>
      <c r="F2618" s="285" t="str">
        <f t="shared" si="87"/>
        <v/>
      </c>
      <c r="K2618" s="246" t="str">
        <f t="shared" si="86"/>
        <v/>
      </c>
    </row>
    <row r="2619" spans="1:11" ht="30" customHeight="1" x14ac:dyDescent="0.2">
      <c r="A2619" s="242"/>
      <c r="F2619" s="285" t="str">
        <f t="shared" si="87"/>
        <v/>
      </c>
      <c r="K2619" s="246" t="str">
        <f t="shared" ref="K2619:K2682" si="88">IF(A2619="","",A2619)</f>
        <v/>
      </c>
    </row>
    <row r="2620" spans="1:11" ht="30" customHeight="1" x14ac:dyDescent="0.2">
      <c r="A2620" s="242"/>
      <c r="F2620" s="285" t="str">
        <f t="shared" si="87"/>
        <v/>
      </c>
      <c r="K2620" s="246" t="str">
        <f t="shared" si="88"/>
        <v/>
      </c>
    </row>
    <row r="2621" spans="1:11" ht="30" customHeight="1" x14ac:dyDescent="0.2">
      <c r="A2621" s="242"/>
      <c r="F2621" s="285" t="str">
        <f t="shared" si="87"/>
        <v/>
      </c>
      <c r="K2621" s="246" t="str">
        <f t="shared" si="88"/>
        <v/>
      </c>
    </row>
    <row r="2622" spans="1:11" ht="30" customHeight="1" x14ac:dyDescent="0.2">
      <c r="A2622" s="242"/>
      <c r="F2622" s="285" t="str">
        <f t="shared" si="87"/>
        <v/>
      </c>
      <c r="K2622" s="246" t="str">
        <f t="shared" si="88"/>
        <v/>
      </c>
    </row>
    <row r="2623" spans="1:11" ht="30" customHeight="1" x14ac:dyDescent="0.2">
      <c r="A2623" s="242"/>
      <c r="F2623" s="285" t="str">
        <f t="shared" si="87"/>
        <v/>
      </c>
      <c r="K2623" s="246" t="str">
        <f t="shared" si="88"/>
        <v/>
      </c>
    </row>
    <row r="2624" spans="1:11" ht="30" customHeight="1" x14ac:dyDescent="0.2">
      <c r="A2624" s="242"/>
      <c r="F2624" s="285" t="str">
        <f t="shared" si="87"/>
        <v/>
      </c>
      <c r="K2624" s="246" t="str">
        <f t="shared" si="88"/>
        <v/>
      </c>
    </row>
    <row r="2625" spans="1:11" ht="30" customHeight="1" x14ac:dyDescent="0.2">
      <c r="A2625" s="242"/>
      <c r="F2625" s="285" t="str">
        <f t="shared" si="87"/>
        <v/>
      </c>
      <c r="K2625" s="246" t="str">
        <f t="shared" si="88"/>
        <v/>
      </c>
    </row>
    <row r="2626" spans="1:11" ht="30" customHeight="1" x14ac:dyDescent="0.2">
      <c r="A2626" s="242"/>
      <c r="F2626" s="285" t="str">
        <f t="shared" si="87"/>
        <v/>
      </c>
      <c r="K2626" s="246" t="str">
        <f t="shared" si="88"/>
        <v/>
      </c>
    </row>
    <row r="2627" spans="1:11" ht="30" customHeight="1" x14ac:dyDescent="0.2">
      <c r="A2627" s="242"/>
      <c r="F2627" s="285" t="str">
        <f t="shared" si="87"/>
        <v/>
      </c>
      <c r="K2627" s="246" t="str">
        <f t="shared" si="88"/>
        <v/>
      </c>
    </row>
    <row r="2628" spans="1:11" ht="30" customHeight="1" x14ac:dyDescent="0.2">
      <c r="A2628" s="242"/>
      <c r="F2628" s="285" t="str">
        <f t="shared" si="87"/>
        <v/>
      </c>
      <c r="K2628" s="246" t="str">
        <f t="shared" si="88"/>
        <v/>
      </c>
    </row>
    <row r="2629" spans="1:11" ht="30" customHeight="1" x14ac:dyDescent="0.2">
      <c r="A2629" s="242"/>
      <c r="F2629" s="285" t="str">
        <f t="shared" ref="F2629:F2692" si="89">IF(A2629="","",A2629)</f>
        <v/>
      </c>
      <c r="K2629" s="246" t="str">
        <f t="shared" si="88"/>
        <v/>
      </c>
    </row>
    <row r="2630" spans="1:11" ht="30" customHeight="1" x14ac:dyDescent="0.2">
      <c r="A2630" s="242"/>
      <c r="F2630" s="285" t="str">
        <f t="shared" si="89"/>
        <v/>
      </c>
      <c r="K2630" s="246" t="str">
        <f t="shared" si="88"/>
        <v/>
      </c>
    </row>
    <row r="2631" spans="1:11" ht="30" customHeight="1" x14ac:dyDescent="0.2">
      <c r="A2631" s="242"/>
      <c r="F2631" s="285" t="str">
        <f t="shared" si="89"/>
        <v/>
      </c>
      <c r="K2631" s="246" t="str">
        <f t="shared" si="88"/>
        <v/>
      </c>
    </row>
    <row r="2632" spans="1:11" ht="30" customHeight="1" x14ac:dyDescent="0.2">
      <c r="A2632" s="242"/>
      <c r="F2632" s="285" t="str">
        <f t="shared" si="89"/>
        <v/>
      </c>
      <c r="K2632" s="246" t="str">
        <f t="shared" si="88"/>
        <v/>
      </c>
    </row>
    <row r="2633" spans="1:11" ht="30" customHeight="1" x14ac:dyDescent="0.2">
      <c r="A2633" s="242"/>
      <c r="F2633" s="285" t="str">
        <f t="shared" si="89"/>
        <v/>
      </c>
      <c r="K2633" s="246" t="str">
        <f t="shared" si="88"/>
        <v/>
      </c>
    </row>
    <row r="2634" spans="1:11" ht="30" customHeight="1" x14ac:dyDescent="0.2">
      <c r="A2634" s="242"/>
      <c r="F2634" s="285" t="str">
        <f t="shared" si="89"/>
        <v/>
      </c>
      <c r="K2634" s="246" t="str">
        <f t="shared" si="88"/>
        <v/>
      </c>
    </row>
    <row r="2635" spans="1:11" ht="30" customHeight="1" x14ac:dyDescent="0.2">
      <c r="A2635" s="242"/>
      <c r="F2635" s="285" t="str">
        <f t="shared" si="89"/>
        <v/>
      </c>
      <c r="K2635" s="246" t="str">
        <f t="shared" si="88"/>
        <v/>
      </c>
    </row>
    <row r="2636" spans="1:11" ht="30" customHeight="1" x14ac:dyDescent="0.2">
      <c r="A2636" s="242"/>
      <c r="F2636" s="285" t="str">
        <f t="shared" si="89"/>
        <v/>
      </c>
      <c r="K2636" s="246" t="str">
        <f t="shared" si="88"/>
        <v/>
      </c>
    </row>
    <row r="2637" spans="1:11" ht="30" customHeight="1" x14ac:dyDescent="0.2">
      <c r="A2637" s="242"/>
      <c r="F2637" s="285" t="str">
        <f t="shared" si="89"/>
        <v/>
      </c>
      <c r="K2637" s="246" t="str">
        <f t="shared" si="88"/>
        <v/>
      </c>
    </row>
    <row r="2638" spans="1:11" ht="30" customHeight="1" x14ac:dyDescent="0.2">
      <c r="A2638" s="242"/>
      <c r="F2638" s="285" t="str">
        <f t="shared" si="89"/>
        <v/>
      </c>
      <c r="K2638" s="246" t="str">
        <f t="shared" si="88"/>
        <v/>
      </c>
    </row>
    <row r="2639" spans="1:11" ht="30" customHeight="1" x14ac:dyDescent="0.2">
      <c r="A2639" s="242"/>
      <c r="F2639" s="285" t="str">
        <f t="shared" si="89"/>
        <v/>
      </c>
      <c r="K2639" s="246" t="str">
        <f t="shared" si="88"/>
        <v/>
      </c>
    </row>
    <row r="2640" spans="1:11" ht="30" customHeight="1" x14ac:dyDescent="0.2">
      <c r="A2640" s="242"/>
      <c r="F2640" s="285" t="str">
        <f t="shared" si="89"/>
        <v/>
      </c>
      <c r="K2640" s="246" t="str">
        <f t="shared" si="88"/>
        <v/>
      </c>
    </row>
    <row r="2641" spans="1:11" ht="30" customHeight="1" x14ac:dyDescent="0.2">
      <c r="A2641" s="242"/>
      <c r="F2641" s="285" t="str">
        <f t="shared" si="89"/>
        <v/>
      </c>
      <c r="K2641" s="246" t="str">
        <f t="shared" si="88"/>
        <v/>
      </c>
    </row>
    <row r="2642" spans="1:11" ht="30" customHeight="1" x14ac:dyDescent="0.2">
      <c r="A2642" s="242"/>
      <c r="F2642" s="285" t="str">
        <f t="shared" si="89"/>
        <v/>
      </c>
      <c r="K2642" s="246" t="str">
        <f t="shared" si="88"/>
        <v/>
      </c>
    </row>
    <row r="2643" spans="1:11" ht="30" customHeight="1" x14ac:dyDescent="0.2">
      <c r="A2643" s="242"/>
      <c r="F2643" s="285" t="str">
        <f t="shared" si="89"/>
        <v/>
      </c>
      <c r="K2643" s="246" t="str">
        <f t="shared" si="88"/>
        <v/>
      </c>
    </row>
    <row r="2644" spans="1:11" ht="30" customHeight="1" x14ac:dyDescent="0.2">
      <c r="A2644" s="242"/>
      <c r="F2644" s="285" t="str">
        <f t="shared" si="89"/>
        <v/>
      </c>
      <c r="K2644" s="246" t="str">
        <f t="shared" si="88"/>
        <v/>
      </c>
    </row>
    <row r="2645" spans="1:11" ht="30" customHeight="1" x14ac:dyDescent="0.2">
      <c r="A2645" s="242"/>
      <c r="F2645" s="285" t="str">
        <f t="shared" si="89"/>
        <v/>
      </c>
      <c r="K2645" s="246" t="str">
        <f t="shared" si="88"/>
        <v/>
      </c>
    </row>
    <row r="2646" spans="1:11" ht="30" customHeight="1" x14ac:dyDescent="0.2">
      <c r="A2646" s="242"/>
      <c r="F2646" s="285" t="str">
        <f t="shared" si="89"/>
        <v/>
      </c>
      <c r="K2646" s="246" t="str">
        <f t="shared" si="88"/>
        <v/>
      </c>
    </row>
    <row r="2647" spans="1:11" ht="30" customHeight="1" x14ac:dyDescent="0.2">
      <c r="A2647" s="242"/>
      <c r="F2647" s="285" t="str">
        <f t="shared" si="89"/>
        <v/>
      </c>
      <c r="K2647" s="246" t="str">
        <f t="shared" si="88"/>
        <v/>
      </c>
    </row>
    <row r="2648" spans="1:11" ht="30" customHeight="1" x14ac:dyDescent="0.2">
      <c r="A2648" s="242"/>
      <c r="F2648" s="285" t="str">
        <f t="shared" si="89"/>
        <v/>
      </c>
      <c r="K2648" s="246" t="str">
        <f t="shared" si="88"/>
        <v/>
      </c>
    </row>
    <row r="2649" spans="1:11" ht="30" customHeight="1" x14ac:dyDescent="0.2">
      <c r="A2649" s="242"/>
      <c r="F2649" s="285" t="str">
        <f t="shared" si="89"/>
        <v/>
      </c>
      <c r="K2649" s="246" t="str">
        <f t="shared" si="88"/>
        <v/>
      </c>
    </row>
    <row r="2650" spans="1:11" ht="30" customHeight="1" x14ac:dyDescent="0.2">
      <c r="A2650" s="242"/>
      <c r="F2650" s="285" t="str">
        <f t="shared" si="89"/>
        <v/>
      </c>
      <c r="K2650" s="246" t="str">
        <f t="shared" si="88"/>
        <v/>
      </c>
    </row>
    <row r="2651" spans="1:11" ht="30" customHeight="1" x14ac:dyDescent="0.2">
      <c r="A2651" s="242"/>
      <c r="F2651" s="285" t="str">
        <f t="shared" si="89"/>
        <v/>
      </c>
      <c r="K2651" s="246" t="str">
        <f t="shared" si="88"/>
        <v/>
      </c>
    </row>
    <row r="2652" spans="1:11" ht="30" customHeight="1" x14ac:dyDescent="0.2">
      <c r="A2652" s="242"/>
      <c r="F2652" s="285" t="str">
        <f t="shared" si="89"/>
        <v/>
      </c>
      <c r="K2652" s="246" t="str">
        <f t="shared" si="88"/>
        <v/>
      </c>
    </row>
    <row r="2653" spans="1:11" ht="30" customHeight="1" x14ac:dyDescent="0.2">
      <c r="A2653" s="242"/>
      <c r="F2653" s="285" t="str">
        <f t="shared" si="89"/>
        <v/>
      </c>
      <c r="K2653" s="246" t="str">
        <f t="shared" si="88"/>
        <v/>
      </c>
    </row>
    <row r="2654" spans="1:11" ht="30" customHeight="1" x14ac:dyDescent="0.2">
      <c r="A2654" s="242"/>
      <c r="F2654" s="285" t="str">
        <f t="shared" si="89"/>
        <v/>
      </c>
      <c r="K2654" s="246" t="str">
        <f t="shared" si="88"/>
        <v/>
      </c>
    </row>
    <row r="2655" spans="1:11" ht="30" customHeight="1" x14ac:dyDescent="0.2">
      <c r="A2655" s="242"/>
      <c r="F2655" s="285" t="str">
        <f t="shared" si="89"/>
        <v/>
      </c>
      <c r="K2655" s="246" t="str">
        <f t="shared" si="88"/>
        <v/>
      </c>
    </row>
    <row r="2656" spans="1:11" ht="30" customHeight="1" x14ac:dyDescent="0.2">
      <c r="A2656" s="242"/>
      <c r="F2656" s="285" t="str">
        <f t="shared" si="89"/>
        <v/>
      </c>
      <c r="K2656" s="246" t="str">
        <f t="shared" si="88"/>
        <v/>
      </c>
    </row>
    <row r="2657" spans="1:11" ht="30" customHeight="1" x14ac:dyDescent="0.2">
      <c r="A2657" s="242"/>
      <c r="F2657" s="285" t="str">
        <f t="shared" si="89"/>
        <v/>
      </c>
      <c r="K2657" s="246" t="str">
        <f t="shared" si="88"/>
        <v/>
      </c>
    </row>
    <row r="2658" spans="1:11" ht="30" customHeight="1" x14ac:dyDescent="0.2">
      <c r="A2658" s="242"/>
      <c r="F2658" s="285" t="str">
        <f t="shared" si="89"/>
        <v/>
      </c>
      <c r="K2658" s="246" t="str">
        <f t="shared" si="88"/>
        <v/>
      </c>
    </row>
    <row r="2659" spans="1:11" ht="30" customHeight="1" x14ac:dyDescent="0.2">
      <c r="A2659" s="242"/>
      <c r="F2659" s="285" t="str">
        <f t="shared" si="89"/>
        <v/>
      </c>
      <c r="K2659" s="246" t="str">
        <f t="shared" si="88"/>
        <v/>
      </c>
    </row>
    <row r="2660" spans="1:11" ht="30" customHeight="1" x14ac:dyDescent="0.2">
      <c r="A2660" s="242"/>
      <c r="F2660" s="285" t="str">
        <f t="shared" si="89"/>
        <v/>
      </c>
      <c r="K2660" s="246" t="str">
        <f t="shared" si="88"/>
        <v/>
      </c>
    </row>
    <row r="2661" spans="1:11" ht="30" customHeight="1" x14ac:dyDescent="0.2">
      <c r="A2661" s="242"/>
      <c r="F2661" s="285" t="str">
        <f t="shared" si="89"/>
        <v/>
      </c>
      <c r="K2661" s="246" t="str">
        <f t="shared" si="88"/>
        <v/>
      </c>
    </row>
    <row r="2662" spans="1:11" ht="30" customHeight="1" x14ac:dyDescent="0.2">
      <c r="A2662" s="242"/>
      <c r="F2662" s="285" t="str">
        <f t="shared" si="89"/>
        <v/>
      </c>
      <c r="K2662" s="246" t="str">
        <f t="shared" si="88"/>
        <v/>
      </c>
    </row>
    <row r="2663" spans="1:11" ht="30" customHeight="1" x14ac:dyDescent="0.2">
      <c r="A2663" s="242"/>
      <c r="F2663" s="285" t="str">
        <f t="shared" si="89"/>
        <v/>
      </c>
      <c r="K2663" s="246" t="str">
        <f t="shared" si="88"/>
        <v/>
      </c>
    </row>
    <row r="2664" spans="1:11" ht="30" customHeight="1" x14ac:dyDescent="0.2">
      <c r="A2664" s="242"/>
      <c r="F2664" s="285" t="str">
        <f t="shared" si="89"/>
        <v/>
      </c>
      <c r="K2664" s="246" t="str">
        <f t="shared" si="88"/>
        <v/>
      </c>
    </row>
    <row r="2665" spans="1:11" ht="30" customHeight="1" x14ac:dyDescent="0.2">
      <c r="A2665" s="242"/>
      <c r="F2665" s="285" t="str">
        <f t="shared" si="89"/>
        <v/>
      </c>
      <c r="K2665" s="246" t="str">
        <f t="shared" si="88"/>
        <v/>
      </c>
    </row>
    <row r="2666" spans="1:11" ht="30" customHeight="1" x14ac:dyDescent="0.2">
      <c r="A2666" s="242"/>
      <c r="F2666" s="285" t="str">
        <f t="shared" si="89"/>
        <v/>
      </c>
      <c r="K2666" s="246" t="str">
        <f t="shared" si="88"/>
        <v/>
      </c>
    </row>
    <row r="2667" spans="1:11" ht="30" customHeight="1" x14ac:dyDescent="0.2">
      <c r="A2667" s="242"/>
      <c r="F2667" s="285" t="str">
        <f t="shared" si="89"/>
        <v/>
      </c>
      <c r="K2667" s="246" t="str">
        <f t="shared" si="88"/>
        <v/>
      </c>
    </row>
    <row r="2668" spans="1:11" ht="30" customHeight="1" x14ac:dyDescent="0.2">
      <c r="A2668" s="242"/>
      <c r="F2668" s="285" t="str">
        <f t="shared" si="89"/>
        <v/>
      </c>
      <c r="K2668" s="246" t="str">
        <f t="shared" si="88"/>
        <v/>
      </c>
    </row>
    <row r="2669" spans="1:11" ht="30" customHeight="1" x14ac:dyDescent="0.2">
      <c r="A2669" s="242"/>
      <c r="F2669" s="285" t="str">
        <f t="shared" si="89"/>
        <v/>
      </c>
      <c r="K2669" s="246" t="str">
        <f t="shared" si="88"/>
        <v/>
      </c>
    </row>
    <row r="2670" spans="1:11" ht="30" customHeight="1" x14ac:dyDescent="0.2">
      <c r="A2670" s="242"/>
      <c r="F2670" s="285" t="str">
        <f t="shared" si="89"/>
        <v/>
      </c>
      <c r="K2670" s="246" t="str">
        <f t="shared" si="88"/>
        <v/>
      </c>
    </row>
    <row r="2671" spans="1:11" ht="30" customHeight="1" x14ac:dyDescent="0.2">
      <c r="A2671" s="242"/>
      <c r="F2671" s="285" t="str">
        <f t="shared" si="89"/>
        <v/>
      </c>
      <c r="K2671" s="246" t="str">
        <f t="shared" si="88"/>
        <v/>
      </c>
    </row>
    <row r="2672" spans="1:11" ht="30" customHeight="1" x14ac:dyDescent="0.2">
      <c r="A2672" s="242"/>
      <c r="F2672" s="285" t="str">
        <f t="shared" si="89"/>
        <v/>
      </c>
      <c r="K2672" s="246" t="str">
        <f t="shared" si="88"/>
        <v/>
      </c>
    </row>
    <row r="2673" spans="1:11" ht="30" customHeight="1" x14ac:dyDescent="0.2">
      <c r="A2673" s="242"/>
      <c r="F2673" s="285" t="str">
        <f t="shared" si="89"/>
        <v/>
      </c>
      <c r="K2673" s="246" t="str">
        <f t="shared" si="88"/>
        <v/>
      </c>
    </row>
    <row r="2674" spans="1:11" ht="30" customHeight="1" x14ac:dyDescent="0.2">
      <c r="A2674" s="242"/>
      <c r="F2674" s="285" t="str">
        <f t="shared" si="89"/>
        <v/>
      </c>
      <c r="K2674" s="246" t="str">
        <f t="shared" si="88"/>
        <v/>
      </c>
    </row>
    <row r="2675" spans="1:11" ht="30" customHeight="1" x14ac:dyDescent="0.2">
      <c r="A2675" s="242"/>
      <c r="F2675" s="285" t="str">
        <f t="shared" si="89"/>
        <v/>
      </c>
      <c r="K2675" s="246" t="str">
        <f t="shared" si="88"/>
        <v/>
      </c>
    </row>
    <row r="2676" spans="1:11" ht="30" customHeight="1" x14ac:dyDescent="0.2">
      <c r="A2676" s="242"/>
      <c r="F2676" s="285" t="str">
        <f t="shared" si="89"/>
        <v/>
      </c>
      <c r="K2676" s="246" t="str">
        <f t="shared" si="88"/>
        <v/>
      </c>
    </row>
    <row r="2677" spans="1:11" ht="30" customHeight="1" x14ac:dyDescent="0.2">
      <c r="A2677" s="242"/>
      <c r="F2677" s="285" t="str">
        <f t="shared" si="89"/>
        <v/>
      </c>
      <c r="K2677" s="246" t="str">
        <f t="shared" si="88"/>
        <v/>
      </c>
    </row>
    <row r="2678" spans="1:11" ht="30" customHeight="1" x14ac:dyDescent="0.2">
      <c r="A2678" s="242"/>
      <c r="F2678" s="285" t="str">
        <f t="shared" si="89"/>
        <v/>
      </c>
      <c r="K2678" s="246" t="str">
        <f t="shared" si="88"/>
        <v/>
      </c>
    </row>
    <row r="2679" spans="1:11" ht="30" customHeight="1" x14ac:dyDescent="0.2">
      <c r="A2679" s="242"/>
      <c r="F2679" s="285" t="str">
        <f t="shared" si="89"/>
        <v/>
      </c>
      <c r="K2679" s="246" t="str">
        <f t="shared" si="88"/>
        <v/>
      </c>
    </row>
    <row r="2680" spans="1:11" ht="30" customHeight="1" x14ac:dyDescent="0.2">
      <c r="A2680" s="242"/>
      <c r="F2680" s="285" t="str">
        <f t="shared" si="89"/>
        <v/>
      </c>
      <c r="K2680" s="246" t="str">
        <f t="shared" si="88"/>
        <v/>
      </c>
    </row>
    <row r="2681" spans="1:11" ht="30" customHeight="1" x14ac:dyDescent="0.2">
      <c r="A2681" s="242"/>
      <c r="F2681" s="285" t="str">
        <f t="shared" si="89"/>
        <v/>
      </c>
      <c r="K2681" s="246" t="str">
        <f t="shared" si="88"/>
        <v/>
      </c>
    </row>
    <row r="2682" spans="1:11" ht="30" customHeight="1" x14ac:dyDescent="0.2">
      <c r="A2682" s="242"/>
      <c r="F2682" s="285" t="str">
        <f t="shared" si="89"/>
        <v/>
      </c>
      <c r="K2682" s="246" t="str">
        <f t="shared" si="88"/>
        <v/>
      </c>
    </row>
    <row r="2683" spans="1:11" ht="30" customHeight="1" x14ac:dyDescent="0.2">
      <c r="A2683" s="242"/>
      <c r="F2683" s="285" t="str">
        <f t="shared" si="89"/>
        <v/>
      </c>
      <c r="K2683" s="246" t="str">
        <f t="shared" ref="K2683:K2746" si="90">IF(A2683="","",A2683)</f>
        <v/>
      </c>
    </row>
    <row r="2684" spans="1:11" ht="30" customHeight="1" x14ac:dyDescent="0.2">
      <c r="A2684" s="242"/>
      <c r="F2684" s="285" t="str">
        <f t="shared" si="89"/>
        <v/>
      </c>
      <c r="K2684" s="246" t="str">
        <f t="shared" si="90"/>
        <v/>
      </c>
    </row>
    <row r="2685" spans="1:11" ht="30" customHeight="1" x14ac:dyDescent="0.2">
      <c r="A2685" s="242"/>
      <c r="F2685" s="285" t="str">
        <f t="shared" si="89"/>
        <v/>
      </c>
      <c r="K2685" s="246" t="str">
        <f t="shared" si="90"/>
        <v/>
      </c>
    </row>
    <row r="2686" spans="1:11" ht="30" customHeight="1" x14ac:dyDescent="0.2">
      <c r="A2686" s="242"/>
      <c r="F2686" s="285" t="str">
        <f t="shared" si="89"/>
        <v/>
      </c>
      <c r="K2686" s="246" t="str">
        <f t="shared" si="90"/>
        <v/>
      </c>
    </row>
    <row r="2687" spans="1:11" ht="30" customHeight="1" x14ac:dyDescent="0.2">
      <c r="A2687" s="242"/>
      <c r="F2687" s="285" t="str">
        <f t="shared" si="89"/>
        <v/>
      </c>
      <c r="K2687" s="246" t="str">
        <f t="shared" si="90"/>
        <v/>
      </c>
    </row>
    <row r="2688" spans="1:11" ht="30" customHeight="1" x14ac:dyDescent="0.2">
      <c r="A2688" s="242"/>
      <c r="F2688" s="285" t="str">
        <f t="shared" si="89"/>
        <v/>
      </c>
      <c r="K2688" s="246" t="str">
        <f t="shared" si="90"/>
        <v/>
      </c>
    </row>
    <row r="2689" spans="1:11" ht="30" customHeight="1" x14ac:dyDescent="0.2">
      <c r="A2689" s="242"/>
      <c r="F2689" s="285" t="str">
        <f t="shared" si="89"/>
        <v/>
      </c>
      <c r="K2689" s="246" t="str">
        <f t="shared" si="90"/>
        <v/>
      </c>
    </row>
    <row r="2690" spans="1:11" ht="30" customHeight="1" x14ac:dyDescent="0.2">
      <c r="A2690" s="242"/>
      <c r="F2690" s="285" t="str">
        <f t="shared" si="89"/>
        <v/>
      </c>
      <c r="K2690" s="246" t="str">
        <f t="shared" si="90"/>
        <v/>
      </c>
    </row>
    <row r="2691" spans="1:11" ht="30" customHeight="1" x14ac:dyDescent="0.2">
      <c r="A2691" s="242"/>
      <c r="F2691" s="285" t="str">
        <f t="shared" si="89"/>
        <v/>
      </c>
      <c r="K2691" s="246" t="str">
        <f t="shared" si="90"/>
        <v/>
      </c>
    </row>
    <row r="2692" spans="1:11" ht="30" customHeight="1" x14ac:dyDescent="0.2">
      <c r="A2692" s="242"/>
      <c r="F2692" s="285" t="str">
        <f t="shared" si="89"/>
        <v/>
      </c>
      <c r="K2692" s="246" t="str">
        <f t="shared" si="90"/>
        <v/>
      </c>
    </row>
    <row r="2693" spans="1:11" ht="30" customHeight="1" x14ac:dyDescent="0.2">
      <c r="A2693" s="242"/>
      <c r="F2693" s="285" t="str">
        <f t="shared" ref="F2693:F2756" si="91">IF(A2693="","",A2693)</f>
        <v/>
      </c>
      <c r="K2693" s="246" t="str">
        <f t="shared" si="90"/>
        <v/>
      </c>
    </row>
    <row r="2694" spans="1:11" ht="30" customHeight="1" x14ac:dyDescent="0.2">
      <c r="A2694" s="242"/>
      <c r="F2694" s="285" t="str">
        <f t="shared" si="91"/>
        <v/>
      </c>
      <c r="K2694" s="246" t="str">
        <f t="shared" si="90"/>
        <v/>
      </c>
    </row>
    <row r="2695" spans="1:11" ht="30" customHeight="1" x14ac:dyDescent="0.2">
      <c r="A2695" s="242"/>
      <c r="F2695" s="285" t="str">
        <f t="shared" si="91"/>
        <v/>
      </c>
      <c r="K2695" s="246" t="str">
        <f t="shared" si="90"/>
        <v/>
      </c>
    </row>
    <row r="2696" spans="1:11" ht="30" customHeight="1" x14ac:dyDescent="0.2">
      <c r="A2696" s="242"/>
      <c r="F2696" s="285" t="str">
        <f t="shared" si="91"/>
        <v/>
      </c>
      <c r="K2696" s="246" t="str">
        <f t="shared" si="90"/>
        <v/>
      </c>
    </row>
    <row r="2697" spans="1:11" ht="30" customHeight="1" x14ac:dyDescent="0.2">
      <c r="A2697" s="242"/>
      <c r="F2697" s="285" t="str">
        <f t="shared" si="91"/>
        <v/>
      </c>
      <c r="K2697" s="246" t="str">
        <f t="shared" si="90"/>
        <v/>
      </c>
    </row>
    <row r="2698" spans="1:11" ht="30" customHeight="1" x14ac:dyDescent="0.2">
      <c r="A2698" s="242"/>
      <c r="F2698" s="285" t="str">
        <f t="shared" si="91"/>
        <v/>
      </c>
      <c r="K2698" s="246" t="str">
        <f t="shared" si="90"/>
        <v/>
      </c>
    </row>
    <row r="2699" spans="1:11" ht="30" customHeight="1" x14ac:dyDescent="0.2">
      <c r="A2699" s="242"/>
      <c r="F2699" s="285" t="str">
        <f t="shared" si="91"/>
        <v/>
      </c>
      <c r="K2699" s="246" t="str">
        <f t="shared" si="90"/>
        <v/>
      </c>
    </row>
    <row r="2700" spans="1:11" ht="30" customHeight="1" x14ac:dyDescent="0.2">
      <c r="A2700" s="242"/>
      <c r="F2700" s="285" t="str">
        <f t="shared" si="91"/>
        <v/>
      </c>
      <c r="K2700" s="246" t="str">
        <f t="shared" si="90"/>
        <v/>
      </c>
    </row>
    <row r="2701" spans="1:11" ht="30" customHeight="1" x14ac:dyDescent="0.2">
      <c r="A2701" s="242"/>
      <c r="F2701" s="285" t="str">
        <f t="shared" si="91"/>
        <v/>
      </c>
      <c r="K2701" s="246" t="str">
        <f t="shared" si="90"/>
        <v/>
      </c>
    </row>
    <row r="2702" spans="1:11" ht="30" customHeight="1" x14ac:dyDescent="0.2">
      <c r="A2702" s="242"/>
      <c r="F2702" s="285" t="str">
        <f t="shared" si="91"/>
        <v/>
      </c>
      <c r="K2702" s="246" t="str">
        <f t="shared" si="90"/>
        <v/>
      </c>
    </row>
    <row r="2703" spans="1:11" ht="30" customHeight="1" x14ac:dyDescent="0.2">
      <c r="A2703" s="242"/>
      <c r="F2703" s="285" t="str">
        <f t="shared" si="91"/>
        <v/>
      </c>
      <c r="K2703" s="246" t="str">
        <f t="shared" si="90"/>
        <v/>
      </c>
    </row>
    <row r="2704" spans="1:11" ht="30" customHeight="1" x14ac:dyDescent="0.2">
      <c r="A2704" s="242"/>
      <c r="F2704" s="285" t="str">
        <f t="shared" si="91"/>
        <v/>
      </c>
      <c r="K2704" s="246" t="str">
        <f t="shared" si="90"/>
        <v/>
      </c>
    </row>
    <row r="2705" spans="1:11" ht="30" customHeight="1" x14ac:dyDescent="0.2">
      <c r="A2705" s="242"/>
      <c r="F2705" s="285" t="str">
        <f t="shared" si="91"/>
        <v/>
      </c>
      <c r="K2705" s="246" t="str">
        <f t="shared" si="90"/>
        <v/>
      </c>
    </row>
    <row r="2706" spans="1:11" ht="30" customHeight="1" x14ac:dyDescent="0.2">
      <c r="A2706" s="242"/>
      <c r="F2706" s="285" t="str">
        <f t="shared" si="91"/>
        <v/>
      </c>
      <c r="K2706" s="246" t="str">
        <f t="shared" si="90"/>
        <v/>
      </c>
    </row>
    <row r="2707" spans="1:11" ht="30" customHeight="1" x14ac:dyDescent="0.2">
      <c r="A2707" s="242"/>
      <c r="F2707" s="285" t="str">
        <f t="shared" si="91"/>
        <v/>
      </c>
      <c r="K2707" s="246" t="str">
        <f t="shared" si="90"/>
        <v/>
      </c>
    </row>
    <row r="2708" spans="1:11" ht="30" customHeight="1" x14ac:dyDescent="0.2">
      <c r="A2708" s="242"/>
      <c r="F2708" s="285" t="str">
        <f t="shared" si="91"/>
        <v/>
      </c>
      <c r="K2708" s="246" t="str">
        <f t="shared" si="90"/>
        <v/>
      </c>
    </row>
    <row r="2709" spans="1:11" ht="30" customHeight="1" x14ac:dyDescent="0.2">
      <c r="A2709" s="242"/>
      <c r="F2709" s="285" t="str">
        <f t="shared" si="91"/>
        <v/>
      </c>
      <c r="K2709" s="246" t="str">
        <f t="shared" si="90"/>
        <v/>
      </c>
    </row>
    <row r="2710" spans="1:11" ht="30" customHeight="1" x14ac:dyDescent="0.2">
      <c r="A2710" s="242"/>
      <c r="F2710" s="285" t="str">
        <f t="shared" si="91"/>
        <v/>
      </c>
      <c r="K2710" s="246" t="str">
        <f t="shared" si="90"/>
        <v/>
      </c>
    </row>
    <row r="2711" spans="1:11" ht="30" customHeight="1" x14ac:dyDescent="0.2">
      <c r="A2711" s="242"/>
      <c r="F2711" s="285" t="str">
        <f t="shared" si="91"/>
        <v/>
      </c>
      <c r="K2711" s="246" t="str">
        <f t="shared" si="90"/>
        <v/>
      </c>
    </row>
    <row r="2712" spans="1:11" ht="30" customHeight="1" x14ac:dyDescent="0.2">
      <c r="A2712" s="242"/>
      <c r="F2712" s="285" t="str">
        <f t="shared" si="91"/>
        <v/>
      </c>
      <c r="K2712" s="246" t="str">
        <f t="shared" si="90"/>
        <v/>
      </c>
    </row>
    <row r="2713" spans="1:11" ht="30" customHeight="1" x14ac:dyDescent="0.2">
      <c r="A2713" s="242"/>
      <c r="F2713" s="285" t="str">
        <f t="shared" si="91"/>
        <v/>
      </c>
      <c r="K2713" s="246" t="str">
        <f t="shared" si="90"/>
        <v/>
      </c>
    </row>
    <row r="2714" spans="1:11" ht="30" customHeight="1" x14ac:dyDescent="0.2">
      <c r="A2714" s="242"/>
      <c r="F2714" s="285" t="str">
        <f t="shared" si="91"/>
        <v/>
      </c>
      <c r="K2714" s="246" t="str">
        <f t="shared" si="90"/>
        <v/>
      </c>
    </row>
    <row r="2715" spans="1:11" ht="30" customHeight="1" x14ac:dyDescent="0.2">
      <c r="A2715" s="242"/>
      <c r="F2715" s="285" t="str">
        <f t="shared" si="91"/>
        <v/>
      </c>
      <c r="K2715" s="246" t="str">
        <f t="shared" si="90"/>
        <v/>
      </c>
    </row>
    <row r="2716" spans="1:11" ht="30" customHeight="1" x14ac:dyDescent="0.2">
      <c r="A2716" s="242"/>
      <c r="F2716" s="285" t="str">
        <f t="shared" si="91"/>
        <v/>
      </c>
      <c r="K2716" s="246" t="str">
        <f t="shared" si="90"/>
        <v/>
      </c>
    </row>
    <row r="2717" spans="1:11" ht="30" customHeight="1" x14ac:dyDescent="0.2">
      <c r="A2717" s="242"/>
      <c r="F2717" s="285" t="str">
        <f t="shared" si="91"/>
        <v/>
      </c>
      <c r="K2717" s="246" t="str">
        <f t="shared" si="90"/>
        <v/>
      </c>
    </row>
    <row r="2718" spans="1:11" ht="30" customHeight="1" x14ac:dyDescent="0.2">
      <c r="A2718" s="242"/>
      <c r="F2718" s="285" t="str">
        <f t="shared" si="91"/>
        <v/>
      </c>
      <c r="K2718" s="246" t="str">
        <f t="shared" si="90"/>
        <v/>
      </c>
    </row>
    <row r="2719" spans="1:11" ht="30" customHeight="1" x14ac:dyDescent="0.2">
      <c r="A2719" s="242"/>
      <c r="F2719" s="285" t="str">
        <f t="shared" si="91"/>
        <v/>
      </c>
      <c r="K2719" s="246" t="str">
        <f t="shared" si="90"/>
        <v/>
      </c>
    </row>
    <row r="2720" spans="1:11" ht="30" customHeight="1" x14ac:dyDescent="0.2">
      <c r="A2720" s="242"/>
      <c r="F2720" s="285" t="str">
        <f t="shared" si="91"/>
        <v/>
      </c>
      <c r="K2720" s="246" t="str">
        <f t="shared" si="90"/>
        <v/>
      </c>
    </row>
    <row r="2721" spans="1:11" ht="30" customHeight="1" x14ac:dyDescent="0.2">
      <c r="A2721" s="242"/>
      <c r="F2721" s="285" t="str">
        <f t="shared" si="91"/>
        <v/>
      </c>
      <c r="K2721" s="246" t="str">
        <f t="shared" si="90"/>
        <v/>
      </c>
    </row>
    <row r="2722" spans="1:11" ht="30" customHeight="1" x14ac:dyDescent="0.2">
      <c r="A2722" s="242"/>
      <c r="F2722" s="285" t="str">
        <f t="shared" si="91"/>
        <v/>
      </c>
      <c r="K2722" s="246" t="str">
        <f t="shared" si="90"/>
        <v/>
      </c>
    </row>
    <row r="2723" spans="1:11" ht="30" customHeight="1" x14ac:dyDescent="0.2">
      <c r="A2723" s="242"/>
      <c r="F2723" s="285" t="str">
        <f t="shared" si="91"/>
        <v/>
      </c>
      <c r="K2723" s="246" t="str">
        <f t="shared" si="90"/>
        <v/>
      </c>
    </row>
    <row r="2724" spans="1:11" ht="30" customHeight="1" x14ac:dyDescent="0.2">
      <c r="A2724" s="242"/>
      <c r="F2724" s="285" t="str">
        <f t="shared" si="91"/>
        <v/>
      </c>
      <c r="K2724" s="246" t="str">
        <f t="shared" si="90"/>
        <v/>
      </c>
    </row>
    <row r="2725" spans="1:11" ht="30" customHeight="1" x14ac:dyDescent="0.2">
      <c r="A2725" s="242"/>
      <c r="F2725" s="285" t="str">
        <f t="shared" si="91"/>
        <v/>
      </c>
      <c r="K2725" s="246" t="str">
        <f t="shared" si="90"/>
        <v/>
      </c>
    </row>
    <row r="2726" spans="1:11" ht="30" customHeight="1" x14ac:dyDescent="0.2">
      <c r="A2726" s="242"/>
      <c r="F2726" s="285" t="str">
        <f t="shared" si="91"/>
        <v/>
      </c>
      <c r="K2726" s="246" t="str">
        <f t="shared" si="90"/>
        <v/>
      </c>
    </row>
    <row r="2727" spans="1:11" ht="30" customHeight="1" x14ac:dyDescent="0.2">
      <c r="A2727" s="242"/>
      <c r="F2727" s="285" t="str">
        <f t="shared" si="91"/>
        <v/>
      </c>
      <c r="K2727" s="246" t="str">
        <f t="shared" si="90"/>
        <v/>
      </c>
    </row>
    <row r="2728" spans="1:11" ht="30" customHeight="1" x14ac:dyDescent="0.2">
      <c r="A2728" s="242"/>
      <c r="F2728" s="285" t="str">
        <f t="shared" si="91"/>
        <v/>
      </c>
      <c r="K2728" s="246" t="str">
        <f t="shared" si="90"/>
        <v/>
      </c>
    </row>
    <row r="2729" spans="1:11" ht="30" customHeight="1" x14ac:dyDescent="0.2">
      <c r="A2729" s="242"/>
      <c r="F2729" s="285" t="str">
        <f t="shared" si="91"/>
        <v/>
      </c>
      <c r="K2729" s="246" t="str">
        <f t="shared" si="90"/>
        <v/>
      </c>
    </row>
    <row r="2730" spans="1:11" ht="30" customHeight="1" x14ac:dyDescent="0.2">
      <c r="A2730" s="242"/>
      <c r="F2730" s="285" t="str">
        <f t="shared" si="91"/>
        <v/>
      </c>
      <c r="K2730" s="246" t="str">
        <f t="shared" si="90"/>
        <v/>
      </c>
    </row>
    <row r="2731" spans="1:11" ht="30" customHeight="1" x14ac:dyDescent="0.2">
      <c r="A2731" s="242"/>
      <c r="F2731" s="285" t="str">
        <f t="shared" si="91"/>
        <v/>
      </c>
      <c r="K2731" s="246" t="str">
        <f t="shared" si="90"/>
        <v/>
      </c>
    </row>
    <row r="2732" spans="1:11" ht="30" customHeight="1" x14ac:dyDescent="0.2">
      <c r="A2732" s="242"/>
      <c r="F2732" s="285" t="str">
        <f t="shared" si="91"/>
        <v/>
      </c>
      <c r="K2732" s="246" t="str">
        <f t="shared" si="90"/>
        <v/>
      </c>
    </row>
    <row r="2733" spans="1:11" ht="30" customHeight="1" x14ac:dyDescent="0.2">
      <c r="A2733" s="242"/>
      <c r="F2733" s="285" t="str">
        <f t="shared" si="91"/>
        <v/>
      </c>
      <c r="K2733" s="246" t="str">
        <f t="shared" si="90"/>
        <v/>
      </c>
    </row>
    <row r="2734" spans="1:11" ht="30" customHeight="1" x14ac:dyDescent="0.2">
      <c r="A2734" s="242"/>
      <c r="F2734" s="285" t="str">
        <f t="shared" si="91"/>
        <v/>
      </c>
      <c r="K2734" s="246" t="str">
        <f t="shared" si="90"/>
        <v/>
      </c>
    </row>
    <row r="2735" spans="1:11" ht="30" customHeight="1" x14ac:dyDescent="0.2">
      <c r="A2735" s="242"/>
      <c r="F2735" s="285" t="str">
        <f t="shared" si="91"/>
        <v/>
      </c>
      <c r="K2735" s="246" t="str">
        <f t="shared" si="90"/>
        <v/>
      </c>
    </row>
    <row r="2736" spans="1:11" ht="30" customHeight="1" x14ac:dyDescent="0.2">
      <c r="A2736" s="242"/>
      <c r="F2736" s="285" t="str">
        <f t="shared" si="91"/>
        <v/>
      </c>
      <c r="K2736" s="246" t="str">
        <f t="shared" si="90"/>
        <v/>
      </c>
    </row>
    <row r="2737" spans="1:11" ht="30" customHeight="1" x14ac:dyDescent="0.2">
      <c r="A2737" s="242"/>
      <c r="F2737" s="285" t="str">
        <f t="shared" si="91"/>
        <v/>
      </c>
      <c r="K2737" s="246" t="str">
        <f t="shared" si="90"/>
        <v/>
      </c>
    </row>
    <row r="2738" spans="1:11" ht="30" customHeight="1" x14ac:dyDescent="0.2">
      <c r="A2738" s="242"/>
      <c r="F2738" s="285" t="str">
        <f t="shared" si="91"/>
        <v/>
      </c>
      <c r="K2738" s="246" t="str">
        <f t="shared" si="90"/>
        <v/>
      </c>
    </row>
    <row r="2739" spans="1:11" ht="30" customHeight="1" x14ac:dyDescent="0.2">
      <c r="A2739" s="242"/>
      <c r="F2739" s="285" t="str">
        <f t="shared" si="91"/>
        <v/>
      </c>
      <c r="K2739" s="246" t="str">
        <f t="shared" si="90"/>
        <v/>
      </c>
    </row>
    <row r="2740" spans="1:11" ht="30" customHeight="1" x14ac:dyDescent="0.2">
      <c r="A2740" s="242"/>
      <c r="F2740" s="285" t="str">
        <f t="shared" si="91"/>
        <v/>
      </c>
      <c r="K2740" s="246" t="str">
        <f t="shared" si="90"/>
        <v/>
      </c>
    </row>
    <row r="2741" spans="1:11" ht="30" customHeight="1" x14ac:dyDescent="0.2">
      <c r="A2741" s="242"/>
      <c r="F2741" s="285" t="str">
        <f t="shared" si="91"/>
        <v/>
      </c>
      <c r="K2741" s="246" t="str">
        <f t="shared" si="90"/>
        <v/>
      </c>
    </row>
    <row r="2742" spans="1:11" ht="30" customHeight="1" x14ac:dyDescent="0.2">
      <c r="A2742" s="242"/>
      <c r="F2742" s="285" t="str">
        <f t="shared" si="91"/>
        <v/>
      </c>
      <c r="K2742" s="246" t="str">
        <f t="shared" si="90"/>
        <v/>
      </c>
    </row>
    <row r="2743" spans="1:11" ht="30" customHeight="1" x14ac:dyDescent="0.2">
      <c r="A2743" s="242"/>
      <c r="F2743" s="285" t="str">
        <f t="shared" si="91"/>
        <v/>
      </c>
      <c r="K2743" s="246" t="str">
        <f t="shared" si="90"/>
        <v/>
      </c>
    </row>
    <row r="2744" spans="1:11" ht="30" customHeight="1" x14ac:dyDescent="0.2">
      <c r="A2744" s="242"/>
      <c r="F2744" s="285" t="str">
        <f t="shared" si="91"/>
        <v/>
      </c>
      <c r="K2744" s="246" t="str">
        <f t="shared" si="90"/>
        <v/>
      </c>
    </row>
    <row r="2745" spans="1:11" ht="30" customHeight="1" x14ac:dyDescent="0.2">
      <c r="A2745" s="242"/>
      <c r="F2745" s="285" t="str">
        <f t="shared" si="91"/>
        <v/>
      </c>
      <c r="K2745" s="246" t="str">
        <f t="shared" si="90"/>
        <v/>
      </c>
    </row>
    <row r="2746" spans="1:11" ht="30" customHeight="1" x14ac:dyDescent="0.2">
      <c r="A2746" s="242"/>
      <c r="F2746" s="285" t="str">
        <f t="shared" si="91"/>
        <v/>
      </c>
      <c r="K2746" s="246" t="str">
        <f t="shared" si="90"/>
        <v/>
      </c>
    </row>
    <row r="2747" spans="1:11" ht="30" customHeight="1" x14ac:dyDescent="0.2">
      <c r="A2747" s="242"/>
      <c r="F2747" s="285" t="str">
        <f t="shared" si="91"/>
        <v/>
      </c>
      <c r="K2747" s="246" t="str">
        <f t="shared" ref="K2747:K2810" si="92">IF(A2747="","",A2747)</f>
        <v/>
      </c>
    </row>
    <row r="2748" spans="1:11" ht="30" customHeight="1" x14ac:dyDescent="0.2">
      <c r="A2748" s="242"/>
      <c r="F2748" s="285" t="str">
        <f t="shared" si="91"/>
        <v/>
      </c>
      <c r="K2748" s="246" t="str">
        <f t="shared" si="92"/>
        <v/>
      </c>
    </row>
    <row r="2749" spans="1:11" ht="30" customHeight="1" x14ac:dyDescent="0.2">
      <c r="A2749" s="242"/>
      <c r="F2749" s="285" t="str">
        <f t="shared" si="91"/>
        <v/>
      </c>
      <c r="K2749" s="246" t="str">
        <f t="shared" si="92"/>
        <v/>
      </c>
    </row>
    <row r="2750" spans="1:11" ht="30" customHeight="1" x14ac:dyDescent="0.2">
      <c r="A2750" s="242"/>
      <c r="F2750" s="285" t="str">
        <f t="shared" si="91"/>
        <v/>
      </c>
      <c r="K2750" s="246" t="str">
        <f t="shared" si="92"/>
        <v/>
      </c>
    </row>
    <row r="2751" spans="1:11" ht="30" customHeight="1" x14ac:dyDescent="0.2">
      <c r="A2751" s="242"/>
      <c r="F2751" s="285" t="str">
        <f t="shared" si="91"/>
        <v/>
      </c>
      <c r="K2751" s="246" t="str">
        <f t="shared" si="92"/>
        <v/>
      </c>
    </row>
    <row r="2752" spans="1:11" ht="30" customHeight="1" x14ac:dyDescent="0.2">
      <c r="A2752" s="242"/>
      <c r="F2752" s="285" t="str">
        <f t="shared" si="91"/>
        <v/>
      </c>
      <c r="K2752" s="246" t="str">
        <f t="shared" si="92"/>
        <v/>
      </c>
    </row>
    <row r="2753" spans="1:11" ht="30" customHeight="1" x14ac:dyDescent="0.2">
      <c r="A2753" s="242"/>
      <c r="F2753" s="285" t="str">
        <f t="shared" si="91"/>
        <v/>
      </c>
      <c r="K2753" s="246" t="str">
        <f t="shared" si="92"/>
        <v/>
      </c>
    </row>
    <row r="2754" spans="1:11" ht="30" customHeight="1" x14ac:dyDescent="0.2">
      <c r="A2754" s="242"/>
      <c r="F2754" s="285" t="str">
        <f t="shared" si="91"/>
        <v/>
      </c>
      <c r="K2754" s="246" t="str">
        <f t="shared" si="92"/>
        <v/>
      </c>
    </row>
    <row r="2755" spans="1:11" ht="30" customHeight="1" x14ac:dyDescent="0.2">
      <c r="A2755" s="242"/>
      <c r="F2755" s="285" t="str">
        <f t="shared" si="91"/>
        <v/>
      </c>
      <c r="K2755" s="246" t="str">
        <f t="shared" si="92"/>
        <v/>
      </c>
    </row>
    <row r="2756" spans="1:11" ht="30" customHeight="1" x14ac:dyDescent="0.2">
      <c r="A2756" s="242"/>
      <c r="F2756" s="285" t="str">
        <f t="shared" si="91"/>
        <v/>
      </c>
      <c r="K2756" s="246" t="str">
        <f t="shared" si="92"/>
        <v/>
      </c>
    </row>
    <row r="2757" spans="1:11" ht="30" customHeight="1" x14ac:dyDescent="0.2">
      <c r="A2757" s="242"/>
      <c r="F2757" s="285" t="str">
        <f t="shared" ref="F2757:F2820" si="93">IF(A2757="","",A2757)</f>
        <v/>
      </c>
      <c r="K2757" s="246" t="str">
        <f t="shared" si="92"/>
        <v/>
      </c>
    </row>
    <row r="2758" spans="1:11" ht="30" customHeight="1" x14ac:dyDescent="0.2">
      <c r="A2758" s="242"/>
      <c r="F2758" s="285" t="str">
        <f t="shared" si="93"/>
        <v/>
      </c>
      <c r="K2758" s="246" t="str">
        <f t="shared" si="92"/>
        <v/>
      </c>
    </row>
    <row r="2759" spans="1:11" ht="30" customHeight="1" x14ac:dyDescent="0.2">
      <c r="A2759" s="242"/>
      <c r="F2759" s="285" t="str">
        <f t="shared" si="93"/>
        <v/>
      </c>
      <c r="K2759" s="246" t="str">
        <f t="shared" si="92"/>
        <v/>
      </c>
    </row>
    <row r="2760" spans="1:11" ht="30" customHeight="1" x14ac:dyDescent="0.2">
      <c r="A2760" s="242"/>
      <c r="F2760" s="285" t="str">
        <f t="shared" si="93"/>
        <v/>
      </c>
      <c r="K2760" s="246" t="str">
        <f t="shared" si="92"/>
        <v/>
      </c>
    </row>
    <row r="2761" spans="1:11" ht="30" customHeight="1" x14ac:dyDescent="0.2">
      <c r="A2761" s="242"/>
      <c r="F2761" s="285" t="str">
        <f t="shared" si="93"/>
        <v/>
      </c>
      <c r="K2761" s="246" t="str">
        <f t="shared" si="92"/>
        <v/>
      </c>
    </row>
    <row r="2762" spans="1:11" ht="30" customHeight="1" x14ac:dyDescent="0.2">
      <c r="A2762" s="242"/>
      <c r="F2762" s="285" t="str">
        <f t="shared" si="93"/>
        <v/>
      </c>
      <c r="K2762" s="246" t="str">
        <f t="shared" si="92"/>
        <v/>
      </c>
    </row>
    <row r="2763" spans="1:11" ht="30" customHeight="1" x14ac:dyDescent="0.2">
      <c r="A2763" s="242"/>
      <c r="F2763" s="285" t="str">
        <f t="shared" si="93"/>
        <v/>
      </c>
      <c r="K2763" s="246" t="str">
        <f t="shared" si="92"/>
        <v/>
      </c>
    </row>
    <row r="2764" spans="1:11" ht="30" customHeight="1" x14ac:dyDescent="0.2">
      <c r="A2764" s="242"/>
      <c r="F2764" s="285" t="str">
        <f t="shared" si="93"/>
        <v/>
      </c>
      <c r="K2764" s="246" t="str">
        <f t="shared" si="92"/>
        <v/>
      </c>
    </row>
    <row r="2765" spans="1:11" ht="30" customHeight="1" x14ac:dyDescent="0.2">
      <c r="A2765" s="242"/>
      <c r="F2765" s="285" t="str">
        <f t="shared" si="93"/>
        <v/>
      </c>
      <c r="K2765" s="246" t="str">
        <f t="shared" si="92"/>
        <v/>
      </c>
    </row>
    <row r="2766" spans="1:11" ht="30" customHeight="1" x14ac:dyDescent="0.2">
      <c r="A2766" s="242"/>
      <c r="F2766" s="285" t="str">
        <f t="shared" si="93"/>
        <v/>
      </c>
      <c r="K2766" s="246" t="str">
        <f t="shared" si="92"/>
        <v/>
      </c>
    </row>
    <row r="2767" spans="1:11" ht="30" customHeight="1" x14ac:dyDescent="0.2">
      <c r="A2767" s="242"/>
      <c r="F2767" s="285" t="str">
        <f t="shared" si="93"/>
        <v/>
      </c>
      <c r="K2767" s="246" t="str">
        <f t="shared" si="92"/>
        <v/>
      </c>
    </row>
    <row r="2768" spans="1:11" ht="30" customHeight="1" x14ac:dyDescent="0.2">
      <c r="A2768" s="242"/>
      <c r="F2768" s="285" t="str">
        <f t="shared" si="93"/>
        <v/>
      </c>
      <c r="K2768" s="246" t="str">
        <f t="shared" si="92"/>
        <v/>
      </c>
    </row>
    <row r="2769" spans="1:11" ht="30" customHeight="1" x14ac:dyDescent="0.2">
      <c r="A2769" s="242"/>
      <c r="F2769" s="285" t="str">
        <f t="shared" si="93"/>
        <v/>
      </c>
      <c r="K2769" s="246" t="str">
        <f t="shared" si="92"/>
        <v/>
      </c>
    </row>
    <row r="2770" spans="1:11" ht="30" customHeight="1" x14ac:dyDescent="0.2">
      <c r="A2770" s="242"/>
      <c r="F2770" s="285" t="str">
        <f t="shared" si="93"/>
        <v/>
      </c>
      <c r="K2770" s="246" t="str">
        <f t="shared" si="92"/>
        <v/>
      </c>
    </row>
    <row r="2771" spans="1:11" ht="30" customHeight="1" x14ac:dyDescent="0.2">
      <c r="A2771" s="242"/>
      <c r="F2771" s="285" t="str">
        <f t="shared" si="93"/>
        <v/>
      </c>
      <c r="K2771" s="246" t="str">
        <f t="shared" si="92"/>
        <v/>
      </c>
    </row>
    <row r="2772" spans="1:11" ht="30" customHeight="1" x14ac:dyDescent="0.2">
      <c r="A2772" s="242"/>
      <c r="F2772" s="285" t="str">
        <f t="shared" si="93"/>
        <v/>
      </c>
      <c r="K2772" s="246" t="str">
        <f t="shared" si="92"/>
        <v/>
      </c>
    </row>
    <row r="2773" spans="1:11" ht="30" customHeight="1" x14ac:dyDescent="0.2">
      <c r="A2773" s="242"/>
      <c r="F2773" s="285" t="str">
        <f t="shared" si="93"/>
        <v/>
      </c>
      <c r="K2773" s="246" t="str">
        <f t="shared" si="92"/>
        <v/>
      </c>
    </row>
    <row r="2774" spans="1:11" ht="30" customHeight="1" x14ac:dyDescent="0.2">
      <c r="A2774" s="242"/>
      <c r="F2774" s="285" t="str">
        <f t="shared" si="93"/>
        <v/>
      </c>
      <c r="K2774" s="246" t="str">
        <f t="shared" si="92"/>
        <v/>
      </c>
    </row>
    <row r="2775" spans="1:11" ht="30" customHeight="1" x14ac:dyDescent="0.2">
      <c r="A2775" s="242"/>
      <c r="F2775" s="285" t="str">
        <f t="shared" si="93"/>
        <v/>
      </c>
      <c r="K2775" s="246" t="str">
        <f t="shared" si="92"/>
        <v/>
      </c>
    </row>
    <row r="2776" spans="1:11" ht="30" customHeight="1" x14ac:dyDescent="0.2">
      <c r="A2776" s="242"/>
      <c r="F2776" s="285" t="str">
        <f t="shared" si="93"/>
        <v/>
      </c>
      <c r="K2776" s="246" t="str">
        <f t="shared" si="92"/>
        <v/>
      </c>
    </row>
    <row r="2777" spans="1:11" ht="30" customHeight="1" x14ac:dyDescent="0.2">
      <c r="A2777" s="242"/>
      <c r="F2777" s="285" t="str">
        <f t="shared" si="93"/>
        <v/>
      </c>
      <c r="K2777" s="246" t="str">
        <f t="shared" si="92"/>
        <v/>
      </c>
    </row>
    <row r="2778" spans="1:11" ht="30" customHeight="1" x14ac:dyDescent="0.2">
      <c r="A2778" s="242"/>
      <c r="F2778" s="285" t="str">
        <f t="shared" si="93"/>
        <v/>
      </c>
      <c r="K2778" s="246" t="str">
        <f t="shared" si="92"/>
        <v/>
      </c>
    </row>
    <row r="2779" spans="1:11" ht="30" customHeight="1" x14ac:dyDescent="0.2">
      <c r="A2779" s="242"/>
      <c r="F2779" s="285" t="str">
        <f t="shared" si="93"/>
        <v/>
      </c>
      <c r="K2779" s="246" t="str">
        <f t="shared" si="92"/>
        <v/>
      </c>
    </row>
    <row r="2780" spans="1:11" ht="30" customHeight="1" x14ac:dyDescent="0.2">
      <c r="A2780" s="242"/>
      <c r="F2780" s="285" t="str">
        <f t="shared" si="93"/>
        <v/>
      </c>
      <c r="K2780" s="246" t="str">
        <f t="shared" si="92"/>
        <v/>
      </c>
    </row>
    <row r="2781" spans="1:11" ht="30" customHeight="1" x14ac:dyDescent="0.2">
      <c r="A2781" s="242"/>
      <c r="F2781" s="285" t="str">
        <f t="shared" si="93"/>
        <v/>
      </c>
      <c r="K2781" s="246" t="str">
        <f t="shared" si="92"/>
        <v/>
      </c>
    </row>
    <row r="2782" spans="1:11" ht="30" customHeight="1" x14ac:dyDescent="0.2">
      <c r="A2782" s="242"/>
      <c r="F2782" s="285" t="str">
        <f t="shared" si="93"/>
        <v/>
      </c>
      <c r="K2782" s="246" t="str">
        <f t="shared" si="92"/>
        <v/>
      </c>
    </row>
    <row r="2783" spans="1:11" ht="30" customHeight="1" x14ac:dyDescent="0.2">
      <c r="A2783" s="242"/>
      <c r="F2783" s="285" t="str">
        <f t="shared" si="93"/>
        <v/>
      </c>
      <c r="K2783" s="246" t="str">
        <f t="shared" si="92"/>
        <v/>
      </c>
    </row>
    <row r="2784" spans="1:11" ht="30" customHeight="1" x14ac:dyDescent="0.2">
      <c r="A2784" s="242"/>
      <c r="F2784" s="285" t="str">
        <f t="shared" si="93"/>
        <v/>
      </c>
      <c r="K2784" s="246" t="str">
        <f t="shared" si="92"/>
        <v/>
      </c>
    </row>
    <row r="2785" spans="1:11" ht="30" customHeight="1" x14ac:dyDescent="0.2">
      <c r="A2785" s="242"/>
      <c r="F2785" s="285" t="str">
        <f t="shared" si="93"/>
        <v/>
      </c>
      <c r="K2785" s="246" t="str">
        <f t="shared" si="92"/>
        <v/>
      </c>
    </row>
    <row r="2786" spans="1:11" ht="30" customHeight="1" x14ac:dyDescent="0.2">
      <c r="A2786" s="242"/>
      <c r="F2786" s="285" t="str">
        <f t="shared" si="93"/>
        <v/>
      </c>
      <c r="K2786" s="246" t="str">
        <f t="shared" si="92"/>
        <v/>
      </c>
    </row>
    <row r="2787" spans="1:11" ht="30" customHeight="1" x14ac:dyDescent="0.2">
      <c r="A2787" s="242"/>
      <c r="F2787" s="285" t="str">
        <f t="shared" si="93"/>
        <v/>
      </c>
      <c r="K2787" s="246" t="str">
        <f t="shared" si="92"/>
        <v/>
      </c>
    </row>
    <row r="2788" spans="1:11" ht="30" customHeight="1" x14ac:dyDescent="0.2">
      <c r="A2788" s="242"/>
      <c r="F2788" s="285" t="str">
        <f t="shared" si="93"/>
        <v/>
      </c>
      <c r="K2788" s="246" t="str">
        <f t="shared" si="92"/>
        <v/>
      </c>
    </row>
    <row r="2789" spans="1:11" ht="30" customHeight="1" x14ac:dyDescent="0.2">
      <c r="A2789" s="242"/>
      <c r="F2789" s="285" t="str">
        <f t="shared" si="93"/>
        <v/>
      </c>
      <c r="K2789" s="246" t="str">
        <f t="shared" si="92"/>
        <v/>
      </c>
    </row>
    <row r="2790" spans="1:11" ht="30" customHeight="1" x14ac:dyDescent="0.2">
      <c r="A2790" s="242"/>
      <c r="F2790" s="285" t="str">
        <f t="shared" si="93"/>
        <v/>
      </c>
      <c r="K2790" s="246" t="str">
        <f t="shared" si="92"/>
        <v/>
      </c>
    </row>
    <row r="2791" spans="1:11" ht="30" customHeight="1" x14ac:dyDescent="0.2">
      <c r="A2791" s="242"/>
      <c r="F2791" s="285" t="str">
        <f t="shared" si="93"/>
        <v/>
      </c>
      <c r="K2791" s="246" t="str">
        <f t="shared" si="92"/>
        <v/>
      </c>
    </row>
    <row r="2792" spans="1:11" ht="30" customHeight="1" x14ac:dyDescent="0.2">
      <c r="A2792" s="242"/>
      <c r="F2792" s="285" t="str">
        <f t="shared" si="93"/>
        <v/>
      </c>
      <c r="K2792" s="246" t="str">
        <f t="shared" si="92"/>
        <v/>
      </c>
    </row>
    <row r="2793" spans="1:11" ht="30" customHeight="1" x14ac:dyDescent="0.2">
      <c r="A2793" s="242"/>
      <c r="F2793" s="285" t="str">
        <f t="shared" si="93"/>
        <v/>
      </c>
      <c r="K2793" s="246" t="str">
        <f t="shared" si="92"/>
        <v/>
      </c>
    </row>
    <row r="2794" spans="1:11" ht="30" customHeight="1" x14ac:dyDescent="0.2">
      <c r="A2794" s="242"/>
      <c r="F2794" s="285" t="str">
        <f t="shared" si="93"/>
        <v/>
      </c>
      <c r="K2794" s="246" t="str">
        <f t="shared" si="92"/>
        <v/>
      </c>
    </row>
    <row r="2795" spans="1:11" ht="30" customHeight="1" x14ac:dyDescent="0.2">
      <c r="A2795" s="242"/>
      <c r="F2795" s="285" t="str">
        <f t="shared" si="93"/>
        <v/>
      </c>
      <c r="K2795" s="246" t="str">
        <f t="shared" si="92"/>
        <v/>
      </c>
    </row>
    <row r="2796" spans="1:11" ht="30" customHeight="1" x14ac:dyDescent="0.2">
      <c r="A2796" s="242"/>
      <c r="F2796" s="285" t="str">
        <f t="shared" si="93"/>
        <v/>
      </c>
      <c r="K2796" s="246" t="str">
        <f t="shared" si="92"/>
        <v/>
      </c>
    </row>
    <row r="2797" spans="1:11" ht="30" customHeight="1" x14ac:dyDescent="0.2">
      <c r="A2797" s="242"/>
      <c r="F2797" s="285" t="str">
        <f t="shared" si="93"/>
        <v/>
      </c>
      <c r="K2797" s="246" t="str">
        <f t="shared" si="92"/>
        <v/>
      </c>
    </row>
    <row r="2798" spans="1:11" ht="30" customHeight="1" x14ac:dyDescent="0.2">
      <c r="A2798" s="242"/>
      <c r="F2798" s="285" t="str">
        <f t="shared" si="93"/>
        <v/>
      </c>
      <c r="K2798" s="246" t="str">
        <f t="shared" si="92"/>
        <v/>
      </c>
    </row>
    <row r="2799" spans="1:11" ht="30" customHeight="1" x14ac:dyDescent="0.2">
      <c r="A2799" s="242"/>
      <c r="F2799" s="285" t="str">
        <f t="shared" si="93"/>
        <v/>
      </c>
      <c r="K2799" s="246" t="str">
        <f t="shared" si="92"/>
        <v/>
      </c>
    </row>
    <row r="2800" spans="1:11" ht="30" customHeight="1" x14ac:dyDescent="0.2">
      <c r="A2800" s="242"/>
      <c r="F2800" s="285" t="str">
        <f t="shared" si="93"/>
        <v/>
      </c>
      <c r="K2800" s="246" t="str">
        <f t="shared" si="92"/>
        <v/>
      </c>
    </row>
    <row r="2801" spans="1:11" ht="30" customHeight="1" x14ac:dyDescent="0.2">
      <c r="A2801" s="242"/>
      <c r="F2801" s="285" t="str">
        <f t="shared" si="93"/>
        <v/>
      </c>
      <c r="K2801" s="246" t="str">
        <f t="shared" si="92"/>
        <v/>
      </c>
    </row>
    <row r="2802" spans="1:11" ht="30" customHeight="1" x14ac:dyDescent="0.2">
      <c r="A2802" s="242"/>
      <c r="F2802" s="285" t="str">
        <f t="shared" si="93"/>
        <v/>
      </c>
      <c r="K2802" s="246" t="str">
        <f t="shared" si="92"/>
        <v/>
      </c>
    </row>
    <row r="2803" spans="1:11" ht="30" customHeight="1" x14ac:dyDescent="0.2">
      <c r="A2803" s="242"/>
      <c r="F2803" s="285" t="str">
        <f t="shared" si="93"/>
        <v/>
      </c>
      <c r="K2803" s="246" t="str">
        <f t="shared" si="92"/>
        <v/>
      </c>
    </row>
    <row r="2804" spans="1:11" ht="30" customHeight="1" x14ac:dyDescent="0.2">
      <c r="A2804" s="242"/>
      <c r="F2804" s="285" t="str">
        <f t="shared" si="93"/>
        <v/>
      </c>
      <c r="K2804" s="246" t="str">
        <f t="shared" si="92"/>
        <v/>
      </c>
    </row>
    <row r="2805" spans="1:11" ht="30" customHeight="1" x14ac:dyDescent="0.2">
      <c r="A2805" s="242"/>
      <c r="F2805" s="285" t="str">
        <f t="shared" si="93"/>
        <v/>
      </c>
      <c r="K2805" s="246" t="str">
        <f t="shared" si="92"/>
        <v/>
      </c>
    </row>
    <row r="2806" spans="1:11" ht="30" customHeight="1" x14ac:dyDescent="0.2">
      <c r="A2806" s="242"/>
      <c r="F2806" s="285" t="str">
        <f t="shared" si="93"/>
        <v/>
      </c>
      <c r="K2806" s="246" t="str">
        <f t="shared" si="92"/>
        <v/>
      </c>
    </row>
    <row r="2807" spans="1:11" ht="30" customHeight="1" x14ac:dyDescent="0.2">
      <c r="A2807" s="242"/>
      <c r="F2807" s="285" t="str">
        <f t="shared" si="93"/>
        <v/>
      </c>
      <c r="K2807" s="246" t="str">
        <f t="shared" si="92"/>
        <v/>
      </c>
    </row>
    <row r="2808" spans="1:11" ht="30" customHeight="1" x14ac:dyDescent="0.2">
      <c r="A2808" s="242"/>
      <c r="F2808" s="285" t="str">
        <f t="shared" si="93"/>
        <v/>
      </c>
      <c r="K2808" s="246" t="str">
        <f t="shared" si="92"/>
        <v/>
      </c>
    </row>
    <row r="2809" spans="1:11" ht="30" customHeight="1" x14ac:dyDescent="0.2">
      <c r="A2809" s="242"/>
      <c r="F2809" s="285" t="str">
        <f t="shared" si="93"/>
        <v/>
      </c>
      <c r="K2809" s="246" t="str">
        <f t="shared" si="92"/>
        <v/>
      </c>
    </row>
    <row r="2810" spans="1:11" ht="30" customHeight="1" x14ac:dyDescent="0.2">
      <c r="A2810" s="242"/>
      <c r="F2810" s="285" t="str">
        <f t="shared" si="93"/>
        <v/>
      </c>
      <c r="K2810" s="246" t="str">
        <f t="shared" si="92"/>
        <v/>
      </c>
    </row>
    <row r="2811" spans="1:11" ht="30" customHeight="1" x14ac:dyDescent="0.2">
      <c r="A2811" s="242"/>
      <c r="F2811" s="285" t="str">
        <f t="shared" si="93"/>
        <v/>
      </c>
      <c r="K2811" s="246" t="str">
        <f t="shared" ref="K2811:K2874" si="94">IF(A2811="","",A2811)</f>
        <v/>
      </c>
    </row>
    <row r="2812" spans="1:11" ht="30" customHeight="1" x14ac:dyDescent="0.2">
      <c r="A2812" s="242"/>
      <c r="F2812" s="285" t="str">
        <f t="shared" si="93"/>
        <v/>
      </c>
      <c r="K2812" s="246" t="str">
        <f t="shared" si="94"/>
        <v/>
      </c>
    </row>
    <row r="2813" spans="1:11" ht="30" customHeight="1" x14ac:dyDescent="0.2">
      <c r="A2813" s="242"/>
      <c r="F2813" s="285" t="str">
        <f t="shared" si="93"/>
        <v/>
      </c>
      <c r="K2813" s="246" t="str">
        <f t="shared" si="94"/>
        <v/>
      </c>
    </row>
    <row r="2814" spans="1:11" ht="30" customHeight="1" x14ac:dyDescent="0.2">
      <c r="A2814" s="242"/>
      <c r="F2814" s="285" t="str">
        <f t="shared" si="93"/>
        <v/>
      </c>
      <c r="K2814" s="246" t="str">
        <f t="shared" si="94"/>
        <v/>
      </c>
    </row>
    <row r="2815" spans="1:11" ht="30" customHeight="1" x14ac:dyDescent="0.2">
      <c r="A2815" s="242"/>
      <c r="F2815" s="285" t="str">
        <f t="shared" si="93"/>
        <v/>
      </c>
      <c r="K2815" s="246" t="str">
        <f t="shared" si="94"/>
        <v/>
      </c>
    </row>
    <row r="2816" spans="1:11" ht="30" customHeight="1" x14ac:dyDescent="0.2">
      <c r="A2816" s="242"/>
      <c r="F2816" s="285" t="str">
        <f t="shared" si="93"/>
        <v/>
      </c>
      <c r="K2816" s="246" t="str">
        <f t="shared" si="94"/>
        <v/>
      </c>
    </row>
    <row r="2817" spans="1:11" ht="30" customHeight="1" x14ac:dyDescent="0.2">
      <c r="A2817" s="242"/>
      <c r="F2817" s="285" t="str">
        <f t="shared" si="93"/>
        <v/>
      </c>
      <c r="K2817" s="246" t="str">
        <f t="shared" si="94"/>
        <v/>
      </c>
    </row>
    <row r="2818" spans="1:11" ht="30" customHeight="1" x14ac:dyDescent="0.2">
      <c r="A2818" s="242"/>
      <c r="F2818" s="285" t="str">
        <f t="shared" si="93"/>
        <v/>
      </c>
      <c r="K2818" s="246" t="str">
        <f t="shared" si="94"/>
        <v/>
      </c>
    </row>
    <row r="2819" spans="1:11" ht="30" customHeight="1" x14ac:dyDescent="0.2">
      <c r="A2819" s="242"/>
      <c r="F2819" s="285" t="str">
        <f t="shared" si="93"/>
        <v/>
      </c>
      <c r="K2819" s="246" t="str">
        <f t="shared" si="94"/>
        <v/>
      </c>
    </row>
    <row r="2820" spans="1:11" ht="30" customHeight="1" x14ac:dyDescent="0.2">
      <c r="A2820" s="242"/>
      <c r="F2820" s="285" t="str">
        <f t="shared" si="93"/>
        <v/>
      </c>
      <c r="K2820" s="246" t="str">
        <f t="shared" si="94"/>
        <v/>
      </c>
    </row>
    <row r="2821" spans="1:11" ht="30" customHeight="1" x14ac:dyDescent="0.2">
      <c r="A2821" s="242"/>
      <c r="F2821" s="285" t="str">
        <f t="shared" ref="F2821:F2884" si="95">IF(A2821="","",A2821)</f>
        <v/>
      </c>
      <c r="K2821" s="246" t="str">
        <f t="shared" si="94"/>
        <v/>
      </c>
    </row>
    <row r="2822" spans="1:11" ht="30" customHeight="1" x14ac:dyDescent="0.2">
      <c r="A2822" s="242"/>
      <c r="F2822" s="285" t="str">
        <f t="shared" si="95"/>
        <v/>
      </c>
      <c r="K2822" s="246" t="str">
        <f t="shared" si="94"/>
        <v/>
      </c>
    </row>
    <row r="2823" spans="1:11" ht="30" customHeight="1" x14ac:dyDescent="0.2">
      <c r="A2823" s="242"/>
      <c r="F2823" s="285" t="str">
        <f t="shared" si="95"/>
        <v/>
      </c>
      <c r="K2823" s="246" t="str">
        <f t="shared" si="94"/>
        <v/>
      </c>
    </row>
    <row r="2824" spans="1:11" ht="30" customHeight="1" x14ac:dyDescent="0.2">
      <c r="A2824" s="242"/>
      <c r="F2824" s="285" t="str">
        <f t="shared" si="95"/>
        <v/>
      </c>
      <c r="K2824" s="246" t="str">
        <f t="shared" si="94"/>
        <v/>
      </c>
    </row>
    <row r="2825" spans="1:11" ht="30" customHeight="1" x14ac:dyDescent="0.2">
      <c r="A2825" s="242"/>
      <c r="F2825" s="285" t="str">
        <f t="shared" si="95"/>
        <v/>
      </c>
      <c r="K2825" s="246" t="str">
        <f t="shared" si="94"/>
        <v/>
      </c>
    </row>
    <row r="2826" spans="1:11" ht="30" customHeight="1" x14ac:dyDescent="0.2">
      <c r="A2826" s="242"/>
      <c r="F2826" s="285" t="str">
        <f t="shared" si="95"/>
        <v/>
      </c>
      <c r="K2826" s="246" t="str">
        <f t="shared" si="94"/>
        <v/>
      </c>
    </row>
    <row r="2827" spans="1:11" ht="30" customHeight="1" x14ac:dyDescent="0.2">
      <c r="A2827" s="242"/>
      <c r="F2827" s="285" t="str">
        <f t="shared" si="95"/>
        <v/>
      </c>
      <c r="K2827" s="246" t="str">
        <f t="shared" si="94"/>
        <v/>
      </c>
    </row>
    <row r="2828" spans="1:11" ht="30" customHeight="1" x14ac:dyDescent="0.2">
      <c r="A2828" s="242"/>
      <c r="F2828" s="285" t="str">
        <f t="shared" si="95"/>
        <v/>
      </c>
      <c r="K2828" s="246" t="str">
        <f t="shared" si="94"/>
        <v/>
      </c>
    </row>
    <row r="2829" spans="1:11" ht="30" customHeight="1" x14ac:dyDescent="0.2">
      <c r="A2829" s="242"/>
      <c r="F2829" s="285" t="str">
        <f t="shared" si="95"/>
        <v/>
      </c>
      <c r="K2829" s="246" t="str">
        <f t="shared" si="94"/>
        <v/>
      </c>
    </row>
    <row r="2830" spans="1:11" ht="30" customHeight="1" x14ac:dyDescent="0.2">
      <c r="A2830" s="242"/>
      <c r="F2830" s="285" t="str">
        <f t="shared" si="95"/>
        <v/>
      </c>
      <c r="K2830" s="246" t="str">
        <f t="shared" si="94"/>
        <v/>
      </c>
    </row>
    <row r="2831" spans="1:11" ht="30" customHeight="1" x14ac:dyDescent="0.2">
      <c r="A2831" s="242"/>
      <c r="F2831" s="285" t="str">
        <f t="shared" si="95"/>
        <v/>
      </c>
      <c r="K2831" s="246" t="str">
        <f t="shared" si="94"/>
        <v/>
      </c>
    </row>
    <row r="2832" spans="1:11" ht="30" customHeight="1" x14ac:dyDescent="0.2">
      <c r="A2832" s="242"/>
      <c r="F2832" s="285" t="str">
        <f t="shared" si="95"/>
        <v/>
      </c>
      <c r="K2832" s="246" t="str">
        <f t="shared" si="94"/>
        <v/>
      </c>
    </row>
    <row r="2833" spans="1:11" ht="30" customHeight="1" x14ac:dyDescent="0.2">
      <c r="A2833" s="242"/>
      <c r="F2833" s="285" t="str">
        <f t="shared" si="95"/>
        <v/>
      </c>
      <c r="K2833" s="246" t="str">
        <f t="shared" si="94"/>
        <v/>
      </c>
    </row>
    <row r="2834" spans="1:11" ht="30" customHeight="1" x14ac:dyDescent="0.2">
      <c r="A2834" s="242"/>
      <c r="F2834" s="285" t="str">
        <f t="shared" si="95"/>
        <v/>
      </c>
      <c r="K2834" s="246" t="str">
        <f t="shared" si="94"/>
        <v/>
      </c>
    </row>
    <row r="2835" spans="1:11" ht="30" customHeight="1" x14ac:dyDescent="0.2">
      <c r="A2835" s="242"/>
      <c r="F2835" s="285" t="str">
        <f t="shared" si="95"/>
        <v/>
      </c>
      <c r="K2835" s="246" t="str">
        <f t="shared" si="94"/>
        <v/>
      </c>
    </row>
    <row r="2836" spans="1:11" ht="30" customHeight="1" x14ac:dyDescent="0.2">
      <c r="A2836" s="242"/>
      <c r="F2836" s="285" t="str">
        <f t="shared" si="95"/>
        <v/>
      </c>
      <c r="K2836" s="246" t="str">
        <f t="shared" si="94"/>
        <v/>
      </c>
    </row>
    <row r="2837" spans="1:11" ht="30" customHeight="1" x14ac:dyDescent="0.2">
      <c r="A2837" s="242"/>
      <c r="F2837" s="285" t="str">
        <f t="shared" si="95"/>
        <v/>
      </c>
      <c r="K2837" s="246" t="str">
        <f t="shared" si="94"/>
        <v/>
      </c>
    </row>
    <row r="2838" spans="1:11" ht="30" customHeight="1" x14ac:dyDescent="0.2">
      <c r="A2838" s="242"/>
      <c r="F2838" s="285" t="str">
        <f t="shared" si="95"/>
        <v/>
      </c>
      <c r="K2838" s="246" t="str">
        <f t="shared" si="94"/>
        <v/>
      </c>
    </row>
    <row r="2839" spans="1:11" ht="30" customHeight="1" x14ac:dyDescent="0.2">
      <c r="A2839" s="242"/>
      <c r="F2839" s="285" t="str">
        <f t="shared" si="95"/>
        <v/>
      </c>
      <c r="K2839" s="246" t="str">
        <f t="shared" si="94"/>
        <v/>
      </c>
    </row>
    <row r="2840" spans="1:11" ht="30" customHeight="1" x14ac:dyDescent="0.2">
      <c r="A2840" s="242"/>
      <c r="F2840" s="285" t="str">
        <f t="shared" si="95"/>
        <v/>
      </c>
      <c r="K2840" s="246" t="str">
        <f t="shared" si="94"/>
        <v/>
      </c>
    </row>
    <row r="2841" spans="1:11" ht="30" customHeight="1" x14ac:dyDescent="0.2">
      <c r="A2841" s="242"/>
      <c r="F2841" s="285" t="str">
        <f t="shared" si="95"/>
        <v/>
      </c>
      <c r="K2841" s="246" t="str">
        <f t="shared" si="94"/>
        <v/>
      </c>
    </row>
    <row r="2842" spans="1:11" ht="30" customHeight="1" x14ac:dyDescent="0.2">
      <c r="A2842" s="242"/>
      <c r="F2842" s="285" t="str">
        <f t="shared" si="95"/>
        <v/>
      </c>
      <c r="K2842" s="246" t="str">
        <f t="shared" si="94"/>
        <v/>
      </c>
    </row>
    <row r="2843" spans="1:11" ht="30" customHeight="1" x14ac:dyDescent="0.2">
      <c r="A2843" s="242"/>
      <c r="F2843" s="285" t="str">
        <f t="shared" si="95"/>
        <v/>
      </c>
      <c r="K2843" s="246" t="str">
        <f t="shared" si="94"/>
        <v/>
      </c>
    </row>
    <row r="2844" spans="1:11" ht="30" customHeight="1" x14ac:dyDescent="0.2">
      <c r="A2844" s="242"/>
      <c r="F2844" s="285" t="str">
        <f t="shared" si="95"/>
        <v/>
      </c>
      <c r="K2844" s="246" t="str">
        <f t="shared" si="94"/>
        <v/>
      </c>
    </row>
    <row r="2845" spans="1:11" ht="30" customHeight="1" x14ac:dyDescent="0.2">
      <c r="A2845" s="242"/>
      <c r="F2845" s="285" t="str">
        <f t="shared" si="95"/>
        <v/>
      </c>
      <c r="K2845" s="246" t="str">
        <f t="shared" si="94"/>
        <v/>
      </c>
    </row>
    <row r="2846" spans="1:11" ht="30" customHeight="1" x14ac:dyDescent="0.2">
      <c r="A2846" s="242"/>
      <c r="F2846" s="285" t="str">
        <f t="shared" si="95"/>
        <v/>
      </c>
      <c r="K2846" s="246" t="str">
        <f t="shared" si="94"/>
        <v/>
      </c>
    </row>
    <row r="2847" spans="1:11" ht="30" customHeight="1" x14ac:dyDescent="0.2">
      <c r="A2847" s="242"/>
      <c r="F2847" s="285" t="str">
        <f t="shared" si="95"/>
        <v/>
      </c>
      <c r="K2847" s="246" t="str">
        <f t="shared" si="94"/>
        <v/>
      </c>
    </row>
    <row r="2848" spans="1:11" ht="30" customHeight="1" x14ac:dyDescent="0.2">
      <c r="A2848" s="242"/>
      <c r="F2848" s="285" t="str">
        <f t="shared" si="95"/>
        <v/>
      </c>
      <c r="K2848" s="246" t="str">
        <f t="shared" si="94"/>
        <v/>
      </c>
    </row>
    <row r="2849" spans="1:11" ht="30" customHeight="1" x14ac:dyDescent="0.2">
      <c r="A2849" s="242"/>
      <c r="F2849" s="285" t="str">
        <f t="shared" si="95"/>
        <v/>
      </c>
      <c r="K2849" s="246" t="str">
        <f t="shared" si="94"/>
        <v/>
      </c>
    </row>
    <row r="2850" spans="1:11" ht="30" customHeight="1" x14ac:dyDescent="0.2">
      <c r="A2850" s="242"/>
      <c r="F2850" s="285" t="str">
        <f t="shared" si="95"/>
        <v/>
      </c>
      <c r="K2850" s="246" t="str">
        <f t="shared" si="94"/>
        <v/>
      </c>
    </row>
    <row r="2851" spans="1:11" ht="30" customHeight="1" x14ac:dyDescent="0.2">
      <c r="A2851" s="242"/>
      <c r="F2851" s="285" t="str">
        <f t="shared" si="95"/>
        <v/>
      </c>
      <c r="K2851" s="246" t="str">
        <f t="shared" si="94"/>
        <v/>
      </c>
    </row>
    <row r="2852" spans="1:11" ht="30" customHeight="1" x14ac:dyDescent="0.2">
      <c r="A2852" s="242"/>
      <c r="F2852" s="285" t="str">
        <f t="shared" si="95"/>
        <v/>
      </c>
      <c r="K2852" s="246" t="str">
        <f t="shared" si="94"/>
        <v/>
      </c>
    </row>
    <row r="2853" spans="1:11" ht="30" customHeight="1" x14ac:dyDescent="0.2">
      <c r="A2853" s="242"/>
      <c r="F2853" s="285" t="str">
        <f t="shared" si="95"/>
        <v/>
      </c>
      <c r="K2853" s="246" t="str">
        <f t="shared" si="94"/>
        <v/>
      </c>
    </row>
    <row r="2854" spans="1:11" ht="30" customHeight="1" x14ac:dyDescent="0.2">
      <c r="A2854" s="242"/>
      <c r="F2854" s="285" t="str">
        <f t="shared" si="95"/>
        <v/>
      </c>
      <c r="K2854" s="246" t="str">
        <f t="shared" si="94"/>
        <v/>
      </c>
    </row>
    <row r="2855" spans="1:11" ht="30" customHeight="1" x14ac:dyDescent="0.2">
      <c r="A2855" s="242"/>
      <c r="F2855" s="285" t="str">
        <f t="shared" si="95"/>
        <v/>
      </c>
      <c r="K2855" s="246" t="str">
        <f t="shared" si="94"/>
        <v/>
      </c>
    </row>
    <row r="2856" spans="1:11" ht="30" customHeight="1" x14ac:dyDescent="0.2">
      <c r="A2856" s="242"/>
      <c r="F2856" s="285" t="str">
        <f t="shared" si="95"/>
        <v/>
      </c>
      <c r="K2856" s="246" t="str">
        <f t="shared" si="94"/>
        <v/>
      </c>
    </row>
    <row r="2857" spans="1:11" ht="30" customHeight="1" x14ac:dyDescent="0.2">
      <c r="A2857" s="242"/>
      <c r="F2857" s="285" t="str">
        <f t="shared" si="95"/>
        <v/>
      </c>
      <c r="K2857" s="246" t="str">
        <f t="shared" si="94"/>
        <v/>
      </c>
    </row>
    <row r="2858" spans="1:11" ht="30" customHeight="1" x14ac:dyDescent="0.2">
      <c r="A2858" s="242"/>
      <c r="F2858" s="285" t="str">
        <f t="shared" si="95"/>
        <v/>
      </c>
      <c r="K2858" s="246" t="str">
        <f t="shared" si="94"/>
        <v/>
      </c>
    </row>
    <row r="2859" spans="1:11" ht="30" customHeight="1" x14ac:dyDescent="0.2">
      <c r="A2859" s="242"/>
      <c r="F2859" s="285" t="str">
        <f t="shared" si="95"/>
        <v/>
      </c>
      <c r="K2859" s="246" t="str">
        <f t="shared" si="94"/>
        <v/>
      </c>
    </row>
    <row r="2860" spans="1:11" ht="30" customHeight="1" x14ac:dyDescent="0.2">
      <c r="A2860" s="242"/>
      <c r="F2860" s="285" t="str">
        <f t="shared" si="95"/>
        <v/>
      </c>
      <c r="K2860" s="246" t="str">
        <f t="shared" si="94"/>
        <v/>
      </c>
    </row>
    <row r="2861" spans="1:11" ht="30" customHeight="1" x14ac:dyDescent="0.2">
      <c r="A2861" s="242"/>
      <c r="F2861" s="285" t="str">
        <f t="shared" si="95"/>
        <v/>
      </c>
      <c r="K2861" s="246" t="str">
        <f t="shared" si="94"/>
        <v/>
      </c>
    </row>
    <row r="2862" spans="1:11" ht="30" customHeight="1" x14ac:dyDescent="0.2">
      <c r="A2862" s="242"/>
      <c r="F2862" s="285" t="str">
        <f t="shared" si="95"/>
        <v/>
      </c>
      <c r="K2862" s="246" t="str">
        <f t="shared" si="94"/>
        <v/>
      </c>
    </row>
    <row r="2863" spans="1:11" ht="30" customHeight="1" x14ac:dyDescent="0.2">
      <c r="A2863" s="242"/>
      <c r="F2863" s="285" t="str">
        <f t="shared" si="95"/>
        <v/>
      </c>
      <c r="K2863" s="246" t="str">
        <f t="shared" si="94"/>
        <v/>
      </c>
    </row>
    <row r="2864" spans="1:11" ht="30" customHeight="1" x14ac:dyDescent="0.2">
      <c r="A2864" s="242"/>
      <c r="F2864" s="285" t="str">
        <f t="shared" si="95"/>
        <v/>
      </c>
      <c r="K2864" s="246" t="str">
        <f t="shared" si="94"/>
        <v/>
      </c>
    </row>
    <row r="2865" spans="1:11" ht="30" customHeight="1" x14ac:dyDescent="0.2">
      <c r="A2865" s="242"/>
      <c r="F2865" s="285" t="str">
        <f t="shared" si="95"/>
        <v/>
      </c>
      <c r="K2865" s="246" t="str">
        <f t="shared" si="94"/>
        <v/>
      </c>
    </row>
    <row r="2866" spans="1:11" ht="30" customHeight="1" x14ac:dyDescent="0.2">
      <c r="A2866" s="242"/>
      <c r="F2866" s="285" t="str">
        <f t="shared" si="95"/>
        <v/>
      </c>
      <c r="K2866" s="246" t="str">
        <f t="shared" si="94"/>
        <v/>
      </c>
    </row>
    <row r="2867" spans="1:11" ht="30" customHeight="1" x14ac:dyDescent="0.2">
      <c r="A2867" s="242"/>
      <c r="F2867" s="285" t="str">
        <f t="shared" si="95"/>
        <v/>
      </c>
      <c r="K2867" s="246" t="str">
        <f t="shared" si="94"/>
        <v/>
      </c>
    </row>
    <row r="2868" spans="1:11" ht="30" customHeight="1" x14ac:dyDescent="0.2">
      <c r="A2868" s="242"/>
      <c r="F2868" s="285" t="str">
        <f t="shared" si="95"/>
        <v/>
      </c>
      <c r="K2868" s="246" t="str">
        <f t="shared" si="94"/>
        <v/>
      </c>
    </row>
    <row r="2869" spans="1:11" ht="30" customHeight="1" x14ac:dyDescent="0.2">
      <c r="A2869" s="242"/>
      <c r="F2869" s="285" t="str">
        <f t="shared" si="95"/>
        <v/>
      </c>
      <c r="K2869" s="246" t="str">
        <f t="shared" si="94"/>
        <v/>
      </c>
    </row>
    <row r="2870" spans="1:11" ht="30" customHeight="1" x14ac:dyDescent="0.2">
      <c r="A2870" s="242"/>
      <c r="F2870" s="285" t="str">
        <f t="shared" si="95"/>
        <v/>
      </c>
      <c r="K2870" s="246" t="str">
        <f t="shared" si="94"/>
        <v/>
      </c>
    </row>
    <row r="2871" spans="1:11" ht="30" customHeight="1" x14ac:dyDescent="0.2">
      <c r="A2871" s="242"/>
      <c r="F2871" s="285" t="str">
        <f t="shared" si="95"/>
        <v/>
      </c>
      <c r="K2871" s="246" t="str">
        <f t="shared" si="94"/>
        <v/>
      </c>
    </row>
    <row r="2872" spans="1:11" ht="30" customHeight="1" x14ac:dyDescent="0.2">
      <c r="A2872" s="242"/>
      <c r="F2872" s="285" t="str">
        <f t="shared" si="95"/>
        <v/>
      </c>
      <c r="K2872" s="246" t="str">
        <f t="shared" si="94"/>
        <v/>
      </c>
    </row>
    <row r="2873" spans="1:11" ht="30" customHeight="1" x14ac:dyDescent="0.2">
      <c r="A2873" s="242"/>
      <c r="F2873" s="285" t="str">
        <f t="shared" si="95"/>
        <v/>
      </c>
      <c r="K2873" s="246" t="str">
        <f t="shared" si="94"/>
        <v/>
      </c>
    </row>
    <row r="2874" spans="1:11" ht="30" customHeight="1" x14ac:dyDescent="0.2">
      <c r="A2874" s="242"/>
      <c r="F2874" s="285" t="str">
        <f t="shared" si="95"/>
        <v/>
      </c>
      <c r="K2874" s="246" t="str">
        <f t="shared" si="94"/>
        <v/>
      </c>
    </row>
    <row r="2875" spans="1:11" ht="30" customHeight="1" x14ac:dyDescent="0.2">
      <c r="A2875" s="242"/>
      <c r="F2875" s="285" t="str">
        <f t="shared" si="95"/>
        <v/>
      </c>
      <c r="K2875" s="246" t="str">
        <f t="shared" ref="K2875:K2938" si="96">IF(A2875="","",A2875)</f>
        <v/>
      </c>
    </row>
    <row r="2876" spans="1:11" ht="30" customHeight="1" x14ac:dyDescent="0.2">
      <c r="A2876" s="242"/>
      <c r="F2876" s="285" t="str">
        <f t="shared" si="95"/>
        <v/>
      </c>
      <c r="K2876" s="246" t="str">
        <f t="shared" si="96"/>
        <v/>
      </c>
    </row>
    <row r="2877" spans="1:11" ht="30" customHeight="1" x14ac:dyDescent="0.2">
      <c r="A2877" s="242"/>
      <c r="F2877" s="285" t="str">
        <f t="shared" si="95"/>
        <v/>
      </c>
      <c r="K2877" s="246" t="str">
        <f t="shared" si="96"/>
        <v/>
      </c>
    </row>
    <row r="2878" spans="1:11" ht="30" customHeight="1" x14ac:dyDescent="0.2">
      <c r="A2878" s="242"/>
      <c r="F2878" s="285" t="str">
        <f t="shared" si="95"/>
        <v/>
      </c>
      <c r="K2878" s="246" t="str">
        <f t="shared" si="96"/>
        <v/>
      </c>
    </row>
    <row r="2879" spans="1:11" ht="30" customHeight="1" x14ac:dyDescent="0.2">
      <c r="A2879" s="242"/>
      <c r="F2879" s="285" t="str">
        <f t="shared" si="95"/>
        <v/>
      </c>
      <c r="K2879" s="246" t="str">
        <f t="shared" si="96"/>
        <v/>
      </c>
    </row>
    <row r="2880" spans="1:11" ht="30" customHeight="1" x14ac:dyDescent="0.2">
      <c r="A2880" s="242"/>
      <c r="F2880" s="285" t="str">
        <f t="shared" si="95"/>
        <v/>
      </c>
      <c r="K2880" s="246" t="str">
        <f t="shared" si="96"/>
        <v/>
      </c>
    </row>
    <row r="2881" spans="1:11" ht="30" customHeight="1" x14ac:dyDescent="0.2">
      <c r="A2881" s="242"/>
      <c r="F2881" s="285" t="str">
        <f t="shared" si="95"/>
        <v/>
      </c>
      <c r="K2881" s="246" t="str">
        <f t="shared" si="96"/>
        <v/>
      </c>
    </row>
    <row r="2882" spans="1:11" ht="30" customHeight="1" x14ac:dyDescent="0.2">
      <c r="A2882" s="242"/>
      <c r="F2882" s="285" t="str">
        <f t="shared" si="95"/>
        <v/>
      </c>
      <c r="K2882" s="246" t="str">
        <f t="shared" si="96"/>
        <v/>
      </c>
    </row>
    <row r="2883" spans="1:11" ht="30" customHeight="1" x14ac:dyDescent="0.2">
      <c r="A2883" s="242"/>
      <c r="F2883" s="285" t="str">
        <f t="shared" si="95"/>
        <v/>
      </c>
      <c r="K2883" s="246" t="str">
        <f t="shared" si="96"/>
        <v/>
      </c>
    </row>
    <row r="2884" spans="1:11" ht="30" customHeight="1" x14ac:dyDescent="0.2">
      <c r="A2884" s="242"/>
      <c r="F2884" s="285" t="str">
        <f t="shared" si="95"/>
        <v/>
      </c>
      <c r="K2884" s="246" t="str">
        <f t="shared" si="96"/>
        <v/>
      </c>
    </row>
    <row r="2885" spans="1:11" ht="30" customHeight="1" x14ac:dyDescent="0.2">
      <c r="A2885" s="242"/>
      <c r="F2885" s="285" t="str">
        <f t="shared" ref="F2885:F2948" si="97">IF(A2885="","",A2885)</f>
        <v/>
      </c>
      <c r="K2885" s="246" t="str">
        <f t="shared" si="96"/>
        <v/>
      </c>
    </row>
    <row r="2886" spans="1:11" ht="30" customHeight="1" x14ac:dyDescent="0.2">
      <c r="A2886" s="242"/>
      <c r="F2886" s="285" t="str">
        <f t="shared" si="97"/>
        <v/>
      </c>
      <c r="K2886" s="246" t="str">
        <f t="shared" si="96"/>
        <v/>
      </c>
    </row>
    <row r="2887" spans="1:11" ht="30" customHeight="1" x14ac:dyDescent="0.2">
      <c r="A2887" s="242"/>
      <c r="F2887" s="285" t="str">
        <f t="shared" si="97"/>
        <v/>
      </c>
      <c r="K2887" s="246" t="str">
        <f t="shared" si="96"/>
        <v/>
      </c>
    </row>
    <row r="2888" spans="1:11" ht="30" customHeight="1" x14ac:dyDescent="0.2">
      <c r="A2888" s="242"/>
      <c r="F2888" s="285" t="str">
        <f t="shared" si="97"/>
        <v/>
      </c>
      <c r="K2888" s="246" t="str">
        <f t="shared" si="96"/>
        <v/>
      </c>
    </row>
    <row r="2889" spans="1:11" ht="30" customHeight="1" x14ac:dyDescent="0.2">
      <c r="A2889" s="242"/>
      <c r="F2889" s="285" t="str">
        <f t="shared" si="97"/>
        <v/>
      </c>
      <c r="K2889" s="246" t="str">
        <f t="shared" si="96"/>
        <v/>
      </c>
    </row>
    <row r="2890" spans="1:11" ht="30" customHeight="1" x14ac:dyDescent="0.2">
      <c r="A2890" s="242"/>
      <c r="F2890" s="285" t="str">
        <f t="shared" si="97"/>
        <v/>
      </c>
      <c r="K2890" s="246" t="str">
        <f t="shared" si="96"/>
        <v/>
      </c>
    </row>
    <row r="2891" spans="1:11" ht="30" customHeight="1" x14ac:dyDescent="0.2">
      <c r="A2891" s="242"/>
      <c r="F2891" s="285" t="str">
        <f t="shared" si="97"/>
        <v/>
      </c>
      <c r="K2891" s="246" t="str">
        <f t="shared" si="96"/>
        <v/>
      </c>
    </row>
    <row r="2892" spans="1:11" ht="30" customHeight="1" x14ac:dyDescent="0.2">
      <c r="A2892" s="242"/>
      <c r="F2892" s="285" t="str">
        <f t="shared" si="97"/>
        <v/>
      </c>
      <c r="K2892" s="246" t="str">
        <f t="shared" si="96"/>
        <v/>
      </c>
    </row>
    <row r="2893" spans="1:11" ht="30" customHeight="1" x14ac:dyDescent="0.2">
      <c r="A2893" s="242"/>
      <c r="F2893" s="285" t="str">
        <f t="shared" si="97"/>
        <v/>
      </c>
      <c r="K2893" s="246" t="str">
        <f t="shared" si="96"/>
        <v/>
      </c>
    </row>
    <row r="2894" spans="1:11" ht="30" customHeight="1" x14ac:dyDescent="0.2">
      <c r="A2894" s="242"/>
      <c r="F2894" s="285" t="str">
        <f t="shared" si="97"/>
        <v/>
      </c>
      <c r="K2894" s="246" t="str">
        <f t="shared" si="96"/>
        <v/>
      </c>
    </row>
    <row r="2895" spans="1:11" ht="30" customHeight="1" x14ac:dyDescent="0.2">
      <c r="A2895" s="242"/>
      <c r="F2895" s="285" t="str">
        <f t="shared" si="97"/>
        <v/>
      </c>
      <c r="K2895" s="246" t="str">
        <f t="shared" si="96"/>
        <v/>
      </c>
    </row>
    <row r="2896" spans="1:11" ht="30" customHeight="1" x14ac:dyDescent="0.2">
      <c r="A2896" s="242"/>
      <c r="F2896" s="285" t="str">
        <f t="shared" si="97"/>
        <v/>
      </c>
      <c r="K2896" s="246" t="str">
        <f t="shared" si="96"/>
        <v/>
      </c>
    </row>
    <row r="2897" spans="1:11" ht="30" customHeight="1" x14ac:dyDescent="0.2">
      <c r="A2897" s="242"/>
      <c r="F2897" s="285" t="str">
        <f t="shared" si="97"/>
        <v/>
      </c>
      <c r="K2897" s="246" t="str">
        <f t="shared" si="96"/>
        <v/>
      </c>
    </row>
    <row r="2898" spans="1:11" ht="30" customHeight="1" x14ac:dyDescent="0.2">
      <c r="A2898" s="242"/>
      <c r="F2898" s="285" t="str">
        <f t="shared" si="97"/>
        <v/>
      </c>
      <c r="K2898" s="246" t="str">
        <f t="shared" si="96"/>
        <v/>
      </c>
    </row>
    <row r="2899" spans="1:11" ht="30" customHeight="1" x14ac:dyDescent="0.2">
      <c r="A2899" s="242"/>
      <c r="F2899" s="285" t="str">
        <f t="shared" si="97"/>
        <v/>
      </c>
      <c r="K2899" s="246" t="str">
        <f t="shared" si="96"/>
        <v/>
      </c>
    </row>
    <row r="2900" spans="1:11" ht="30" customHeight="1" x14ac:dyDescent="0.2">
      <c r="A2900" s="242"/>
      <c r="F2900" s="285" t="str">
        <f t="shared" si="97"/>
        <v/>
      </c>
      <c r="K2900" s="246" t="str">
        <f t="shared" si="96"/>
        <v/>
      </c>
    </row>
    <row r="2901" spans="1:11" ht="30" customHeight="1" x14ac:dyDescent="0.2">
      <c r="A2901" s="242"/>
      <c r="F2901" s="285" t="str">
        <f t="shared" si="97"/>
        <v/>
      </c>
      <c r="K2901" s="246" t="str">
        <f t="shared" si="96"/>
        <v/>
      </c>
    </row>
    <row r="2902" spans="1:11" ht="30" customHeight="1" x14ac:dyDescent="0.2">
      <c r="A2902" s="242"/>
      <c r="F2902" s="285" t="str">
        <f t="shared" si="97"/>
        <v/>
      </c>
      <c r="K2902" s="246" t="str">
        <f t="shared" si="96"/>
        <v/>
      </c>
    </row>
    <row r="2903" spans="1:11" ht="30" customHeight="1" x14ac:dyDescent="0.2">
      <c r="A2903" s="242"/>
      <c r="F2903" s="285" t="str">
        <f t="shared" si="97"/>
        <v/>
      </c>
      <c r="K2903" s="246" t="str">
        <f t="shared" si="96"/>
        <v/>
      </c>
    </row>
    <row r="2904" spans="1:11" ht="30" customHeight="1" x14ac:dyDescent="0.2">
      <c r="A2904" s="242"/>
      <c r="F2904" s="285" t="str">
        <f t="shared" si="97"/>
        <v/>
      </c>
      <c r="K2904" s="246" t="str">
        <f t="shared" si="96"/>
        <v/>
      </c>
    </row>
    <row r="2905" spans="1:11" ht="30" customHeight="1" x14ac:dyDescent="0.2">
      <c r="A2905" s="242"/>
      <c r="F2905" s="285" t="str">
        <f t="shared" si="97"/>
        <v/>
      </c>
      <c r="K2905" s="246" t="str">
        <f t="shared" si="96"/>
        <v/>
      </c>
    </row>
    <row r="2906" spans="1:11" ht="30" customHeight="1" x14ac:dyDescent="0.2">
      <c r="A2906" s="242"/>
      <c r="F2906" s="285" t="str">
        <f t="shared" si="97"/>
        <v/>
      </c>
      <c r="K2906" s="246" t="str">
        <f t="shared" si="96"/>
        <v/>
      </c>
    </row>
    <row r="2907" spans="1:11" ht="30" customHeight="1" x14ac:dyDescent="0.2">
      <c r="A2907" s="242"/>
      <c r="F2907" s="285" t="str">
        <f t="shared" si="97"/>
        <v/>
      </c>
      <c r="K2907" s="246" t="str">
        <f t="shared" si="96"/>
        <v/>
      </c>
    </row>
    <row r="2908" spans="1:11" ht="30" customHeight="1" x14ac:dyDescent="0.2">
      <c r="A2908" s="242"/>
      <c r="F2908" s="285" t="str">
        <f t="shared" si="97"/>
        <v/>
      </c>
      <c r="K2908" s="246" t="str">
        <f t="shared" si="96"/>
        <v/>
      </c>
    </row>
    <row r="2909" spans="1:11" ht="30" customHeight="1" x14ac:dyDescent="0.2">
      <c r="A2909" s="242"/>
      <c r="F2909" s="285" t="str">
        <f t="shared" si="97"/>
        <v/>
      </c>
      <c r="K2909" s="246" t="str">
        <f t="shared" si="96"/>
        <v/>
      </c>
    </row>
    <row r="2910" spans="1:11" ht="30" customHeight="1" x14ac:dyDescent="0.2">
      <c r="A2910" s="242"/>
      <c r="F2910" s="285" t="str">
        <f t="shared" si="97"/>
        <v/>
      </c>
      <c r="K2910" s="246" t="str">
        <f t="shared" si="96"/>
        <v/>
      </c>
    </row>
    <row r="2911" spans="1:11" ht="30" customHeight="1" x14ac:dyDescent="0.2">
      <c r="A2911" s="242"/>
      <c r="F2911" s="285" t="str">
        <f t="shared" si="97"/>
        <v/>
      </c>
      <c r="K2911" s="246" t="str">
        <f t="shared" si="96"/>
        <v/>
      </c>
    </row>
    <row r="2912" spans="1:11" ht="30" customHeight="1" x14ac:dyDescent="0.2">
      <c r="A2912" s="242"/>
      <c r="F2912" s="285" t="str">
        <f t="shared" si="97"/>
        <v/>
      </c>
      <c r="K2912" s="246" t="str">
        <f t="shared" si="96"/>
        <v/>
      </c>
    </row>
    <row r="2913" spans="1:11" ht="30" customHeight="1" x14ac:dyDescent="0.2">
      <c r="A2913" s="242"/>
      <c r="F2913" s="285" t="str">
        <f t="shared" si="97"/>
        <v/>
      </c>
      <c r="K2913" s="246" t="str">
        <f t="shared" si="96"/>
        <v/>
      </c>
    </row>
    <row r="2914" spans="1:11" ht="30" customHeight="1" x14ac:dyDescent="0.2">
      <c r="A2914" s="242"/>
      <c r="F2914" s="285" t="str">
        <f t="shared" si="97"/>
        <v/>
      </c>
      <c r="K2914" s="246" t="str">
        <f t="shared" si="96"/>
        <v/>
      </c>
    </row>
    <row r="2915" spans="1:11" ht="30" customHeight="1" x14ac:dyDescent="0.2">
      <c r="A2915" s="242"/>
      <c r="F2915" s="285" t="str">
        <f t="shared" si="97"/>
        <v/>
      </c>
      <c r="K2915" s="246" t="str">
        <f t="shared" si="96"/>
        <v/>
      </c>
    </row>
    <row r="2916" spans="1:11" ht="30" customHeight="1" x14ac:dyDescent="0.2">
      <c r="A2916" s="242"/>
      <c r="F2916" s="285" t="str">
        <f t="shared" si="97"/>
        <v/>
      </c>
      <c r="K2916" s="246" t="str">
        <f t="shared" si="96"/>
        <v/>
      </c>
    </row>
    <row r="2917" spans="1:11" ht="30" customHeight="1" x14ac:dyDescent="0.2">
      <c r="A2917" s="242"/>
      <c r="F2917" s="285" t="str">
        <f t="shared" si="97"/>
        <v/>
      </c>
      <c r="K2917" s="246" t="str">
        <f t="shared" si="96"/>
        <v/>
      </c>
    </row>
    <row r="2918" spans="1:11" ht="30" customHeight="1" x14ac:dyDescent="0.2">
      <c r="A2918" s="242"/>
      <c r="F2918" s="285" t="str">
        <f t="shared" si="97"/>
        <v/>
      </c>
      <c r="K2918" s="246" t="str">
        <f t="shared" si="96"/>
        <v/>
      </c>
    </row>
    <row r="2919" spans="1:11" ht="30" customHeight="1" x14ac:dyDescent="0.2">
      <c r="A2919" s="242"/>
      <c r="F2919" s="285" t="str">
        <f t="shared" si="97"/>
        <v/>
      </c>
      <c r="K2919" s="246" t="str">
        <f t="shared" si="96"/>
        <v/>
      </c>
    </row>
    <row r="2920" spans="1:11" ht="30" customHeight="1" x14ac:dyDescent="0.2">
      <c r="A2920" s="242"/>
      <c r="F2920" s="285" t="str">
        <f t="shared" si="97"/>
        <v/>
      </c>
      <c r="K2920" s="246" t="str">
        <f t="shared" si="96"/>
        <v/>
      </c>
    </row>
    <row r="2921" spans="1:11" ht="30" customHeight="1" x14ac:dyDescent="0.2">
      <c r="A2921" s="242"/>
      <c r="F2921" s="285" t="str">
        <f t="shared" si="97"/>
        <v/>
      </c>
      <c r="K2921" s="246" t="str">
        <f t="shared" si="96"/>
        <v/>
      </c>
    </row>
    <row r="2922" spans="1:11" ht="30" customHeight="1" x14ac:dyDescent="0.2">
      <c r="A2922" s="242"/>
      <c r="F2922" s="285" t="str">
        <f t="shared" si="97"/>
        <v/>
      </c>
      <c r="K2922" s="246" t="str">
        <f t="shared" si="96"/>
        <v/>
      </c>
    </row>
    <row r="2923" spans="1:11" ht="30" customHeight="1" x14ac:dyDescent="0.2">
      <c r="A2923" s="242"/>
      <c r="F2923" s="285" t="str">
        <f t="shared" si="97"/>
        <v/>
      </c>
      <c r="K2923" s="246" t="str">
        <f t="shared" si="96"/>
        <v/>
      </c>
    </row>
    <row r="2924" spans="1:11" ht="30" customHeight="1" x14ac:dyDescent="0.2">
      <c r="A2924" s="242"/>
      <c r="F2924" s="285" t="str">
        <f t="shared" si="97"/>
        <v/>
      </c>
      <c r="K2924" s="246" t="str">
        <f t="shared" si="96"/>
        <v/>
      </c>
    </row>
    <row r="2925" spans="1:11" ht="30" customHeight="1" x14ac:dyDescent="0.2">
      <c r="A2925" s="242"/>
      <c r="F2925" s="285" t="str">
        <f t="shared" si="97"/>
        <v/>
      </c>
      <c r="K2925" s="246" t="str">
        <f t="shared" si="96"/>
        <v/>
      </c>
    </row>
    <row r="2926" spans="1:11" ht="30" customHeight="1" x14ac:dyDescent="0.2">
      <c r="A2926" s="242"/>
      <c r="F2926" s="285" t="str">
        <f t="shared" si="97"/>
        <v/>
      </c>
      <c r="K2926" s="246" t="str">
        <f t="shared" si="96"/>
        <v/>
      </c>
    </row>
    <row r="2927" spans="1:11" ht="30" customHeight="1" x14ac:dyDescent="0.2">
      <c r="A2927" s="242"/>
      <c r="F2927" s="285" t="str">
        <f t="shared" si="97"/>
        <v/>
      </c>
      <c r="K2927" s="246" t="str">
        <f t="shared" si="96"/>
        <v/>
      </c>
    </row>
    <row r="2928" spans="1:11" ht="30" customHeight="1" x14ac:dyDescent="0.2">
      <c r="A2928" s="242"/>
      <c r="F2928" s="285" t="str">
        <f t="shared" si="97"/>
        <v/>
      </c>
      <c r="K2928" s="246" t="str">
        <f t="shared" si="96"/>
        <v/>
      </c>
    </row>
    <row r="2929" spans="1:11" ht="30" customHeight="1" x14ac:dyDescent="0.2">
      <c r="A2929" s="242"/>
      <c r="F2929" s="285" t="str">
        <f t="shared" si="97"/>
        <v/>
      </c>
      <c r="K2929" s="246" t="str">
        <f t="shared" si="96"/>
        <v/>
      </c>
    </row>
    <row r="2930" spans="1:11" ht="30" customHeight="1" x14ac:dyDescent="0.2">
      <c r="A2930" s="242"/>
      <c r="F2930" s="285" t="str">
        <f t="shared" si="97"/>
        <v/>
      </c>
      <c r="K2930" s="246" t="str">
        <f t="shared" si="96"/>
        <v/>
      </c>
    </row>
    <row r="2931" spans="1:11" ht="30" customHeight="1" x14ac:dyDescent="0.2">
      <c r="A2931" s="242"/>
      <c r="F2931" s="285" t="str">
        <f t="shared" si="97"/>
        <v/>
      </c>
      <c r="K2931" s="246" t="str">
        <f t="shared" si="96"/>
        <v/>
      </c>
    </row>
    <row r="2932" spans="1:11" ht="30" customHeight="1" x14ac:dyDescent="0.2">
      <c r="A2932" s="242"/>
      <c r="F2932" s="285" t="str">
        <f t="shared" si="97"/>
        <v/>
      </c>
      <c r="K2932" s="246" t="str">
        <f t="shared" si="96"/>
        <v/>
      </c>
    </row>
    <row r="2933" spans="1:11" ht="30" customHeight="1" x14ac:dyDescent="0.2">
      <c r="A2933" s="242"/>
      <c r="F2933" s="285" t="str">
        <f t="shared" si="97"/>
        <v/>
      </c>
      <c r="K2933" s="246" t="str">
        <f t="shared" si="96"/>
        <v/>
      </c>
    </row>
    <row r="2934" spans="1:11" ht="30" customHeight="1" x14ac:dyDescent="0.2">
      <c r="A2934" s="242"/>
      <c r="F2934" s="285" t="str">
        <f t="shared" si="97"/>
        <v/>
      </c>
      <c r="K2934" s="246" t="str">
        <f t="shared" si="96"/>
        <v/>
      </c>
    </row>
    <row r="2935" spans="1:11" ht="30" customHeight="1" x14ac:dyDescent="0.2">
      <c r="A2935" s="242"/>
      <c r="F2935" s="285" t="str">
        <f t="shared" si="97"/>
        <v/>
      </c>
      <c r="K2935" s="246" t="str">
        <f t="shared" si="96"/>
        <v/>
      </c>
    </row>
    <row r="2936" spans="1:11" ht="30" customHeight="1" x14ac:dyDescent="0.2">
      <c r="A2936" s="242"/>
      <c r="F2936" s="285" t="str">
        <f t="shared" si="97"/>
        <v/>
      </c>
      <c r="K2936" s="246" t="str">
        <f t="shared" si="96"/>
        <v/>
      </c>
    </row>
    <row r="2937" spans="1:11" ht="30" customHeight="1" x14ac:dyDescent="0.2">
      <c r="A2937" s="242"/>
      <c r="F2937" s="285" t="str">
        <f t="shared" si="97"/>
        <v/>
      </c>
      <c r="K2937" s="246" t="str">
        <f t="shared" si="96"/>
        <v/>
      </c>
    </row>
    <row r="2938" spans="1:11" ht="30" customHeight="1" x14ac:dyDescent="0.2">
      <c r="A2938" s="242"/>
      <c r="F2938" s="285" t="str">
        <f t="shared" si="97"/>
        <v/>
      </c>
      <c r="K2938" s="246" t="str">
        <f t="shared" si="96"/>
        <v/>
      </c>
    </row>
    <row r="2939" spans="1:11" ht="30" customHeight="1" x14ac:dyDescent="0.2">
      <c r="A2939" s="242"/>
      <c r="F2939" s="285" t="str">
        <f t="shared" si="97"/>
        <v/>
      </c>
      <c r="K2939" s="246" t="str">
        <f t="shared" ref="K2939:K3002" si="98">IF(A2939="","",A2939)</f>
        <v/>
      </c>
    </row>
    <row r="2940" spans="1:11" ht="30" customHeight="1" x14ac:dyDescent="0.2">
      <c r="A2940" s="242"/>
      <c r="F2940" s="285" t="str">
        <f t="shared" si="97"/>
        <v/>
      </c>
      <c r="K2940" s="246" t="str">
        <f t="shared" si="98"/>
        <v/>
      </c>
    </row>
    <row r="2941" spans="1:11" ht="30" customHeight="1" x14ac:dyDescent="0.2">
      <c r="A2941" s="242"/>
      <c r="F2941" s="285" t="str">
        <f t="shared" si="97"/>
        <v/>
      </c>
      <c r="K2941" s="246" t="str">
        <f t="shared" si="98"/>
        <v/>
      </c>
    </row>
    <row r="2942" spans="1:11" ht="30" customHeight="1" x14ac:dyDescent="0.2">
      <c r="A2942" s="242"/>
      <c r="F2942" s="285" t="str">
        <f t="shared" si="97"/>
        <v/>
      </c>
      <c r="K2942" s="246" t="str">
        <f t="shared" si="98"/>
        <v/>
      </c>
    </row>
    <row r="2943" spans="1:11" ht="30" customHeight="1" x14ac:dyDescent="0.2">
      <c r="A2943" s="242"/>
      <c r="F2943" s="285" t="str">
        <f t="shared" si="97"/>
        <v/>
      </c>
      <c r="K2943" s="246" t="str">
        <f t="shared" si="98"/>
        <v/>
      </c>
    </row>
    <row r="2944" spans="1:11" ht="30" customHeight="1" x14ac:dyDescent="0.2">
      <c r="A2944" s="242"/>
      <c r="F2944" s="285" t="str">
        <f t="shared" si="97"/>
        <v/>
      </c>
      <c r="K2944" s="246" t="str">
        <f t="shared" si="98"/>
        <v/>
      </c>
    </row>
    <row r="2945" spans="1:11" ht="30" customHeight="1" x14ac:dyDescent="0.2">
      <c r="A2945" s="242"/>
      <c r="F2945" s="285" t="str">
        <f t="shared" si="97"/>
        <v/>
      </c>
      <c r="K2945" s="246" t="str">
        <f t="shared" si="98"/>
        <v/>
      </c>
    </row>
    <row r="2946" spans="1:11" ht="30" customHeight="1" x14ac:dyDescent="0.2">
      <c r="A2946" s="242"/>
      <c r="F2946" s="285" t="str">
        <f t="shared" si="97"/>
        <v/>
      </c>
      <c r="K2946" s="246" t="str">
        <f t="shared" si="98"/>
        <v/>
      </c>
    </row>
    <row r="2947" spans="1:11" ht="30" customHeight="1" x14ac:dyDescent="0.2">
      <c r="A2947" s="242"/>
      <c r="F2947" s="285" t="str">
        <f t="shared" si="97"/>
        <v/>
      </c>
      <c r="K2947" s="246" t="str">
        <f t="shared" si="98"/>
        <v/>
      </c>
    </row>
    <row r="2948" spans="1:11" ht="30" customHeight="1" x14ac:dyDescent="0.2">
      <c r="A2948" s="242"/>
      <c r="F2948" s="285" t="str">
        <f t="shared" si="97"/>
        <v/>
      </c>
      <c r="K2948" s="246" t="str">
        <f t="shared" si="98"/>
        <v/>
      </c>
    </row>
    <row r="2949" spans="1:11" ht="30" customHeight="1" x14ac:dyDescent="0.2">
      <c r="A2949" s="242"/>
      <c r="F2949" s="285" t="str">
        <f t="shared" ref="F2949:F3012" si="99">IF(A2949="","",A2949)</f>
        <v/>
      </c>
      <c r="K2949" s="246" t="str">
        <f t="shared" si="98"/>
        <v/>
      </c>
    </row>
    <row r="2950" spans="1:11" ht="30" customHeight="1" x14ac:dyDescent="0.2">
      <c r="A2950" s="242"/>
      <c r="F2950" s="285" t="str">
        <f t="shared" si="99"/>
        <v/>
      </c>
      <c r="K2950" s="246" t="str">
        <f t="shared" si="98"/>
        <v/>
      </c>
    </row>
    <row r="2951" spans="1:11" ht="30" customHeight="1" x14ac:dyDescent="0.2">
      <c r="A2951" s="242"/>
      <c r="F2951" s="285" t="str">
        <f t="shared" si="99"/>
        <v/>
      </c>
      <c r="K2951" s="246" t="str">
        <f t="shared" si="98"/>
        <v/>
      </c>
    </row>
    <row r="2952" spans="1:11" ht="30" customHeight="1" x14ac:dyDescent="0.2">
      <c r="A2952" s="242"/>
      <c r="F2952" s="285" t="str">
        <f t="shared" si="99"/>
        <v/>
      </c>
      <c r="K2952" s="246" t="str">
        <f t="shared" si="98"/>
        <v/>
      </c>
    </row>
    <row r="2953" spans="1:11" ht="30" customHeight="1" x14ac:dyDescent="0.2">
      <c r="A2953" s="242"/>
      <c r="F2953" s="285" t="str">
        <f t="shared" si="99"/>
        <v/>
      </c>
      <c r="K2953" s="246" t="str">
        <f t="shared" si="98"/>
        <v/>
      </c>
    </row>
    <row r="2954" spans="1:11" ht="30" customHeight="1" x14ac:dyDescent="0.2">
      <c r="A2954" s="242"/>
      <c r="F2954" s="285" t="str">
        <f t="shared" si="99"/>
        <v/>
      </c>
      <c r="K2954" s="246" t="str">
        <f t="shared" si="98"/>
        <v/>
      </c>
    </row>
    <row r="2955" spans="1:11" ht="30" customHeight="1" x14ac:dyDescent="0.2">
      <c r="A2955" s="242"/>
      <c r="F2955" s="285" t="str">
        <f t="shared" si="99"/>
        <v/>
      </c>
      <c r="K2955" s="246" t="str">
        <f t="shared" si="98"/>
        <v/>
      </c>
    </row>
    <row r="2956" spans="1:11" ht="30" customHeight="1" x14ac:dyDescent="0.2">
      <c r="A2956" s="242"/>
      <c r="F2956" s="285" t="str">
        <f t="shared" si="99"/>
        <v/>
      </c>
      <c r="K2956" s="246" t="str">
        <f t="shared" si="98"/>
        <v/>
      </c>
    </row>
    <row r="2957" spans="1:11" ht="30" customHeight="1" x14ac:dyDescent="0.2">
      <c r="A2957" s="242"/>
      <c r="F2957" s="285" t="str">
        <f t="shared" si="99"/>
        <v/>
      </c>
      <c r="K2957" s="246" t="str">
        <f t="shared" si="98"/>
        <v/>
      </c>
    </row>
    <row r="2958" spans="1:11" ht="30" customHeight="1" x14ac:dyDescent="0.2">
      <c r="A2958" s="242"/>
      <c r="F2958" s="285" t="str">
        <f t="shared" si="99"/>
        <v/>
      </c>
      <c r="K2958" s="246" t="str">
        <f t="shared" si="98"/>
        <v/>
      </c>
    </row>
    <row r="2959" spans="1:11" ht="30" customHeight="1" x14ac:dyDescent="0.2">
      <c r="A2959" s="242"/>
      <c r="F2959" s="285" t="str">
        <f t="shared" si="99"/>
        <v/>
      </c>
      <c r="K2959" s="246" t="str">
        <f t="shared" si="98"/>
        <v/>
      </c>
    </row>
    <row r="2960" spans="1:11" ht="30" customHeight="1" x14ac:dyDescent="0.2">
      <c r="A2960" s="242"/>
      <c r="F2960" s="285" t="str">
        <f t="shared" si="99"/>
        <v/>
      </c>
      <c r="K2960" s="246" t="str">
        <f t="shared" si="98"/>
        <v/>
      </c>
    </row>
    <row r="2961" spans="1:11" ht="30" customHeight="1" x14ac:dyDescent="0.2">
      <c r="A2961" s="242"/>
      <c r="F2961" s="285" t="str">
        <f t="shared" si="99"/>
        <v/>
      </c>
      <c r="K2961" s="246" t="str">
        <f t="shared" si="98"/>
        <v/>
      </c>
    </row>
    <row r="2962" spans="1:11" ht="30" customHeight="1" x14ac:dyDescent="0.2">
      <c r="A2962" s="242"/>
      <c r="F2962" s="285" t="str">
        <f t="shared" si="99"/>
        <v/>
      </c>
      <c r="K2962" s="246" t="str">
        <f t="shared" si="98"/>
        <v/>
      </c>
    </row>
    <row r="2963" spans="1:11" ht="30" customHeight="1" x14ac:dyDescent="0.2">
      <c r="A2963" s="242"/>
      <c r="F2963" s="285" t="str">
        <f t="shared" si="99"/>
        <v/>
      </c>
      <c r="K2963" s="246" t="str">
        <f t="shared" si="98"/>
        <v/>
      </c>
    </row>
    <row r="2964" spans="1:11" ht="30" customHeight="1" x14ac:dyDescent="0.2">
      <c r="A2964" s="242"/>
      <c r="F2964" s="285" t="str">
        <f t="shared" si="99"/>
        <v/>
      </c>
      <c r="K2964" s="246" t="str">
        <f t="shared" si="98"/>
        <v/>
      </c>
    </row>
    <row r="2965" spans="1:11" ht="30" customHeight="1" x14ac:dyDescent="0.2">
      <c r="A2965" s="242"/>
      <c r="F2965" s="285" t="str">
        <f t="shared" si="99"/>
        <v/>
      </c>
      <c r="K2965" s="246" t="str">
        <f t="shared" si="98"/>
        <v/>
      </c>
    </row>
    <row r="2966" spans="1:11" ht="30" customHeight="1" x14ac:dyDescent="0.2">
      <c r="A2966" s="242"/>
      <c r="F2966" s="285" t="str">
        <f t="shared" si="99"/>
        <v/>
      </c>
      <c r="K2966" s="246" t="str">
        <f t="shared" si="98"/>
        <v/>
      </c>
    </row>
    <row r="2967" spans="1:11" ht="30" customHeight="1" x14ac:dyDescent="0.2">
      <c r="A2967" s="242"/>
      <c r="F2967" s="285" t="str">
        <f t="shared" si="99"/>
        <v/>
      </c>
      <c r="K2967" s="246" t="str">
        <f t="shared" si="98"/>
        <v/>
      </c>
    </row>
    <row r="2968" spans="1:11" ht="30" customHeight="1" x14ac:dyDescent="0.2">
      <c r="A2968" s="242"/>
      <c r="F2968" s="285" t="str">
        <f t="shared" si="99"/>
        <v/>
      </c>
      <c r="K2968" s="246" t="str">
        <f t="shared" si="98"/>
        <v/>
      </c>
    </row>
    <row r="2969" spans="1:11" ht="30" customHeight="1" x14ac:dyDescent="0.2">
      <c r="A2969" s="242"/>
      <c r="F2969" s="285" t="str">
        <f t="shared" si="99"/>
        <v/>
      </c>
      <c r="K2969" s="246" t="str">
        <f t="shared" si="98"/>
        <v/>
      </c>
    </row>
    <row r="2970" spans="1:11" ht="30" customHeight="1" x14ac:dyDescent="0.2">
      <c r="A2970" s="242"/>
      <c r="F2970" s="285" t="str">
        <f t="shared" si="99"/>
        <v/>
      </c>
      <c r="K2970" s="246" t="str">
        <f t="shared" si="98"/>
        <v/>
      </c>
    </row>
    <row r="2971" spans="1:11" ht="30" customHeight="1" x14ac:dyDescent="0.2">
      <c r="A2971" s="242"/>
      <c r="F2971" s="285" t="str">
        <f t="shared" si="99"/>
        <v/>
      </c>
      <c r="K2971" s="246" t="str">
        <f t="shared" si="98"/>
        <v/>
      </c>
    </row>
    <row r="2972" spans="1:11" ht="30" customHeight="1" x14ac:dyDescent="0.2">
      <c r="A2972" s="242"/>
      <c r="F2972" s="285" t="str">
        <f t="shared" si="99"/>
        <v/>
      </c>
      <c r="K2972" s="246" t="str">
        <f t="shared" si="98"/>
        <v/>
      </c>
    </row>
    <row r="2973" spans="1:11" ht="30" customHeight="1" x14ac:dyDescent="0.2">
      <c r="A2973" s="242"/>
      <c r="F2973" s="285" t="str">
        <f t="shared" si="99"/>
        <v/>
      </c>
      <c r="K2973" s="246" t="str">
        <f t="shared" si="98"/>
        <v/>
      </c>
    </row>
    <row r="2974" spans="1:11" ht="30" customHeight="1" x14ac:dyDescent="0.2">
      <c r="A2974" s="242"/>
      <c r="F2974" s="285" t="str">
        <f t="shared" si="99"/>
        <v/>
      </c>
      <c r="K2974" s="246" t="str">
        <f t="shared" si="98"/>
        <v/>
      </c>
    </row>
    <row r="2975" spans="1:11" ht="30" customHeight="1" x14ac:dyDescent="0.2">
      <c r="A2975" s="242"/>
      <c r="F2975" s="285" t="str">
        <f t="shared" si="99"/>
        <v/>
      </c>
      <c r="K2975" s="246" t="str">
        <f t="shared" si="98"/>
        <v/>
      </c>
    </row>
    <row r="2976" spans="1:11" ht="30" customHeight="1" x14ac:dyDescent="0.2">
      <c r="A2976" s="242"/>
      <c r="F2976" s="285" t="str">
        <f t="shared" si="99"/>
        <v/>
      </c>
      <c r="K2976" s="246" t="str">
        <f t="shared" si="98"/>
        <v/>
      </c>
    </row>
    <row r="2977" spans="1:11" ht="30" customHeight="1" x14ac:dyDescent="0.2">
      <c r="A2977" s="242"/>
      <c r="F2977" s="285" t="str">
        <f t="shared" si="99"/>
        <v/>
      </c>
      <c r="K2977" s="246" t="str">
        <f t="shared" si="98"/>
        <v/>
      </c>
    </row>
    <row r="2978" spans="1:11" ht="30" customHeight="1" x14ac:dyDescent="0.2">
      <c r="A2978" s="242"/>
      <c r="F2978" s="285" t="str">
        <f t="shared" si="99"/>
        <v/>
      </c>
      <c r="K2978" s="246" t="str">
        <f t="shared" si="98"/>
        <v/>
      </c>
    </row>
    <row r="2979" spans="1:11" ht="30" customHeight="1" x14ac:dyDescent="0.2">
      <c r="A2979" s="242"/>
      <c r="F2979" s="285" t="str">
        <f t="shared" si="99"/>
        <v/>
      </c>
      <c r="K2979" s="246" t="str">
        <f t="shared" si="98"/>
        <v/>
      </c>
    </row>
    <row r="2980" spans="1:11" ht="30" customHeight="1" x14ac:dyDescent="0.2">
      <c r="A2980" s="242"/>
      <c r="F2980" s="285" t="str">
        <f t="shared" si="99"/>
        <v/>
      </c>
      <c r="K2980" s="246" t="str">
        <f t="shared" si="98"/>
        <v/>
      </c>
    </row>
    <row r="2981" spans="1:11" ht="30" customHeight="1" x14ac:dyDescent="0.2">
      <c r="A2981" s="242"/>
      <c r="F2981" s="285" t="str">
        <f t="shared" si="99"/>
        <v/>
      </c>
      <c r="K2981" s="246" t="str">
        <f t="shared" si="98"/>
        <v/>
      </c>
    </row>
    <row r="2982" spans="1:11" ht="30" customHeight="1" x14ac:dyDescent="0.2">
      <c r="A2982" s="242"/>
      <c r="F2982" s="285" t="str">
        <f t="shared" si="99"/>
        <v/>
      </c>
      <c r="K2982" s="246" t="str">
        <f t="shared" si="98"/>
        <v/>
      </c>
    </row>
    <row r="2983" spans="1:11" ht="30" customHeight="1" x14ac:dyDescent="0.2">
      <c r="A2983" s="242"/>
      <c r="F2983" s="285" t="str">
        <f t="shared" si="99"/>
        <v/>
      </c>
      <c r="K2983" s="246" t="str">
        <f t="shared" si="98"/>
        <v/>
      </c>
    </row>
    <row r="2984" spans="1:11" ht="30" customHeight="1" x14ac:dyDescent="0.2">
      <c r="A2984" s="242"/>
      <c r="F2984" s="285" t="str">
        <f t="shared" si="99"/>
        <v/>
      </c>
      <c r="K2984" s="246" t="str">
        <f t="shared" si="98"/>
        <v/>
      </c>
    </row>
    <row r="2985" spans="1:11" ht="30" customHeight="1" x14ac:dyDescent="0.2">
      <c r="A2985" s="242"/>
      <c r="F2985" s="285" t="str">
        <f t="shared" si="99"/>
        <v/>
      </c>
      <c r="K2985" s="246" t="str">
        <f t="shared" si="98"/>
        <v/>
      </c>
    </row>
    <row r="2986" spans="1:11" ht="30" customHeight="1" x14ac:dyDescent="0.2">
      <c r="A2986" s="242"/>
      <c r="F2986" s="285" t="str">
        <f t="shared" si="99"/>
        <v/>
      </c>
      <c r="K2986" s="246" t="str">
        <f t="shared" si="98"/>
        <v/>
      </c>
    </row>
    <row r="2987" spans="1:11" ht="30" customHeight="1" x14ac:dyDescent="0.2">
      <c r="A2987" s="242"/>
      <c r="F2987" s="285" t="str">
        <f t="shared" si="99"/>
        <v/>
      </c>
      <c r="K2987" s="246" t="str">
        <f t="shared" si="98"/>
        <v/>
      </c>
    </row>
    <row r="2988" spans="1:11" ht="30" customHeight="1" x14ac:dyDescent="0.2">
      <c r="A2988" s="242"/>
      <c r="F2988" s="285" t="str">
        <f t="shared" si="99"/>
        <v/>
      </c>
      <c r="K2988" s="246" t="str">
        <f t="shared" si="98"/>
        <v/>
      </c>
    </row>
    <row r="2989" spans="1:11" ht="30" customHeight="1" x14ac:dyDescent="0.2">
      <c r="A2989" s="242"/>
      <c r="F2989" s="285" t="str">
        <f t="shared" si="99"/>
        <v/>
      </c>
      <c r="K2989" s="246" t="str">
        <f t="shared" si="98"/>
        <v/>
      </c>
    </row>
    <row r="2990" spans="1:11" ht="30" customHeight="1" x14ac:dyDescent="0.2">
      <c r="A2990" s="242"/>
      <c r="F2990" s="285" t="str">
        <f t="shared" si="99"/>
        <v/>
      </c>
      <c r="K2990" s="246" t="str">
        <f t="shared" si="98"/>
        <v/>
      </c>
    </row>
    <row r="2991" spans="1:11" ht="30" customHeight="1" x14ac:dyDescent="0.2">
      <c r="A2991" s="242"/>
      <c r="F2991" s="285" t="str">
        <f t="shared" si="99"/>
        <v/>
      </c>
      <c r="K2991" s="246" t="str">
        <f t="shared" si="98"/>
        <v/>
      </c>
    </row>
    <row r="2992" spans="1:11" ht="30" customHeight="1" x14ac:dyDescent="0.2">
      <c r="A2992" s="242"/>
      <c r="F2992" s="285" t="str">
        <f t="shared" si="99"/>
        <v/>
      </c>
      <c r="K2992" s="246" t="str">
        <f t="shared" si="98"/>
        <v/>
      </c>
    </row>
    <row r="2993" spans="1:11" ht="30" customHeight="1" x14ac:dyDescent="0.2">
      <c r="A2993" s="242"/>
      <c r="F2993" s="285" t="str">
        <f t="shared" si="99"/>
        <v/>
      </c>
      <c r="K2993" s="246" t="str">
        <f t="shared" si="98"/>
        <v/>
      </c>
    </row>
    <row r="2994" spans="1:11" ht="30" customHeight="1" x14ac:dyDescent="0.2">
      <c r="A2994" s="242"/>
      <c r="F2994" s="285" t="str">
        <f t="shared" si="99"/>
        <v/>
      </c>
      <c r="K2994" s="246" t="str">
        <f t="shared" si="98"/>
        <v/>
      </c>
    </row>
    <row r="2995" spans="1:11" ht="30" customHeight="1" x14ac:dyDescent="0.2">
      <c r="A2995" s="242"/>
      <c r="F2995" s="285" t="str">
        <f t="shared" si="99"/>
        <v/>
      </c>
      <c r="K2995" s="246" t="str">
        <f t="shared" si="98"/>
        <v/>
      </c>
    </row>
    <row r="2996" spans="1:11" ht="30" customHeight="1" x14ac:dyDescent="0.2">
      <c r="A2996" s="242"/>
      <c r="F2996" s="285" t="str">
        <f t="shared" si="99"/>
        <v/>
      </c>
      <c r="K2996" s="246" t="str">
        <f t="shared" si="98"/>
        <v/>
      </c>
    </row>
    <row r="2997" spans="1:11" ht="30" customHeight="1" x14ac:dyDescent="0.2">
      <c r="A2997" s="242"/>
      <c r="F2997" s="285" t="str">
        <f t="shared" si="99"/>
        <v/>
      </c>
      <c r="K2997" s="246" t="str">
        <f t="shared" si="98"/>
        <v/>
      </c>
    </row>
    <row r="2998" spans="1:11" ht="30" customHeight="1" x14ac:dyDescent="0.2">
      <c r="A2998" s="242"/>
      <c r="F2998" s="285" t="str">
        <f t="shared" si="99"/>
        <v/>
      </c>
      <c r="K2998" s="246" t="str">
        <f t="shared" si="98"/>
        <v/>
      </c>
    </row>
    <row r="2999" spans="1:11" ht="30" customHeight="1" x14ac:dyDescent="0.2">
      <c r="A2999" s="242"/>
      <c r="F2999" s="285" t="str">
        <f t="shared" si="99"/>
        <v/>
      </c>
      <c r="K2999" s="246" t="str">
        <f t="shared" si="98"/>
        <v/>
      </c>
    </row>
    <row r="3000" spans="1:11" ht="30" customHeight="1" x14ac:dyDescent="0.2">
      <c r="A3000" s="242"/>
      <c r="F3000" s="285" t="str">
        <f t="shared" si="99"/>
        <v/>
      </c>
      <c r="K3000" s="246" t="str">
        <f t="shared" si="98"/>
        <v/>
      </c>
    </row>
    <row r="3001" spans="1:11" ht="30" customHeight="1" x14ac:dyDescent="0.2">
      <c r="A3001" s="242"/>
      <c r="F3001" s="285" t="str">
        <f t="shared" si="99"/>
        <v/>
      </c>
      <c r="K3001" s="246" t="str">
        <f t="shared" si="98"/>
        <v/>
      </c>
    </row>
    <row r="3002" spans="1:11" ht="30" customHeight="1" x14ac:dyDescent="0.2">
      <c r="A3002" s="242"/>
      <c r="F3002" s="285" t="str">
        <f t="shared" si="99"/>
        <v/>
      </c>
      <c r="K3002" s="246" t="str">
        <f t="shared" si="98"/>
        <v/>
      </c>
    </row>
    <row r="3003" spans="1:11" ht="30" customHeight="1" x14ac:dyDescent="0.2">
      <c r="A3003" s="242"/>
      <c r="F3003" s="285" t="str">
        <f t="shared" si="99"/>
        <v/>
      </c>
      <c r="K3003" s="246" t="str">
        <f t="shared" ref="K3003:K3066" si="100">IF(A3003="","",A3003)</f>
        <v/>
      </c>
    </row>
    <row r="3004" spans="1:11" ht="30" customHeight="1" x14ac:dyDescent="0.2">
      <c r="A3004" s="242"/>
      <c r="F3004" s="285" t="str">
        <f t="shared" si="99"/>
        <v/>
      </c>
      <c r="K3004" s="246" t="str">
        <f t="shared" si="100"/>
        <v/>
      </c>
    </row>
    <row r="3005" spans="1:11" ht="30" customHeight="1" x14ac:dyDescent="0.2">
      <c r="A3005" s="242"/>
      <c r="F3005" s="285" t="str">
        <f t="shared" si="99"/>
        <v/>
      </c>
      <c r="K3005" s="246" t="str">
        <f t="shared" si="100"/>
        <v/>
      </c>
    </row>
    <row r="3006" spans="1:11" ht="30" customHeight="1" x14ac:dyDescent="0.2">
      <c r="A3006" s="242"/>
      <c r="F3006" s="285" t="str">
        <f t="shared" si="99"/>
        <v/>
      </c>
      <c r="K3006" s="246" t="str">
        <f t="shared" si="100"/>
        <v/>
      </c>
    </row>
    <row r="3007" spans="1:11" ht="30" customHeight="1" x14ac:dyDescent="0.2">
      <c r="A3007" s="242"/>
      <c r="F3007" s="285" t="str">
        <f t="shared" si="99"/>
        <v/>
      </c>
      <c r="K3007" s="246" t="str">
        <f t="shared" si="100"/>
        <v/>
      </c>
    </row>
    <row r="3008" spans="1:11" ht="30" customHeight="1" x14ac:dyDescent="0.2">
      <c r="A3008" s="242"/>
      <c r="F3008" s="285" t="str">
        <f t="shared" si="99"/>
        <v/>
      </c>
      <c r="K3008" s="246" t="str">
        <f t="shared" si="100"/>
        <v/>
      </c>
    </row>
    <row r="3009" spans="1:11" ht="30" customHeight="1" x14ac:dyDescent="0.2">
      <c r="A3009" s="242"/>
      <c r="F3009" s="285" t="str">
        <f t="shared" si="99"/>
        <v/>
      </c>
      <c r="K3009" s="246" t="str">
        <f t="shared" si="100"/>
        <v/>
      </c>
    </row>
    <row r="3010" spans="1:11" ht="30" customHeight="1" x14ac:dyDescent="0.2">
      <c r="A3010" s="242"/>
      <c r="F3010" s="285" t="str">
        <f t="shared" si="99"/>
        <v/>
      </c>
      <c r="K3010" s="246" t="str">
        <f t="shared" si="100"/>
        <v/>
      </c>
    </row>
    <row r="3011" spans="1:11" ht="30" customHeight="1" x14ac:dyDescent="0.2">
      <c r="A3011" s="242"/>
      <c r="F3011" s="285" t="str">
        <f t="shared" si="99"/>
        <v/>
      </c>
      <c r="K3011" s="246" t="str">
        <f t="shared" si="100"/>
        <v/>
      </c>
    </row>
    <row r="3012" spans="1:11" ht="30" customHeight="1" x14ac:dyDescent="0.2">
      <c r="A3012" s="242"/>
      <c r="F3012" s="285" t="str">
        <f t="shared" si="99"/>
        <v/>
      </c>
      <c r="K3012" s="246" t="str">
        <f t="shared" si="100"/>
        <v/>
      </c>
    </row>
    <row r="3013" spans="1:11" ht="30" customHeight="1" x14ac:dyDescent="0.2">
      <c r="A3013" s="242"/>
      <c r="F3013" s="285" t="str">
        <f t="shared" ref="F3013:F3076" si="101">IF(A3013="","",A3013)</f>
        <v/>
      </c>
      <c r="K3013" s="246" t="str">
        <f t="shared" si="100"/>
        <v/>
      </c>
    </row>
    <row r="3014" spans="1:11" ht="30" customHeight="1" x14ac:dyDescent="0.2">
      <c r="A3014" s="242"/>
      <c r="F3014" s="285" t="str">
        <f t="shared" si="101"/>
        <v/>
      </c>
      <c r="K3014" s="246" t="str">
        <f t="shared" si="100"/>
        <v/>
      </c>
    </row>
    <row r="3015" spans="1:11" ht="30" customHeight="1" x14ac:dyDescent="0.2">
      <c r="A3015" s="242"/>
      <c r="F3015" s="285" t="str">
        <f t="shared" si="101"/>
        <v/>
      </c>
      <c r="K3015" s="246" t="str">
        <f t="shared" si="100"/>
        <v/>
      </c>
    </row>
    <row r="3016" spans="1:11" ht="30" customHeight="1" x14ac:dyDescent="0.2">
      <c r="A3016" s="242"/>
      <c r="F3016" s="285" t="str">
        <f t="shared" si="101"/>
        <v/>
      </c>
      <c r="K3016" s="246" t="str">
        <f t="shared" si="100"/>
        <v/>
      </c>
    </row>
    <row r="3017" spans="1:11" ht="30" customHeight="1" x14ac:dyDescent="0.2">
      <c r="A3017" s="242"/>
      <c r="F3017" s="285" t="str">
        <f t="shared" si="101"/>
        <v/>
      </c>
      <c r="K3017" s="246" t="str">
        <f t="shared" si="100"/>
        <v/>
      </c>
    </row>
    <row r="3018" spans="1:11" ht="30" customHeight="1" x14ac:dyDescent="0.2">
      <c r="A3018" s="242"/>
      <c r="F3018" s="285" t="str">
        <f t="shared" si="101"/>
        <v/>
      </c>
      <c r="K3018" s="246" t="str">
        <f t="shared" si="100"/>
        <v/>
      </c>
    </row>
    <row r="3019" spans="1:11" ht="30" customHeight="1" x14ac:dyDescent="0.2">
      <c r="A3019" s="242"/>
      <c r="F3019" s="285" t="str">
        <f t="shared" si="101"/>
        <v/>
      </c>
      <c r="K3019" s="246" t="str">
        <f t="shared" si="100"/>
        <v/>
      </c>
    </row>
    <row r="3020" spans="1:11" ht="30" customHeight="1" x14ac:dyDescent="0.2">
      <c r="A3020" s="242"/>
      <c r="F3020" s="285" t="str">
        <f t="shared" si="101"/>
        <v/>
      </c>
      <c r="K3020" s="246" t="str">
        <f t="shared" si="100"/>
        <v/>
      </c>
    </row>
    <row r="3021" spans="1:11" ht="30" customHeight="1" x14ac:dyDescent="0.2">
      <c r="A3021" s="242"/>
      <c r="F3021" s="285" t="str">
        <f t="shared" si="101"/>
        <v/>
      </c>
      <c r="K3021" s="246" t="str">
        <f t="shared" si="100"/>
        <v/>
      </c>
    </row>
    <row r="3022" spans="1:11" ht="30" customHeight="1" x14ac:dyDescent="0.2">
      <c r="A3022" s="242"/>
      <c r="F3022" s="285" t="str">
        <f t="shared" si="101"/>
        <v/>
      </c>
      <c r="K3022" s="246" t="str">
        <f t="shared" si="100"/>
        <v/>
      </c>
    </row>
    <row r="3023" spans="1:11" ht="30" customHeight="1" x14ac:dyDescent="0.2">
      <c r="A3023" s="242"/>
      <c r="F3023" s="285" t="str">
        <f t="shared" si="101"/>
        <v/>
      </c>
      <c r="K3023" s="246" t="str">
        <f t="shared" si="100"/>
        <v/>
      </c>
    </row>
    <row r="3024" spans="1:11" ht="30" customHeight="1" x14ac:dyDescent="0.2">
      <c r="A3024" s="242"/>
      <c r="F3024" s="285" t="str">
        <f t="shared" si="101"/>
        <v/>
      </c>
      <c r="K3024" s="246" t="str">
        <f t="shared" si="100"/>
        <v/>
      </c>
    </row>
    <row r="3025" spans="1:11" ht="30" customHeight="1" x14ac:dyDescent="0.2">
      <c r="A3025" s="242"/>
      <c r="F3025" s="285" t="str">
        <f t="shared" si="101"/>
        <v/>
      </c>
      <c r="K3025" s="246" t="str">
        <f t="shared" si="100"/>
        <v/>
      </c>
    </row>
    <row r="3026" spans="1:11" ht="30" customHeight="1" x14ac:dyDescent="0.2">
      <c r="A3026" s="242"/>
      <c r="F3026" s="285" t="str">
        <f t="shared" si="101"/>
        <v/>
      </c>
      <c r="K3026" s="246" t="str">
        <f t="shared" si="100"/>
        <v/>
      </c>
    </row>
    <row r="3027" spans="1:11" ht="30" customHeight="1" x14ac:dyDescent="0.2">
      <c r="A3027" s="242"/>
      <c r="F3027" s="285" t="str">
        <f t="shared" si="101"/>
        <v/>
      </c>
      <c r="K3027" s="246" t="str">
        <f t="shared" si="100"/>
        <v/>
      </c>
    </row>
    <row r="3028" spans="1:11" ht="30" customHeight="1" x14ac:dyDescent="0.2">
      <c r="A3028" s="242"/>
      <c r="F3028" s="285" t="str">
        <f t="shared" si="101"/>
        <v/>
      </c>
      <c r="K3028" s="246" t="str">
        <f t="shared" si="100"/>
        <v/>
      </c>
    </row>
    <row r="3029" spans="1:11" ht="30" customHeight="1" x14ac:dyDescent="0.2">
      <c r="A3029" s="242"/>
      <c r="F3029" s="285" t="str">
        <f t="shared" si="101"/>
        <v/>
      </c>
      <c r="K3029" s="246" t="str">
        <f t="shared" si="100"/>
        <v/>
      </c>
    </row>
    <row r="3030" spans="1:11" ht="30" customHeight="1" x14ac:dyDescent="0.2">
      <c r="A3030" s="242"/>
      <c r="F3030" s="285" t="str">
        <f t="shared" si="101"/>
        <v/>
      </c>
      <c r="K3030" s="246" t="str">
        <f t="shared" si="100"/>
        <v/>
      </c>
    </row>
    <row r="3031" spans="1:11" ht="30" customHeight="1" x14ac:dyDescent="0.2">
      <c r="A3031" s="242"/>
      <c r="F3031" s="285" t="str">
        <f t="shared" si="101"/>
        <v/>
      </c>
      <c r="K3031" s="246" t="str">
        <f t="shared" si="100"/>
        <v/>
      </c>
    </row>
    <row r="3032" spans="1:11" ht="30" customHeight="1" x14ac:dyDescent="0.2">
      <c r="A3032" s="242"/>
      <c r="F3032" s="285" t="str">
        <f t="shared" si="101"/>
        <v/>
      </c>
      <c r="K3032" s="246" t="str">
        <f t="shared" si="100"/>
        <v/>
      </c>
    </row>
    <row r="3033" spans="1:11" ht="30" customHeight="1" x14ac:dyDescent="0.2">
      <c r="A3033" s="242"/>
      <c r="F3033" s="285" t="str">
        <f t="shared" si="101"/>
        <v/>
      </c>
      <c r="K3033" s="246" t="str">
        <f t="shared" si="100"/>
        <v/>
      </c>
    </row>
    <row r="3034" spans="1:11" ht="30" customHeight="1" x14ac:dyDescent="0.2">
      <c r="A3034" s="242"/>
      <c r="F3034" s="285" t="str">
        <f t="shared" si="101"/>
        <v/>
      </c>
      <c r="K3034" s="246" t="str">
        <f t="shared" si="100"/>
        <v/>
      </c>
    </row>
    <row r="3035" spans="1:11" ht="30" customHeight="1" x14ac:dyDescent="0.2">
      <c r="A3035" s="242"/>
      <c r="F3035" s="285" t="str">
        <f t="shared" si="101"/>
        <v/>
      </c>
      <c r="K3035" s="246" t="str">
        <f t="shared" si="100"/>
        <v/>
      </c>
    </row>
    <row r="3036" spans="1:11" ht="30" customHeight="1" x14ac:dyDescent="0.2">
      <c r="A3036" s="242"/>
      <c r="F3036" s="285" t="str">
        <f t="shared" si="101"/>
        <v/>
      </c>
      <c r="K3036" s="246" t="str">
        <f t="shared" si="100"/>
        <v/>
      </c>
    </row>
    <row r="3037" spans="1:11" ht="30" customHeight="1" x14ac:dyDescent="0.2">
      <c r="A3037" s="242"/>
      <c r="F3037" s="285" t="str">
        <f t="shared" si="101"/>
        <v/>
      </c>
      <c r="K3037" s="246" t="str">
        <f t="shared" si="100"/>
        <v/>
      </c>
    </row>
    <row r="3038" spans="1:11" ht="30" customHeight="1" x14ac:dyDescent="0.2">
      <c r="A3038" s="242"/>
      <c r="F3038" s="285" t="str">
        <f t="shared" si="101"/>
        <v/>
      </c>
      <c r="K3038" s="246" t="str">
        <f t="shared" si="100"/>
        <v/>
      </c>
    </row>
    <row r="3039" spans="1:11" ht="30" customHeight="1" x14ac:dyDescent="0.2">
      <c r="A3039" s="242"/>
      <c r="F3039" s="285" t="str">
        <f t="shared" si="101"/>
        <v/>
      </c>
      <c r="K3039" s="246" t="str">
        <f t="shared" si="100"/>
        <v/>
      </c>
    </row>
    <row r="3040" spans="1:11" ht="30" customHeight="1" x14ac:dyDescent="0.2">
      <c r="A3040" s="242"/>
      <c r="F3040" s="285" t="str">
        <f t="shared" si="101"/>
        <v/>
      </c>
      <c r="K3040" s="246" t="str">
        <f t="shared" si="100"/>
        <v/>
      </c>
    </row>
    <row r="3041" spans="1:11" ht="30" customHeight="1" x14ac:dyDescent="0.2">
      <c r="A3041" s="242"/>
      <c r="F3041" s="285" t="str">
        <f t="shared" si="101"/>
        <v/>
      </c>
      <c r="K3041" s="246" t="str">
        <f t="shared" si="100"/>
        <v/>
      </c>
    </row>
    <row r="3042" spans="1:11" ht="30" customHeight="1" x14ac:dyDescent="0.2">
      <c r="A3042" s="242"/>
      <c r="F3042" s="285" t="str">
        <f t="shared" si="101"/>
        <v/>
      </c>
      <c r="K3042" s="246" t="str">
        <f t="shared" si="100"/>
        <v/>
      </c>
    </row>
    <row r="3043" spans="1:11" ht="30" customHeight="1" x14ac:dyDescent="0.2">
      <c r="A3043" s="242"/>
      <c r="F3043" s="285" t="str">
        <f t="shared" si="101"/>
        <v/>
      </c>
      <c r="K3043" s="246" t="str">
        <f t="shared" si="100"/>
        <v/>
      </c>
    </row>
    <row r="3044" spans="1:11" ht="30" customHeight="1" x14ac:dyDescent="0.2">
      <c r="A3044" s="242"/>
      <c r="F3044" s="285" t="str">
        <f t="shared" si="101"/>
        <v/>
      </c>
      <c r="K3044" s="246" t="str">
        <f t="shared" si="100"/>
        <v/>
      </c>
    </row>
    <row r="3045" spans="1:11" ht="30" customHeight="1" x14ac:dyDescent="0.2">
      <c r="A3045" s="242"/>
      <c r="F3045" s="285" t="str">
        <f t="shared" si="101"/>
        <v/>
      </c>
      <c r="K3045" s="246" t="str">
        <f t="shared" si="100"/>
        <v/>
      </c>
    </row>
    <row r="3046" spans="1:11" ht="30" customHeight="1" x14ac:dyDescent="0.2">
      <c r="A3046" s="242"/>
      <c r="F3046" s="285" t="str">
        <f t="shared" si="101"/>
        <v/>
      </c>
      <c r="K3046" s="246" t="str">
        <f t="shared" si="100"/>
        <v/>
      </c>
    </row>
    <row r="3047" spans="1:11" ht="30" customHeight="1" x14ac:dyDescent="0.2">
      <c r="A3047" s="242"/>
      <c r="F3047" s="285" t="str">
        <f t="shared" si="101"/>
        <v/>
      </c>
      <c r="K3047" s="246" t="str">
        <f t="shared" si="100"/>
        <v/>
      </c>
    </row>
    <row r="3048" spans="1:11" ht="30" customHeight="1" x14ac:dyDescent="0.2">
      <c r="A3048" s="242"/>
      <c r="F3048" s="285" t="str">
        <f t="shared" si="101"/>
        <v/>
      </c>
      <c r="K3048" s="246" t="str">
        <f t="shared" si="100"/>
        <v/>
      </c>
    </row>
    <row r="3049" spans="1:11" ht="30" customHeight="1" x14ac:dyDescent="0.2">
      <c r="A3049" s="242"/>
      <c r="F3049" s="285" t="str">
        <f t="shared" si="101"/>
        <v/>
      </c>
      <c r="K3049" s="246" t="str">
        <f t="shared" si="100"/>
        <v/>
      </c>
    </row>
    <row r="3050" spans="1:11" ht="30" customHeight="1" x14ac:dyDescent="0.2">
      <c r="A3050" s="242"/>
      <c r="F3050" s="285" t="str">
        <f t="shared" si="101"/>
        <v/>
      </c>
      <c r="K3050" s="246" t="str">
        <f t="shared" si="100"/>
        <v/>
      </c>
    </row>
    <row r="3051" spans="1:11" ht="30" customHeight="1" x14ac:dyDescent="0.2">
      <c r="A3051" s="242"/>
      <c r="F3051" s="285" t="str">
        <f t="shared" si="101"/>
        <v/>
      </c>
      <c r="K3051" s="246" t="str">
        <f t="shared" si="100"/>
        <v/>
      </c>
    </row>
    <row r="3052" spans="1:11" ht="30" customHeight="1" x14ac:dyDescent="0.2">
      <c r="A3052" s="242"/>
      <c r="F3052" s="285" t="str">
        <f t="shared" si="101"/>
        <v/>
      </c>
      <c r="K3052" s="246" t="str">
        <f t="shared" si="100"/>
        <v/>
      </c>
    </row>
    <row r="3053" spans="1:11" ht="30" customHeight="1" x14ac:dyDescent="0.2">
      <c r="A3053" s="242"/>
      <c r="F3053" s="285" t="str">
        <f t="shared" si="101"/>
        <v/>
      </c>
      <c r="K3053" s="246" t="str">
        <f t="shared" si="100"/>
        <v/>
      </c>
    </row>
    <row r="3054" spans="1:11" ht="30" customHeight="1" x14ac:dyDescent="0.2">
      <c r="A3054" s="242"/>
      <c r="F3054" s="285" t="str">
        <f t="shared" si="101"/>
        <v/>
      </c>
      <c r="K3054" s="246" t="str">
        <f t="shared" si="100"/>
        <v/>
      </c>
    </row>
    <row r="3055" spans="1:11" ht="30" customHeight="1" x14ac:dyDescent="0.2">
      <c r="A3055" s="242"/>
      <c r="F3055" s="285" t="str">
        <f t="shared" si="101"/>
        <v/>
      </c>
      <c r="K3055" s="246" t="str">
        <f t="shared" si="100"/>
        <v/>
      </c>
    </row>
    <row r="3056" spans="1:11" ht="30" customHeight="1" x14ac:dyDescent="0.2">
      <c r="A3056" s="242"/>
      <c r="F3056" s="285" t="str">
        <f t="shared" si="101"/>
        <v/>
      </c>
      <c r="K3056" s="246" t="str">
        <f t="shared" si="100"/>
        <v/>
      </c>
    </row>
    <row r="3057" spans="1:11" ht="30" customHeight="1" x14ac:dyDescent="0.2">
      <c r="A3057" s="242"/>
      <c r="F3057" s="285" t="str">
        <f t="shared" si="101"/>
        <v/>
      </c>
      <c r="K3057" s="246" t="str">
        <f t="shared" si="100"/>
        <v/>
      </c>
    </row>
    <row r="3058" spans="1:11" ht="30" customHeight="1" x14ac:dyDescent="0.2">
      <c r="A3058" s="242"/>
      <c r="F3058" s="285" t="str">
        <f t="shared" si="101"/>
        <v/>
      </c>
      <c r="K3058" s="246" t="str">
        <f t="shared" si="100"/>
        <v/>
      </c>
    </row>
    <row r="3059" spans="1:11" ht="30" customHeight="1" x14ac:dyDescent="0.2">
      <c r="A3059" s="242"/>
      <c r="F3059" s="285" t="str">
        <f t="shared" si="101"/>
        <v/>
      </c>
      <c r="K3059" s="246" t="str">
        <f t="shared" si="100"/>
        <v/>
      </c>
    </row>
    <row r="3060" spans="1:11" ht="30" customHeight="1" x14ac:dyDescent="0.2">
      <c r="A3060" s="242"/>
      <c r="F3060" s="285" t="str">
        <f t="shared" si="101"/>
        <v/>
      </c>
      <c r="K3060" s="246" t="str">
        <f t="shared" si="100"/>
        <v/>
      </c>
    </row>
    <row r="3061" spans="1:11" ht="30" customHeight="1" x14ac:dyDescent="0.2">
      <c r="A3061" s="242"/>
      <c r="F3061" s="285" t="str">
        <f t="shared" si="101"/>
        <v/>
      </c>
      <c r="K3061" s="246" t="str">
        <f t="shared" si="100"/>
        <v/>
      </c>
    </row>
    <row r="3062" spans="1:11" ht="30" customHeight="1" x14ac:dyDescent="0.2">
      <c r="A3062" s="242"/>
      <c r="F3062" s="285" t="str">
        <f t="shared" si="101"/>
        <v/>
      </c>
      <c r="K3062" s="246" t="str">
        <f t="shared" si="100"/>
        <v/>
      </c>
    </row>
    <row r="3063" spans="1:11" ht="30" customHeight="1" x14ac:dyDescent="0.2">
      <c r="A3063" s="242"/>
      <c r="F3063" s="285" t="str">
        <f t="shared" si="101"/>
        <v/>
      </c>
      <c r="K3063" s="246" t="str">
        <f t="shared" si="100"/>
        <v/>
      </c>
    </row>
    <row r="3064" spans="1:11" ht="30" customHeight="1" x14ac:dyDescent="0.2">
      <c r="A3064" s="242"/>
      <c r="F3064" s="285" t="str">
        <f t="shared" si="101"/>
        <v/>
      </c>
      <c r="K3064" s="246" t="str">
        <f t="shared" si="100"/>
        <v/>
      </c>
    </row>
    <row r="3065" spans="1:11" ht="30" customHeight="1" x14ac:dyDescent="0.2">
      <c r="A3065" s="242"/>
      <c r="F3065" s="285" t="str">
        <f t="shared" si="101"/>
        <v/>
      </c>
      <c r="K3065" s="246" t="str">
        <f t="shared" si="100"/>
        <v/>
      </c>
    </row>
    <row r="3066" spans="1:11" ht="30" customHeight="1" x14ac:dyDescent="0.2">
      <c r="A3066" s="242"/>
      <c r="F3066" s="285" t="str">
        <f t="shared" si="101"/>
        <v/>
      </c>
      <c r="K3066" s="246" t="str">
        <f t="shared" si="100"/>
        <v/>
      </c>
    </row>
    <row r="3067" spans="1:11" ht="30" customHeight="1" x14ac:dyDescent="0.2">
      <c r="A3067" s="242"/>
      <c r="F3067" s="285" t="str">
        <f t="shared" si="101"/>
        <v/>
      </c>
      <c r="K3067" s="246" t="str">
        <f t="shared" ref="K3067:K3130" si="102">IF(A3067="","",A3067)</f>
        <v/>
      </c>
    </row>
    <row r="3068" spans="1:11" ht="30" customHeight="1" x14ac:dyDescent="0.2">
      <c r="A3068" s="242"/>
      <c r="F3068" s="285" t="str">
        <f t="shared" si="101"/>
        <v/>
      </c>
      <c r="K3068" s="246" t="str">
        <f t="shared" si="102"/>
        <v/>
      </c>
    </row>
    <row r="3069" spans="1:11" ht="30" customHeight="1" x14ac:dyDescent="0.2">
      <c r="A3069" s="242"/>
      <c r="F3069" s="285" t="str">
        <f t="shared" si="101"/>
        <v/>
      </c>
      <c r="K3069" s="246" t="str">
        <f t="shared" si="102"/>
        <v/>
      </c>
    </row>
    <row r="3070" spans="1:11" ht="30" customHeight="1" x14ac:dyDescent="0.2">
      <c r="A3070" s="242"/>
      <c r="F3070" s="285" t="str">
        <f t="shared" si="101"/>
        <v/>
      </c>
      <c r="K3070" s="246" t="str">
        <f t="shared" si="102"/>
        <v/>
      </c>
    </row>
    <row r="3071" spans="1:11" ht="30" customHeight="1" x14ac:dyDescent="0.2">
      <c r="A3071" s="242"/>
      <c r="F3071" s="285" t="str">
        <f t="shared" si="101"/>
        <v/>
      </c>
      <c r="K3071" s="246" t="str">
        <f t="shared" si="102"/>
        <v/>
      </c>
    </row>
    <row r="3072" spans="1:11" ht="30" customHeight="1" x14ac:dyDescent="0.2">
      <c r="A3072" s="242"/>
      <c r="F3072" s="285" t="str">
        <f t="shared" si="101"/>
        <v/>
      </c>
      <c r="K3072" s="246" t="str">
        <f t="shared" si="102"/>
        <v/>
      </c>
    </row>
    <row r="3073" spans="1:11" ht="30" customHeight="1" x14ac:dyDescent="0.2">
      <c r="A3073" s="242"/>
      <c r="F3073" s="285" t="str">
        <f t="shared" si="101"/>
        <v/>
      </c>
      <c r="K3073" s="246" t="str">
        <f t="shared" si="102"/>
        <v/>
      </c>
    </row>
    <row r="3074" spans="1:11" ht="30" customHeight="1" x14ac:dyDescent="0.2">
      <c r="A3074" s="242"/>
      <c r="F3074" s="285" t="str">
        <f t="shared" si="101"/>
        <v/>
      </c>
      <c r="K3074" s="246" t="str">
        <f t="shared" si="102"/>
        <v/>
      </c>
    </row>
    <row r="3075" spans="1:11" ht="30" customHeight="1" x14ac:dyDescent="0.2">
      <c r="A3075" s="242"/>
      <c r="F3075" s="285" t="str">
        <f t="shared" si="101"/>
        <v/>
      </c>
      <c r="K3075" s="246" t="str">
        <f t="shared" si="102"/>
        <v/>
      </c>
    </row>
    <row r="3076" spans="1:11" ht="30" customHeight="1" x14ac:dyDescent="0.2">
      <c r="A3076" s="242"/>
      <c r="F3076" s="285" t="str">
        <f t="shared" si="101"/>
        <v/>
      </c>
      <c r="K3076" s="246" t="str">
        <f t="shared" si="102"/>
        <v/>
      </c>
    </row>
    <row r="3077" spans="1:11" ht="30" customHeight="1" x14ac:dyDescent="0.2">
      <c r="A3077" s="242"/>
      <c r="F3077" s="285" t="str">
        <f t="shared" ref="F3077:F3140" si="103">IF(A3077="","",A3077)</f>
        <v/>
      </c>
      <c r="K3077" s="246" t="str">
        <f t="shared" si="102"/>
        <v/>
      </c>
    </row>
    <row r="3078" spans="1:11" ht="30" customHeight="1" x14ac:dyDescent="0.2">
      <c r="A3078" s="242"/>
      <c r="F3078" s="285" t="str">
        <f t="shared" si="103"/>
        <v/>
      </c>
      <c r="K3078" s="246" t="str">
        <f t="shared" si="102"/>
        <v/>
      </c>
    </row>
    <row r="3079" spans="1:11" ht="30" customHeight="1" x14ac:dyDescent="0.2">
      <c r="A3079" s="242"/>
      <c r="F3079" s="285" t="str">
        <f t="shared" si="103"/>
        <v/>
      </c>
      <c r="K3079" s="246" t="str">
        <f t="shared" si="102"/>
        <v/>
      </c>
    </row>
    <row r="3080" spans="1:11" ht="30" customHeight="1" x14ac:dyDescent="0.2">
      <c r="A3080" s="242"/>
      <c r="F3080" s="285" t="str">
        <f t="shared" si="103"/>
        <v/>
      </c>
      <c r="K3080" s="246" t="str">
        <f t="shared" si="102"/>
        <v/>
      </c>
    </row>
    <row r="3081" spans="1:11" ht="30" customHeight="1" x14ac:dyDescent="0.2">
      <c r="A3081" s="242"/>
      <c r="F3081" s="285" t="str">
        <f t="shared" si="103"/>
        <v/>
      </c>
      <c r="K3081" s="246" t="str">
        <f t="shared" si="102"/>
        <v/>
      </c>
    </row>
    <row r="3082" spans="1:11" ht="30" customHeight="1" x14ac:dyDescent="0.2">
      <c r="A3082" s="242"/>
      <c r="F3082" s="285" t="str">
        <f t="shared" si="103"/>
        <v/>
      </c>
      <c r="K3082" s="246" t="str">
        <f t="shared" si="102"/>
        <v/>
      </c>
    </row>
    <row r="3083" spans="1:11" ht="30" customHeight="1" x14ac:dyDescent="0.2">
      <c r="A3083" s="242"/>
      <c r="F3083" s="285" t="str">
        <f t="shared" si="103"/>
        <v/>
      </c>
      <c r="K3083" s="246" t="str">
        <f t="shared" si="102"/>
        <v/>
      </c>
    </row>
    <row r="3084" spans="1:11" ht="30" customHeight="1" x14ac:dyDescent="0.2">
      <c r="A3084" s="242"/>
      <c r="F3084" s="285" t="str">
        <f t="shared" si="103"/>
        <v/>
      </c>
      <c r="K3084" s="246" t="str">
        <f t="shared" si="102"/>
        <v/>
      </c>
    </row>
    <row r="3085" spans="1:11" ht="30" customHeight="1" x14ac:dyDescent="0.2">
      <c r="A3085" s="242"/>
      <c r="F3085" s="285" t="str">
        <f t="shared" si="103"/>
        <v/>
      </c>
      <c r="K3085" s="246" t="str">
        <f t="shared" si="102"/>
        <v/>
      </c>
    </row>
    <row r="3086" spans="1:11" ht="30" customHeight="1" x14ac:dyDescent="0.2">
      <c r="A3086" s="242"/>
      <c r="F3086" s="285" t="str">
        <f t="shared" si="103"/>
        <v/>
      </c>
      <c r="K3086" s="246" t="str">
        <f t="shared" si="102"/>
        <v/>
      </c>
    </row>
    <row r="3087" spans="1:11" ht="30" customHeight="1" x14ac:dyDescent="0.2">
      <c r="A3087" s="242"/>
      <c r="F3087" s="285" t="str">
        <f t="shared" si="103"/>
        <v/>
      </c>
      <c r="K3087" s="246" t="str">
        <f t="shared" si="102"/>
        <v/>
      </c>
    </row>
    <row r="3088" spans="1:11" ht="30" customHeight="1" x14ac:dyDescent="0.2">
      <c r="A3088" s="242"/>
      <c r="F3088" s="285" t="str">
        <f t="shared" si="103"/>
        <v/>
      </c>
      <c r="K3088" s="246" t="str">
        <f t="shared" si="102"/>
        <v/>
      </c>
    </row>
    <row r="3089" spans="1:11" ht="30" customHeight="1" x14ac:dyDescent="0.2">
      <c r="A3089" s="242"/>
      <c r="F3089" s="285" t="str">
        <f t="shared" si="103"/>
        <v/>
      </c>
      <c r="K3089" s="246" t="str">
        <f t="shared" si="102"/>
        <v/>
      </c>
    </row>
    <row r="3090" spans="1:11" ht="30" customHeight="1" x14ac:dyDescent="0.2">
      <c r="A3090" s="242"/>
      <c r="F3090" s="285" t="str">
        <f t="shared" si="103"/>
        <v/>
      </c>
      <c r="K3090" s="246" t="str">
        <f t="shared" si="102"/>
        <v/>
      </c>
    </row>
    <row r="3091" spans="1:11" ht="30" customHeight="1" x14ac:dyDescent="0.2">
      <c r="A3091" s="242"/>
      <c r="F3091" s="285" t="str">
        <f t="shared" si="103"/>
        <v/>
      </c>
      <c r="K3091" s="246" t="str">
        <f t="shared" si="102"/>
        <v/>
      </c>
    </row>
    <row r="3092" spans="1:11" ht="30" customHeight="1" x14ac:dyDescent="0.2">
      <c r="A3092" s="242"/>
      <c r="F3092" s="285" t="str">
        <f t="shared" si="103"/>
        <v/>
      </c>
      <c r="K3092" s="246" t="str">
        <f t="shared" si="102"/>
        <v/>
      </c>
    </row>
    <row r="3093" spans="1:11" ht="30" customHeight="1" x14ac:dyDescent="0.2">
      <c r="A3093" s="242"/>
      <c r="F3093" s="285" t="str">
        <f t="shared" si="103"/>
        <v/>
      </c>
      <c r="K3093" s="246" t="str">
        <f t="shared" si="102"/>
        <v/>
      </c>
    </row>
    <row r="3094" spans="1:11" ht="30" customHeight="1" x14ac:dyDescent="0.2">
      <c r="A3094" s="242"/>
      <c r="F3094" s="285" t="str">
        <f t="shared" si="103"/>
        <v/>
      </c>
      <c r="K3094" s="246" t="str">
        <f t="shared" si="102"/>
        <v/>
      </c>
    </row>
    <row r="3095" spans="1:11" ht="30" customHeight="1" x14ac:dyDescent="0.2">
      <c r="A3095" s="242"/>
      <c r="F3095" s="285" t="str">
        <f t="shared" si="103"/>
        <v/>
      </c>
      <c r="K3095" s="246" t="str">
        <f t="shared" si="102"/>
        <v/>
      </c>
    </row>
    <row r="3096" spans="1:11" ht="30" customHeight="1" x14ac:dyDescent="0.2">
      <c r="A3096" s="242"/>
      <c r="F3096" s="285" t="str">
        <f t="shared" si="103"/>
        <v/>
      </c>
      <c r="K3096" s="246" t="str">
        <f t="shared" si="102"/>
        <v/>
      </c>
    </row>
    <row r="3097" spans="1:11" ht="30" customHeight="1" x14ac:dyDescent="0.2">
      <c r="A3097" s="242"/>
      <c r="F3097" s="285" t="str">
        <f t="shared" si="103"/>
        <v/>
      </c>
      <c r="K3097" s="246" t="str">
        <f t="shared" si="102"/>
        <v/>
      </c>
    </row>
    <row r="3098" spans="1:11" ht="30" customHeight="1" x14ac:dyDescent="0.2">
      <c r="A3098" s="242"/>
      <c r="F3098" s="285" t="str">
        <f t="shared" si="103"/>
        <v/>
      </c>
      <c r="K3098" s="246" t="str">
        <f t="shared" si="102"/>
        <v/>
      </c>
    </row>
    <row r="3099" spans="1:11" ht="30" customHeight="1" x14ac:dyDescent="0.2">
      <c r="A3099" s="242"/>
      <c r="F3099" s="285" t="str">
        <f t="shared" si="103"/>
        <v/>
      </c>
      <c r="K3099" s="246" t="str">
        <f t="shared" si="102"/>
        <v/>
      </c>
    </row>
    <row r="3100" spans="1:11" ht="30" customHeight="1" x14ac:dyDescent="0.2">
      <c r="A3100" s="242"/>
      <c r="F3100" s="285" t="str">
        <f t="shared" si="103"/>
        <v/>
      </c>
      <c r="K3100" s="246" t="str">
        <f t="shared" si="102"/>
        <v/>
      </c>
    </row>
    <row r="3101" spans="1:11" ht="30" customHeight="1" x14ac:dyDescent="0.2">
      <c r="A3101" s="242"/>
      <c r="F3101" s="285" t="str">
        <f t="shared" si="103"/>
        <v/>
      </c>
      <c r="K3101" s="246" t="str">
        <f t="shared" si="102"/>
        <v/>
      </c>
    </row>
    <row r="3102" spans="1:11" ht="30" customHeight="1" x14ac:dyDescent="0.2">
      <c r="A3102" s="242"/>
      <c r="F3102" s="285" t="str">
        <f t="shared" si="103"/>
        <v/>
      </c>
      <c r="K3102" s="246" t="str">
        <f t="shared" si="102"/>
        <v/>
      </c>
    </row>
    <row r="3103" spans="1:11" ht="30" customHeight="1" x14ac:dyDescent="0.2">
      <c r="A3103" s="242"/>
      <c r="F3103" s="285" t="str">
        <f t="shared" si="103"/>
        <v/>
      </c>
      <c r="K3103" s="246" t="str">
        <f t="shared" si="102"/>
        <v/>
      </c>
    </row>
    <row r="3104" spans="1:11" ht="30" customHeight="1" x14ac:dyDescent="0.2">
      <c r="A3104" s="242"/>
      <c r="F3104" s="285" t="str">
        <f t="shared" si="103"/>
        <v/>
      </c>
      <c r="K3104" s="246" t="str">
        <f t="shared" si="102"/>
        <v/>
      </c>
    </row>
    <row r="3105" spans="1:11" ht="30" customHeight="1" x14ac:dyDescent="0.2">
      <c r="A3105" s="242"/>
      <c r="F3105" s="285" t="str">
        <f t="shared" si="103"/>
        <v/>
      </c>
      <c r="K3105" s="246" t="str">
        <f t="shared" si="102"/>
        <v/>
      </c>
    </row>
    <row r="3106" spans="1:11" ht="30" customHeight="1" x14ac:dyDescent="0.2">
      <c r="A3106" s="242"/>
      <c r="F3106" s="285" t="str">
        <f t="shared" si="103"/>
        <v/>
      </c>
      <c r="K3106" s="246" t="str">
        <f t="shared" si="102"/>
        <v/>
      </c>
    </row>
    <row r="3107" spans="1:11" ht="30" customHeight="1" x14ac:dyDescent="0.2">
      <c r="A3107" s="242"/>
      <c r="F3107" s="285" t="str">
        <f t="shared" si="103"/>
        <v/>
      </c>
      <c r="K3107" s="246" t="str">
        <f t="shared" si="102"/>
        <v/>
      </c>
    </row>
    <row r="3108" spans="1:11" ht="30" customHeight="1" x14ac:dyDescent="0.2">
      <c r="A3108" s="242"/>
      <c r="F3108" s="285" t="str">
        <f t="shared" si="103"/>
        <v/>
      </c>
      <c r="K3108" s="246" t="str">
        <f t="shared" si="102"/>
        <v/>
      </c>
    </row>
    <row r="3109" spans="1:11" ht="30" customHeight="1" x14ac:dyDescent="0.2">
      <c r="A3109" s="242"/>
      <c r="F3109" s="285" t="str">
        <f t="shared" si="103"/>
        <v/>
      </c>
      <c r="K3109" s="246" t="str">
        <f t="shared" si="102"/>
        <v/>
      </c>
    </row>
    <row r="3110" spans="1:11" ht="30" customHeight="1" x14ac:dyDescent="0.2">
      <c r="A3110" s="242"/>
      <c r="F3110" s="285" t="str">
        <f t="shared" si="103"/>
        <v/>
      </c>
      <c r="K3110" s="246" t="str">
        <f t="shared" si="102"/>
        <v/>
      </c>
    </row>
    <row r="3111" spans="1:11" ht="30" customHeight="1" x14ac:dyDescent="0.2">
      <c r="A3111" s="242"/>
      <c r="F3111" s="285" t="str">
        <f t="shared" si="103"/>
        <v/>
      </c>
      <c r="K3111" s="246" t="str">
        <f t="shared" si="102"/>
        <v/>
      </c>
    </row>
    <row r="3112" spans="1:11" ht="30" customHeight="1" x14ac:dyDescent="0.2">
      <c r="A3112" s="242"/>
      <c r="F3112" s="285" t="str">
        <f t="shared" si="103"/>
        <v/>
      </c>
      <c r="K3112" s="246" t="str">
        <f t="shared" si="102"/>
        <v/>
      </c>
    </row>
    <row r="3113" spans="1:11" ht="30" customHeight="1" x14ac:dyDescent="0.2">
      <c r="A3113" s="242"/>
      <c r="F3113" s="285" t="str">
        <f t="shared" si="103"/>
        <v/>
      </c>
      <c r="K3113" s="246" t="str">
        <f t="shared" si="102"/>
        <v/>
      </c>
    </row>
    <row r="3114" spans="1:11" ht="30" customHeight="1" x14ac:dyDescent="0.2">
      <c r="A3114" s="242"/>
      <c r="F3114" s="285" t="str">
        <f t="shared" si="103"/>
        <v/>
      </c>
      <c r="K3114" s="246" t="str">
        <f t="shared" si="102"/>
        <v/>
      </c>
    </row>
    <row r="3115" spans="1:11" ht="30" customHeight="1" x14ac:dyDescent="0.2">
      <c r="A3115" s="242"/>
      <c r="F3115" s="285" t="str">
        <f t="shared" si="103"/>
        <v/>
      </c>
      <c r="K3115" s="246" t="str">
        <f t="shared" si="102"/>
        <v/>
      </c>
    </row>
    <row r="3116" spans="1:11" ht="30" customHeight="1" x14ac:dyDescent="0.2">
      <c r="A3116" s="242"/>
      <c r="F3116" s="285" t="str">
        <f t="shared" si="103"/>
        <v/>
      </c>
      <c r="K3116" s="246" t="str">
        <f t="shared" si="102"/>
        <v/>
      </c>
    </row>
    <row r="3117" spans="1:11" ht="30" customHeight="1" x14ac:dyDescent="0.2">
      <c r="A3117" s="242"/>
      <c r="F3117" s="285" t="str">
        <f t="shared" si="103"/>
        <v/>
      </c>
      <c r="K3117" s="246" t="str">
        <f t="shared" si="102"/>
        <v/>
      </c>
    </row>
    <row r="3118" spans="1:11" ht="30" customHeight="1" x14ac:dyDescent="0.2">
      <c r="A3118" s="242"/>
      <c r="F3118" s="285" t="str">
        <f t="shared" si="103"/>
        <v/>
      </c>
      <c r="K3118" s="246" t="str">
        <f t="shared" si="102"/>
        <v/>
      </c>
    </row>
    <row r="3119" spans="1:11" ht="30" customHeight="1" x14ac:dyDescent="0.2">
      <c r="A3119" s="242"/>
      <c r="F3119" s="285" t="str">
        <f t="shared" si="103"/>
        <v/>
      </c>
      <c r="K3119" s="246" t="str">
        <f t="shared" si="102"/>
        <v/>
      </c>
    </row>
    <row r="3120" spans="1:11" ht="30" customHeight="1" x14ac:dyDescent="0.2">
      <c r="A3120" s="242"/>
      <c r="F3120" s="285" t="str">
        <f t="shared" si="103"/>
        <v/>
      </c>
      <c r="K3120" s="246" t="str">
        <f t="shared" si="102"/>
        <v/>
      </c>
    </row>
    <row r="3121" spans="1:11" ht="30" customHeight="1" x14ac:dyDescent="0.2">
      <c r="A3121" s="242"/>
      <c r="F3121" s="285" t="str">
        <f t="shared" si="103"/>
        <v/>
      </c>
      <c r="K3121" s="246" t="str">
        <f t="shared" si="102"/>
        <v/>
      </c>
    </row>
    <row r="3122" spans="1:11" ht="30" customHeight="1" x14ac:dyDescent="0.2">
      <c r="A3122" s="242"/>
      <c r="F3122" s="285" t="str">
        <f t="shared" si="103"/>
        <v/>
      </c>
      <c r="K3122" s="246" t="str">
        <f t="shared" si="102"/>
        <v/>
      </c>
    </row>
    <row r="3123" spans="1:11" ht="30" customHeight="1" x14ac:dyDescent="0.2">
      <c r="A3123" s="242"/>
      <c r="F3123" s="285" t="str">
        <f t="shared" si="103"/>
        <v/>
      </c>
      <c r="K3123" s="246" t="str">
        <f t="shared" si="102"/>
        <v/>
      </c>
    </row>
    <row r="3124" spans="1:11" ht="30" customHeight="1" x14ac:dyDescent="0.2">
      <c r="A3124" s="242"/>
      <c r="F3124" s="285" t="str">
        <f t="shared" si="103"/>
        <v/>
      </c>
      <c r="K3124" s="246" t="str">
        <f t="shared" si="102"/>
        <v/>
      </c>
    </row>
    <row r="3125" spans="1:11" ht="30" customHeight="1" x14ac:dyDescent="0.2">
      <c r="A3125" s="242"/>
      <c r="F3125" s="285" t="str">
        <f t="shared" si="103"/>
        <v/>
      </c>
      <c r="K3125" s="246" t="str">
        <f t="shared" si="102"/>
        <v/>
      </c>
    </row>
    <row r="3126" spans="1:11" ht="30" customHeight="1" x14ac:dyDescent="0.2">
      <c r="A3126" s="242"/>
      <c r="F3126" s="285" t="str">
        <f t="shared" si="103"/>
        <v/>
      </c>
      <c r="K3126" s="246" t="str">
        <f t="shared" si="102"/>
        <v/>
      </c>
    </row>
    <row r="3127" spans="1:11" ht="30" customHeight="1" x14ac:dyDescent="0.2">
      <c r="A3127" s="242"/>
      <c r="F3127" s="285" t="str">
        <f t="shared" si="103"/>
        <v/>
      </c>
      <c r="K3127" s="246" t="str">
        <f t="shared" si="102"/>
        <v/>
      </c>
    </row>
    <row r="3128" spans="1:11" ht="30" customHeight="1" x14ac:dyDescent="0.2">
      <c r="A3128" s="242"/>
      <c r="F3128" s="285" t="str">
        <f t="shared" si="103"/>
        <v/>
      </c>
      <c r="K3128" s="246" t="str">
        <f t="shared" si="102"/>
        <v/>
      </c>
    </row>
    <row r="3129" spans="1:11" ht="30" customHeight="1" x14ac:dyDescent="0.2">
      <c r="A3129" s="242"/>
      <c r="F3129" s="285" t="str">
        <f t="shared" si="103"/>
        <v/>
      </c>
      <c r="K3129" s="246" t="str">
        <f t="shared" si="102"/>
        <v/>
      </c>
    </row>
    <row r="3130" spans="1:11" ht="30" customHeight="1" x14ac:dyDescent="0.2">
      <c r="A3130" s="242"/>
      <c r="F3130" s="285" t="str">
        <f t="shared" si="103"/>
        <v/>
      </c>
      <c r="K3130" s="246" t="str">
        <f t="shared" si="102"/>
        <v/>
      </c>
    </row>
    <row r="3131" spans="1:11" ht="30" customHeight="1" x14ac:dyDescent="0.2">
      <c r="A3131" s="242"/>
      <c r="F3131" s="285" t="str">
        <f t="shared" si="103"/>
        <v/>
      </c>
      <c r="K3131" s="246" t="str">
        <f t="shared" ref="K3131:K3194" si="104">IF(A3131="","",A3131)</f>
        <v/>
      </c>
    </row>
    <row r="3132" spans="1:11" ht="30" customHeight="1" x14ac:dyDescent="0.2">
      <c r="A3132" s="242"/>
      <c r="F3132" s="285" t="str">
        <f t="shared" si="103"/>
        <v/>
      </c>
      <c r="K3132" s="246" t="str">
        <f t="shared" si="104"/>
        <v/>
      </c>
    </row>
    <row r="3133" spans="1:11" ht="30" customHeight="1" x14ac:dyDescent="0.2">
      <c r="A3133" s="242"/>
      <c r="F3133" s="285" t="str">
        <f t="shared" si="103"/>
        <v/>
      </c>
      <c r="K3133" s="246" t="str">
        <f t="shared" si="104"/>
        <v/>
      </c>
    </row>
    <row r="3134" spans="1:11" ht="30" customHeight="1" x14ac:dyDescent="0.2">
      <c r="A3134" s="242"/>
      <c r="F3134" s="285" t="str">
        <f t="shared" si="103"/>
        <v/>
      </c>
      <c r="K3134" s="246" t="str">
        <f t="shared" si="104"/>
        <v/>
      </c>
    </row>
    <row r="3135" spans="1:11" ht="30" customHeight="1" x14ac:dyDescent="0.2">
      <c r="A3135" s="242"/>
      <c r="F3135" s="285" t="str">
        <f t="shared" si="103"/>
        <v/>
      </c>
      <c r="K3135" s="246" t="str">
        <f t="shared" si="104"/>
        <v/>
      </c>
    </row>
    <row r="3136" spans="1:11" ht="30" customHeight="1" x14ac:dyDescent="0.2">
      <c r="A3136" s="242"/>
      <c r="F3136" s="285" t="str">
        <f t="shared" si="103"/>
        <v/>
      </c>
      <c r="K3136" s="246" t="str">
        <f t="shared" si="104"/>
        <v/>
      </c>
    </row>
    <row r="3137" spans="1:11" ht="30" customHeight="1" x14ac:dyDescent="0.2">
      <c r="A3137" s="242"/>
      <c r="F3137" s="285" t="str">
        <f t="shared" si="103"/>
        <v/>
      </c>
      <c r="K3137" s="246" t="str">
        <f t="shared" si="104"/>
        <v/>
      </c>
    </row>
    <row r="3138" spans="1:11" ht="30" customHeight="1" x14ac:dyDescent="0.2">
      <c r="A3138" s="242"/>
      <c r="F3138" s="285" t="str">
        <f t="shared" si="103"/>
        <v/>
      </c>
      <c r="K3138" s="246" t="str">
        <f t="shared" si="104"/>
        <v/>
      </c>
    </row>
    <row r="3139" spans="1:11" ht="30" customHeight="1" x14ac:dyDescent="0.2">
      <c r="A3139" s="242"/>
      <c r="F3139" s="285" t="str">
        <f t="shared" si="103"/>
        <v/>
      </c>
      <c r="K3139" s="246" t="str">
        <f t="shared" si="104"/>
        <v/>
      </c>
    </row>
    <row r="3140" spans="1:11" ht="30" customHeight="1" x14ac:dyDescent="0.2">
      <c r="A3140" s="242"/>
      <c r="F3140" s="285" t="str">
        <f t="shared" si="103"/>
        <v/>
      </c>
      <c r="K3140" s="246" t="str">
        <f t="shared" si="104"/>
        <v/>
      </c>
    </row>
    <row r="3141" spans="1:11" ht="30" customHeight="1" x14ac:dyDescent="0.2">
      <c r="A3141" s="242"/>
      <c r="F3141" s="285" t="str">
        <f t="shared" ref="F3141:F3204" si="105">IF(A3141="","",A3141)</f>
        <v/>
      </c>
      <c r="K3141" s="246" t="str">
        <f t="shared" si="104"/>
        <v/>
      </c>
    </row>
    <row r="3142" spans="1:11" ht="30" customHeight="1" x14ac:dyDescent="0.2">
      <c r="A3142" s="242"/>
      <c r="F3142" s="285" t="str">
        <f t="shared" si="105"/>
        <v/>
      </c>
      <c r="K3142" s="246" t="str">
        <f t="shared" si="104"/>
        <v/>
      </c>
    </row>
    <row r="3143" spans="1:11" ht="30" customHeight="1" x14ac:dyDescent="0.2">
      <c r="A3143" s="242"/>
      <c r="F3143" s="285" t="str">
        <f t="shared" si="105"/>
        <v/>
      </c>
      <c r="K3143" s="246" t="str">
        <f t="shared" si="104"/>
        <v/>
      </c>
    </row>
    <row r="3144" spans="1:11" ht="30" customHeight="1" x14ac:dyDescent="0.2">
      <c r="A3144" s="242"/>
      <c r="F3144" s="285" t="str">
        <f t="shared" si="105"/>
        <v/>
      </c>
      <c r="K3144" s="246" t="str">
        <f t="shared" si="104"/>
        <v/>
      </c>
    </row>
    <row r="3145" spans="1:11" ht="30" customHeight="1" x14ac:dyDescent="0.2">
      <c r="A3145" s="242"/>
      <c r="F3145" s="285" t="str">
        <f t="shared" si="105"/>
        <v/>
      </c>
      <c r="K3145" s="246" t="str">
        <f t="shared" si="104"/>
        <v/>
      </c>
    </row>
    <row r="3146" spans="1:11" ht="30" customHeight="1" x14ac:dyDescent="0.2">
      <c r="A3146" s="242"/>
      <c r="F3146" s="285" t="str">
        <f t="shared" si="105"/>
        <v/>
      </c>
      <c r="K3146" s="246" t="str">
        <f t="shared" si="104"/>
        <v/>
      </c>
    </row>
    <row r="3147" spans="1:11" ht="30" customHeight="1" x14ac:dyDescent="0.2">
      <c r="A3147" s="242"/>
      <c r="F3147" s="285" t="str">
        <f t="shared" si="105"/>
        <v/>
      </c>
      <c r="K3147" s="246" t="str">
        <f t="shared" si="104"/>
        <v/>
      </c>
    </row>
    <row r="3148" spans="1:11" ht="30" customHeight="1" x14ac:dyDescent="0.2">
      <c r="A3148" s="242"/>
      <c r="F3148" s="285" t="str">
        <f t="shared" si="105"/>
        <v/>
      </c>
      <c r="K3148" s="246" t="str">
        <f t="shared" si="104"/>
        <v/>
      </c>
    </row>
    <row r="3149" spans="1:11" ht="30" customHeight="1" x14ac:dyDescent="0.2">
      <c r="A3149" s="242"/>
      <c r="F3149" s="285" t="str">
        <f t="shared" si="105"/>
        <v/>
      </c>
      <c r="K3149" s="246" t="str">
        <f t="shared" si="104"/>
        <v/>
      </c>
    </row>
    <row r="3150" spans="1:11" ht="30" customHeight="1" x14ac:dyDescent="0.2">
      <c r="A3150" s="242"/>
      <c r="F3150" s="285" t="str">
        <f t="shared" si="105"/>
        <v/>
      </c>
      <c r="K3150" s="246" t="str">
        <f t="shared" si="104"/>
        <v/>
      </c>
    </row>
    <row r="3151" spans="1:11" ht="30" customHeight="1" x14ac:dyDescent="0.2">
      <c r="A3151" s="242"/>
      <c r="F3151" s="285" t="str">
        <f t="shared" si="105"/>
        <v/>
      </c>
      <c r="K3151" s="246" t="str">
        <f t="shared" si="104"/>
        <v/>
      </c>
    </row>
    <row r="3152" spans="1:11" ht="30" customHeight="1" x14ac:dyDescent="0.2">
      <c r="A3152" s="242"/>
      <c r="F3152" s="285" t="str">
        <f t="shared" si="105"/>
        <v/>
      </c>
      <c r="K3152" s="246" t="str">
        <f t="shared" si="104"/>
        <v/>
      </c>
    </row>
    <row r="3153" spans="1:11" ht="30" customHeight="1" x14ac:dyDescent="0.2">
      <c r="A3153" s="242"/>
      <c r="F3153" s="285" t="str">
        <f t="shared" si="105"/>
        <v/>
      </c>
      <c r="K3153" s="246" t="str">
        <f t="shared" si="104"/>
        <v/>
      </c>
    </row>
    <row r="3154" spans="1:11" ht="30" customHeight="1" x14ac:dyDescent="0.2">
      <c r="A3154" s="242"/>
      <c r="F3154" s="285" t="str">
        <f t="shared" si="105"/>
        <v/>
      </c>
      <c r="K3154" s="246" t="str">
        <f t="shared" si="104"/>
        <v/>
      </c>
    </row>
    <row r="3155" spans="1:11" ht="30" customHeight="1" x14ac:dyDescent="0.2">
      <c r="A3155" s="242"/>
      <c r="F3155" s="285" t="str">
        <f t="shared" si="105"/>
        <v/>
      </c>
      <c r="K3155" s="246" t="str">
        <f t="shared" si="104"/>
        <v/>
      </c>
    </row>
    <row r="3156" spans="1:11" ht="30" customHeight="1" x14ac:dyDescent="0.2">
      <c r="A3156" s="242"/>
      <c r="F3156" s="285" t="str">
        <f t="shared" si="105"/>
        <v/>
      </c>
      <c r="K3156" s="246" t="str">
        <f t="shared" si="104"/>
        <v/>
      </c>
    </row>
    <row r="3157" spans="1:11" ht="30" customHeight="1" x14ac:dyDescent="0.2">
      <c r="A3157" s="242"/>
      <c r="F3157" s="285" t="str">
        <f t="shared" si="105"/>
        <v/>
      </c>
      <c r="K3157" s="246" t="str">
        <f t="shared" si="104"/>
        <v/>
      </c>
    </row>
    <row r="3158" spans="1:11" ht="30" customHeight="1" x14ac:dyDescent="0.2">
      <c r="A3158" s="242"/>
      <c r="F3158" s="285" t="str">
        <f t="shared" si="105"/>
        <v/>
      </c>
      <c r="K3158" s="246" t="str">
        <f t="shared" si="104"/>
        <v/>
      </c>
    </row>
    <row r="3159" spans="1:11" ht="30" customHeight="1" x14ac:dyDescent="0.2">
      <c r="A3159" s="242"/>
      <c r="F3159" s="285" t="str">
        <f t="shared" si="105"/>
        <v/>
      </c>
      <c r="K3159" s="246" t="str">
        <f t="shared" si="104"/>
        <v/>
      </c>
    </row>
    <row r="3160" spans="1:11" ht="30" customHeight="1" x14ac:dyDescent="0.2">
      <c r="A3160" s="242"/>
      <c r="F3160" s="285" t="str">
        <f t="shared" si="105"/>
        <v/>
      </c>
      <c r="K3160" s="246" t="str">
        <f t="shared" si="104"/>
        <v/>
      </c>
    </row>
    <row r="3161" spans="1:11" ht="30" customHeight="1" x14ac:dyDescent="0.2">
      <c r="A3161" s="242"/>
      <c r="F3161" s="285" t="str">
        <f t="shared" si="105"/>
        <v/>
      </c>
      <c r="K3161" s="246" t="str">
        <f t="shared" si="104"/>
        <v/>
      </c>
    </row>
    <row r="3162" spans="1:11" ht="30" customHeight="1" x14ac:dyDescent="0.2">
      <c r="A3162" s="242"/>
      <c r="F3162" s="285" t="str">
        <f t="shared" si="105"/>
        <v/>
      </c>
      <c r="K3162" s="246" t="str">
        <f t="shared" si="104"/>
        <v/>
      </c>
    </row>
    <row r="3163" spans="1:11" ht="30" customHeight="1" x14ac:dyDescent="0.2">
      <c r="A3163" s="242"/>
      <c r="F3163" s="285" t="str">
        <f t="shared" si="105"/>
        <v/>
      </c>
      <c r="K3163" s="246" t="str">
        <f t="shared" si="104"/>
        <v/>
      </c>
    </row>
    <row r="3164" spans="1:11" ht="30" customHeight="1" x14ac:dyDescent="0.2">
      <c r="A3164" s="242"/>
      <c r="F3164" s="285" t="str">
        <f t="shared" si="105"/>
        <v/>
      </c>
      <c r="K3164" s="246" t="str">
        <f t="shared" si="104"/>
        <v/>
      </c>
    </row>
    <row r="3165" spans="1:11" ht="30" customHeight="1" x14ac:dyDescent="0.2">
      <c r="A3165" s="242"/>
      <c r="F3165" s="285" t="str">
        <f t="shared" si="105"/>
        <v/>
      </c>
      <c r="K3165" s="246" t="str">
        <f t="shared" si="104"/>
        <v/>
      </c>
    </row>
    <row r="3166" spans="1:11" ht="30" customHeight="1" x14ac:dyDescent="0.2">
      <c r="A3166" s="242"/>
      <c r="F3166" s="285" t="str">
        <f t="shared" si="105"/>
        <v/>
      </c>
      <c r="K3166" s="246" t="str">
        <f t="shared" si="104"/>
        <v/>
      </c>
    </row>
    <row r="3167" spans="1:11" ht="30" customHeight="1" x14ac:dyDescent="0.2">
      <c r="A3167" s="242"/>
      <c r="F3167" s="285" t="str">
        <f t="shared" si="105"/>
        <v/>
      </c>
      <c r="K3167" s="246" t="str">
        <f t="shared" si="104"/>
        <v/>
      </c>
    </row>
    <row r="3168" spans="1:11" ht="30" customHeight="1" x14ac:dyDescent="0.2">
      <c r="A3168" s="242"/>
      <c r="F3168" s="285" t="str">
        <f t="shared" si="105"/>
        <v/>
      </c>
      <c r="K3168" s="246" t="str">
        <f t="shared" si="104"/>
        <v/>
      </c>
    </row>
    <row r="3169" spans="1:11" ht="30" customHeight="1" x14ac:dyDescent="0.2">
      <c r="A3169" s="242"/>
      <c r="F3169" s="285" t="str">
        <f t="shared" si="105"/>
        <v/>
      </c>
      <c r="K3169" s="246" t="str">
        <f t="shared" si="104"/>
        <v/>
      </c>
    </row>
    <row r="3170" spans="1:11" ht="30" customHeight="1" x14ac:dyDescent="0.2">
      <c r="A3170" s="242"/>
      <c r="F3170" s="285" t="str">
        <f t="shared" si="105"/>
        <v/>
      </c>
      <c r="K3170" s="246" t="str">
        <f t="shared" si="104"/>
        <v/>
      </c>
    </row>
    <row r="3171" spans="1:11" ht="30" customHeight="1" x14ac:dyDescent="0.2">
      <c r="A3171" s="242"/>
      <c r="F3171" s="285" t="str">
        <f t="shared" si="105"/>
        <v/>
      </c>
      <c r="K3171" s="246" t="str">
        <f t="shared" si="104"/>
        <v/>
      </c>
    </row>
    <row r="3172" spans="1:11" ht="30" customHeight="1" x14ac:dyDescent="0.2">
      <c r="A3172" s="242"/>
      <c r="F3172" s="285" t="str">
        <f t="shared" si="105"/>
        <v/>
      </c>
      <c r="K3172" s="246" t="str">
        <f t="shared" si="104"/>
        <v/>
      </c>
    </row>
    <row r="3173" spans="1:11" ht="30" customHeight="1" x14ac:dyDescent="0.2">
      <c r="A3173" s="242"/>
      <c r="F3173" s="285" t="str">
        <f t="shared" si="105"/>
        <v/>
      </c>
      <c r="K3173" s="246" t="str">
        <f t="shared" si="104"/>
        <v/>
      </c>
    </row>
    <row r="3174" spans="1:11" ht="30" customHeight="1" x14ac:dyDescent="0.2">
      <c r="A3174" s="242"/>
      <c r="F3174" s="285" t="str">
        <f t="shared" si="105"/>
        <v/>
      </c>
      <c r="K3174" s="246" t="str">
        <f t="shared" si="104"/>
        <v/>
      </c>
    </row>
    <row r="3175" spans="1:11" ht="30" customHeight="1" x14ac:dyDescent="0.2">
      <c r="A3175" s="242"/>
      <c r="F3175" s="285" t="str">
        <f t="shared" si="105"/>
        <v/>
      </c>
      <c r="K3175" s="246" t="str">
        <f t="shared" si="104"/>
        <v/>
      </c>
    </row>
    <row r="3176" spans="1:11" ht="30" customHeight="1" x14ac:dyDescent="0.2">
      <c r="A3176" s="242"/>
      <c r="F3176" s="285" t="str">
        <f t="shared" si="105"/>
        <v/>
      </c>
      <c r="K3176" s="246" t="str">
        <f t="shared" si="104"/>
        <v/>
      </c>
    </row>
    <row r="3177" spans="1:11" ht="30" customHeight="1" x14ac:dyDescent="0.2">
      <c r="A3177" s="242"/>
      <c r="F3177" s="285" t="str">
        <f t="shared" si="105"/>
        <v/>
      </c>
      <c r="K3177" s="246" t="str">
        <f t="shared" si="104"/>
        <v/>
      </c>
    </row>
    <row r="3178" spans="1:11" ht="30" customHeight="1" x14ac:dyDescent="0.2">
      <c r="A3178" s="242"/>
      <c r="F3178" s="285" t="str">
        <f t="shared" si="105"/>
        <v/>
      </c>
      <c r="K3178" s="246" t="str">
        <f t="shared" si="104"/>
        <v/>
      </c>
    </row>
    <row r="3179" spans="1:11" ht="30" customHeight="1" x14ac:dyDescent="0.2">
      <c r="A3179" s="242"/>
      <c r="F3179" s="285" t="str">
        <f t="shared" si="105"/>
        <v/>
      </c>
      <c r="K3179" s="246" t="str">
        <f t="shared" si="104"/>
        <v/>
      </c>
    </row>
    <row r="3180" spans="1:11" ht="30" customHeight="1" x14ac:dyDescent="0.2">
      <c r="A3180" s="242"/>
      <c r="F3180" s="285" t="str">
        <f t="shared" si="105"/>
        <v/>
      </c>
      <c r="K3180" s="246" t="str">
        <f t="shared" si="104"/>
        <v/>
      </c>
    </row>
    <row r="3181" spans="1:11" ht="30" customHeight="1" x14ac:dyDescent="0.2">
      <c r="A3181" s="242"/>
      <c r="F3181" s="285" t="str">
        <f t="shared" si="105"/>
        <v/>
      </c>
      <c r="K3181" s="246" t="str">
        <f t="shared" si="104"/>
        <v/>
      </c>
    </row>
    <row r="3182" spans="1:11" ht="30" customHeight="1" x14ac:dyDescent="0.2">
      <c r="A3182" s="242"/>
      <c r="F3182" s="285" t="str">
        <f t="shared" si="105"/>
        <v/>
      </c>
      <c r="K3182" s="246" t="str">
        <f t="shared" si="104"/>
        <v/>
      </c>
    </row>
    <row r="3183" spans="1:11" ht="30" customHeight="1" x14ac:dyDescent="0.2">
      <c r="A3183" s="242"/>
      <c r="F3183" s="285" t="str">
        <f t="shared" si="105"/>
        <v/>
      </c>
      <c r="K3183" s="246" t="str">
        <f t="shared" si="104"/>
        <v/>
      </c>
    </row>
    <row r="3184" spans="1:11" ht="30" customHeight="1" x14ac:dyDescent="0.2">
      <c r="A3184" s="242"/>
      <c r="F3184" s="285" t="str">
        <f t="shared" si="105"/>
        <v/>
      </c>
      <c r="K3184" s="246" t="str">
        <f t="shared" si="104"/>
        <v/>
      </c>
    </row>
    <row r="3185" spans="1:11" ht="30" customHeight="1" x14ac:dyDescent="0.2">
      <c r="A3185" s="242"/>
      <c r="F3185" s="285" t="str">
        <f t="shared" si="105"/>
        <v/>
      </c>
      <c r="K3185" s="246" t="str">
        <f t="shared" si="104"/>
        <v/>
      </c>
    </row>
    <row r="3186" spans="1:11" ht="30" customHeight="1" x14ac:dyDescent="0.2">
      <c r="A3186" s="242"/>
      <c r="F3186" s="285" t="str">
        <f t="shared" si="105"/>
        <v/>
      </c>
      <c r="K3186" s="246" t="str">
        <f t="shared" si="104"/>
        <v/>
      </c>
    </row>
    <row r="3187" spans="1:11" ht="30" customHeight="1" x14ac:dyDescent="0.2">
      <c r="A3187" s="242"/>
      <c r="F3187" s="285" t="str">
        <f t="shared" si="105"/>
        <v/>
      </c>
      <c r="K3187" s="246" t="str">
        <f t="shared" si="104"/>
        <v/>
      </c>
    </row>
    <row r="3188" spans="1:11" ht="30" customHeight="1" x14ac:dyDescent="0.2">
      <c r="A3188" s="242"/>
      <c r="F3188" s="285" t="str">
        <f t="shared" si="105"/>
        <v/>
      </c>
      <c r="K3188" s="246" t="str">
        <f t="shared" si="104"/>
        <v/>
      </c>
    </row>
    <row r="3189" spans="1:11" ht="30" customHeight="1" x14ac:dyDescent="0.2">
      <c r="A3189" s="242"/>
      <c r="F3189" s="285" t="str">
        <f t="shared" si="105"/>
        <v/>
      </c>
      <c r="K3189" s="246" t="str">
        <f t="shared" si="104"/>
        <v/>
      </c>
    </row>
    <row r="3190" spans="1:11" ht="30" customHeight="1" x14ac:dyDescent="0.2">
      <c r="A3190" s="242"/>
      <c r="F3190" s="285" t="str">
        <f t="shared" si="105"/>
        <v/>
      </c>
      <c r="K3190" s="246" t="str">
        <f t="shared" si="104"/>
        <v/>
      </c>
    </row>
    <row r="3191" spans="1:11" ht="30" customHeight="1" x14ac:dyDescent="0.2">
      <c r="A3191" s="242"/>
      <c r="F3191" s="285" t="str">
        <f t="shared" si="105"/>
        <v/>
      </c>
      <c r="K3191" s="246" t="str">
        <f t="shared" si="104"/>
        <v/>
      </c>
    </row>
    <row r="3192" spans="1:11" ht="30" customHeight="1" x14ac:dyDescent="0.2">
      <c r="A3192" s="242"/>
      <c r="F3192" s="285" t="str">
        <f t="shared" si="105"/>
        <v/>
      </c>
      <c r="K3192" s="246" t="str">
        <f t="shared" si="104"/>
        <v/>
      </c>
    </row>
    <row r="3193" spans="1:11" ht="30" customHeight="1" x14ac:dyDescent="0.2">
      <c r="A3193" s="242"/>
      <c r="F3193" s="285" t="str">
        <f t="shared" si="105"/>
        <v/>
      </c>
      <c r="K3193" s="246" t="str">
        <f t="shared" si="104"/>
        <v/>
      </c>
    </row>
    <row r="3194" spans="1:11" ht="30" customHeight="1" x14ac:dyDescent="0.2">
      <c r="A3194" s="242"/>
      <c r="F3194" s="285" t="str">
        <f t="shared" si="105"/>
        <v/>
      </c>
      <c r="K3194" s="246" t="str">
        <f t="shared" si="104"/>
        <v/>
      </c>
    </row>
    <row r="3195" spans="1:11" ht="30" customHeight="1" x14ac:dyDescent="0.2">
      <c r="A3195" s="242"/>
      <c r="F3195" s="285" t="str">
        <f t="shared" si="105"/>
        <v/>
      </c>
      <c r="K3195" s="246" t="str">
        <f t="shared" ref="K3195:K3258" si="106">IF(A3195="","",A3195)</f>
        <v/>
      </c>
    </row>
    <row r="3196" spans="1:11" ht="30" customHeight="1" x14ac:dyDescent="0.2">
      <c r="A3196" s="242"/>
      <c r="F3196" s="285" t="str">
        <f t="shared" si="105"/>
        <v/>
      </c>
      <c r="K3196" s="246" t="str">
        <f t="shared" si="106"/>
        <v/>
      </c>
    </row>
    <row r="3197" spans="1:11" ht="30" customHeight="1" x14ac:dyDescent="0.2">
      <c r="A3197" s="242"/>
      <c r="F3197" s="285" t="str">
        <f t="shared" si="105"/>
        <v/>
      </c>
      <c r="K3197" s="246" t="str">
        <f t="shared" si="106"/>
        <v/>
      </c>
    </row>
    <row r="3198" spans="1:11" ht="30" customHeight="1" x14ac:dyDescent="0.2">
      <c r="A3198" s="242"/>
      <c r="F3198" s="285" t="str">
        <f t="shared" si="105"/>
        <v/>
      </c>
      <c r="K3198" s="246" t="str">
        <f t="shared" si="106"/>
        <v/>
      </c>
    </row>
    <row r="3199" spans="1:11" ht="30" customHeight="1" x14ac:dyDescent="0.2">
      <c r="A3199" s="242"/>
      <c r="F3199" s="285" t="str">
        <f t="shared" si="105"/>
        <v/>
      </c>
      <c r="K3199" s="246" t="str">
        <f t="shared" si="106"/>
        <v/>
      </c>
    </row>
    <row r="3200" spans="1:11" ht="30" customHeight="1" x14ac:dyDescent="0.2">
      <c r="A3200" s="242"/>
      <c r="F3200" s="285" t="str">
        <f t="shared" si="105"/>
        <v/>
      </c>
      <c r="K3200" s="246" t="str">
        <f t="shared" si="106"/>
        <v/>
      </c>
    </row>
    <row r="3201" spans="1:11" ht="30" customHeight="1" x14ac:dyDescent="0.2">
      <c r="A3201" s="242"/>
      <c r="F3201" s="285" t="str">
        <f t="shared" si="105"/>
        <v/>
      </c>
      <c r="K3201" s="246" t="str">
        <f t="shared" si="106"/>
        <v/>
      </c>
    </row>
    <row r="3202" spans="1:11" ht="30" customHeight="1" x14ac:dyDescent="0.2">
      <c r="A3202" s="242"/>
      <c r="F3202" s="285" t="str">
        <f t="shared" si="105"/>
        <v/>
      </c>
      <c r="K3202" s="246" t="str">
        <f t="shared" si="106"/>
        <v/>
      </c>
    </row>
    <row r="3203" spans="1:11" ht="30" customHeight="1" x14ac:dyDescent="0.2">
      <c r="A3203" s="242"/>
      <c r="F3203" s="285" t="str">
        <f t="shared" si="105"/>
        <v/>
      </c>
      <c r="K3203" s="246" t="str">
        <f t="shared" si="106"/>
        <v/>
      </c>
    </row>
    <row r="3204" spans="1:11" ht="30" customHeight="1" x14ac:dyDescent="0.2">
      <c r="A3204" s="242"/>
      <c r="F3204" s="285" t="str">
        <f t="shared" si="105"/>
        <v/>
      </c>
      <c r="K3204" s="246" t="str">
        <f t="shared" si="106"/>
        <v/>
      </c>
    </row>
    <row r="3205" spans="1:11" ht="30" customHeight="1" x14ac:dyDescent="0.2">
      <c r="A3205" s="242"/>
      <c r="F3205" s="285" t="str">
        <f t="shared" ref="F3205:F3268" si="107">IF(A3205="","",A3205)</f>
        <v/>
      </c>
      <c r="K3205" s="246" t="str">
        <f t="shared" si="106"/>
        <v/>
      </c>
    </row>
    <row r="3206" spans="1:11" ht="30" customHeight="1" x14ac:dyDescent="0.2">
      <c r="A3206" s="242"/>
      <c r="F3206" s="285" t="str">
        <f t="shared" si="107"/>
        <v/>
      </c>
      <c r="K3206" s="246" t="str">
        <f t="shared" si="106"/>
        <v/>
      </c>
    </row>
    <row r="3207" spans="1:11" ht="30" customHeight="1" x14ac:dyDescent="0.2">
      <c r="A3207" s="242"/>
      <c r="F3207" s="285" t="str">
        <f t="shared" si="107"/>
        <v/>
      </c>
      <c r="K3207" s="246" t="str">
        <f t="shared" si="106"/>
        <v/>
      </c>
    </row>
    <row r="3208" spans="1:11" ht="30" customHeight="1" x14ac:dyDescent="0.2">
      <c r="A3208" s="242"/>
      <c r="F3208" s="285" t="str">
        <f t="shared" si="107"/>
        <v/>
      </c>
      <c r="K3208" s="246" t="str">
        <f t="shared" si="106"/>
        <v/>
      </c>
    </row>
    <row r="3209" spans="1:11" ht="30" customHeight="1" x14ac:dyDescent="0.2">
      <c r="A3209" s="242"/>
      <c r="F3209" s="285" t="str">
        <f t="shared" si="107"/>
        <v/>
      </c>
      <c r="K3209" s="246" t="str">
        <f t="shared" si="106"/>
        <v/>
      </c>
    </row>
    <row r="3210" spans="1:11" ht="30" customHeight="1" x14ac:dyDescent="0.2">
      <c r="A3210" s="242"/>
      <c r="F3210" s="285" t="str">
        <f t="shared" si="107"/>
        <v/>
      </c>
      <c r="K3210" s="246" t="str">
        <f t="shared" si="106"/>
        <v/>
      </c>
    </row>
    <row r="3211" spans="1:11" ht="30" customHeight="1" x14ac:dyDescent="0.2">
      <c r="A3211" s="242"/>
      <c r="F3211" s="285" t="str">
        <f t="shared" si="107"/>
        <v/>
      </c>
      <c r="K3211" s="246" t="str">
        <f t="shared" si="106"/>
        <v/>
      </c>
    </row>
    <row r="3212" spans="1:11" ht="30" customHeight="1" x14ac:dyDescent="0.2">
      <c r="A3212" s="242"/>
      <c r="F3212" s="285" t="str">
        <f t="shared" si="107"/>
        <v/>
      </c>
      <c r="K3212" s="246" t="str">
        <f t="shared" si="106"/>
        <v/>
      </c>
    </row>
    <row r="3213" spans="1:11" ht="30" customHeight="1" x14ac:dyDescent="0.2">
      <c r="A3213" s="242"/>
      <c r="F3213" s="285" t="str">
        <f t="shared" si="107"/>
        <v/>
      </c>
      <c r="K3213" s="246" t="str">
        <f t="shared" si="106"/>
        <v/>
      </c>
    </row>
    <row r="3214" spans="1:11" ht="30" customHeight="1" x14ac:dyDescent="0.2">
      <c r="A3214" s="242"/>
      <c r="F3214" s="285" t="str">
        <f t="shared" si="107"/>
        <v/>
      </c>
      <c r="K3214" s="246" t="str">
        <f t="shared" si="106"/>
        <v/>
      </c>
    </row>
    <row r="3215" spans="1:11" ht="30" customHeight="1" x14ac:dyDescent="0.2">
      <c r="A3215" s="242"/>
      <c r="F3215" s="285" t="str">
        <f t="shared" si="107"/>
        <v/>
      </c>
      <c r="K3215" s="246" t="str">
        <f t="shared" si="106"/>
        <v/>
      </c>
    </row>
    <row r="3216" spans="1:11" ht="30" customHeight="1" x14ac:dyDescent="0.2">
      <c r="A3216" s="242"/>
      <c r="F3216" s="285" t="str">
        <f t="shared" si="107"/>
        <v/>
      </c>
      <c r="K3216" s="246" t="str">
        <f t="shared" si="106"/>
        <v/>
      </c>
    </row>
    <row r="3217" spans="1:11" ht="30" customHeight="1" x14ac:dyDescent="0.2">
      <c r="A3217" s="242"/>
      <c r="F3217" s="285" t="str">
        <f t="shared" si="107"/>
        <v/>
      </c>
      <c r="K3217" s="246" t="str">
        <f t="shared" si="106"/>
        <v/>
      </c>
    </row>
    <row r="3218" spans="1:11" ht="30" customHeight="1" x14ac:dyDescent="0.2">
      <c r="A3218" s="242"/>
      <c r="F3218" s="285" t="str">
        <f t="shared" si="107"/>
        <v/>
      </c>
      <c r="K3218" s="246" t="str">
        <f t="shared" si="106"/>
        <v/>
      </c>
    </row>
    <row r="3219" spans="1:11" ht="30" customHeight="1" x14ac:dyDescent="0.2">
      <c r="A3219" s="242"/>
      <c r="F3219" s="285" t="str">
        <f t="shared" si="107"/>
        <v/>
      </c>
      <c r="K3219" s="246" t="str">
        <f t="shared" si="106"/>
        <v/>
      </c>
    </row>
    <row r="3220" spans="1:11" ht="30" customHeight="1" x14ac:dyDescent="0.2">
      <c r="A3220" s="242"/>
      <c r="F3220" s="285" t="str">
        <f t="shared" si="107"/>
        <v/>
      </c>
      <c r="K3220" s="246" t="str">
        <f t="shared" si="106"/>
        <v/>
      </c>
    </row>
    <row r="3221" spans="1:11" ht="30" customHeight="1" x14ac:dyDescent="0.2">
      <c r="A3221" s="242"/>
      <c r="F3221" s="285" t="str">
        <f t="shared" si="107"/>
        <v/>
      </c>
      <c r="K3221" s="246" t="str">
        <f t="shared" si="106"/>
        <v/>
      </c>
    </row>
    <row r="3222" spans="1:11" ht="30" customHeight="1" x14ac:dyDescent="0.2">
      <c r="A3222" s="242"/>
      <c r="F3222" s="285" t="str">
        <f t="shared" si="107"/>
        <v/>
      </c>
      <c r="K3222" s="246" t="str">
        <f t="shared" si="106"/>
        <v/>
      </c>
    </row>
    <row r="3223" spans="1:11" ht="30" customHeight="1" x14ac:dyDescent="0.2">
      <c r="A3223" s="242"/>
      <c r="F3223" s="285" t="str">
        <f t="shared" si="107"/>
        <v/>
      </c>
      <c r="K3223" s="246" t="str">
        <f t="shared" si="106"/>
        <v/>
      </c>
    </row>
    <row r="3224" spans="1:11" ht="30" customHeight="1" x14ac:dyDescent="0.2">
      <c r="A3224" s="242"/>
      <c r="F3224" s="285" t="str">
        <f t="shared" si="107"/>
        <v/>
      </c>
      <c r="K3224" s="246" t="str">
        <f t="shared" si="106"/>
        <v/>
      </c>
    </row>
    <row r="3225" spans="1:11" ht="30" customHeight="1" x14ac:dyDescent="0.2">
      <c r="A3225" s="242"/>
      <c r="F3225" s="285" t="str">
        <f t="shared" si="107"/>
        <v/>
      </c>
      <c r="K3225" s="246" t="str">
        <f t="shared" si="106"/>
        <v/>
      </c>
    </row>
    <row r="3226" spans="1:11" ht="30" customHeight="1" x14ac:dyDescent="0.2">
      <c r="A3226" s="242"/>
      <c r="F3226" s="285" t="str">
        <f t="shared" si="107"/>
        <v/>
      </c>
      <c r="K3226" s="246" t="str">
        <f t="shared" si="106"/>
        <v/>
      </c>
    </row>
    <row r="3227" spans="1:11" ht="30" customHeight="1" x14ac:dyDescent="0.2">
      <c r="A3227" s="242"/>
      <c r="F3227" s="285" t="str">
        <f t="shared" si="107"/>
        <v/>
      </c>
      <c r="K3227" s="246" t="str">
        <f t="shared" si="106"/>
        <v/>
      </c>
    </row>
    <row r="3228" spans="1:11" ht="30" customHeight="1" x14ac:dyDescent="0.2">
      <c r="A3228" s="242"/>
      <c r="F3228" s="285" t="str">
        <f t="shared" si="107"/>
        <v/>
      </c>
      <c r="K3228" s="246" t="str">
        <f t="shared" si="106"/>
        <v/>
      </c>
    </row>
    <row r="3229" spans="1:11" ht="30" customHeight="1" x14ac:dyDescent="0.2">
      <c r="A3229" s="242"/>
      <c r="F3229" s="285" t="str">
        <f t="shared" si="107"/>
        <v/>
      </c>
      <c r="K3229" s="246" t="str">
        <f t="shared" si="106"/>
        <v/>
      </c>
    </row>
    <row r="3230" spans="1:11" ht="30" customHeight="1" x14ac:dyDescent="0.2">
      <c r="A3230" s="242"/>
      <c r="F3230" s="285" t="str">
        <f t="shared" si="107"/>
        <v/>
      </c>
      <c r="K3230" s="246" t="str">
        <f t="shared" si="106"/>
        <v/>
      </c>
    </row>
    <row r="3231" spans="1:11" ht="30" customHeight="1" x14ac:dyDescent="0.2">
      <c r="A3231" s="242"/>
      <c r="F3231" s="285" t="str">
        <f t="shared" si="107"/>
        <v/>
      </c>
      <c r="K3231" s="246" t="str">
        <f t="shared" si="106"/>
        <v/>
      </c>
    </row>
    <row r="3232" spans="1:11" ht="30" customHeight="1" x14ac:dyDescent="0.2">
      <c r="A3232" s="242"/>
      <c r="F3232" s="285" t="str">
        <f t="shared" si="107"/>
        <v/>
      </c>
      <c r="K3232" s="246" t="str">
        <f t="shared" si="106"/>
        <v/>
      </c>
    </row>
    <row r="3233" spans="1:11" ht="30" customHeight="1" x14ac:dyDescent="0.2">
      <c r="A3233" s="242"/>
      <c r="F3233" s="285" t="str">
        <f t="shared" si="107"/>
        <v/>
      </c>
      <c r="K3233" s="246" t="str">
        <f t="shared" si="106"/>
        <v/>
      </c>
    </row>
    <row r="3234" spans="1:11" ht="30" customHeight="1" x14ac:dyDescent="0.2">
      <c r="A3234" s="242"/>
      <c r="F3234" s="285" t="str">
        <f t="shared" si="107"/>
        <v/>
      </c>
      <c r="K3234" s="246" t="str">
        <f t="shared" si="106"/>
        <v/>
      </c>
    </row>
    <row r="3235" spans="1:11" ht="30" customHeight="1" x14ac:dyDescent="0.2">
      <c r="A3235" s="242"/>
      <c r="F3235" s="285" t="str">
        <f t="shared" si="107"/>
        <v/>
      </c>
      <c r="K3235" s="246" t="str">
        <f t="shared" si="106"/>
        <v/>
      </c>
    </row>
    <row r="3236" spans="1:11" ht="30" customHeight="1" x14ac:dyDescent="0.2">
      <c r="A3236" s="242"/>
      <c r="F3236" s="285" t="str">
        <f t="shared" si="107"/>
        <v/>
      </c>
      <c r="K3236" s="246" t="str">
        <f t="shared" si="106"/>
        <v/>
      </c>
    </row>
    <row r="3237" spans="1:11" ht="30" customHeight="1" x14ac:dyDescent="0.2">
      <c r="A3237" s="242"/>
      <c r="F3237" s="285" t="str">
        <f t="shared" si="107"/>
        <v/>
      </c>
      <c r="K3237" s="246" t="str">
        <f t="shared" si="106"/>
        <v/>
      </c>
    </row>
    <row r="3238" spans="1:11" ht="30" customHeight="1" x14ac:dyDescent="0.2">
      <c r="A3238" s="242"/>
      <c r="F3238" s="285" t="str">
        <f t="shared" si="107"/>
        <v/>
      </c>
      <c r="K3238" s="246" t="str">
        <f t="shared" si="106"/>
        <v/>
      </c>
    </row>
    <row r="3239" spans="1:11" ht="30" customHeight="1" x14ac:dyDescent="0.2">
      <c r="A3239" s="242"/>
      <c r="F3239" s="285" t="str">
        <f t="shared" si="107"/>
        <v/>
      </c>
      <c r="K3239" s="246" t="str">
        <f t="shared" si="106"/>
        <v/>
      </c>
    </row>
    <row r="3240" spans="1:11" ht="30" customHeight="1" x14ac:dyDescent="0.2">
      <c r="A3240" s="242"/>
      <c r="F3240" s="285" t="str">
        <f t="shared" si="107"/>
        <v/>
      </c>
      <c r="K3240" s="246" t="str">
        <f t="shared" si="106"/>
        <v/>
      </c>
    </row>
    <row r="3241" spans="1:11" ht="30" customHeight="1" x14ac:dyDescent="0.2">
      <c r="A3241" s="242"/>
      <c r="F3241" s="285" t="str">
        <f t="shared" si="107"/>
        <v/>
      </c>
      <c r="K3241" s="246" t="str">
        <f t="shared" si="106"/>
        <v/>
      </c>
    </row>
    <row r="3242" spans="1:11" ht="30" customHeight="1" x14ac:dyDescent="0.2">
      <c r="A3242" s="242"/>
      <c r="F3242" s="285" t="str">
        <f t="shared" si="107"/>
        <v/>
      </c>
      <c r="K3242" s="246" t="str">
        <f t="shared" si="106"/>
        <v/>
      </c>
    </row>
    <row r="3243" spans="1:11" ht="30" customHeight="1" x14ac:dyDescent="0.2">
      <c r="A3243" s="242"/>
      <c r="F3243" s="285" t="str">
        <f t="shared" si="107"/>
        <v/>
      </c>
      <c r="K3243" s="246" t="str">
        <f t="shared" si="106"/>
        <v/>
      </c>
    </row>
    <row r="3244" spans="1:11" ht="30" customHeight="1" x14ac:dyDescent="0.2">
      <c r="A3244" s="242"/>
      <c r="F3244" s="285" t="str">
        <f t="shared" si="107"/>
        <v/>
      </c>
      <c r="K3244" s="246" t="str">
        <f t="shared" si="106"/>
        <v/>
      </c>
    </row>
    <row r="3245" spans="1:11" ht="30" customHeight="1" x14ac:dyDescent="0.2">
      <c r="A3245" s="242"/>
      <c r="F3245" s="285" t="str">
        <f t="shared" si="107"/>
        <v/>
      </c>
      <c r="K3245" s="246" t="str">
        <f t="shared" si="106"/>
        <v/>
      </c>
    </row>
    <row r="3246" spans="1:11" ht="30" customHeight="1" x14ac:dyDescent="0.2">
      <c r="A3246" s="242"/>
      <c r="F3246" s="285" t="str">
        <f t="shared" si="107"/>
        <v/>
      </c>
      <c r="K3246" s="246" t="str">
        <f t="shared" si="106"/>
        <v/>
      </c>
    </row>
    <row r="3247" spans="1:11" ht="30" customHeight="1" x14ac:dyDescent="0.2">
      <c r="A3247" s="242"/>
      <c r="F3247" s="285" t="str">
        <f t="shared" si="107"/>
        <v/>
      </c>
      <c r="K3247" s="246" t="str">
        <f t="shared" si="106"/>
        <v/>
      </c>
    </row>
    <row r="3248" spans="1:11" ht="30" customHeight="1" x14ac:dyDescent="0.2">
      <c r="A3248" s="242"/>
      <c r="F3248" s="285" t="str">
        <f t="shared" si="107"/>
        <v/>
      </c>
      <c r="K3248" s="246" t="str">
        <f t="shared" si="106"/>
        <v/>
      </c>
    </row>
    <row r="3249" spans="1:11" ht="30" customHeight="1" x14ac:dyDescent="0.2">
      <c r="A3249" s="242"/>
      <c r="F3249" s="285" t="str">
        <f t="shared" si="107"/>
        <v/>
      </c>
      <c r="K3249" s="246" t="str">
        <f t="shared" si="106"/>
        <v/>
      </c>
    </row>
    <row r="3250" spans="1:11" ht="30" customHeight="1" x14ac:dyDescent="0.2">
      <c r="A3250" s="242"/>
      <c r="F3250" s="285" t="str">
        <f t="shared" si="107"/>
        <v/>
      </c>
      <c r="K3250" s="246" t="str">
        <f t="shared" si="106"/>
        <v/>
      </c>
    </row>
    <row r="3251" spans="1:11" ht="30" customHeight="1" x14ac:dyDescent="0.2">
      <c r="A3251" s="242"/>
      <c r="F3251" s="285" t="str">
        <f t="shared" si="107"/>
        <v/>
      </c>
      <c r="K3251" s="246" t="str">
        <f t="shared" si="106"/>
        <v/>
      </c>
    </row>
    <row r="3252" spans="1:11" ht="30" customHeight="1" x14ac:dyDescent="0.2">
      <c r="A3252" s="242"/>
      <c r="F3252" s="285" t="str">
        <f t="shared" si="107"/>
        <v/>
      </c>
      <c r="K3252" s="246" t="str">
        <f t="shared" si="106"/>
        <v/>
      </c>
    </row>
    <row r="3253" spans="1:11" ht="30" customHeight="1" x14ac:dyDescent="0.2">
      <c r="A3253" s="242"/>
      <c r="F3253" s="285" t="str">
        <f t="shared" si="107"/>
        <v/>
      </c>
      <c r="K3253" s="246" t="str">
        <f t="shared" si="106"/>
        <v/>
      </c>
    </row>
    <row r="3254" spans="1:11" ht="30" customHeight="1" x14ac:dyDescent="0.2">
      <c r="A3254" s="242"/>
      <c r="F3254" s="285" t="str">
        <f t="shared" si="107"/>
        <v/>
      </c>
      <c r="K3254" s="246" t="str">
        <f t="shared" si="106"/>
        <v/>
      </c>
    </row>
    <row r="3255" spans="1:11" ht="30" customHeight="1" x14ac:dyDescent="0.2">
      <c r="A3255" s="242"/>
      <c r="F3255" s="285" t="str">
        <f t="shared" si="107"/>
        <v/>
      </c>
      <c r="K3255" s="246" t="str">
        <f t="shared" si="106"/>
        <v/>
      </c>
    </row>
    <row r="3256" spans="1:11" ht="30" customHeight="1" x14ac:dyDescent="0.2">
      <c r="A3256" s="242"/>
      <c r="F3256" s="285" t="str">
        <f t="shared" si="107"/>
        <v/>
      </c>
      <c r="K3256" s="246" t="str">
        <f t="shared" si="106"/>
        <v/>
      </c>
    </row>
    <row r="3257" spans="1:11" ht="30" customHeight="1" x14ac:dyDescent="0.2">
      <c r="A3257" s="242"/>
      <c r="F3257" s="285" t="str">
        <f t="shared" si="107"/>
        <v/>
      </c>
      <c r="K3257" s="246" t="str">
        <f t="shared" si="106"/>
        <v/>
      </c>
    </row>
    <row r="3258" spans="1:11" ht="30" customHeight="1" x14ac:dyDescent="0.2">
      <c r="A3258" s="242"/>
      <c r="F3258" s="285" t="str">
        <f t="shared" si="107"/>
        <v/>
      </c>
      <c r="K3258" s="246" t="str">
        <f t="shared" si="106"/>
        <v/>
      </c>
    </row>
    <row r="3259" spans="1:11" ht="30" customHeight="1" x14ac:dyDescent="0.2">
      <c r="A3259" s="242"/>
      <c r="F3259" s="285" t="str">
        <f t="shared" si="107"/>
        <v/>
      </c>
      <c r="K3259" s="246" t="str">
        <f t="shared" ref="K3259:K3322" si="108">IF(A3259="","",A3259)</f>
        <v/>
      </c>
    </row>
    <row r="3260" spans="1:11" ht="30" customHeight="1" x14ac:dyDescent="0.2">
      <c r="A3260" s="242"/>
      <c r="F3260" s="285" t="str">
        <f t="shared" si="107"/>
        <v/>
      </c>
      <c r="K3260" s="246" t="str">
        <f t="shared" si="108"/>
        <v/>
      </c>
    </row>
    <row r="3261" spans="1:11" ht="30" customHeight="1" x14ac:dyDescent="0.2">
      <c r="A3261" s="242"/>
      <c r="F3261" s="285" t="str">
        <f t="shared" si="107"/>
        <v/>
      </c>
      <c r="K3261" s="246" t="str">
        <f t="shared" si="108"/>
        <v/>
      </c>
    </row>
    <row r="3262" spans="1:11" ht="30" customHeight="1" x14ac:dyDescent="0.2">
      <c r="A3262" s="242"/>
      <c r="F3262" s="285" t="str">
        <f t="shared" si="107"/>
        <v/>
      </c>
      <c r="K3262" s="246" t="str">
        <f t="shared" si="108"/>
        <v/>
      </c>
    </row>
    <row r="3263" spans="1:11" ht="30" customHeight="1" x14ac:dyDescent="0.2">
      <c r="A3263" s="242"/>
      <c r="F3263" s="285" t="str">
        <f t="shared" si="107"/>
        <v/>
      </c>
      <c r="K3263" s="246" t="str">
        <f t="shared" si="108"/>
        <v/>
      </c>
    </row>
    <row r="3264" spans="1:11" ht="30" customHeight="1" x14ac:dyDescent="0.2">
      <c r="A3264" s="242"/>
      <c r="F3264" s="285" t="str">
        <f t="shared" si="107"/>
        <v/>
      </c>
      <c r="K3264" s="246" t="str">
        <f t="shared" si="108"/>
        <v/>
      </c>
    </row>
    <row r="3265" spans="1:11" ht="30" customHeight="1" x14ac:dyDescent="0.2">
      <c r="A3265" s="242"/>
      <c r="F3265" s="285" t="str">
        <f t="shared" si="107"/>
        <v/>
      </c>
      <c r="K3265" s="246" t="str">
        <f t="shared" si="108"/>
        <v/>
      </c>
    </row>
    <row r="3266" spans="1:11" ht="30" customHeight="1" x14ac:dyDescent="0.2">
      <c r="A3266" s="242"/>
      <c r="F3266" s="285" t="str">
        <f t="shared" si="107"/>
        <v/>
      </c>
      <c r="K3266" s="246" t="str">
        <f t="shared" si="108"/>
        <v/>
      </c>
    </row>
    <row r="3267" spans="1:11" ht="30" customHeight="1" x14ac:dyDescent="0.2">
      <c r="A3267" s="242"/>
      <c r="F3267" s="285" t="str">
        <f t="shared" si="107"/>
        <v/>
      </c>
      <c r="K3267" s="246" t="str">
        <f t="shared" si="108"/>
        <v/>
      </c>
    </row>
    <row r="3268" spans="1:11" ht="30" customHeight="1" x14ac:dyDescent="0.2">
      <c r="A3268" s="242"/>
      <c r="F3268" s="285" t="str">
        <f t="shared" si="107"/>
        <v/>
      </c>
      <c r="K3268" s="246" t="str">
        <f t="shared" si="108"/>
        <v/>
      </c>
    </row>
    <row r="3269" spans="1:11" ht="30" customHeight="1" x14ac:dyDescent="0.2">
      <c r="A3269" s="242"/>
      <c r="F3269" s="285" t="str">
        <f t="shared" ref="F3269:F3332" si="109">IF(A3269="","",A3269)</f>
        <v/>
      </c>
      <c r="K3269" s="246" t="str">
        <f t="shared" si="108"/>
        <v/>
      </c>
    </row>
    <row r="3270" spans="1:11" ht="30" customHeight="1" x14ac:dyDescent="0.2">
      <c r="A3270" s="242"/>
      <c r="F3270" s="285" t="str">
        <f t="shared" si="109"/>
        <v/>
      </c>
      <c r="K3270" s="246" t="str">
        <f t="shared" si="108"/>
        <v/>
      </c>
    </row>
    <row r="3271" spans="1:11" ht="30" customHeight="1" x14ac:dyDescent="0.2">
      <c r="A3271" s="242"/>
      <c r="F3271" s="285" t="str">
        <f t="shared" si="109"/>
        <v/>
      </c>
      <c r="K3271" s="246" t="str">
        <f t="shared" si="108"/>
        <v/>
      </c>
    </row>
    <row r="3272" spans="1:11" ht="30" customHeight="1" x14ac:dyDescent="0.2">
      <c r="A3272" s="242"/>
      <c r="F3272" s="285" t="str">
        <f t="shared" si="109"/>
        <v/>
      </c>
      <c r="K3272" s="246" t="str">
        <f t="shared" si="108"/>
        <v/>
      </c>
    </row>
    <row r="3273" spans="1:11" ht="30" customHeight="1" x14ac:dyDescent="0.2">
      <c r="A3273" s="242"/>
      <c r="F3273" s="285" t="str">
        <f t="shared" si="109"/>
        <v/>
      </c>
      <c r="K3273" s="246" t="str">
        <f t="shared" si="108"/>
        <v/>
      </c>
    </row>
    <row r="3274" spans="1:11" ht="30" customHeight="1" x14ac:dyDescent="0.2">
      <c r="A3274" s="242"/>
      <c r="F3274" s="285" t="str">
        <f t="shared" si="109"/>
        <v/>
      </c>
      <c r="K3274" s="246" t="str">
        <f t="shared" si="108"/>
        <v/>
      </c>
    </row>
    <row r="3275" spans="1:11" ht="30" customHeight="1" x14ac:dyDescent="0.2">
      <c r="A3275" s="242"/>
      <c r="F3275" s="285" t="str">
        <f t="shared" si="109"/>
        <v/>
      </c>
      <c r="K3275" s="246" t="str">
        <f t="shared" si="108"/>
        <v/>
      </c>
    </row>
    <row r="3276" spans="1:11" ht="30" customHeight="1" x14ac:dyDescent="0.2">
      <c r="A3276" s="242"/>
      <c r="F3276" s="285" t="str">
        <f t="shared" si="109"/>
        <v/>
      </c>
      <c r="K3276" s="246" t="str">
        <f t="shared" si="108"/>
        <v/>
      </c>
    </row>
    <row r="3277" spans="1:11" ht="30" customHeight="1" x14ac:dyDescent="0.2">
      <c r="A3277" s="242"/>
      <c r="F3277" s="285" t="str">
        <f t="shared" si="109"/>
        <v/>
      </c>
      <c r="K3277" s="246" t="str">
        <f t="shared" si="108"/>
        <v/>
      </c>
    </row>
    <row r="3278" spans="1:11" ht="30" customHeight="1" x14ac:dyDescent="0.2">
      <c r="A3278" s="242"/>
      <c r="F3278" s="285" t="str">
        <f t="shared" si="109"/>
        <v/>
      </c>
      <c r="K3278" s="246" t="str">
        <f t="shared" si="108"/>
        <v/>
      </c>
    </row>
    <row r="3279" spans="1:11" ht="30" customHeight="1" x14ac:dyDescent="0.2">
      <c r="A3279" s="242"/>
      <c r="F3279" s="285" t="str">
        <f t="shared" si="109"/>
        <v/>
      </c>
      <c r="K3279" s="246" t="str">
        <f t="shared" si="108"/>
        <v/>
      </c>
    </row>
    <row r="3280" spans="1:11" ht="30" customHeight="1" x14ac:dyDescent="0.2">
      <c r="A3280" s="242"/>
      <c r="F3280" s="285" t="str">
        <f t="shared" si="109"/>
        <v/>
      </c>
      <c r="K3280" s="246" t="str">
        <f t="shared" si="108"/>
        <v/>
      </c>
    </row>
    <row r="3281" spans="1:11" ht="30" customHeight="1" x14ac:dyDescent="0.2">
      <c r="A3281" s="242"/>
      <c r="F3281" s="285" t="str">
        <f t="shared" si="109"/>
        <v/>
      </c>
      <c r="K3281" s="246" t="str">
        <f t="shared" si="108"/>
        <v/>
      </c>
    </row>
    <row r="3282" spans="1:11" ht="30" customHeight="1" x14ac:dyDescent="0.2">
      <c r="A3282" s="242"/>
      <c r="F3282" s="285" t="str">
        <f t="shared" si="109"/>
        <v/>
      </c>
      <c r="K3282" s="246" t="str">
        <f t="shared" si="108"/>
        <v/>
      </c>
    </row>
    <row r="3283" spans="1:11" ht="30" customHeight="1" x14ac:dyDescent="0.2">
      <c r="A3283" s="242"/>
      <c r="F3283" s="285" t="str">
        <f t="shared" si="109"/>
        <v/>
      </c>
      <c r="K3283" s="246" t="str">
        <f t="shared" si="108"/>
        <v/>
      </c>
    </row>
    <row r="3284" spans="1:11" ht="30" customHeight="1" x14ac:dyDescent="0.2">
      <c r="A3284" s="242"/>
      <c r="F3284" s="285" t="str">
        <f t="shared" si="109"/>
        <v/>
      </c>
      <c r="K3284" s="246" t="str">
        <f t="shared" si="108"/>
        <v/>
      </c>
    </row>
    <row r="3285" spans="1:11" ht="30" customHeight="1" x14ac:dyDescent="0.2">
      <c r="A3285" s="242"/>
      <c r="F3285" s="285" t="str">
        <f t="shared" si="109"/>
        <v/>
      </c>
      <c r="K3285" s="246" t="str">
        <f t="shared" si="108"/>
        <v/>
      </c>
    </row>
    <row r="3286" spans="1:11" ht="30" customHeight="1" x14ac:dyDescent="0.2">
      <c r="A3286" s="242"/>
      <c r="F3286" s="285" t="str">
        <f t="shared" si="109"/>
        <v/>
      </c>
      <c r="K3286" s="246" t="str">
        <f t="shared" si="108"/>
        <v/>
      </c>
    </row>
    <row r="3287" spans="1:11" ht="30" customHeight="1" x14ac:dyDescent="0.2">
      <c r="A3287" s="242"/>
      <c r="F3287" s="285" t="str">
        <f t="shared" si="109"/>
        <v/>
      </c>
      <c r="K3287" s="246" t="str">
        <f t="shared" si="108"/>
        <v/>
      </c>
    </row>
    <row r="3288" spans="1:11" ht="30" customHeight="1" x14ac:dyDescent="0.2">
      <c r="A3288" s="242"/>
      <c r="F3288" s="285" t="str">
        <f t="shared" si="109"/>
        <v/>
      </c>
      <c r="K3288" s="246" t="str">
        <f t="shared" si="108"/>
        <v/>
      </c>
    </row>
    <row r="3289" spans="1:11" ht="30" customHeight="1" x14ac:dyDescent="0.2">
      <c r="A3289" s="242"/>
      <c r="F3289" s="285" t="str">
        <f t="shared" si="109"/>
        <v/>
      </c>
      <c r="K3289" s="246" t="str">
        <f t="shared" si="108"/>
        <v/>
      </c>
    </row>
    <row r="3290" spans="1:11" ht="30" customHeight="1" x14ac:dyDescent="0.2">
      <c r="A3290" s="242"/>
      <c r="F3290" s="285" t="str">
        <f t="shared" si="109"/>
        <v/>
      </c>
      <c r="K3290" s="246" t="str">
        <f t="shared" si="108"/>
        <v/>
      </c>
    </row>
    <row r="3291" spans="1:11" ht="30" customHeight="1" x14ac:dyDescent="0.2">
      <c r="A3291" s="242"/>
      <c r="F3291" s="285" t="str">
        <f t="shared" si="109"/>
        <v/>
      </c>
      <c r="K3291" s="246" t="str">
        <f t="shared" si="108"/>
        <v/>
      </c>
    </row>
    <row r="3292" spans="1:11" ht="30" customHeight="1" x14ac:dyDescent="0.2">
      <c r="A3292" s="242"/>
      <c r="F3292" s="285" t="str">
        <f t="shared" si="109"/>
        <v/>
      </c>
      <c r="K3292" s="246" t="str">
        <f t="shared" si="108"/>
        <v/>
      </c>
    </row>
    <row r="3293" spans="1:11" ht="30" customHeight="1" x14ac:dyDescent="0.2">
      <c r="A3293" s="242"/>
      <c r="F3293" s="285" t="str">
        <f t="shared" si="109"/>
        <v/>
      </c>
      <c r="K3293" s="246" t="str">
        <f t="shared" si="108"/>
        <v/>
      </c>
    </row>
    <row r="3294" spans="1:11" ht="30" customHeight="1" x14ac:dyDescent="0.2">
      <c r="A3294" s="242"/>
      <c r="F3294" s="285" t="str">
        <f t="shared" si="109"/>
        <v/>
      </c>
      <c r="K3294" s="246" t="str">
        <f t="shared" si="108"/>
        <v/>
      </c>
    </row>
    <row r="3295" spans="1:11" ht="30" customHeight="1" x14ac:dyDescent="0.2">
      <c r="A3295" s="242"/>
      <c r="F3295" s="285" t="str">
        <f t="shared" si="109"/>
        <v/>
      </c>
      <c r="K3295" s="246" t="str">
        <f t="shared" si="108"/>
        <v/>
      </c>
    </row>
    <row r="3296" spans="1:11" ht="30" customHeight="1" x14ac:dyDescent="0.2">
      <c r="A3296" s="242"/>
      <c r="F3296" s="285" t="str">
        <f t="shared" si="109"/>
        <v/>
      </c>
      <c r="K3296" s="246" t="str">
        <f t="shared" si="108"/>
        <v/>
      </c>
    </row>
    <row r="3297" spans="1:11" ht="30" customHeight="1" x14ac:dyDescent="0.2">
      <c r="A3297" s="242"/>
      <c r="F3297" s="285" t="str">
        <f t="shared" si="109"/>
        <v/>
      </c>
      <c r="K3297" s="246" t="str">
        <f t="shared" si="108"/>
        <v/>
      </c>
    </row>
    <row r="3298" spans="1:11" ht="30" customHeight="1" x14ac:dyDescent="0.2">
      <c r="A3298" s="242"/>
      <c r="F3298" s="285" t="str">
        <f t="shared" si="109"/>
        <v/>
      </c>
      <c r="K3298" s="246" t="str">
        <f t="shared" si="108"/>
        <v/>
      </c>
    </row>
    <row r="3299" spans="1:11" ht="30" customHeight="1" x14ac:dyDescent="0.2">
      <c r="A3299" s="242"/>
      <c r="F3299" s="285" t="str">
        <f t="shared" si="109"/>
        <v/>
      </c>
      <c r="K3299" s="246" t="str">
        <f t="shared" si="108"/>
        <v/>
      </c>
    </row>
    <row r="3300" spans="1:11" ht="30" customHeight="1" x14ac:dyDescent="0.2">
      <c r="A3300" s="242"/>
      <c r="F3300" s="285" t="str">
        <f t="shared" si="109"/>
        <v/>
      </c>
      <c r="K3300" s="246" t="str">
        <f t="shared" si="108"/>
        <v/>
      </c>
    </row>
    <row r="3301" spans="1:11" ht="30" customHeight="1" x14ac:dyDescent="0.2">
      <c r="A3301" s="242"/>
      <c r="F3301" s="285" t="str">
        <f t="shared" si="109"/>
        <v/>
      </c>
      <c r="K3301" s="246" t="str">
        <f t="shared" si="108"/>
        <v/>
      </c>
    </row>
    <row r="3302" spans="1:11" ht="30" customHeight="1" x14ac:dyDescent="0.2">
      <c r="A3302" s="242"/>
      <c r="F3302" s="285" t="str">
        <f t="shared" si="109"/>
        <v/>
      </c>
      <c r="K3302" s="246" t="str">
        <f t="shared" si="108"/>
        <v/>
      </c>
    </row>
    <row r="3303" spans="1:11" ht="30" customHeight="1" x14ac:dyDescent="0.2">
      <c r="A3303" s="242"/>
      <c r="F3303" s="285" t="str">
        <f t="shared" si="109"/>
        <v/>
      </c>
      <c r="K3303" s="246" t="str">
        <f t="shared" si="108"/>
        <v/>
      </c>
    </row>
    <row r="3304" spans="1:11" ht="30" customHeight="1" x14ac:dyDescent="0.2">
      <c r="A3304" s="242"/>
      <c r="F3304" s="285" t="str">
        <f t="shared" si="109"/>
        <v/>
      </c>
      <c r="K3304" s="246" t="str">
        <f t="shared" si="108"/>
        <v/>
      </c>
    </row>
    <row r="3305" spans="1:11" ht="30" customHeight="1" x14ac:dyDescent="0.2">
      <c r="A3305" s="242"/>
      <c r="F3305" s="285" t="str">
        <f t="shared" si="109"/>
        <v/>
      </c>
      <c r="K3305" s="246" t="str">
        <f t="shared" si="108"/>
        <v/>
      </c>
    </row>
    <row r="3306" spans="1:11" ht="30" customHeight="1" x14ac:dyDescent="0.2">
      <c r="A3306" s="242"/>
      <c r="F3306" s="285" t="str">
        <f t="shared" si="109"/>
        <v/>
      </c>
      <c r="K3306" s="246" t="str">
        <f t="shared" si="108"/>
        <v/>
      </c>
    </row>
    <row r="3307" spans="1:11" ht="30" customHeight="1" x14ac:dyDescent="0.2">
      <c r="A3307" s="242"/>
      <c r="F3307" s="285" t="str">
        <f t="shared" si="109"/>
        <v/>
      </c>
      <c r="K3307" s="246" t="str">
        <f t="shared" si="108"/>
        <v/>
      </c>
    </row>
    <row r="3308" spans="1:11" ht="30" customHeight="1" x14ac:dyDescent="0.2">
      <c r="A3308" s="242"/>
      <c r="F3308" s="285" t="str">
        <f t="shared" si="109"/>
        <v/>
      </c>
      <c r="K3308" s="246" t="str">
        <f t="shared" si="108"/>
        <v/>
      </c>
    </row>
    <row r="3309" spans="1:11" ht="30" customHeight="1" x14ac:dyDescent="0.2">
      <c r="A3309" s="242"/>
      <c r="F3309" s="285" t="str">
        <f t="shared" si="109"/>
        <v/>
      </c>
      <c r="K3309" s="246" t="str">
        <f t="shared" si="108"/>
        <v/>
      </c>
    </row>
    <row r="3310" spans="1:11" ht="30" customHeight="1" x14ac:dyDescent="0.2">
      <c r="A3310" s="242"/>
      <c r="F3310" s="285" t="str">
        <f t="shared" si="109"/>
        <v/>
      </c>
      <c r="K3310" s="246" t="str">
        <f t="shared" si="108"/>
        <v/>
      </c>
    </row>
    <row r="3311" spans="1:11" ht="30" customHeight="1" x14ac:dyDescent="0.2">
      <c r="A3311" s="242"/>
      <c r="F3311" s="285" t="str">
        <f t="shared" si="109"/>
        <v/>
      </c>
      <c r="K3311" s="246" t="str">
        <f t="shared" si="108"/>
        <v/>
      </c>
    </row>
    <row r="3312" spans="1:11" ht="30" customHeight="1" x14ac:dyDescent="0.2">
      <c r="A3312" s="242"/>
      <c r="F3312" s="285" t="str">
        <f t="shared" si="109"/>
        <v/>
      </c>
      <c r="K3312" s="246" t="str">
        <f t="shared" si="108"/>
        <v/>
      </c>
    </row>
    <row r="3313" spans="1:11" ht="30" customHeight="1" x14ac:dyDescent="0.2">
      <c r="A3313" s="242"/>
      <c r="F3313" s="285" t="str">
        <f t="shared" si="109"/>
        <v/>
      </c>
      <c r="K3313" s="246" t="str">
        <f t="shared" si="108"/>
        <v/>
      </c>
    </row>
    <row r="3314" spans="1:11" ht="30" customHeight="1" x14ac:dyDescent="0.2">
      <c r="A3314" s="242"/>
      <c r="F3314" s="285" t="str">
        <f t="shared" si="109"/>
        <v/>
      </c>
      <c r="K3314" s="246" t="str">
        <f t="shared" si="108"/>
        <v/>
      </c>
    </row>
    <row r="3315" spans="1:11" ht="30" customHeight="1" x14ac:dyDescent="0.2">
      <c r="A3315" s="242"/>
      <c r="F3315" s="285" t="str">
        <f t="shared" si="109"/>
        <v/>
      </c>
      <c r="K3315" s="246" t="str">
        <f t="shared" si="108"/>
        <v/>
      </c>
    </row>
    <row r="3316" spans="1:11" ht="30" customHeight="1" x14ac:dyDescent="0.2">
      <c r="A3316" s="242"/>
      <c r="F3316" s="285" t="str">
        <f t="shared" si="109"/>
        <v/>
      </c>
      <c r="K3316" s="246" t="str">
        <f t="shared" si="108"/>
        <v/>
      </c>
    </row>
    <row r="3317" spans="1:11" ht="30" customHeight="1" x14ac:dyDescent="0.2">
      <c r="A3317" s="242"/>
      <c r="F3317" s="285" t="str">
        <f t="shared" si="109"/>
        <v/>
      </c>
      <c r="K3317" s="246" t="str">
        <f t="shared" si="108"/>
        <v/>
      </c>
    </row>
    <row r="3318" spans="1:11" ht="30" customHeight="1" x14ac:dyDescent="0.2">
      <c r="A3318" s="242"/>
      <c r="F3318" s="285" t="str">
        <f t="shared" si="109"/>
        <v/>
      </c>
      <c r="K3318" s="246" t="str">
        <f t="shared" si="108"/>
        <v/>
      </c>
    </row>
    <row r="3319" spans="1:11" ht="30" customHeight="1" x14ac:dyDescent="0.2">
      <c r="A3319" s="242"/>
      <c r="F3319" s="285" t="str">
        <f t="shared" si="109"/>
        <v/>
      </c>
      <c r="K3319" s="246" t="str">
        <f t="shared" si="108"/>
        <v/>
      </c>
    </row>
    <row r="3320" spans="1:11" ht="30" customHeight="1" x14ac:dyDescent="0.2">
      <c r="A3320" s="242"/>
      <c r="F3320" s="285" t="str">
        <f t="shared" si="109"/>
        <v/>
      </c>
      <c r="K3320" s="246" t="str">
        <f t="shared" si="108"/>
        <v/>
      </c>
    </row>
    <row r="3321" spans="1:11" ht="30" customHeight="1" x14ac:dyDescent="0.2">
      <c r="A3321" s="242"/>
      <c r="F3321" s="285" t="str">
        <f t="shared" si="109"/>
        <v/>
      </c>
      <c r="K3321" s="246" t="str">
        <f t="shared" si="108"/>
        <v/>
      </c>
    </row>
    <row r="3322" spans="1:11" ht="30" customHeight="1" x14ac:dyDescent="0.2">
      <c r="A3322" s="242"/>
      <c r="F3322" s="285" t="str">
        <f t="shared" si="109"/>
        <v/>
      </c>
      <c r="K3322" s="246" t="str">
        <f t="shared" si="108"/>
        <v/>
      </c>
    </row>
    <row r="3323" spans="1:11" ht="30" customHeight="1" x14ac:dyDescent="0.2">
      <c r="A3323" s="242"/>
      <c r="F3323" s="285" t="str">
        <f t="shared" si="109"/>
        <v/>
      </c>
      <c r="K3323" s="246" t="str">
        <f t="shared" ref="K3323:K3386" si="110">IF(A3323="","",A3323)</f>
        <v/>
      </c>
    </row>
    <row r="3324" spans="1:11" ht="30" customHeight="1" x14ac:dyDescent="0.2">
      <c r="A3324" s="242"/>
      <c r="F3324" s="285" t="str">
        <f t="shared" si="109"/>
        <v/>
      </c>
      <c r="K3324" s="246" t="str">
        <f t="shared" si="110"/>
        <v/>
      </c>
    </row>
    <row r="3325" spans="1:11" ht="30" customHeight="1" x14ac:dyDescent="0.2">
      <c r="A3325" s="242"/>
      <c r="F3325" s="285" t="str">
        <f t="shared" si="109"/>
        <v/>
      </c>
      <c r="K3325" s="246" t="str">
        <f t="shared" si="110"/>
        <v/>
      </c>
    </row>
    <row r="3326" spans="1:11" ht="30" customHeight="1" x14ac:dyDescent="0.2">
      <c r="A3326" s="242"/>
      <c r="F3326" s="285" t="str">
        <f t="shared" si="109"/>
        <v/>
      </c>
      <c r="K3326" s="246" t="str">
        <f t="shared" si="110"/>
        <v/>
      </c>
    </row>
    <row r="3327" spans="1:11" ht="30" customHeight="1" x14ac:dyDescent="0.2">
      <c r="A3327" s="242"/>
      <c r="F3327" s="285" t="str">
        <f t="shared" si="109"/>
        <v/>
      </c>
      <c r="K3327" s="246" t="str">
        <f t="shared" si="110"/>
        <v/>
      </c>
    </row>
    <row r="3328" spans="1:11" ht="30" customHeight="1" x14ac:dyDescent="0.2">
      <c r="A3328" s="242"/>
      <c r="F3328" s="285" t="str">
        <f t="shared" si="109"/>
        <v/>
      </c>
      <c r="K3328" s="246" t="str">
        <f t="shared" si="110"/>
        <v/>
      </c>
    </row>
    <row r="3329" spans="1:11" ht="30" customHeight="1" x14ac:dyDescent="0.2">
      <c r="A3329" s="242"/>
      <c r="F3329" s="285" t="str">
        <f t="shared" si="109"/>
        <v/>
      </c>
      <c r="K3329" s="246" t="str">
        <f t="shared" si="110"/>
        <v/>
      </c>
    </row>
    <row r="3330" spans="1:11" ht="30" customHeight="1" x14ac:dyDescent="0.2">
      <c r="A3330" s="242"/>
      <c r="F3330" s="285" t="str">
        <f t="shared" si="109"/>
        <v/>
      </c>
      <c r="K3330" s="246" t="str">
        <f t="shared" si="110"/>
        <v/>
      </c>
    </row>
    <row r="3331" spans="1:11" ht="30" customHeight="1" x14ac:dyDescent="0.2">
      <c r="A3331" s="242"/>
      <c r="F3331" s="285" t="str">
        <f t="shared" si="109"/>
        <v/>
      </c>
      <c r="K3331" s="246" t="str">
        <f t="shared" si="110"/>
        <v/>
      </c>
    </row>
    <row r="3332" spans="1:11" ht="30" customHeight="1" x14ac:dyDescent="0.2">
      <c r="A3332" s="242"/>
      <c r="F3332" s="285" t="str">
        <f t="shared" si="109"/>
        <v/>
      </c>
      <c r="K3332" s="246" t="str">
        <f t="shared" si="110"/>
        <v/>
      </c>
    </row>
    <row r="3333" spans="1:11" ht="30" customHeight="1" x14ac:dyDescent="0.2">
      <c r="A3333" s="242"/>
      <c r="F3333" s="285" t="str">
        <f t="shared" ref="F3333:F3396" si="111">IF(A3333="","",A3333)</f>
        <v/>
      </c>
      <c r="K3333" s="246" t="str">
        <f t="shared" si="110"/>
        <v/>
      </c>
    </row>
    <row r="3334" spans="1:11" ht="30" customHeight="1" x14ac:dyDescent="0.2">
      <c r="A3334" s="242"/>
      <c r="F3334" s="285" t="str">
        <f t="shared" si="111"/>
        <v/>
      </c>
      <c r="K3334" s="246" t="str">
        <f t="shared" si="110"/>
        <v/>
      </c>
    </row>
    <row r="3335" spans="1:11" ht="30" customHeight="1" x14ac:dyDescent="0.2">
      <c r="A3335" s="242"/>
      <c r="F3335" s="285" t="str">
        <f t="shared" si="111"/>
        <v/>
      </c>
      <c r="K3335" s="246" t="str">
        <f t="shared" si="110"/>
        <v/>
      </c>
    </row>
    <row r="3336" spans="1:11" ht="30" customHeight="1" x14ac:dyDescent="0.2">
      <c r="A3336" s="242"/>
      <c r="F3336" s="285" t="str">
        <f t="shared" si="111"/>
        <v/>
      </c>
      <c r="K3336" s="246" t="str">
        <f t="shared" si="110"/>
        <v/>
      </c>
    </row>
    <row r="3337" spans="1:11" ht="30" customHeight="1" x14ac:dyDescent="0.2">
      <c r="A3337" s="242"/>
      <c r="F3337" s="285" t="str">
        <f t="shared" si="111"/>
        <v/>
      </c>
      <c r="K3337" s="246" t="str">
        <f t="shared" si="110"/>
        <v/>
      </c>
    </row>
    <row r="3338" spans="1:11" ht="30" customHeight="1" x14ac:dyDescent="0.2">
      <c r="A3338" s="242"/>
      <c r="F3338" s="285" t="str">
        <f t="shared" si="111"/>
        <v/>
      </c>
      <c r="K3338" s="246" t="str">
        <f t="shared" si="110"/>
        <v/>
      </c>
    </row>
    <row r="3339" spans="1:11" ht="30" customHeight="1" x14ac:dyDescent="0.2">
      <c r="A3339" s="242"/>
      <c r="F3339" s="285" t="str">
        <f t="shared" si="111"/>
        <v/>
      </c>
      <c r="K3339" s="246" t="str">
        <f t="shared" si="110"/>
        <v/>
      </c>
    </row>
    <row r="3340" spans="1:11" ht="30" customHeight="1" x14ac:dyDescent="0.2">
      <c r="A3340" s="242"/>
      <c r="F3340" s="285" t="str">
        <f t="shared" si="111"/>
        <v/>
      </c>
      <c r="K3340" s="246" t="str">
        <f t="shared" si="110"/>
        <v/>
      </c>
    </row>
    <row r="3341" spans="1:11" ht="30" customHeight="1" x14ac:dyDescent="0.2">
      <c r="A3341" s="242"/>
      <c r="F3341" s="285" t="str">
        <f t="shared" si="111"/>
        <v/>
      </c>
      <c r="K3341" s="246" t="str">
        <f t="shared" si="110"/>
        <v/>
      </c>
    </row>
    <row r="3342" spans="1:11" ht="30" customHeight="1" x14ac:dyDescent="0.2">
      <c r="A3342" s="242"/>
      <c r="F3342" s="285" t="str">
        <f t="shared" si="111"/>
        <v/>
      </c>
      <c r="K3342" s="246" t="str">
        <f t="shared" si="110"/>
        <v/>
      </c>
    </row>
    <row r="3343" spans="1:11" ht="30" customHeight="1" x14ac:dyDescent="0.2">
      <c r="A3343" s="242"/>
      <c r="F3343" s="285" t="str">
        <f t="shared" si="111"/>
        <v/>
      </c>
      <c r="K3343" s="246" t="str">
        <f t="shared" si="110"/>
        <v/>
      </c>
    </row>
    <row r="3344" spans="1:11" ht="30" customHeight="1" x14ac:dyDescent="0.2">
      <c r="A3344" s="242"/>
      <c r="F3344" s="285" t="str">
        <f t="shared" si="111"/>
        <v/>
      </c>
      <c r="K3344" s="246" t="str">
        <f t="shared" si="110"/>
        <v/>
      </c>
    </row>
    <row r="3345" spans="1:11" ht="30" customHeight="1" x14ac:dyDescent="0.2">
      <c r="A3345" s="242"/>
      <c r="F3345" s="285" t="str">
        <f t="shared" si="111"/>
        <v/>
      </c>
      <c r="K3345" s="246" t="str">
        <f t="shared" si="110"/>
        <v/>
      </c>
    </row>
    <row r="3346" spans="1:11" ht="30" customHeight="1" x14ac:dyDescent="0.2">
      <c r="A3346" s="242"/>
      <c r="F3346" s="285" t="str">
        <f t="shared" si="111"/>
        <v/>
      </c>
      <c r="K3346" s="246" t="str">
        <f t="shared" si="110"/>
        <v/>
      </c>
    </row>
    <row r="3347" spans="1:11" ht="30" customHeight="1" x14ac:dyDescent="0.2">
      <c r="A3347" s="242"/>
      <c r="F3347" s="285" t="str">
        <f t="shared" si="111"/>
        <v/>
      </c>
      <c r="K3347" s="246" t="str">
        <f t="shared" si="110"/>
        <v/>
      </c>
    </row>
    <row r="3348" spans="1:11" ht="30" customHeight="1" x14ac:dyDescent="0.2">
      <c r="A3348" s="242"/>
      <c r="F3348" s="285" t="str">
        <f t="shared" si="111"/>
        <v/>
      </c>
      <c r="K3348" s="246" t="str">
        <f t="shared" si="110"/>
        <v/>
      </c>
    </row>
    <row r="3349" spans="1:11" ht="30" customHeight="1" x14ac:dyDescent="0.2">
      <c r="A3349" s="242"/>
      <c r="F3349" s="285" t="str">
        <f t="shared" si="111"/>
        <v/>
      </c>
      <c r="K3349" s="246" t="str">
        <f t="shared" si="110"/>
        <v/>
      </c>
    </row>
    <row r="3350" spans="1:11" ht="30" customHeight="1" x14ac:dyDescent="0.2">
      <c r="A3350" s="242"/>
      <c r="F3350" s="285" t="str">
        <f t="shared" si="111"/>
        <v/>
      </c>
      <c r="K3350" s="246" t="str">
        <f t="shared" si="110"/>
        <v/>
      </c>
    </row>
    <row r="3351" spans="1:11" ht="30" customHeight="1" x14ac:dyDescent="0.2">
      <c r="A3351" s="242"/>
      <c r="F3351" s="285" t="str">
        <f t="shared" si="111"/>
        <v/>
      </c>
      <c r="K3351" s="246" t="str">
        <f t="shared" si="110"/>
        <v/>
      </c>
    </row>
    <row r="3352" spans="1:11" ht="30" customHeight="1" x14ac:dyDescent="0.2">
      <c r="A3352" s="242"/>
      <c r="F3352" s="285" t="str">
        <f t="shared" si="111"/>
        <v/>
      </c>
      <c r="K3352" s="246" t="str">
        <f t="shared" si="110"/>
        <v/>
      </c>
    </row>
    <row r="3353" spans="1:11" ht="30" customHeight="1" x14ac:dyDescent="0.2">
      <c r="A3353" s="242"/>
      <c r="F3353" s="285" t="str">
        <f t="shared" si="111"/>
        <v/>
      </c>
      <c r="K3353" s="246" t="str">
        <f t="shared" si="110"/>
        <v/>
      </c>
    </row>
    <row r="3354" spans="1:11" ht="30" customHeight="1" x14ac:dyDescent="0.2">
      <c r="A3354" s="242"/>
      <c r="F3354" s="285" t="str">
        <f t="shared" si="111"/>
        <v/>
      </c>
      <c r="K3354" s="246" t="str">
        <f t="shared" si="110"/>
        <v/>
      </c>
    </row>
    <row r="3355" spans="1:11" ht="30" customHeight="1" x14ac:dyDescent="0.2">
      <c r="A3355" s="242"/>
      <c r="F3355" s="285" t="str">
        <f t="shared" si="111"/>
        <v/>
      </c>
      <c r="K3355" s="246" t="str">
        <f t="shared" si="110"/>
        <v/>
      </c>
    </row>
    <row r="3356" spans="1:11" ht="30" customHeight="1" x14ac:dyDescent="0.2">
      <c r="A3356" s="242"/>
      <c r="F3356" s="285" t="str">
        <f t="shared" si="111"/>
        <v/>
      </c>
      <c r="K3356" s="246" t="str">
        <f t="shared" si="110"/>
        <v/>
      </c>
    </row>
    <row r="3357" spans="1:11" ht="30" customHeight="1" x14ac:dyDescent="0.2">
      <c r="A3357" s="242"/>
      <c r="F3357" s="285" t="str">
        <f t="shared" si="111"/>
        <v/>
      </c>
      <c r="K3357" s="246" t="str">
        <f t="shared" si="110"/>
        <v/>
      </c>
    </row>
    <row r="3358" spans="1:11" ht="30" customHeight="1" x14ac:dyDescent="0.2">
      <c r="A3358" s="242"/>
      <c r="F3358" s="285" t="str">
        <f t="shared" si="111"/>
        <v/>
      </c>
      <c r="K3358" s="246" t="str">
        <f t="shared" si="110"/>
        <v/>
      </c>
    </row>
    <row r="3359" spans="1:11" ht="30" customHeight="1" x14ac:dyDescent="0.2">
      <c r="A3359" s="242"/>
      <c r="F3359" s="285" t="str">
        <f t="shared" si="111"/>
        <v/>
      </c>
      <c r="K3359" s="246" t="str">
        <f t="shared" si="110"/>
        <v/>
      </c>
    </row>
    <row r="3360" spans="1:11" ht="30" customHeight="1" x14ac:dyDescent="0.2">
      <c r="A3360" s="242"/>
      <c r="F3360" s="285" t="str">
        <f t="shared" si="111"/>
        <v/>
      </c>
      <c r="K3360" s="246" t="str">
        <f t="shared" si="110"/>
        <v/>
      </c>
    </row>
    <row r="3361" spans="1:11" ht="30" customHeight="1" x14ac:dyDescent="0.2">
      <c r="A3361" s="242"/>
      <c r="F3361" s="285" t="str">
        <f t="shared" si="111"/>
        <v/>
      </c>
      <c r="K3361" s="246" t="str">
        <f t="shared" si="110"/>
        <v/>
      </c>
    </row>
    <row r="3362" spans="1:11" ht="30" customHeight="1" x14ac:dyDescent="0.2">
      <c r="A3362" s="242"/>
      <c r="F3362" s="285" t="str">
        <f t="shared" si="111"/>
        <v/>
      </c>
      <c r="K3362" s="246" t="str">
        <f t="shared" si="110"/>
        <v/>
      </c>
    </row>
    <row r="3363" spans="1:11" ht="30" customHeight="1" x14ac:dyDescent="0.2">
      <c r="A3363" s="242"/>
      <c r="F3363" s="285" t="str">
        <f t="shared" si="111"/>
        <v/>
      </c>
      <c r="K3363" s="246" t="str">
        <f t="shared" si="110"/>
        <v/>
      </c>
    </row>
    <row r="3364" spans="1:11" ht="30" customHeight="1" x14ac:dyDescent="0.2">
      <c r="A3364" s="242"/>
      <c r="F3364" s="285" t="str">
        <f t="shared" si="111"/>
        <v/>
      </c>
      <c r="K3364" s="246" t="str">
        <f t="shared" si="110"/>
        <v/>
      </c>
    </row>
    <row r="3365" spans="1:11" ht="30" customHeight="1" x14ac:dyDescent="0.2">
      <c r="A3365" s="242"/>
      <c r="F3365" s="285" t="str">
        <f t="shared" si="111"/>
        <v/>
      </c>
      <c r="K3365" s="246" t="str">
        <f t="shared" si="110"/>
        <v/>
      </c>
    </row>
    <row r="3366" spans="1:11" ht="30" customHeight="1" x14ac:dyDescent="0.2">
      <c r="A3366" s="242"/>
      <c r="F3366" s="285" t="str">
        <f t="shared" si="111"/>
        <v/>
      </c>
      <c r="K3366" s="246" t="str">
        <f t="shared" si="110"/>
        <v/>
      </c>
    </row>
    <row r="3367" spans="1:11" ht="30" customHeight="1" x14ac:dyDescent="0.2">
      <c r="A3367" s="242"/>
      <c r="F3367" s="285" t="str">
        <f t="shared" si="111"/>
        <v/>
      </c>
      <c r="K3367" s="246" t="str">
        <f t="shared" si="110"/>
        <v/>
      </c>
    </row>
    <row r="3368" spans="1:11" ht="30" customHeight="1" x14ac:dyDescent="0.2">
      <c r="A3368" s="242"/>
      <c r="F3368" s="285" t="str">
        <f t="shared" si="111"/>
        <v/>
      </c>
      <c r="K3368" s="246" t="str">
        <f t="shared" si="110"/>
        <v/>
      </c>
    </row>
    <row r="3369" spans="1:11" ht="30" customHeight="1" x14ac:dyDescent="0.2">
      <c r="A3369" s="242"/>
      <c r="F3369" s="285" t="str">
        <f t="shared" si="111"/>
        <v/>
      </c>
      <c r="K3369" s="246" t="str">
        <f t="shared" si="110"/>
        <v/>
      </c>
    </row>
    <row r="3370" spans="1:11" ht="30" customHeight="1" x14ac:dyDescent="0.2">
      <c r="A3370" s="242"/>
      <c r="F3370" s="285" t="str">
        <f t="shared" si="111"/>
        <v/>
      </c>
      <c r="K3370" s="246" t="str">
        <f t="shared" si="110"/>
        <v/>
      </c>
    </row>
    <row r="3371" spans="1:11" ht="30" customHeight="1" x14ac:dyDescent="0.2">
      <c r="A3371" s="242"/>
      <c r="F3371" s="285" t="str">
        <f t="shared" si="111"/>
        <v/>
      </c>
      <c r="K3371" s="246" t="str">
        <f t="shared" si="110"/>
        <v/>
      </c>
    </row>
    <row r="3372" spans="1:11" ht="30" customHeight="1" x14ac:dyDescent="0.2">
      <c r="A3372" s="242"/>
      <c r="F3372" s="285" t="str">
        <f t="shared" si="111"/>
        <v/>
      </c>
      <c r="K3372" s="246" t="str">
        <f t="shared" si="110"/>
        <v/>
      </c>
    </row>
    <row r="3373" spans="1:11" ht="30" customHeight="1" x14ac:dyDescent="0.2">
      <c r="A3373" s="242"/>
      <c r="F3373" s="285" t="str">
        <f t="shared" si="111"/>
        <v/>
      </c>
      <c r="K3373" s="246" t="str">
        <f t="shared" si="110"/>
        <v/>
      </c>
    </row>
    <row r="3374" spans="1:11" ht="30" customHeight="1" x14ac:dyDescent="0.2">
      <c r="A3374" s="242"/>
      <c r="F3374" s="285" t="str">
        <f t="shared" si="111"/>
        <v/>
      </c>
      <c r="K3374" s="246" t="str">
        <f t="shared" si="110"/>
        <v/>
      </c>
    </row>
    <row r="3375" spans="1:11" ht="30" customHeight="1" x14ac:dyDescent="0.2">
      <c r="A3375" s="242"/>
      <c r="F3375" s="285" t="str">
        <f t="shared" si="111"/>
        <v/>
      </c>
      <c r="K3375" s="246" t="str">
        <f t="shared" si="110"/>
        <v/>
      </c>
    </row>
    <row r="3376" spans="1:11" ht="30" customHeight="1" x14ac:dyDescent="0.2">
      <c r="A3376" s="242"/>
      <c r="F3376" s="285" t="str">
        <f t="shared" si="111"/>
        <v/>
      </c>
      <c r="K3376" s="246" t="str">
        <f t="shared" si="110"/>
        <v/>
      </c>
    </row>
    <row r="3377" spans="1:11" ht="30" customHeight="1" x14ac:dyDescent="0.2">
      <c r="A3377" s="242"/>
      <c r="F3377" s="285" t="str">
        <f t="shared" si="111"/>
        <v/>
      </c>
      <c r="K3377" s="246" t="str">
        <f t="shared" si="110"/>
        <v/>
      </c>
    </row>
    <row r="3378" spans="1:11" ht="30" customHeight="1" x14ac:dyDescent="0.2">
      <c r="A3378" s="242"/>
      <c r="F3378" s="285" t="str">
        <f t="shared" si="111"/>
        <v/>
      </c>
      <c r="K3378" s="246" t="str">
        <f t="shared" si="110"/>
        <v/>
      </c>
    </row>
    <row r="3379" spans="1:11" ht="30" customHeight="1" x14ac:dyDescent="0.2">
      <c r="A3379" s="242"/>
      <c r="F3379" s="285" t="str">
        <f t="shared" si="111"/>
        <v/>
      </c>
      <c r="K3379" s="246" t="str">
        <f t="shared" si="110"/>
        <v/>
      </c>
    </row>
    <row r="3380" spans="1:11" ht="30" customHeight="1" x14ac:dyDescent="0.2">
      <c r="A3380" s="242"/>
      <c r="F3380" s="285" t="str">
        <f t="shared" si="111"/>
        <v/>
      </c>
      <c r="K3380" s="246" t="str">
        <f t="shared" si="110"/>
        <v/>
      </c>
    </row>
    <row r="3381" spans="1:11" ht="30" customHeight="1" x14ac:dyDescent="0.2">
      <c r="A3381" s="242"/>
      <c r="F3381" s="285" t="str">
        <f t="shared" si="111"/>
        <v/>
      </c>
      <c r="K3381" s="246" t="str">
        <f t="shared" si="110"/>
        <v/>
      </c>
    </row>
    <row r="3382" spans="1:11" ht="30" customHeight="1" x14ac:dyDescent="0.2">
      <c r="A3382" s="242"/>
      <c r="F3382" s="285" t="str">
        <f t="shared" si="111"/>
        <v/>
      </c>
      <c r="K3382" s="246" t="str">
        <f t="shared" si="110"/>
        <v/>
      </c>
    </row>
    <row r="3383" spans="1:11" ht="30" customHeight="1" x14ac:dyDescent="0.2">
      <c r="A3383" s="242"/>
      <c r="F3383" s="285" t="str">
        <f t="shared" si="111"/>
        <v/>
      </c>
      <c r="K3383" s="246" t="str">
        <f t="shared" si="110"/>
        <v/>
      </c>
    </row>
    <row r="3384" spans="1:11" ht="30" customHeight="1" x14ac:dyDescent="0.2">
      <c r="A3384" s="242"/>
      <c r="F3384" s="285" t="str">
        <f t="shared" si="111"/>
        <v/>
      </c>
      <c r="K3384" s="246" t="str">
        <f t="shared" si="110"/>
        <v/>
      </c>
    </row>
    <row r="3385" spans="1:11" ht="30" customHeight="1" x14ac:dyDescent="0.2">
      <c r="A3385" s="242"/>
      <c r="F3385" s="285" t="str">
        <f t="shared" si="111"/>
        <v/>
      </c>
      <c r="K3385" s="246" t="str">
        <f t="shared" si="110"/>
        <v/>
      </c>
    </row>
    <row r="3386" spans="1:11" ht="30" customHeight="1" x14ac:dyDescent="0.2">
      <c r="A3386" s="242"/>
      <c r="F3386" s="285" t="str">
        <f t="shared" si="111"/>
        <v/>
      </c>
      <c r="K3386" s="246" t="str">
        <f t="shared" si="110"/>
        <v/>
      </c>
    </row>
    <row r="3387" spans="1:11" ht="30" customHeight="1" x14ac:dyDescent="0.2">
      <c r="A3387" s="242"/>
      <c r="F3387" s="285" t="str">
        <f t="shared" si="111"/>
        <v/>
      </c>
      <c r="K3387" s="246" t="str">
        <f t="shared" ref="K3387:K3450" si="112">IF(A3387="","",A3387)</f>
        <v/>
      </c>
    </row>
    <row r="3388" spans="1:11" ht="30" customHeight="1" x14ac:dyDescent="0.2">
      <c r="A3388" s="242"/>
      <c r="F3388" s="285" t="str">
        <f t="shared" si="111"/>
        <v/>
      </c>
      <c r="K3388" s="246" t="str">
        <f t="shared" si="112"/>
        <v/>
      </c>
    </row>
    <row r="3389" spans="1:11" ht="30" customHeight="1" x14ac:dyDescent="0.2">
      <c r="A3389" s="242"/>
      <c r="F3389" s="285" t="str">
        <f t="shared" si="111"/>
        <v/>
      </c>
      <c r="K3389" s="246" t="str">
        <f t="shared" si="112"/>
        <v/>
      </c>
    </row>
    <row r="3390" spans="1:11" ht="30" customHeight="1" x14ac:dyDescent="0.2">
      <c r="A3390" s="242"/>
      <c r="F3390" s="285" t="str">
        <f t="shared" si="111"/>
        <v/>
      </c>
      <c r="K3390" s="246" t="str">
        <f t="shared" si="112"/>
        <v/>
      </c>
    </row>
    <row r="3391" spans="1:11" ht="30" customHeight="1" x14ac:dyDescent="0.2">
      <c r="A3391" s="242"/>
      <c r="F3391" s="285" t="str">
        <f t="shared" si="111"/>
        <v/>
      </c>
      <c r="K3391" s="246" t="str">
        <f t="shared" si="112"/>
        <v/>
      </c>
    </row>
    <row r="3392" spans="1:11" ht="30" customHeight="1" x14ac:dyDescent="0.2">
      <c r="A3392" s="242"/>
      <c r="F3392" s="285" t="str">
        <f t="shared" si="111"/>
        <v/>
      </c>
      <c r="K3392" s="246" t="str">
        <f t="shared" si="112"/>
        <v/>
      </c>
    </row>
    <row r="3393" spans="1:11" ht="30" customHeight="1" x14ac:dyDescent="0.2">
      <c r="A3393" s="242"/>
      <c r="F3393" s="285" t="str">
        <f t="shared" si="111"/>
        <v/>
      </c>
      <c r="K3393" s="246" t="str">
        <f t="shared" si="112"/>
        <v/>
      </c>
    </row>
    <row r="3394" spans="1:11" ht="30" customHeight="1" x14ac:dyDescent="0.2">
      <c r="A3394" s="242"/>
      <c r="F3394" s="285" t="str">
        <f t="shared" si="111"/>
        <v/>
      </c>
      <c r="K3394" s="246" t="str">
        <f t="shared" si="112"/>
        <v/>
      </c>
    </row>
    <row r="3395" spans="1:11" ht="30" customHeight="1" x14ac:dyDescent="0.2">
      <c r="A3395" s="242"/>
      <c r="F3395" s="285" t="str">
        <f t="shared" si="111"/>
        <v/>
      </c>
      <c r="K3395" s="246" t="str">
        <f t="shared" si="112"/>
        <v/>
      </c>
    </row>
    <row r="3396" spans="1:11" ht="30" customHeight="1" x14ac:dyDescent="0.2">
      <c r="A3396" s="242"/>
      <c r="F3396" s="285" t="str">
        <f t="shared" si="111"/>
        <v/>
      </c>
      <c r="K3396" s="246" t="str">
        <f t="shared" si="112"/>
        <v/>
      </c>
    </row>
    <row r="3397" spans="1:11" ht="30" customHeight="1" x14ac:dyDescent="0.2">
      <c r="A3397" s="242"/>
      <c r="F3397" s="285" t="str">
        <f t="shared" ref="F3397:F3460" si="113">IF(A3397="","",A3397)</f>
        <v/>
      </c>
      <c r="K3397" s="246" t="str">
        <f t="shared" si="112"/>
        <v/>
      </c>
    </row>
    <row r="3398" spans="1:11" ht="30" customHeight="1" x14ac:dyDescent="0.2">
      <c r="A3398" s="242"/>
      <c r="F3398" s="285" t="str">
        <f t="shared" si="113"/>
        <v/>
      </c>
      <c r="K3398" s="246" t="str">
        <f t="shared" si="112"/>
        <v/>
      </c>
    </row>
    <row r="3399" spans="1:11" ht="30" customHeight="1" x14ac:dyDescent="0.2">
      <c r="A3399" s="242"/>
      <c r="F3399" s="285" t="str">
        <f t="shared" si="113"/>
        <v/>
      </c>
      <c r="K3399" s="246" t="str">
        <f t="shared" si="112"/>
        <v/>
      </c>
    </row>
    <row r="3400" spans="1:11" ht="30" customHeight="1" x14ac:dyDescent="0.2">
      <c r="A3400" s="242"/>
      <c r="F3400" s="285" t="str">
        <f t="shared" si="113"/>
        <v/>
      </c>
      <c r="K3400" s="246" t="str">
        <f t="shared" si="112"/>
        <v/>
      </c>
    </row>
    <row r="3401" spans="1:11" ht="30" customHeight="1" x14ac:dyDescent="0.2">
      <c r="A3401" s="242"/>
      <c r="F3401" s="285" t="str">
        <f t="shared" si="113"/>
        <v/>
      </c>
      <c r="K3401" s="246" t="str">
        <f t="shared" si="112"/>
        <v/>
      </c>
    </row>
    <row r="3402" spans="1:11" ht="30" customHeight="1" x14ac:dyDescent="0.2">
      <c r="A3402" s="242"/>
      <c r="F3402" s="285" t="str">
        <f t="shared" si="113"/>
        <v/>
      </c>
      <c r="K3402" s="246" t="str">
        <f t="shared" si="112"/>
        <v/>
      </c>
    </row>
    <row r="3403" spans="1:11" ht="30" customHeight="1" x14ac:dyDescent="0.2">
      <c r="A3403" s="242"/>
      <c r="F3403" s="285" t="str">
        <f t="shared" si="113"/>
        <v/>
      </c>
      <c r="K3403" s="246" t="str">
        <f t="shared" si="112"/>
        <v/>
      </c>
    </row>
    <row r="3404" spans="1:11" ht="30" customHeight="1" x14ac:dyDescent="0.2">
      <c r="A3404" s="242"/>
      <c r="F3404" s="285" t="str">
        <f t="shared" si="113"/>
        <v/>
      </c>
      <c r="K3404" s="246" t="str">
        <f t="shared" si="112"/>
        <v/>
      </c>
    </row>
    <row r="3405" spans="1:11" ht="30" customHeight="1" x14ac:dyDescent="0.2">
      <c r="A3405" s="242"/>
      <c r="F3405" s="285" t="str">
        <f t="shared" si="113"/>
        <v/>
      </c>
      <c r="K3405" s="246" t="str">
        <f t="shared" si="112"/>
        <v/>
      </c>
    </row>
    <row r="3406" spans="1:11" ht="30" customHeight="1" x14ac:dyDescent="0.2">
      <c r="A3406" s="242"/>
      <c r="F3406" s="285" t="str">
        <f t="shared" si="113"/>
        <v/>
      </c>
      <c r="K3406" s="246" t="str">
        <f t="shared" si="112"/>
        <v/>
      </c>
    </row>
    <row r="3407" spans="1:11" ht="30" customHeight="1" x14ac:dyDescent="0.2">
      <c r="A3407" s="242"/>
      <c r="F3407" s="285" t="str">
        <f t="shared" si="113"/>
        <v/>
      </c>
      <c r="K3407" s="246" t="str">
        <f t="shared" si="112"/>
        <v/>
      </c>
    </row>
    <row r="3408" spans="1:11" ht="30" customHeight="1" x14ac:dyDescent="0.2">
      <c r="A3408" s="242"/>
      <c r="F3408" s="285" t="str">
        <f t="shared" si="113"/>
        <v/>
      </c>
      <c r="K3408" s="246" t="str">
        <f t="shared" si="112"/>
        <v/>
      </c>
    </row>
    <row r="3409" spans="1:11" ht="30" customHeight="1" x14ac:dyDescent="0.2">
      <c r="A3409" s="242"/>
      <c r="F3409" s="285" t="str">
        <f t="shared" si="113"/>
        <v/>
      </c>
      <c r="K3409" s="246" t="str">
        <f t="shared" si="112"/>
        <v/>
      </c>
    </row>
    <row r="3410" spans="1:11" ht="30" customHeight="1" x14ac:dyDescent="0.2">
      <c r="A3410" s="242"/>
      <c r="F3410" s="285" t="str">
        <f t="shared" si="113"/>
        <v/>
      </c>
      <c r="K3410" s="246" t="str">
        <f t="shared" si="112"/>
        <v/>
      </c>
    </row>
    <row r="3411" spans="1:11" ht="30" customHeight="1" x14ac:dyDescent="0.2">
      <c r="A3411" s="242"/>
      <c r="F3411" s="285" t="str">
        <f t="shared" si="113"/>
        <v/>
      </c>
      <c r="K3411" s="246" t="str">
        <f t="shared" si="112"/>
        <v/>
      </c>
    </row>
    <row r="3412" spans="1:11" ht="30" customHeight="1" x14ac:dyDescent="0.2">
      <c r="A3412" s="242"/>
      <c r="F3412" s="285" t="str">
        <f t="shared" si="113"/>
        <v/>
      </c>
      <c r="K3412" s="246" t="str">
        <f t="shared" si="112"/>
        <v/>
      </c>
    </row>
    <row r="3413" spans="1:11" ht="30" customHeight="1" x14ac:dyDescent="0.2">
      <c r="A3413" s="242"/>
      <c r="F3413" s="285" t="str">
        <f t="shared" si="113"/>
        <v/>
      </c>
      <c r="K3413" s="246" t="str">
        <f t="shared" si="112"/>
        <v/>
      </c>
    </row>
    <row r="3414" spans="1:11" ht="30" customHeight="1" x14ac:dyDescent="0.2">
      <c r="A3414" s="242"/>
      <c r="F3414" s="285" t="str">
        <f t="shared" si="113"/>
        <v/>
      </c>
      <c r="K3414" s="246" t="str">
        <f t="shared" si="112"/>
        <v/>
      </c>
    </row>
    <row r="3415" spans="1:11" ht="30" customHeight="1" x14ac:dyDescent="0.2">
      <c r="A3415" s="242"/>
      <c r="F3415" s="285" t="str">
        <f t="shared" si="113"/>
        <v/>
      </c>
      <c r="K3415" s="246" t="str">
        <f t="shared" si="112"/>
        <v/>
      </c>
    </row>
    <row r="3416" spans="1:11" ht="30" customHeight="1" x14ac:dyDescent="0.2">
      <c r="A3416" s="242"/>
      <c r="F3416" s="285" t="str">
        <f t="shared" si="113"/>
        <v/>
      </c>
      <c r="K3416" s="246" t="str">
        <f t="shared" si="112"/>
        <v/>
      </c>
    </row>
    <row r="3417" spans="1:11" ht="30" customHeight="1" x14ac:dyDescent="0.2">
      <c r="A3417" s="242"/>
      <c r="F3417" s="285" t="str">
        <f t="shared" si="113"/>
        <v/>
      </c>
      <c r="K3417" s="246" t="str">
        <f t="shared" si="112"/>
        <v/>
      </c>
    </row>
    <row r="3418" spans="1:11" ht="30" customHeight="1" x14ac:dyDescent="0.2">
      <c r="A3418" s="242"/>
      <c r="F3418" s="285" t="str">
        <f t="shared" si="113"/>
        <v/>
      </c>
      <c r="K3418" s="246" t="str">
        <f t="shared" si="112"/>
        <v/>
      </c>
    </row>
    <row r="3419" spans="1:11" ht="30" customHeight="1" x14ac:dyDescent="0.2">
      <c r="A3419" s="242"/>
      <c r="F3419" s="285" t="str">
        <f t="shared" si="113"/>
        <v/>
      </c>
      <c r="K3419" s="246" t="str">
        <f t="shared" si="112"/>
        <v/>
      </c>
    </row>
    <row r="3420" spans="1:11" ht="30" customHeight="1" x14ac:dyDescent="0.2">
      <c r="A3420" s="242"/>
      <c r="F3420" s="285" t="str">
        <f t="shared" si="113"/>
        <v/>
      </c>
      <c r="K3420" s="246" t="str">
        <f t="shared" si="112"/>
        <v/>
      </c>
    </row>
    <row r="3421" spans="1:11" ht="30" customHeight="1" x14ac:dyDescent="0.2">
      <c r="A3421" s="242"/>
      <c r="F3421" s="285" t="str">
        <f t="shared" si="113"/>
        <v/>
      </c>
      <c r="K3421" s="246" t="str">
        <f t="shared" si="112"/>
        <v/>
      </c>
    </row>
    <row r="3422" spans="1:11" ht="30" customHeight="1" x14ac:dyDescent="0.2">
      <c r="A3422" s="242"/>
      <c r="F3422" s="285" t="str">
        <f t="shared" si="113"/>
        <v/>
      </c>
      <c r="K3422" s="246" t="str">
        <f t="shared" si="112"/>
        <v/>
      </c>
    </row>
    <row r="3423" spans="1:11" ht="30" customHeight="1" x14ac:dyDescent="0.2">
      <c r="A3423" s="242"/>
      <c r="F3423" s="285" t="str">
        <f t="shared" si="113"/>
        <v/>
      </c>
      <c r="K3423" s="246" t="str">
        <f t="shared" si="112"/>
        <v/>
      </c>
    </row>
    <row r="3424" spans="1:11" ht="30" customHeight="1" x14ac:dyDescent="0.2">
      <c r="A3424" s="242"/>
      <c r="F3424" s="285" t="str">
        <f t="shared" si="113"/>
        <v/>
      </c>
      <c r="K3424" s="246" t="str">
        <f t="shared" si="112"/>
        <v/>
      </c>
    </row>
    <row r="3425" spans="1:11" ht="30" customHeight="1" x14ac:dyDescent="0.2">
      <c r="A3425" s="242"/>
      <c r="F3425" s="285" t="str">
        <f t="shared" si="113"/>
        <v/>
      </c>
      <c r="K3425" s="246" t="str">
        <f t="shared" si="112"/>
        <v/>
      </c>
    </row>
    <row r="3426" spans="1:11" ht="30" customHeight="1" x14ac:dyDescent="0.2">
      <c r="A3426" s="242"/>
      <c r="F3426" s="285" t="str">
        <f t="shared" si="113"/>
        <v/>
      </c>
      <c r="K3426" s="246" t="str">
        <f t="shared" si="112"/>
        <v/>
      </c>
    </row>
    <row r="3427" spans="1:11" ht="30" customHeight="1" x14ac:dyDescent="0.2">
      <c r="A3427" s="242"/>
      <c r="F3427" s="285" t="str">
        <f t="shared" si="113"/>
        <v/>
      </c>
      <c r="K3427" s="246" t="str">
        <f t="shared" si="112"/>
        <v/>
      </c>
    </row>
    <row r="3428" spans="1:11" ht="30" customHeight="1" x14ac:dyDescent="0.2">
      <c r="A3428" s="242"/>
      <c r="F3428" s="285" t="str">
        <f t="shared" si="113"/>
        <v/>
      </c>
      <c r="K3428" s="246" t="str">
        <f t="shared" si="112"/>
        <v/>
      </c>
    </row>
    <row r="3429" spans="1:11" ht="30" customHeight="1" x14ac:dyDescent="0.2">
      <c r="A3429" s="242"/>
      <c r="F3429" s="285" t="str">
        <f t="shared" si="113"/>
        <v/>
      </c>
      <c r="K3429" s="246" t="str">
        <f t="shared" si="112"/>
        <v/>
      </c>
    </row>
    <row r="3430" spans="1:11" ht="30" customHeight="1" x14ac:dyDescent="0.2">
      <c r="A3430" s="242"/>
      <c r="F3430" s="285" t="str">
        <f t="shared" si="113"/>
        <v/>
      </c>
      <c r="K3430" s="246" t="str">
        <f t="shared" si="112"/>
        <v/>
      </c>
    </row>
    <row r="3431" spans="1:11" ht="30" customHeight="1" x14ac:dyDescent="0.2">
      <c r="A3431" s="242"/>
      <c r="F3431" s="285" t="str">
        <f t="shared" si="113"/>
        <v/>
      </c>
      <c r="K3431" s="246" t="str">
        <f t="shared" si="112"/>
        <v/>
      </c>
    </row>
    <row r="3432" spans="1:11" ht="30" customHeight="1" x14ac:dyDescent="0.2">
      <c r="A3432" s="242"/>
      <c r="F3432" s="285" t="str">
        <f t="shared" si="113"/>
        <v/>
      </c>
      <c r="K3432" s="246" t="str">
        <f t="shared" si="112"/>
        <v/>
      </c>
    </row>
    <row r="3433" spans="1:11" ht="30" customHeight="1" x14ac:dyDescent="0.2">
      <c r="A3433" s="242"/>
      <c r="F3433" s="285" t="str">
        <f t="shared" si="113"/>
        <v/>
      </c>
      <c r="K3433" s="246" t="str">
        <f t="shared" si="112"/>
        <v/>
      </c>
    </row>
    <row r="3434" spans="1:11" ht="30" customHeight="1" x14ac:dyDescent="0.2">
      <c r="A3434" s="242"/>
      <c r="F3434" s="285" t="str">
        <f t="shared" si="113"/>
        <v/>
      </c>
      <c r="K3434" s="246" t="str">
        <f t="shared" si="112"/>
        <v/>
      </c>
    </row>
    <row r="3435" spans="1:11" ht="30" customHeight="1" x14ac:dyDescent="0.2">
      <c r="A3435" s="242"/>
      <c r="F3435" s="285" t="str">
        <f t="shared" si="113"/>
        <v/>
      </c>
      <c r="K3435" s="246" t="str">
        <f t="shared" si="112"/>
        <v/>
      </c>
    </row>
    <row r="3436" spans="1:11" ht="30" customHeight="1" x14ac:dyDescent="0.2">
      <c r="A3436" s="242"/>
      <c r="F3436" s="285" t="str">
        <f t="shared" si="113"/>
        <v/>
      </c>
      <c r="K3436" s="246" t="str">
        <f t="shared" si="112"/>
        <v/>
      </c>
    </row>
    <row r="3437" spans="1:11" ht="30" customHeight="1" x14ac:dyDescent="0.2">
      <c r="A3437" s="242"/>
      <c r="F3437" s="285" t="str">
        <f t="shared" si="113"/>
        <v/>
      </c>
      <c r="K3437" s="246" t="str">
        <f t="shared" si="112"/>
        <v/>
      </c>
    </row>
    <row r="3438" spans="1:11" ht="30" customHeight="1" x14ac:dyDescent="0.2">
      <c r="A3438" s="242"/>
      <c r="F3438" s="285" t="str">
        <f t="shared" si="113"/>
        <v/>
      </c>
      <c r="K3438" s="246" t="str">
        <f t="shared" si="112"/>
        <v/>
      </c>
    </row>
    <row r="3439" spans="1:11" ht="30" customHeight="1" x14ac:dyDescent="0.2">
      <c r="A3439" s="242"/>
      <c r="F3439" s="285" t="str">
        <f t="shared" si="113"/>
        <v/>
      </c>
      <c r="K3439" s="246" t="str">
        <f t="shared" si="112"/>
        <v/>
      </c>
    </row>
    <row r="3440" spans="1:11" ht="30" customHeight="1" x14ac:dyDescent="0.2">
      <c r="A3440" s="242"/>
      <c r="F3440" s="285" t="str">
        <f t="shared" si="113"/>
        <v/>
      </c>
      <c r="K3440" s="246" t="str">
        <f t="shared" si="112"/>
        <v/>
      </c>
    </row>
    <row r="3441" spans="1:11" ht="30" customHeight="1" x14ac:dyDescent="0.2">
      <c r="A3441" s="242"/>
      <c r="F3441" s="285" t="str">
        <f t="shared" si="113"/>
        <v/>
      </c>
      <c r="K3441" s="246" t="str">
        <f t="shared" si="112"/>
        <v/>
      </c>
    </row>
    <row r="3442" spans="1:11" ht="30" customHeight="1" x14ac:dyDescent="0.2">
      <c r="A3442" s="242"/>
      <c r="F3442" s="285" t="str">
        <f t="shared" si="113"/>
        <v/>
      </c>
      <c r="K3442" s="246" t="str">
        <f t="shared" si="112"/>
        <v/>
      </c>
    </row>
    <row r="3443" spans="1:11" ht="30" customHeight="1" x14ac:dyDescent="0.2">
      <c r="A3443" s="242"/>
      <c r="F3443" s="285" t="str">
        <f t="shared" si="113"/>
        <v/>
      </c>
      <c r="K3443" s="246" t="str">
        <f t="shared" si="112"/>
        <v/>
      </c>
    </row>
    <row r="3444" spans="1:11" ht="30" customHeight="1" x14ac:dyDescent="0.2">
      <c r="A3444" s="242"/>
      <c r="F3444" s="285" t="str">
        <f t="shared" si="113"/>
        <v/>
      </c>
      <c r="K3444" s="246" t="str">
        <f t="shared" si="112"/>
        <v/>
      </c>
    </row>
    <row r="3445" spans="1:11" ht="30" customHeight="1" x14ac:dyDescent="0.2">
      <c r="A3445" s="242"/>
      <c r="F3445" s="285" t="str">
        <f t="shared" si="113"/>
        <v/>
      </c>
      <c r="K3445" s="246" t="str">
        <f t="shared" si="112"/>
        <v/>
      </c>
    </row>
    <row r="3446" spans="1:11" ht="30" customHeight="1" x14ac:dyDescent="0.2">
      <c r="A3446" s="242"/>
      <c r="F3446" s="285" t="str">
        <f t="shared" si="113"/>
        <v/>
      </c>
      <c r="K3446" s="246" t="str">
        <f t="shared" si="112"/>
        <v/>
      </c>
    </row>
    <row r="3447" spans="1:11" ht="30" customHeight="1" x14ac:dyDescent="0.2">
      <c r="A3447" s="242"/>
      <c r="F3447" s="285" t="str">
        <f t="shared" si="113"/>
        <v/>
      </c>
      <c r="K3447" s="246" t="str">
        <f t="shared" si="112"/>
        <v/>
      </c>
    </row>
    <row r="3448" spans="1:11" ht="30" customHeight="1" x14ac:dyDescent="0.2">
      <c r="A3448" s="242"/>
      <c r="F3448" s="285" t="str">
        <f t="shared" si="113"/>
        <v/>
      </c>
      <c r="K3448" s="246" t="str">
        <f t="shared" si="112"/>
        <v/>
      </c>
    </row>
    <row r="3449" spans="1:11" ht="30" customHeight="1" x14ac:dyDescent="0.2">
      <c r="A3449" s="242"/>
      <c r="F3449" s="285" t="str">
        <f t="shared" si="113"/>
        <v/>
      </c>
      <c r="K3449" s="246" t="str">
        <f t="shared" si="112"/>
        <v/>
      </c>
    </row>
    <row r="3450" spans="1:11" ht="30" customHeight="1" x14ac:dyDescent="0.2">
      <c r="A3450" s="242"/>
      <c r="F3450" s="285" t="str">
        <f t="shared" si="113"/>
        <v/>
      </c>
      <c r="K3450" s="246" t="str">
        <f t="shared" si="112"/>
        <v/>
      </c>
    </row>
    <row r="3451" spans="1:11" ht="30" customHeight="1" x14ac:dyDescent="0.2">
      <c r="A3451" s="242"/>
      <c r="F3451" s="285" t="str">
        <f t="shared" si="113"/>
        <v/>
      </c>
      <c r="K3451" s="246" t="str">
        <f t="shared" ref="K3451:K3514" si="114">IF(A3451="","",A3451)</f>
        <v/>
      </c>
    </row>
    <row r="3452" spans="1:11" ht="30" customHeight="1" x14ac:dyDescent="0.2">
      <c r="A3452" s="242"/>
      <c r="F3452" s="285" t="str">
        <f t="shared" si="113"/>
        <v/>
      </c>
      <c r="K3452" s="246" t="str">
        <f t="shared" si="114"/>
        <v/>
      </c>
    </row>
    <row r="3453" spans="1:11" ht="30" customHeight="1" x14ac:dyDescent="0.2">
      <c r="A3453" s="242"/>
      <c r="F3453" s="285" t="str">
        <f t="shared" si="113"/>
        <v/>
      </c>
      <c r="K3453" s="246" t="str">
        <f t="shared" si="114"/>
        <v/>
      </c>
    </row>
    <row r="3454" spans="1:11" ht="30" customHeight="1" x14ac:dyDescent="0.2">
      <c r="A3454" s="242"/>
      <c r="F3454" s="285" t="str">
        <f t="shared" si="113"/>
        <v/>
      </c>
      <c r="K3454" s="246" t="str">
        <f t="shared" si="114"/>
        <v/>
      </c>
    </row>
    <row r="3455" spans="1:11" ht="30" customHeight="1" x14ac:dyDescent="0.2">
      <c r="A3455" s="242"/>
      <c r="F3455" s="285" t="str">
        <f t="shared" si="113"/>
        <v/>
      </c>
      <c r="K3455" s="246" t="str">
        <f t="shared" si="114"/>
        <v/>
      </c>
    </row>
    <row r="3456" spans="1:11" ht="30" customHeight="1" x14ac:dyDescent="0.2">
      <c r="A3456" s="242"/>
      <c r="F3456" s="285" t="str">
        <f t="shared" si="113"/>
        <v/>
      </c>
      <c r="K3456" s="246" t="str">
        <f t="shared" si="114"/>
        <v/>
      </c>
    </row>
    <row r="3457" spans="1:11" ht="30" customHeight="1" x14ac:dyDescent="0.2">
      <c r="A3457" s="242"/>
      <c r="F3457" s="285" t="str">
        <f t="shared" si="113"/>
        <v/>
      </c>
      <c r="K3457" s="246" t="str">
        <f t="shared" si="114"/>
        <v/>
      </c>
    </row>
    <row r="3458" spans="1:11" ht="30" customHeight="1" x14ac:dyDescent="0.2">
      <c r="A3458" s="242"/>
      <c r="F3458" s="285" t="str">
        <f t="shared" si="113"/>
        <v/>
      </c>
      <c r="K3458" s="246" t="str">
        <f t="shared" si="114"/>
        <v/>
      </c>
    </row>
    <row r="3459" spans="1:11" ht="30" customHeight="1" x14ac:dyDescent="0.2">
      <c r="A3459" s="242"/>
      <c r="F3459" s="285" t="str">
        <f t="shared" si="113"/>
        <v/>
      </c>
      <c r="K3459" s="246" t="str">
        <f t="shared" si="114"/>
        <v/>
      </c>
    </row>
    <row r="3460" spans="1:11" ht="30" customHeight="1" x14ac:dyDescent="0.2">
      <c r="A3460" s="242"/>
      <c r="F3460" s="285" t="str">
        <f t="shared" si="113"/>
        <v/>
      </c>
      <c r="K3460" s="246" t="str">
        <f t="shared" si="114"/>
        <v/>
      </c>
    </row>
    <row r="3461" spans="1:11" ht="30" customHeight="1" x14ac:dyDescent="0.2">
      <c r="A3461" s="242"/>
      <c r="F3461" s="285" t="str">
        <f t="shared" ref="F3461:F3524" si="115">IF(A3461="","",A3461)</f>
        <v/>
      </c>
      <c r="K3461" s="246" t="str">
        <f t="shared" si="114"/>
        <v/>
      </c>
    </row>
    <row r="3462" spans="1:11" ht="30" customHeight="1" x14ac:dyDescent="0.2">
      <c r="A3462" s="242"/>
      <c r="F3462" s="285" t="str">
        <f t="shared" si="115"/>
        <v/>
      </c>
      <c r="K3462" s="246" t="str">
        <f t="shared" si="114"/>
        <v/>
      </c>
    </row>
    <row r="3463" spans="1:11" ht="30" customHeight="1" x14ac:dyDescent="0.2">
      <c r="A3463" s="242"/>
      <c r="F3463" s="285" t="str">
        <f t="shared" si="115"/>
        <v/>
      </c>
      <c r="K3463" s="246" t="str">
        <f t="shared" si="114"/>
        <v/>
      </c>
    </row>
    <row r="3464" spans="1:11" ht="30" customHeight="1" x14ac:dyDescent="0.2">
      <c r="A3464" s="242"/>
      <c r="F3464" s="285" t="str">
        <f t="shared" si="115"/>
        <v/>
      </c>
      <c r="K3464" s="246" t="str">
        <f t="shared" si="114"/>
        <v/>
      </c>
    </row>
    <row r="3465" spans="1:11" ht="30" customHeight="1" x14ac:dyDescent="0.2">
      <c r="A3465" s="242"/>
      <c r="F3465" s="285" t="str">
        <f t="shared" si="115"/>
        <v/>
      </c>
      <c r="K3465" s="246" t="str">
        <f t="shared" si="114"/>
        <v/>
      </c>
    </row>
    <row r="3466" spans="1:11" ht="30" customHeight="1" x14ac:dyDescent="0.2">
      <c r="A3466" s="242"/>
      <c r="F3466" s="285" t="str">
        <f t="shared" si="115"/>
        <v/>
      </c>
      <c r="K3466" s="246" t="str">
        <f t="shared" si="114"/>
        <v/>
      </c>
    </row>
    <row r="3467" spans="1:11" ht="30" customHeight="1" x14ac:dyDescent="0.2">
      <c r="A3467" s="242"/>
      <c r="F3467" s="285" t="str">
        <f t="shared" si="115"/>
        <v/>
      </c>
      <c r="K3467" s="246" t="str">
        <f t="shared" si="114"/>
        <v/>
      </c>
    </row>
    <row r="3468" spans="1:11" ht="30" customHeight="1" x14ac:dyDescent="0.2">
      <c r="A3468" s="242"/>
      <c r="F3468" s="285" t="str">
        <f t="shared" si="115"/>
        <v/>
      </c>
      <c r="K3468" s="246" t="str">
        <f t="shared" si="114"/>
        <v/>
      </c>
    </row>
    <row r="3469" spans="1:11" ht="30" customHeight="1" x14ac:dyDescent="0.2">
      <c r="A3469" s="242"/>
      <c r="F3469" s="285" t="str">
        <f t="shared" si="115"/>
        <v/>
      </c>
      <c r="K3469" s="246" t="str">
        <f t="shared" si="114"/>
        <v/>
      </c>
    </row>
    <row r="3470" spans="1:11" ht="30" customHeight="1" x14ac:dyDescent="0.2">
      <c r="A3470" s="242"/>
      <c r="F3470" s="285" t="str">
        <f t="shared" si="115"/>
        <v/>
      </c>
      <c r="K3470" s="246" t="str">
        <f t="shared" si="114"/>
        <v/>
      </c>
    </row>
    <row r="3471" spans="1:11" ht="30" customHeight="1" x14ac:dyDescent="0.2">
      <c r="A3471" s="242"/>
      <c r="F3471" s="285" t="str">
        <f t="shared" si="115"/>
        <v/>
      </c>
      <c r="K3471" s="246" t="str">
        <f t="shared" si="114"/>
        <v/>
      </c>
    </row>
    <row r="3472" spans="1:11" ht="30" customHeight="1" x14ac:dyDescent="0.2">
      <c r="A3472" s="242"/>
      <c r="F3472" s="285" t="str">
        <f t="shared" si="115"/>
        <v/>
      </c>
      <c r="K3472" s="246" t="str">
        <f t="shared" si="114"/>
        <v/>
      </c>
    </row>
    <row r="3473" spans="1:11" ht="30" customHeight="1" x14ac:dyDescent="0.2">
      <c r="A3473" s="242"/>
      <c r="F3473" s="285" t="str">
        <f t="shared" si="115"/>
        <v/>
      </c>
      <c r="K3473" s="246" t="str">
        <f t="shared" si="114"/>
        <v/>
      </c>
    </row>
    <row r="3474" spans="1:11" ht="30" customHeight="1" x14ac:dyDescent="0.2">
      <c r="A3474" s="242"/>
      <c r="F3474" s="285" t="str">
        <f t="shared" si="115"/>
        <v/>
      </c>
      <c r="K3474" s="246" t="str">
        <f t="shared" si="114"/>
        <v/>
      </c>
    </row>
    <row r="3475" spans="1:11" ht="30" customHeight="1" x14ac:dyDescent="0.2">
      <c r="A3475" s="242"/>
      <c r="F3475" s="285" t="str">
        <f t="shared" si="115"/>
        <v/>
      </c>
      <c r="K3475" s="246" t="str">
        <f t="shared" si="114"/>
        <v/>
      </c>
    </row>
    <row r="3476" spans="1:11" ht="30" customHeight="1" x14ac:dyDescent="0.2">
      <c r="A3476" s="242"/>
      <c r="F3476" s="285" t="str">
        <f t="shared" si="115"/>
        <v/>
      </c>
      <c r="K3476" s="246" t="str">
        <f t="shared" si="114"/>
        <v/>
      </c>
    </row>
    <row r="3477" spans="1:11" ht="30" customHeight="1" x14ac:dyDescent="0.2">
      <c r="A3477" s="242"/>
      <c r="F3477" s="285" t="str">
        <f t="shared" si="115"/>
        <v/>
      </c>
      <c r="K3477" s="246" t="str">
        <f t="shared" si="114"/>
        <v/>
      </c>
    </row>
    <row r="3478" spans="1:11" ht="30" customHeight="1" x14ac:dyDescent="0.2">
      <c r="A3478" s="242"/>
      <c r="F3478" s="285" t="str">
        <f t="shared" si="115"/>
        <v/>
      </c>
      <c r="K3478" s="246" t="str">
        <f t="shared" si="114"/>
        <v/>
      </c>
    </row>
    <row r="3479" spans="1:11" ht="30" customHeight="1" x14ac:dyDescent="0.2">
      <c r="A3479" s="242"/>
      <c r="F3479" s="285" t="str">
        <f t="shared" si="115"/>
        <v/>
      </c>
      <c r="K3479" s="246" t="str">
        <f t="shared" si="114"/>
        <v/>
      </c>
    </row>
    <row r="3480" spans="1:11" ht="30" customHeight="1" x14ac:dyDescent="0.2">
      <c r="A3480" s="242"/>
      <c r="F3480" s="285" t="str">
        <f t="shared" si="115"/>
        <v/>
      </c>
      <c r="K3480" s="246" t="str">
        <f t="shared" si="114"/>
        <v/>
      </c>
    </row>
    <row r="3481" spans="1:11" ht="30" customHeight="1" x14ac:dyDescent="0.2">
      <c r="A3481" s="242"/>
      <c r="F3481" s="285" t="str">
        <f t="shared" si="115"/>
        <v/>
      </c>
      <c r="K3481" s="246" t="str">
        <f t="shared" si="114"/>
        <v/>
      </c>
    </row>
    <row r="3482" spans="1:11" ht="30" customHeight="1" x14ac:dyDescent="0.2">
      <c r="A3482" s="242"/>
      <c r="F3482" s="285" t="str">
        <f t="shared" si="115"/>
        <v/>
      </c>
      <c r="K3482" s="246" t="str">
        <f t="shared" si="114"/>
        <v/>
      </c>
    </row>
    <row r="3483" spans="1:11" ht="30" customHeight="1" x14ac:dyDescent="0.2">
      <c r="A3483" s="242"/>
      <c r="F3483" s="285" t="str">
        <f t="shared" si="115"/>
        <v/>
      </c>
      <c r="K3483" s="246" t="str">
        <f t="shared" si="114"/>
        <v/>
      </c>
    </row>
    <row r="3484" spans="1:11" ht="30" customHeight="1" x14ac:dyDescent="0.2">
      <c r="A3484" s="242"/>
      <c r="F3484" s="285" t="str">
        <f t="shared" si="115"/>
        <v/>
      </c>
      <c r="K3484" s="246" t="str">
        <f t="shared" si="114"/>
        <v/>
      </c>
    </row>
    <row r="3485" spans="1:11" ht="30" customHeight="1" x14ac:dyDescent="0.2">
      <c r="A3485" s="242"/>
      <c r="F3485" s="285" t="str">
        <f t="shared" si="115"/>
        <v/>
      </c>
      <c r="K3485" s="246" t="str">
        <f t="shared" si="114"/>
        <v/>
      </c>
    </row>
    <row r="3486" spans="1:11" ht="30" customHeight="1" x14ac:dyDescent="0.2">
      <c r="A3486" s="242"/>
      <c r="F3486" s="285" t="str">
        <f t="shared" si="115"/>
        <v/>
      </c>
      <c r="K3486" s="246" t="str">
        <f t="shared" si="114"/>
        <v/>
      </c>
    </row>
    <row r="3487" spans="1:11" ht="30" customHeight="1" x14ac:dyDescent="0.2">
      <c r="A3487" s="242"/>
      <c r="F3487" s="285" t="str">
        <f t="shared" si="115"/>
        <v/>
      </c>
      <c r="K3487" s="246" t="str">
        <f t="shared" si="114"/>
        <v/>
      </c>
    </row>
    <row r="3488" spans="1:11" ht="30" customHeight="1" x14ac:dyDescent="0.2">
      <c r="A3488" s="242"/>
      <c r="F3488" s="285" t="str">
        <f t="shared" si="115"/>
        <v/>
      </c>
      <c r="K3488" s="246" t="str">
        <f t="shared" si="114"/>
        <v/>
      </c>
    </row>
    <row r="3489" spans="1:11" ht="30" customHeight="1" x14ac:dyDescent="0.2">
      <c r="A3489" s="242"/>
      <c r="F3489" s="285" t="str">
        <f t="shared" si="115"/>
        <v/>
      </c>
      <c r="K3489" s="246" t="str">
        <f t="shared" si="114"/>
        <v/>
      </c>
    </row>
    <row r="3490" spans="1:11" ht="30" customHeight="1" x14ac:dyDescent="0.2">
      <c r="A3490" s="242"/>
      <c r="F3490" s="285" t="str">
        <f t="shared" si="115"/>
        <v/>
      </c>
      <c r="K3490" s="246" t="str">
        <f t="shared" si="114"/>
        <v/>
      </c>
    </row>
    <row r="3491" spans="1:11" ht="30" customHeight="1" x14ac:dyDescent="0.2">
      <c r="A3491" s="242"/>
      <c r="F3491" s="285" t="str">
        <f t="shared" si="115"/>
        <v/>
      </c>
      <c r="K3491" s="246" t="str">
        <f t="shared" si="114"/>
        <v/>
      </c>
    </row>
    <row r="3492" spans="1:11" ht="30" customHeight="1" x14ac:dyDescent="0.2">
      <c r="A3492" s="242"/>
      <c r="F3492" s="285" t="str">
        <f t="shared" si="115"/>
        <v/>
      </c>
      <c r="K3492" s="246" t="str">
        <f t="shared" si="114"/>
        <v/>
      </c>
    </row>
    <row r="3493" spans="1:11" ht="30" customHeight="1" x14ac:dyDescent="0.2">
      <c r="A3493" s="242"/>
      <c r="F3493" s="285" t="str">
        <f t="shared" si="115"/>
        <v/>
      </c>
      <c r="K3493" s="246" t="str">
        <f t="shared" si="114"/>
        <v/>
      </c>
    </row>
    <row r="3494" spans="1:11" ht="30" customHeight="1" x14ac:dyDescent="0.2">
      <c r="A3494" s="242"/>
      <c r="F3494" s="285" t="str">
        <f t="shared" si="115"/>
        <v/>
      </c>
      <c r="K3494" s="246" t="str">
        <f t="shared" si="114"/>
        <v/>
      </c>
    </row>
    <row r="3495" spans="1:11" ht="30" customHeight="1" x14ac:dyDescent="0.2">
      <c r="A3495" s="242"/>
      <c r="F3495" s="285" t="str">
        <f t="shared" si="115"/>
        <v/>
      </c>
      <c r="K3495" s="246" t="str">
        <f t="shared" si="114"/>
        <v/>
      </c>
    </row>
    <row r="3496" spans="1:11" ht="30" customHeight="1" x14ac:dyDescent="0.2">
      <c r="A3496" s="242"/>
      <c r="F3496" s="285" t="str">
        <f t="shared" si="115"/>
        <v/>
      </c>
      <c r="K3496" s="246" t="str">
        <f t="shared" si="114"/>
        <v/>
      </c>
    </row>
    <row r="3497" spans="1:11" ht="30" customHeight="1" x14ac:dyDescent="0.2">
      <c r="A3497" s="242"/>
      <c r="F3497" s="285" t="str">
        <f t="shared" si="115"/>
        <v/>
      </c>
      <c r="K3497" s="246" t="str">
        <f t="shared" si="114"/>
        <v/>
      </c>
    </row>
    <row r="3498" spans="1:11" ht="30" customHeight="1" x14ac:dyDescent="0.2">
      <c r="A3498" s="242"/>
      <c r="F3498" s="285" t="str">
        <f t="shared" si="115"/>
        <v/>
      </c>
      <c r="K3498" s="246" t="str">
        <f t="shared" si="114"/>
        <v/>
      </c>
    </row>
    <row r="3499" spans="1:11" ht="30" customHeight="1" x14ac:dyDescent="0.2">
      <c r="A3499" s="242"/>
      <c r="F3499" s="285" t="str">
        <f t="shared" si="115"/>
        <v/>
      </c>
      <c r="K3499" s="246" t="str">
        <f t="shared" si="114"/>
        <v/>
      </c>
    </row>
    <row r="3500" spans="1:11" ht="30" customHeight="1" x14ac:dyDescent="0.2">
      <c r="A3500" s="242"/>
      <c r="F3500" s="285" t="str">
        <f t="shared" si="115"/>
        <v/>
      </c>
      <c r="K3500" s="246" t="str">
        <f t="shared" si="114"/>
        <v/>
      </c>
    </row>
    <row r="3501" spans="1:11" ht="30" customHeight="1" x14ac:dyDescent="0.2">
      <c r="A3501" s="242"/>
      <c r="F3501" s="285" t="str">
        <f t="shared" si="115"/>
        <v/>
      </c>
      <c r="K3501" s="246" t="str">
        <f t="shared" si="114"/>
        <v/>
      </c>
    </row>
    <row r="3502" spans="1:11" ht="30" customHeight="1" x14ac:dyDescent="0.2">
      <c r="A3502" s="242"/>
      <c r="F3502" s="285" t="str">
        <f t="shared" si="115"/>
        <v/>
      </c>
      <c r="K3502" s="246" t="str">
        <f t="shared" si="114"/>
        <v/>
      </c>
    </row>
    <row r="3503" spans="1:11" ht="30" customHeight="1" x14ac:dyDescent="0.2">
      <c r="A3503" s="242"/>
      <c r="F3503" s="285" t="str">
        <f t="shared" si="115"/>
        <v/>
      </c>
      <c r="K3503" s="246" t="str">
        <f t="shared" si="114"/>
        <v/>
      </c>
    </row>
    <row r="3504" spans="1:11" ht="30" customHeight="1" x14ac:dyDescent="0.2">
      <c r="A3504" s="242"/>
      <c r="F3504" s="285" t="str">
        <f t="shared" si="115"/>
        <v/>
      </c>
      <c r="K3504" s="246" t="str">
        <f t="shared" si="114"/>
        <v/>
      </c>
    </row>
    <row r="3505" spans="1:11" ht="30" customHeight="1" x14ac:dyDescent="0.2">
      <c r="A3505" s="242"/>
      <c r="F3505" s="285" t="str">
        <f t="shared" si="115"/>
        <v/>
      </c>
      <c r="K3505" s="246" t="str">
        <f t="shared" si="114"/>
        <v/>
      </c>
    </row>
    <row r="3506" spans="1:11" ht="30" customHeight="1" x14ac:dyDescent="0.2">
      <c r="A3506" s="242"/>
      <c r="F3506" s="285" t="str">
        <f t="shared" si="115"/>
        <v/>
      </c>
      <c r="K3506" s="246" t="str">
        <f t="shared" si="114"/>
        <v/>
      </c>
    </row>
    <row r="3507" spans="1:11" ht="30" customHeight="1" x14ac:dyDescent="0.2">
      <c r="A3507" s="242"/>
      <c r="F3507" s="285" t="str">
        <f t="shared" si="115"/>
        <v/>
      </c>
      <c r="K3507" s="246" t="str">
        <f t="shared" si="114"/>
        <v/>
      </c>
    </row>
    <row r="3508" spans="1:11" ht="30" customHeight="1" x14ac:dyDescent="0.2">
      <c r="A3508" s="242"/>
      <c r="F3508" s="285" t="str">
        <f t="shared" si="115"/>
        <v/>
      </c>
      <c r="K3508" s="246" t="str">
        <f t="shared" si="114"/>
        <v/>
      </c>
    </row>
    <row r="3509" spans="1:11" ht="30" customHeight="1" x14ac:dyDescent="0.2">
      <c r="A3509" s="242"/>
      <c r="F3509" s="285" t="str">
        <f t="shared" si="115"/>
        <v/>
      </c>
      <c r="K3509" s="246" t="str">
        <f t="shared" si="114"/>
        <v/>
      </c>
    </row>
    <row r="3510" spans="1:11" ht="30" customHeight="1" x14ac:dyDescent="0.2">
      <c r="A3510" s="242"/>
      <c r="F3510" s="285" t="str">
        <f t="shared" si="115"/>
        <v/>
      </c>
      <c r="K3510" s="246" t="str">
        <f t="shared" si="114"/>
        <v/>
      </c>
    </row>
    <row r="3511" spans="1:11" ht="30" customHeight="1" x14ac:dyDescent="0.2">
      <c r="A3511" s="242"/>
      <c r="F3511" s="285" t="str">
        <f t="shared" si="115"/>
        <v/>
      </c>
      <c r="K3511" s="246" t="str">
        <f t="shared" si="114"/>
        <v/>
      </c>
    </row>
    <row r="3512" spans="1:11" ht="30" customHeight="1" x14ac:dyDescent="0.2">
      <c r="A3512" s="242"/>
      <c r="F3512" s="285" t="str">
        <f t="shared" si="115"/>
        <v/>
      </c>
      <c r="K3512" s="246" t="str">
        <f t="shared" si="114"/>
        <v/>
      </c>
    </row>
    <row r="3513" spans="1:11" ht="30" customHeight="1" x14ac:dyDescent="0.2">
      <c r="A3513" s="242"/>
      <c r="F3513" s="285" t="str">
        <f t="shared" si="115"/>
        <v/>
      </c>
      <c r="K3513" s="246" t="str">
        <f t="shared" si="114"/>
        <v/>
      </c>
    </row>
    <row r="3514" spans="1:11" ht="30" customHeight="1" x14ac:dyDescent="0.2">
      <c r="A3514" s="242"/>
      <c r="F3514" s="285" t="str">
        <f t="shared" si="115"/>
        <v/>
      </c>
      <c r="K3514" s="246" t="str">
        <f t="shared" si="114"/>
        <v/>
      </c>
    </row>
    <row r="3515" spans="1:11" ht="30" customHeight="1" x14ac:dyDescent="0.2">
      <c r="A3515" s="242"/>
      <c r="F3515" s="285" t="str">
        <f t="shared" si="115"/>
        <v/>
      </c>
      <c r="K3515" s="246" t="str">
        <f t="shared" ref="K3515:K3578" si="116">IF(A3515="","",A3515)</f>
        <v/>
      </c>
    </row>
    <row r="3516" spans="1:11" ht="30" customHeight="1" x14ac:dyDescent="0.2">
      <c r="A3516" s="242"/>
      <c r="F3516" s="285" t="str">
        <f t="shared" si="115"/>
        <v/>
      </c>
      <c r="K3516" s="246" t="str">
        <f t="shared" si="116"/>
        <v/>
      </c>
    </row>
    <row r="3517" spans="1:11" ht="30" customHeight="1" x14ac:dyDescent="0.2">
      <c r="A3517" s="242"/>
      <c r="F3517" s="285" t="str">
        <f t="shared" si="115"/>
        <v/>
      </c>
      <c r="K3517" s="246" t="str">
        <f t="shared" si="116"/>
        <v/>
      </c>
    </row>
    <row r="3518" spans="1:11" ht="30" customHeight="1" x14ac:dyDescent="0.2">
      <c r="A3518" s="242"/>
      <c r="F3518" s="285" t="str">
        <f t="shared" si="115"/>
        <v/>
      </c>
      <c r="K3518" s="246" t="str">
        <f t="shared" si="116"/>
        <v/>
      </c>
    </row>
    <row r="3519" spans="1:11" ht="30" customHeight="1" x14ac:dyDescent="0.2">
      <c r="A3519" s="242"/>
      <c r="F3519" s="285" t="str">
        <f t="shared" si="115"/>
        <v/>
      </c>
      <c r="K3519" s="246" t="str">
        <f t="shared" si="116"/>
        <v/>
      </c>
    </row>
    <row r="3520" spans="1:11" ht="30" customHeight="1" x14ac:dyDescent="0.2">
      <c r="A3520" s="242"/>
      <c r="F3520" s="285" t="str">
        <f t="shared" si="115"/>
        <v/>
      </c>
      <c r="K3520" s="246" t="str">
        <f t="shared" si="116"/>
        <v/>
      </c>
    </row>
    <row r="3521" spans="1:11" ht="30" customHeight="1" x14ac:dyDescent="0.2">
      <c r="A3521" s="242"/>
      <c r="F3521" s="285" t="str">
        <f t="shared" si="115"/>
        <v/>
      </c>
      <c r="K3521" s="246" t="str">
        <f t="shared" si="116"/>
        <v/>
      </c>
    </row>
    <row r="3522" spans="1:11" ht="30" customHeight="1" x14ac:dyDescent="0.2">
      <c r="A3522" s="242"/>
      <c r="F3522" s="285" t="str">
        <f t="shared" si="115"/>
        <v/>
      </c>
      <c r="K3522" s="246" t="str">
        <f t="shared" si="116"/>
        <v/>
      </c>
    </row>
    <row r="3523" spans="1:11" ht="30" customHeight="1" x14ac:dyDescent="0.2">
      <c r="A3523" s="242"/>
      <c r="F3523" s="285" t="str">
        <f t="shared" si="115"/>
        <v/>
      </c>
      <c r="K3523" s="246" t="str">
        <f t="shared" si="116"/>
        <v/>
      </c>
    </row>
    <row r="3524" spans="1:11" ht="30" customHeight="1" x14ac:dyDescent="0.2">
      <c r="A3524" s="242"/>
      <c r="F3524" s="285" t="str">
        <f t="shared" si="115"/>
        <v/>
      </c>
      <c r="K3524" s="246" t="str">
        <f t="shared" si="116"/>
        <v/>
      </c>
    </row>
    <row r="3525" spans="1:11" ht="30" customHeight="1" x14ac:dyDescent="0.2">
      <c r="A3525" s="242"/>
      <c r="F3525" s="285" t="str">
        <f t="shared" ref="F3525:F3588" si="117">IF(A3525="","",A3525)</f>
        <v/>
      </c>
      <c r="K3525" s="246" t="str">
        <f t="shared" si="116"/>
        <v/>
      </c>
    </row>
    <row r="3526" spans="1:11" ht="30" customHeight="1" x14ac:dyDescent="0.2">
      <c r="A3526" s="242"/>
      <c r="F3526" s="285" t="str">
        <f t="shared" si="117"/>
        <v/>
      </c>
      <c r="K3526" s="246" t="str">
        <f t="shared" si="116"/>
        <v/>
      </c>
    </row>
    <row r="3527" spans="1:11" ht="30" customHeight="1" x14ac:dyDescent="0.2">
      <c r="A3527" s="242"/>
      <c r="F3527" s="285" t="str">
        <f t="shared" si="117"/>
        <v/>
      </c>
      <c r="K3527" s="246" t="str">
        <f t="shared" si="116"/>
        <v/>
      </c>
    </row>
    <row r="3528" spans="1:11" ht="30" customHeight="1" x14ac:dyDescent="0.2">
      <c r="A3528" s="242"/>
      <c r="F3528" s="285" t="str">
        <f t="shared" si="117"/>
        <v/>
      </c>
      <c r="K3528" s="246" t="str">
        <f t="shared" si="116"/>
        <v/>
      </c>
    </row>
    <row r="3529" spans="1:11" ht="30" customHeight="1" x14ac:dyDescent="0.2">
      <c r="A3529" s="242"/>
      <c r="F3529" s="285" t="str">
        <f t="shared" si="117"/>
        <v/>
      </c>
      <c r="K3529" s="246" t="str">
        <f t="shared" si="116"/>
        <v/>
      </c>
    </row>
    <row r="3530" spans="1:11" ht="30" customHeight="1" x14ac:dyDescent="0.2">
      <c r="A3530" s="242"/>
      <c r="F3530" s="285" t="str">
        <f t="shared" si="117"/>
        <v/>
      </c>
      <c r="K3530" s="246" t="str">
        <f t="shared" si="116"/>
        <v/>
      </c>
    </row>
    <row r="3531" spans="1:11" ht="30" customHeight="1" x14ac:dyDescent="0.2">
      <c r="A3531" s="242"/>
      <c r="F3531" s="285" t="str">
        <f t="shared" si="117"/>
        <v/>
      </c>
      <c r="K3531" s="246" t="str">
        <f t="shared" si="116"/>
        <v/>
      </c>
    </row>
    <row r="3532" spans="1:11" ht="30" customHeight="1" x14ac:dyDescent="0.2">
      <c r="A3532" s="242"/>
      <c r="F3532" s="285" t="str">
        <f t="shared" si="117"/>
        <v/>
      </c>
      <c r="K3532" s="246" t="str">
        <f t="shared" si="116"/>
        <v/>
      </c>
    </row>
    <row r="3533" spans="1:11" ht="30" customHeight="1" x14ac:dyDescent="0.2">
      <c r="A3533" s="242"/>
      <c r="F3533" s="285" t="str">
        <f t="shared" si="117"/>
        <v/>
      </c>
      <c r="K3533" s="246" t="str">
        <f t="shared" si="116"/>
        <v/>
      </c>
    </row>
    <row r="3534" spans="1:11" ht="30" customHeight="1" x14ac:dyDescent="0.2">
      <c r="A3534" s="242"/>
      <c r="F3534" s="285" t="str">
        <f t="shared" si="117"/>
        <v/>
      </c>
      <c r="K3534" s="246" t="str">
        <f t="shared" si="116"/>
        <v/>
      </c>
    </row>
    <row r="3535" spans="1:11" ht="30" customHeight="1" x14ac:dyDescent="0.2">
      <c r="A3535" s="242"/>
      <c r="F3535" s="285" t="str">
        <f t="shared" si="117"/>
        <v/>
      </c>
      <c r="K3535" s="246" t="str">
        <f t="shared" si="116"/>
        <v/>
      </c>
    </row>
    <row r="3536" spans="1:11" ht="30" customHeight="1" x14ac:dyDescent="0.2">
      <c r="A3536" s="242"/>
      <c r="F3536" s="285" t="str">
        <f t="shared" si="117"/>
        <v/>
      </c>
      <c r="K3536" s="246" t="str">
        <f t="shared" si="116"/>
        <v/>
      </c>
    </row>
    <row r="3537" spans="1:11" ht="30" customHeight="1" x14ac:dyDescent="0.2">
      <c r="A3537" s="242"/>
      <c r="F3537" s="285" t="str">
        <f t="shared" si="117"/>
        <v/>
      </c>
      <c r="K3537" s="246" t="str">
        <f t="shared" si="116"/>
        <v/>
      </c>
    </row>
    <row r="3538" spans="1:11" ht="30" customHeight="1" x14ac:dyDescent="0.2">
      <c r="A3538" s="242"/>
      <c r="F3538" s="285" t="str">
        <f t="shared" si="117"/>
        <v/>
      </c>
      <c r="K3538" s="246" t="str">
        <f t="shared" si="116"/>
        <v/>
      </c>
    </row>
    <row r="3539" spans="1:11" ht="30" customHeight="1" x14ac:dyDescent="0.2">
      <c r="A3539" s="242"/>
      <c r="F3539" s="285" t="str">
        <f t="shared" si="117"/>
        <v/>
      </c>
      <c r="K3539" s="246" t="str">
        <f t="shared" si="116"/>
        <v/>
      </c>
    </row>
    <row r="3540" spans="1:11" ht="30" customHeight="1" x14ac:dyDescent="0.2">
      <c r="A3540" s="242"/>
      <c r="F3540" s="285" t="str">
        <f t="shared" si="117"/>
        <v/>
      </c>
      <c r="K3540" s="246" t="str">
        <f t="shared" si="116"/>
        <v/>
      </c>
    </row>
    <row r="3541" spans="1:11" ht="30" customHeight="1" x14ac:dyDescent="0.2">
      <c r="A3541" s="242"/>
      <c r="F3541" s="285" t="str">
        <f t="shared" si="117"/>
        <v/>
      </c>
      <c r="K3541" s="246" t="str">
        <f t="shared" si="116"/>
        <v/>
      </c>
    </row>
    <row r="3542" spans="1:11" ht="30" customHeight="1" x14ac:dyDescent="0.2">
      <c r="A3542" s="242"/>
      <c r="F3542" s="285" t="str">
        <f t="shared" si="117"/>
        <v/>
      </c>
      <c r="K3542" s="246" t="str">
        <f t="shared" si="116"/>
        <v/>
      </c>
    </row>
    <row r="3543" spans="1:11" ht="30" customHeight="1" x14ac:dyDescent="0.2">
      <c r="A3543" s="242"/>
      <c r="F3543" s="285" t="str">
        <f t="shared" si="117"/>
        <v/>
      </c>
      <c r="K3543" s="246" t="str">
        <f t="shared" si="116"/>
        <v/>
      </c>
    </row>
    <row r="3544" spans="1:11" ht="30" customHeight="1" x14ac:dyDescent="0.2">
      <c r="A3544" s="242"/>
      <c r="F3544" s="285" t="str">
        <f t="shared" si="117"/>
        <v/>
      </c>
      <c r="K3544" s="246" t="str">
        <f t="shared" si="116"/>
        <v/>
      </c>
    </row>
    <row r="3545" spans="1:11" ht="30" customHeight="1" x14ac:dyDescent="0.2">
      <c r="A3545" s="242"/>
      <c r="F3545" s="285" t="str">
        <f t="shared" si="117"/>
        <v/>
      </c>
      <c r="K3545" s="246" t="str">
        <f t="shared" si="116"/>
        <v/>
      </c>
    </row>
    <row r="3546" spans="1:11" ht="30" customHeight="1" x14ac:dyDescent="0.2">
      <c r="A3546" s="242"/>
      <c r="F3546" s="285" t="str">
        <f t="shared" si="117"/>
        <v/>
      </c>
      <c r="K3546" s="246" t="str">
        <f t="shared" si="116"/>
        <v/>
      </c>
    </row>
    <row r="3547" spans="1:11" ht="30" customHeight="1" x14ac:dyDescent="0.2">
      <c r="A3547" s="242"/>
      <c r="F3547" s="285" t="str">
        <f t="shared" si="117"/>
        <v/>
      </c>
      <c r="K3547" s="246" t="str">
        <f t="shared" si="116"/>
        <v/>
      </c>
    </row>
    <row r="3548" spans="1:11" ht="30" customHeight="1" x14ac:dyDescent="0.2">
      <c r="A3548" s="242"/>
      <c r="F3548" s="285" t="str">
        <f t="shared" si="117"/>
        <v/>
      </c>
      <c r="K3548" s="246" t="str">
        <f t="shared" si="116"/>
        <v/>
      </c>
    </row>
    <row r="3549" spans="1:11" ht="30" customHeight="1" x14ac:dyDescent="0.2">
      <c r="A3549" s="242"/>
      <c r="F3549" s="285" t="str">
        <f t="shared" si="117"/>
        <v/>
      </c>
      <c r="K3549" s="246" t="str">
        <f t="shared" si="116"/>
        <v/>
      </c>
    </row>
    <row r="3550" spans="1:11" ht="30" customHeight="1" x14ac:dyDescent="0.2">
      <c r="A3550" s="242"/>
      <c r="F3550" s="285" t="str">
        <f t="shared" si="117"/>
        <v/>
      </c>
      <c r="K3550" s="246" t="str">
        <f t="shared" si="116"/>
        <v/>
      </c>
    </row>
    <row r="3551" spans="1:11" ht="30" customHeight="1" x14ac:dyDescent="0.2">
      <c r="A3551" s="242"/>
      <c r="F3551" s="285" t="str">
        <f t="shared" si="117"/>
        <v/>
      </c>
      <c r="K3551" s="246" t="str">
        <f t="shared" si="116"/>
        <v/>
      </c>
    </row>
    <row r="3552" spans="1:11" ht="30" customHeight="1" x14ac:dyDescent="0.2">
      <c r="A3552" s="242"/>
      <c r="F3552" s="285" t="str">
        <f t="shared" si="117"/>
        <v/>
      </c>
      <c r="K3552" s="246" t="str">
        <f t="shared" si="116"/>
        <v/>
      </c>
    </row>
    <row r="3553" spans="1:11" ht="30" customHeight="1" x14ac:dyDescent="0.2">
      <c r="A3553" s="242"/>
      <c r="F3553" s="285" t="str">
        <f t="shared" si="117"/>
        <v/>
      </c>
      <c r="K3553" s="246" t="str">
        <f t="shared" si="116"/>
        <v/>
      </c>
    </row>
    <row r="3554" spans="1:11" ht="30" customHeight="1" x14ac:dyDescent="0.2">
      <c r="A3554" s="242"/>
      <c r="F3554" s="285" t="str">
        <f t="shared" si="117"/>
        <v/>
      </c>
      <c r="K3554" s="246" t="str">
        <f t="shared" si="116"/>
        <v/>
      </c>
    </row>
    <row r="3555" spans="1:11" ht="30" customHeight="1" x14ac:dyDescent="0.2">
      <c r="A3555" s="242"/>
      <c r="F3555" s="285" t="str">
        <f t="shared" si="117"/>
        <v/>
      </c>
      <c r="K3555" s="246" t="str">
        <f t="shared" si="116"/>
        <v/>
      </c>
    </row>
    <row r="3556" spans="1:11" ht="30" customHeight="1" x14ac:dyDescent="0.2">
      <c r="A3556" s="242"/>
      <c r="F3556" s="285" t="str">
        <f t="shared" si="117"/>
        <v/>
      </c>
      <c r="K3556" s="246" t="str">
        <f t="shared" si="116"/>
        <v/>
      </c>
    </row>
    <row r="3557" spans="1:11" ht="30" customHeight="1" x14ac:dyDescent="0.2">
      <c r="A3557" s="242"/>
      <c r="F3557" s="285" t="str">
        <f t="shared" si="117"/>
        <v/>
      </c>
      <c r="K3557" s="246" t="str">
        <f t="shared" si="116"/>
        <v/>
      </c>
    </row>
    <row r="3558" spans="1:11" ht="30" customHeight="1" x14ac:dyDescent="0.2">
      <c r="A3558" s="242"/>
      <c r="F3558" s="285" t="str">
        <f t="shared" si="117"/>
        <v/>
      </c>
      <c r="K3558" s="246" t="str">
        <f t="shared" si="116"/>
        <v/>
      </c>
    </row>
    <row r="3559" spans="1:11" ht="30" customHeight="1" x14ac:dyDescent="0.2">
      <c r="A3559" s="242"/>
      <c r="F3559" s="285" t="str">
        <f t="shared" si="117"/>
        <v/>
      </c>
      <c r="K3559" s="246" t="str">
        <f t="shared" si="116"/>
        <v/>
      </c>
    </row>
    <row r="3560" spans="1:11" ht="30" customHeight="1" x14ac:dyDescent="0.2">
      <c r="A3560" s="242"/>
      <c r="F3560" s="285" t="str">
        <f t="shared" si="117"/>
        <v/>
      </c>
      <c r="K3560" s="246" t="str">
        <f t="shared" si="116"/>
        <v/>
      </c>
    </row>
    <row r="3561" spans="1:11" ht="30" customHeight="1" x14ac:dyDescent="0.2">
      <c r="A3561" s="242"/>
      <c r="F3561" s="285" t="str">
        <f t="shared" si="117"/>
        <v/>
      </c>
      <c r="K3561" s="246" t="str">
        <f t="shared" si="116"/>
        <v/>
      </c>
    </row>
    <row r="3562" spans="1:11" ht="30" customHeight="1" x14ac:dyDescent="0.2">
      <c r="A3562" s="242"/>
      <c r="F3562" s="285" t="str">
        <f t="shared" si="117"/>
        <v/>
      </c>
      <c r="K3562" s="246" t="str">
        <f t="shared" si="116"/>
        <v/>
      </c>
    </row>
    <row r="3563" spans="1:11" ht="30" customHeight="1" x14ac:dyDescent="0.2">
      <c r="A3563" s="242"/>
      <c r="F3563" s="285" t="str">
        <f t="shared" si="117"/>
        <v/>
      </c>
      <c r="K3563" s="246" t="str">
        <f t="shared" si="116"/>
        <v/>
      </c>
    </row>
    <row r="3564" spans="1:11" ht="30" customHeight="1" x14ac:dyDescent="0.2">
      <c r="A3564" s="242"/>
      <c r="F3564" s="285" t="str">
        <f t="shared" si="117"/>
        <v/>
      </c>
      <c r="K3564" s="246" t="str">
        <f t="shared" si="116"/>
        <v/>
      </c>
    </row>
    <row r="3565" spans="1:11" ht="30" customHeight="1" x14ac:dyDescent="0.2">
      <c r="A3565" s="242"/>
      <c r="F3565" s="285" t="str">
        <f t="shared" si="117"/>
        <v/>
      </c>
      <c r="K3565" s="246" t="str">
        <f t="shared" si="116"/>
        <v/>
      </c>
    </row>
    <row r="3566" spans="1:11" ht="30" customHeight="1" x14ac:dyDescent="0.2">
      <c r="A3566" s="242"/>
      <c r="F3566" s="285" t="str">
        <f t="shared" si="117"/>
        <v/>
      </c>
      <c r="K3566" s="246" t="str">
        <f t="shared" si="116"/>
        <v/>
      </c>
    </row>
    <row r="3567" spans="1:11" ht="30" customHeight="1" x14ac:dyDescent="0.2">
      <c r="A3567" s="242"/>
      <c r="F3567" s="285" t="str">
        <f t="shared" si="117"/>
        <v/>
      </c>
      <c r="K3567" s="246" t="str">
        <f t="shared" si="116"/>
        <v/>
      </c>
    </row>
    <row r="3568" spans="1:11" ht="30" customHeight="1" x14ac:dyDescent="0.2">
      <c r="A3568" s="242"/>
      <c r="F3568" s="285" t="str">
        <f t="shared" si="117"/>
        <v/>
      </c>
      <c r="K3568" s="246" t="str">
        <f t="shared" si="116"/>
        <v/>
      </c>
    </row>
    <row r="3569" spans="1:11" ht="30" customHeight="1" x14ac:dyDescent="0.2">
      <c r="A3569" s="242"/>
      <c r="F3569" s="285" t="str">
        <f t="shared" si="117"/>
        <v/>
      </c>
      <c r="K3569" s="246" t="str">
        <f t="shared" si="116"/>
        <v/>
      </c>
    </row>
    <row r="3570" spans="1:11" ht="30" customHeight="1" x14ac:dyDescent="0.2">
      <c r="A3570" s="242"/>
      <c r="F3570" s="285" t="str">
        <f t="shared" si="117"/>
        <v/>
      </c>
      <c r="K3570" s="246" t="str">
        <f t="shared" si="116"/>
        <v/>
      </c>
    </row>
    <row r="3571" spans="1:11" ht="30" customHeight="1" x14ac:dyDescent="0.2">
      <c r="A3571" s="242"/>
      <c r="F3571" s="285" t="str">
        <f t="shared" si="117"/>
        <v/>
      </c>
      <c r="K3571" s="246" t="str">
        <f t="shared" si="116"/>
        <v/>
      </c>
    </row>
    <row r="3572" spans="1:11" ht="30" customHeight="1" x14ac:dyDescent="0.2">
      <c r="A3572" s="242"/>
      <c r="F3572" s="285" t="str">
        <f t="shared" si="117"/>
        <v/>
      </c>
      <c r="K3572" s="246" t="str">
        <f t="shared" si="116"/>
        <v/>
      </c>
    </row>
    <row r="3573" spans="1:11" ht="30" customHeight="1" x14ac:dyDescent="0.2">
      <c r="A3573" s="242"/>
      <c r="F3573" s="285" t="str">
        <f t="shared" si="117"/>
        <v/>
      </c>
      <c r="K3573" s="246" t="str">
        <f t="shared" si="116"/>
        <v/>
      </c>
    </row>
    <row r="3574" spans="1:11" ht="30" customHeight="1" x14ac:dyDescent="0.2">
      <c r="A3574" s="242"/>
      <c r="F3574" s="285" t="str">
        <f t="shared" si="117"/>
        <v/>
      </c>
      <c r="K3574" s="246" t="str">
        <f t="shared" si="116"/>
        <v/>
      </c>
    </row>
    <row r="3575" spans="1:11" ht="30" customHeight="1" x14ac:dyDescent="0.2">
      <c r="A3575" s="242"/>
      <c r="F3575" s="285" t="str">
        <f t="shared" si="117"/>
        <v/>
      </c>
      <c r="K3575" s="246" t="str">
        <f t="shared" si="116"/>
        <v/>
      </c>
    </row>
    <row r="3576" spans="1:11" ht="30" customHeight="1" x14ac:dyDescent="0.2">
      <c r="A3576" s="242"/>
      <c r="F3576" s="285" t="str">
        <f t="shared" si="117"/>
        <v/>
      </c>
      <c r="K3576" s="246" t="str">
        <f t="shared" si="116"/>
        <v/>
      </c>
    </row>
    <row r="3577" spans="1:11" ht="30" customHeight="1" x14ac:dyDescent="0.2">
      <c r="A3577" s="242"/>
      <c r="F3577" s="285" t="str">
        <f t="shared" si="117"/>
        <v/>
      </c>
      <c r="K3577" s="246" t="str">
        <f t="shared" si="116"/>
        <v/>
      </c>
    </row>
    <row r="3578" spans="1:11" ht="30" customHeight="1" x14ac:dyDescent="0.2">
      <c r="A3578" s="242"/>
      <c r="F3578" s="285" t="str">
        <f t="shared" si="117"/>
        <v/>
      </c>
      <c r="K3578" s="246" t="str">
        <f t="shared" si="116"/>
        <v/>
      </c>
    </row>
    <row r="3579" spans="1:11" ht="30" customHeight="1" x14ac:dyDescent="0.2">
      <c r="A3579" s="242"/>
      <c r="F3579" s="285" t="str">
        <f t="shared" si="117"/>
        <v/>
      </c>
      <c r="K3579" s="246" t="str">
        <f t="shared" ref="K3579:K3642" si="118">IF(A3579="","",A3579)</f>
        <v/>
      </c>
    </row>
    <row r="3580" spans="1:11" ht="30" customHeight="1" x14ac:dyDescent="0.2">
      <c r="A3580" s="242"/>
      <c r="F3580" s="285" t="str">
        <f t="shared" si="117"/>
        <v/>
      </c>
      <c r="K3580" s="246" t="str">
        <f t="shared" si="118"/>
        <v/>
      </c>
    </row>
    <row r="3581" spans="1:11" ht="30" customHeight="1" x14ac:dyDescent="0.2">
      <c r="A3581" s="242"/>
      <c r="F3581" s="285" t="str">
        <f t="shared" si="117"/>
        <v/>
      </c>
      <c r="K3581" s="246" t="str">
        <f t="shared" si="118"/>
        <v/>
      </c>
    </row>
    <row r="3582" spans="1:11" ht="30" customHeight="1" x14ac:dyDescent="0.2">
      <c r="A3582" s="242"/>
      <c r="F3582" s="285" t="str">
        <f t="shared" si="117"/>
        <v/>
      </c>
      <c r="K3582" s="246" t="str">
        <f t="shared" si="118"/>
        <v/>
      </c>
    </row>
    <row r="3583" spans="1:11" ht="30" customHeight="1" x14ac:dyDescent="0.2">
      <c r="A3583" s="242"/>
      <c r="F3583" s="285" t="str">
        <f t="shared" si="117"/>
        <v/>
      </c>
      <c r="K3583" s="246" t="str">
        <f t="shared" si="118"/>
        <v/>
      </c>
    </row>
    <row r="3584" spans="1:11" ht="30" customHeight="1" x14ac:dyDescent="0.2">
      <c r="A3584" s="242"/>
      <c r="F3584" s="285" t="str">
        <f t="shared" si="117"/>
        <v/>
      </c>
      <c r="K3584" s="246" t="str">
        <f t="shared" si="118"/>
        <v/>
      </c>
    </row>
    <row r="3585" spans="1:11" ht="30" customHeight="1" x14ac:dyDescent="0.2">
      <c r="A3585" s="242"/>
      <c r="F3585" s="285" t="str">
        <f t="shared" si="117"/>
        <v/>
      </c>
      <c r="K3585" s="246" t="str">
        <f t="shared" si="118"/>
        <v/>
      </c>
    </row>
    <row r="3586" spans="1:11" ht="30" customHeight="1" x14ac:dyDescent="0.2">
      <c r="A3586" s="242"/>
      <c r="F3586" s="285" t="str">
        <f t="shared" si="117"/>
        <v/>
      </c>
      <c r="K3586" s="246" t="str">
        <f t="shared" si="118"/>
        <v/>
      </c>
    </row>
    <row r="3587" spans="1:11" ht="30" customHeight="1" x14ac:dyDescent="0.2">
      <c r="A3587" s="242"/>
      <c r="F3587" s="285" t="str">
        <f t="shared" si="117"/>
        <v/>
      </c>
      <c r="K3587" s="246" t="str">
        <f t="shared" si="118"/>
        <v/>
      </c>
    </row>
    <row r="3588" spans="1:11" ht="30" customHeight="1" x14ac:dyDescent="0.2">
      <c r="A3588" s="242"/>
      <c r="F3588" s="285" t="str">
        <f t="shared" si="117"/>
        <v/>
      </c>
      <c r="K3588" s="246" t="str">
        <f t="shared" si="118"/>
        <v/>
      </c>
    </row>
    <row r="3589" spans="1:11" ht="30" customHeight="1" x14ac:dyDescent="0.2">
      <c r="A3589" s="242"/>
      <c r="F3589" s="285" t="str">
        <f t="shared" ref="F3589:F3652" si="119">IF(A3589="","",A3589)</f>
        <v/>
      </c>
      <c r="K3589" s="246" t="str">
        <f t="shared" si="118"/>
        <v/>
      </c>
    </row>
    <row r="3590" spans="1:11" ht="30" customHeight="1" x14ac:dyDescent="0.2">
      <c r="A3590" s="242"/>
      <c r="F3590" s="285" t="str">
        <f t="shared" si="119"/>
        <v/>
      </c>
      <c r="K3590" s="246" t="str">
        <f t="shared" si="118"/>
        <v/>
      </c>
    </row>
    <row r="3591" spans="1:11" ht="30" customHeight="1" x14ac:dyDescent="0.2">
      <c r="A3591" s="242"/>
      <c r="F3591" s="285" t="str">
        <f t="shared" si="119"/>
        <v/>
      </c>
      <c r="K3591" s="246" t="str">
        <f t="shared" si="118"/>
        <v/>
      </c>
    </row>
    <row r="3592" spans="1:11" ht="30" customHeight="1" x14ac:dyDescent="0.2">
      <c r="A3592" s="242"/>
      <c r="F3592" s="285" t="str">
        <f t="shared" si="119"/>
        <v/>
      </c>
      <c r="K3592" s="246" t="str">
        <f t="shared" si="118"/>
        <v/>
      </c>
    </row>
    <row r="3593" spans="1:11" ht="30" customHeight="1" x14ac:dyDescent="0.2">
      <c r="A3593" s="242"/>
      <c r="F3593" s="285" t="str">
        <f t="shared" si="119"/>
        <v/>
      </c>
      <c r="K3593" s="246" t="str">
        <f t="shared" si="118"/>
        <v/>
      </c>
    </row>
    <row r="3594" spans="1:11" ht="30" customHeight="1" x14ac:dyDescent="0.2">
      <c r="A3594" s="242"/>
      <c r="F3594" s="285" t="str">
        <f t="shared" si="119"/>
        <v/>
      </c>
      <c r="K3594" s="246" t="str">
        <f t="shared" si="118"/>
        <v/>
      </c>
    </row>
    <row r="3595" spans="1:11" ht="30" customHeight="1" x14ac:dyDescent="0.2">
      <c r="A3595" s="242"/>
      <c r="F3595" s="285" t="str">
        <f t="shared" si="119"/>
        <v/>
      </c>
      <c r="K3595" s="246" t="str">
        <f t="shared" si="118"/>
        <v/>
      </c>
    </row>
    <row r="3596" spans="1:11" ht="30" customHeight="1" x14ac:dyDescent="0.2">
      <c r="A3596" s="242"/>
      <c r="F3596" s="285" t="str">
        <f t="shared" si="119"/>
        <v/>
      </c>
      <c r="K3596" s="246" t="str">
        <f t="shared" si="118"/>
        <v/>
      </c>
    </row>
    <row r="3597" spans="1:11" ht="30" customHeight="1" x14ac:dyDescent="0.2">
      <c r="A3597" s="242"/>
      <c r="F3597" s="285" t="str">
        <f t="shared" si="119"/>
        <v/>
      </c>
      <c r="K3597" s="246" t="str">
        <f t="shared" si="118"/>
        <v/>
      </c>
    </row>
    <row r="3598" spans="1:11" ht="30" customHeight="1" x14ac:dyDescent="0.2">
      <c r="A3598" s="242"/>
      <c r="F3598" s="285" t="str">
        <f t="shared" si="119"/>
        <v/>
      </c>
      <c r="K3598" s="246" t="str">
        <f t="shared" si="118"/>
        <v/>
      </c>
    </row>
    <row r="3599" spans="1:11" ht="30" customHeight="1" x14ac:dyDescent="0.2">
      <c r="A3599" s="242"/>
      <c r="F3599" s="285" t="str">
        <f t="shared" si="119"/>
        <v/>
      </c>
      <c r="K3599" s="246" t="str">
        <f t="shared" si="118"/>
        <v/>
      </c>
    </row>
    <row r="3600" spans="1:11" ht="30" customHeight="1" x14ac:dyDescent="0.2">
      <c r="A3600" s="242"/>
      <c r="F3600" s="285" t="str">
        <f t="shared" si="119"/>
        <v/>
      </c>
      <c r="K3600" s="246" t="str">
        <f t="shared" si="118"/>
        <v/>
      </c>
    </row>
    <row r="3601" spans="1:11" ht="30" customHeight="1" x14ac:dyDescent="0.2">
      <c r="A3601" s="242"/>
      <c r="F3601" s="285" t="str">
        <f t="shared" si="119"/>
        <v/>
      </c>
      <c r="K3601" s="246" t="str">
        <f t="shared" si="118"/>
        <v/>
      </c>
    </row>
    <row r="3602" spans="1:11" ht="30" customHeight="1" x14ac:dyDescent="0.2">
      <c r="A3602" s="242"/>
      <c r="F3602" s="285" t="str">
        <f t="shared" si="119"/>
        <v/>
      </c>
      <c r="K3602" s="246" t="str">
        <f t="shared" si="118"/>
        <v/>
      </c>
    </row>
    <row r="3603" spans="1:11" ht="30" customHeight="1" x14ac:dyDescent="0.2">
      <c r="A3603" s="242"/>
      <c r="F3603" s="285" t="str">
        <f t="shared" si="119"/>
        <v/>
      </c>
      <c r="K3603" s="246" t="str">
        <f t="shared" si="118"/>
        <v/>
      </c>
    </row>
    <row r="3604" spans="1:11" ht="30" customHeight="1" x14ac:dyDescent="0.2">
      <c r="A3604" s="242"/>
      <c r="F3604" s="285" t="str">
        <f t="shared" si="119"/>
        <v/>
      </c>
      <c r="K3604" s="246" t="str">
        <f t="shared" si="118"/>
        <v/>
      </c>
    </row>
    <row r="3605" spans="1:11" ht="30" customHeight="1" x14ac:dyDescent="0.2">
      <c r="A3605" s="242"/>
      <c r="F3605" s="285" t="str">
        <f t="shared" si="119"/>
        <v/>
      </c>
      <c r="K3605" s="246" t="str">
        <f t="shared" si="118"/>
        <v/>
      </c>
    </row>
    <row r="3606" spans="1:11" ht="30" customHeight="1" x14ac:dyDescent="0.2">
      <c r="A3606" s="242"/>
      <c r="F3606" s="285" t="str">
        <f t="shared" si="119"/>
        <v/>
      </c>
      <c r="K3606" s="246" t="str">
        <f t="shared" si="118"/>
        <v/>
      </c>
    </row>
    <row r="3607" spans="1:11" ht="30" customHeight="1" x14ac:dyDescent="0.2">
      <c r="A3607" s="242"/>
      <c r="F3607" s="285" t="str">
        <f t="shared" si="119"/>
        <v/>
      </c>
      <c r="K3607" s="246" t="str">
        <f t="shared" si="118"/>
        <v/>
      </c>
    </row>
    <row r="3608" spans="1:11" ht="30" customHeight="1" x14ac:dyDescent="0.2">
      <c r="A3608" s="242"/>
      <c r="F3608" s="285" t="str">
        <f t="shared" si="119"/>
        <v/>
      </c>
      <c r="K3608" s="246" t="str">
        <f t="shared" si="118"/>
        <v/>
      </c>
    </row>
    <row r="3609" spans="1:11" ht="30" customHeight="1" x14ac:dyDescent="0.2">
      <c r="A3609" s="242"/>
      <c r="F3609" s="285" t="str">
        <f t="shared" si="119"/>
        <v/>
      </c>
      <c r="K3609" s="246" t="str">
        <f t="shared" si="118"/>
        <v/>
      </c>
    </row>
    <row r="3610" spans="1:11" ht="30" customHeight="1" x14ac:dyDescent="0.2">
      <c r="A3610" s="242"/>
      <c r="F3610" s="285" t="str">
        <f t="shared" si="119"/>
        <v/>
      </c>
      <c r="K3610" s="246" t="str">
        <f t="shared" si="118"/>
        <v/>
      </c>
    </row>
    <row r="3611" spans="1:11" ht="30" customHeight="1" x14ac:dyDescent="0.2">
      <c r="A3611" s="242"/>
      <c r="F3611" s="285" t="str">
        <f t="shared" si="119"/>
        <v/>
      </c>
      <c r="K3611" s="246" t="str">
        <f t="shared" si="118"/>
        <v/>
      </c>
    </row>
    <row r="3612" spans="1:11" ht="30" customHeight="1" x14ac:dyDescent="0.2">
      <c r="A3612" s="242"/>
      <c r="F3612" s="285" t="str">
        <f t="shared" si="119"/>
        <v/>
      </c>
      <c r="K3612" s="246" t="str">
        <f t="shared" si="118"/>
        <v/>
      </c>
    </row>
    <row r="3613" spans="1:11" ht="30" customHeight="1" x14ac:dyDescent="0.2">
      <c r="A3613" s="242"/>
      <c r="F3613" s="285" t="str">
        <f t="shared" si="119"/>
        <v/>
      </c>
      <c r="K3613" s="246" t="str">
        <f t="shared" si="118"/>
        <v/>
      </c>
    </row>
    <row r="3614" spans="1:11" ht="30" customHeight="1" x14ac:dyDescent="0.2">
      <c r="A3614" s="242"/>
      <c r="F3614" s="285" t="str">
        <f t="shared" si="119"/>
        <v/>
      </c>
      <c r="K3614" s="246" t="str">
        <f t="shared" si="118"/>
        <v/>
      </c>
    </row>
    <row r="3615" spans="1:11" ht="30" customHeight="1" x14ac:dyDescent="0.2">
      <c r="A3615" s="242"/>
      <c r="F3615" s="285" t="str">
        <f t="shared" si="119"/>
        <v/>
      </c>
      <c r="K3615" s="246" t="str">
        <f t="shared" si="118"/>
        <v/>
      </c>
    </row>
    <row r="3616" spans="1:11" ht="30" customHeight="1" x14ac:dyDescent="0.2">
      <c r="A3616" s="242"/>
      <c r="F3616" s="285" t="str">
        <f t="shared" si="119"/>
        <v/>
      </c>
      <c r="K3616" s="246" t="str">
        <f t="shared" si="118"/>
        <v/>
      </c>
    </row>
    <row r="3617" spans="1:11" ht="30" customHeight="1" x14ac:dyDescent="0.2">
      <c r="A3617" s="242"/>
      <c r="F3617" s="285" t="str">
        <f t="shared" si="119"/>
        <v/>
      </c>
      <c r="K3617" s="246" t="str">
        <f t="shared" si="118"/>
        <v/>
      </c>
    </row>
    <row r="3618" spans="1:11" ht="30" customHeight="1" x14ac:dyDescent="0.2">
      <c r="A3618" s="242"/>
      <c r="F3618" s="285" t="str">
        <f t="shared" si="119"/>
        <v/>
      </c>
      <c r="K3618" s="246" t="str">
        <f t="shared" si="118"/>
        <v/>
      </c>
    </row>
    <row r="3619" spans="1:11" ht="30" customHeight="1" x14ac:dyDescent="0.2">
      <c r="A3619" s="242"/>
      <c r="F3619" s="285" t="str">
        <f t="shared" si="119"/>
        <v/>
      </c>
      <c r="K3619" s="246" t="str">
        <f t="shared" si="118"/>
        <v/>
      </c>
    </row>
    <row r="3620" spans="1:11" ht="30" customHeight="1" x14ac:dyDescent="0.2">
      <c r="A3620" s="242"/>
      <c r="F3620" s="285" t="str">
        <f t="shared" si="119"/>
        <v/>
      </c>
      <c r="K3620" s="246" t="str">
        <f t="shared" si="118"/>
        <v/>
      </c>
    </row>
    <row r="3621" spans="1:11" ht="30" customHeight="1" x14ac:dyDescent="0.2">
      <c r="A3621" s="242"/>
      <c r="F3621" s="285" t="str">
        <f t="shared" si="119"/>
        <v/>
      </c>
      <c r="K3621" s="246" t="str">
        <f t="shared" si="118"/>
        <v/>
      </c>
    </row>
    <row r="3622" spans="1:11" ht="30" customHeight="1" x14ac:dyDescent="0.2">
      <c r="A3622" s="242"/>
      <c r="F3622" s="285" t="str">
        <f t="shared" si="119"/>
        <v/>
      </c>
      <c r="K3622" s="246" t="str">
        <f t="shared" si="118"/>
        <v/>
      </c>
    </row>
    <row r="3623" spans="1:11" ht="30" customHeight="1" x14ac:dyDescent="0.2">
      <c r="A3623" s="242"/>
      <c r="F3623" s="285" t="str">
        <f t="shared" si="119"/>
        <v/>
      </c>
      <c r="K3623" s="246" t="str">
        <f t="shared" si="118"/>
        <v/>
      </c>
    </row>
    <row r="3624" spans="1:11" ht="30" customHeight="1" x14ac:dyDescent="0.2">
      <c r="A3624" s="242"/>
      <c r="F3624" s="285" t="str">
        <f t="shared" si="119"/>
        <v/>
      </c>
      <c r="K3624" s="246" t="str">
        <f t="shared" si="118"/>
        <v/>
      </c>
    </row>
    <row r="3625" spans="1:11" ht="30" customHeight="1" x14ac:dyDescent="0.2">
      <c r="A3625" s="242"/>
      <c r="F3625" s="285" t="str">
        <f t="shared" si="119"/>
        <v/>
      </c>
      <c r="K3625" s="246" t="str">
        <f t="shared" si="118"/>
        <v/>
      </c>
    </row>
    <row r="3626" spans="1:11" ht="30" customHeight="1" x14ac:dyDescent="0.2">
      <c r="A3626" s="242"/>
      <c r="F3626" s="285" t="str">
        <f t="shared" si="119"/>
        <v/>
      </c>
      <c r="K3626" s="246" t="str">
        <f t="shared" si="118"/>
        <v/>
      </c>
    </row>
    <row r="3627" spans="1:11" ht="30" customHeight="1" x14ac:dyDescent="0.2">
      <c r="A3627" s="242"/>
      <c r="F3627" s="285" t="str">
        <f t="shared" si="119"/>
        <v/>
      </c>
      <c r="K3627" s="246" t="str">
        <f t="shared" si="118"/>
        <v/>
      </c>
    </row>
    <row r="3628" spans="1:11" ht="30" customHeight="1" x14ac:dyDescent="0.2">
      <c r="A3628" s="242"/>
      <c r="F3628" s="285" t="str">
        <f t="shared" si="119"/>
        <v/>
      </c>
      <c r="K3628" s="246" t="str">
        <f t="shared" si="118"/>
        <v/>
      </c>
    </row>
    <row r="3629" spans="1:11" ht="30" customHeight="1" x14ac:dyDescent="0.2">
      <c r="A3629" s="242"/>
      <c r="F3629" s="285" t="str">
        <f t="shared" si="119"/>
        <v/>
      </c>
      <c r="K3629" s="246" t="str">
        <f t="shared" si="118"/>
        <v/>
      </c>
    </row>
    <row r="3630" spans="1:11" ht="30" customHeight="1" x14ac:dyDescent="0.2">
      <c r="A3630" s="242"/>
      <c r="F3630" s="285" t="str">
        <f t="shared" si="119"/>
        <v/>
      </c>
      <c r="K3630" s="246" t="str">
        <f t="shared" si="118"/>
        <v/>
      </c>
    </row>
    <row r="3631" spans="1:11" ht="30" customHeight="1" x14ac:dyDescent="0.2">
      <c r="A3631" s="242"/>
      <c r="F3631" s="285" t="str">
        <f t="shared" si="119"/>
        <v/>
      </c>
      <c r="K3631" s="246" t="str">
        <f t="shared" si="118"/>
        <v/>
      </c>
    </row>
    <row r="3632" spans="1:11" ht="30" customHeight="1" x14ac:dyDescent="0.2">
      <c r="A3632" s="242"/>
      <c r="F3632" s="285" t="str">
        <f t="shared" si="119"/>
        <v/>
      </c>
      <c r="K3632" s="246" t="str">
        <f t="shared" si="118"/>
        <v/>
      </c>
    </row>
    <row r="3633" spans="1:11" ht="30" customHeight="1" x14ac:dyDescent="0.2">
      <c r="A3633" s="242"/>
      <c r="F3633" s="285" t="str">
        <f t="shared" si="119"/>
        <v/>
      </c>
      <c r="K3633" s="246" t="str">
        <f t="shared" si="118"/>
        <v/>
      </c>
    </row>
    <row r="3634" spans="1:11" ht="30" customHeight="1" x14ac:dyDescent="0.2">
      <c r="A3634" s="242"/>
      <c r="F3634" s="285" t="str">
        <f t="shared" si="119"/>
        <v/>
      </c>
      <c r="K3634" s="246" t="str">
        <f t="shared" si="118"/>
        <v/>
      </c>
    </row>
    <row r="3635" spans="1:11" ht="30" customHeight="1" x14ac:dyDescent="0.2">
      <c r="A3635" s="242"/>
      <c r="F3635" s="285" t="str">
        <f t="shared" si="119"/>
        <v/>
      </c>
      <c r="K3635" s="246" t="str">
        <f t="shared" si="118"/>
        <v/>
      </c>
    </row>
    <row r="3636" spans="1:11" ht="30" customHeight="1" x14ac:dyDescent="0.2">
      <c r="A3636" s="242"/>
      <c r="F3636" s="285" t="str">
        <f t="shared" si="119"/>
        <v/>
      </c>
      <c r="K3636" s="246" t="str">
        <f t="shared" si="118"/>
        <v/>
      </c>
    </row>
    <row r="3637" spans="1:11" ht="30" customHeight="1" x14ac:dyDescent="0.2">
      <c r="A3637" s="242"/>
      <c r="F3637" s="285" t="str">
        <f t="shared" si="119"/>
        <v/>
      </c>
      <c r="K3637" s="246" t="str">
        <f t="shared" si="118"/>
        <v/>
      </c>
    </row>
    <row r="3638" spans="1:11" ht="30" customHeight="1" x14ac:dyDescent="0.2">
      <c r="A3638" s="242"/>
      <c r="F3638" s="285" t="str">
        <f t="shared" si="119"/>
        <v/>
      </c>
      <c r="K3638" s="246" t="str">
        <f t="shared" si="118"/>
        <v/>
      </c>
    </row>
    <row r="3639" spans="1:11" ht="30" customHeight="1" x14ac:dyDescent="0.2">
      <c r="A3639" s="242"/>
      <c r="F3639" s="285" t="str">
        <f t="shared" si="119"/>
        <v/>
      </c>
      <c r="K3639" s="246" t="str">
        <f t="shared" si="118"/>
        <v/>
      </c>
    </row>
    <row r="3640" spans="1:11" ht="30" customHeight="1" x14ac:dyDescent="0.2">
      <c r="A3640" s="242"/>
      <c r="F3640" s="285" t="str">
        <f t="shared" si="119"/>
        <v/>
      </c>
      <c r="K3640" s="246" t="str">
        <f t="shared" si="118"/>
        <v/>
      </c>
    </row>
    <row r="3641" spans="1:11" ht="30" customHeight="1" x14ac:dyDescent="0.2">
      <c r="A3641" s="242"/>
      <c r="F3641" s="285" t="str">
        <f t="shared" si="119"/>
        <v/>
      </c>
      <c r="K3641" s="246" t="str">
        <f t="shared" si="118"/>
        <v/>
      </c>
    </row>
    <row r="3642" spans="1:11" ht="30" customHeight="1" x14ac:dyDescent="0.2">
      <c r="A3642" s="242"/>
      <c r="F3642" s="285" t="str">
        <f t="shared" si="119"/>
        <v/>
      </c>
      <c r="K3642" s="246" t="str">
        <f t="shared" si="118"/>
        <v/>
      </c>
    </row>
    <row r="3643" spans="1:11" ht="30" customHeight="1" x14ac:dyDescent="0.2">
      <c r="A3643" s="242"/>
      <c r="F3643" s="285" t="str">
        <f t="shared" si="119"/>
        <v/>
      </c>
      <c r="K3643" s="246" t="str">
        <f t="shared" ref="K3643:K3706" si="120">IF(A3643="","",A3643)</f>
        <v/>
      </c>
    </row>
    <row r="3644" spans="1:11" ht="30" customHeight="1" x14ac:dyDescent="0.2">
      <c r="A3644" s="242"/>
      <c r="F3644" s="285" t="str">
        <f t="shared" si="119"/>
        <v/>
      </c>
      <c r="K3644" s="246" t="str">
        <f t="shared" si="120"/>
        <v/>
      </c>
    </row>
    <row r="3645" spans="1:11" ht="30" customHeight="1" x14ac:dyDescent="0.2">
      <c r="A3645" s="242"/>
      <c r="F3645" s="285" t="str">
        <f t="shared" si="119"/>
        <v/>
      </c>
      <c r="K3645" s="246" t="str">
        <f t="shared" si="120"/>
        <v/>
      </c>
    </row>
    <row r="3646" spans="1:11" ht="30" customHeight="1" x14ac:dyDescent="0.2">
      <c r="A3646" s="242"/>
      <c r="F3646" s="285" t="str">
        <f t="shared" si="119"/>
        <v/>
      </c>
      <c r="K3646" s="246" t="str">
        <f t="shared" si="120"/>
        <v/>
      </c>
    </row>
    <row r="3647" spans="1:11" ht="30" customHeight="1" x14ac:dyDescent="0.2">
      <c r="A3647" s="242"/>
      <c r="F3647" s="285" t="str">
        <f t="shared" si="119"/>
        <v/>
      </c>
      <c r="K3647" s="246" t="str">
        <f t="shared" si="120"/>
        <v/>
      </c>
    </row>
    <row r="3648" spans="1:11" ht="30" customHeight="1" x14ac:dyDescent="0.2">
      <c r="A3648" s="242"/>
      <c r="F3648" s="285" t="str">
        <f t="shared" si="119"/>
        <v/>
      </c>
      <c r="K3648" s="246" t="str">
        <f t="shared" si="120"/>
        <v/>
      </c>
    </row>
    <row r="3649" spans="1:11" ht="30" customHeight="1" x14ac:dyDescent="0.2">
      <c r="A3649" s="242"/>
      <c r="F3649" s="285" t="str">
        <f t="shared" si="119"/>
        <v/>
      </c>
      <c r="K3649" s="246" t="str">
        <f t="shared" si="120"/>
        <v/>
      </c>
    </row>
    <row r="3650" spans="1:11" ht="30" customHeight="1" x14ac:dyDescent="0.2">
      <c r="A3650" s="242"/>
      <c r="F3650" s="285" t="str">
        <f t="shared" si="119"/>
        <v/>
      </c>
      <c r="K3650" s="246" t="str">
        <f t="shared" si="120"/>
        <v/>
      </c>
    </row>
    <row r="3651" spans="1:11" ht="30" customHeight="1" x14ac:dyDescent="0.2">
      <c r="A3651" s="242"/>
      <c r="F3651" s="285" t="str">
        <f t="shared" si="119"/>
        <v/>
      </c>
      <c r="K3651" s="246" t="str">
        <f t="shared" si="120"/>
        <v/>
      </c>
    </row>
    <row r="3652" spans="1:11" ht="30" customHeight="1" x14ac:dyDescent="0.2">
      <c r="A3652" s="242"/>
      <c r="F3652" s="285" t="str">
        <f t="shared" si="119"/>
        <v/>
      </c>
      <c r="K3652" s="246" t="str">
        <f t="shared" si="120"/>
        <v/>
      </c>
    </row>
    <row r="3653" spans="1:11" ht="30" customHeight="1" x14ac:dyDescent="0.2">
      <c r="A3653" s="242"/>
      <c r="F3653" s="285" t="str">
        <f t="shared" ref="F3653:F3716" si="121">IF(A3653="","",A3653)</f>
        <v/>
      </c>
      <c r="K3653" s="246" t="str">
        <f t="shared" si="120"/>
        <v/>
      </c>
    </row>
    <row r="3654" spans="1:11" ht="30" customHeight="1" x14ac:dyDescent="0.2">
      <c r="A3654" s="242"/>
      <c r="F3654" s="285" t="str">
        <f t="shared" si="121"/>
        <v/>
      </c>
      <c r="K3654" s="246" t="str">
        <f t="shared" si="120"/>
        <v/>
      </c>
    </row>
    <row r="3655" spans="1:11" ht="30" customHeight="1" x14ac:dyDescent="0.2">
      <c r="A3655" s="242"/>
      <c r="F3655" s="285" t="str">
        <f t="shared" si="121"/>
        <v/>
      </c>
      <c r="K3655" s="246" t="str">
        <f t="shared" si="120"/>
        <v/>
      </c>
    </row>
    <row r="3656" spans="1:11" ht="30" customHeight="1" x14ac:dyDescent="0.2">
      <c r="A3656" s="242"/>
      <c r="F3656" s="285" t="str">
        <f t="shared" si="121"/>
        <v/>
      </c>
      <c r="K3656" s="246" t="str">
        <f t="shared" si="120"/>
        <v/>
      </c>
    </row>
    <row r="3657" spans="1:11" ht="30" customHeight="1" x14ac:dyDescent="0.2">
      <c r="A3657" s="242"/>
      <c r="F3657" s="285" t="str">
        <f t="shared" si="121"/>
        <v/>
      </c>
      <c r="K3657" s="246" t="str">
        <f t="shared" si="120"/>
        <v/>
      </c>
    </row>
    <row r="3658" spans="1:11" ht="30" customHeight="1" x14ac:dyDescent="0.2">
      <c r="A3658" s="242"/>
      <c r="F3658" s="285" t="str">
        <f t="shared" si="121"/>
        <v/>
      </c>
      <c r="K3658" s="246" t="str">
        <f t="shared" si="120"/>
        <v/>
      </c>
    </row>
    <row r="3659" spans="1:11" ht="30" customHeight="1" x14ac:dyDescent="0.2">
      <c r="A3659" s="242"/>
      <c r="F3659" s="285" t="str">
        <f t="shared" si="121"/>
        <v/>
      </c>
      <c r="K3659" s="246" t="str">
        <f t="shared" si="120"/>
        <v/>
      </c>
    </row>
    <row r="3660" spans="1:11" ht="30" customHeight="1" x14ac:dyDescent="0.2">
      <c r="A3660" s="242"/>
      <c r="F3660" s="285" t="str">
        <f t="shared" si="121"/>
        <v/>
      </c>
      <c r="K3660" s="246" t="str">
        <f t="shared" si="120"/>
        <v/>
      </c>
    </row>
    <row r="3661" spans="1:11" ht="30" customHeight="1" x14ac:dyDescent="0.2">
      <c r="A3661" s="242"/>
      <c r="F3661" s="285" t="str">
        <f t="shared" si="121"/>
        <v/>
      </c>
      <c r="K3661" s="246" t="str">
        <f t="shared" si="120"/>
        <v/>
      </c>
    </row>
    <row r="3662" spans="1:11" ht="30" customHeight="1" x14ac:dyDescent="0.2">
      <c r="A3662" s="242"/>
      <c r="F3662" s="285" t="str">
        <f t="shared" si="121"/>
        <v/>
      </c>
      <c r="K3662" s="246" t="str">
        <f t="shared" si="120"/>
        <v/>
      </c>
    </row>
    <row r="3663" spans="1:11" ht="30" customHeight="1" x14ac:dyDescent="0.2">
      <c r="A3663" s="242"/>
      <c r="F3663" s="285" t="str">
        <f t="shared" si="121"/>
        <v/>
      </c>
      <c r="K3663" s="246" t="str">
        <f t="shared" si="120"/>
        <v/>
      </c>
    </row>
    <row r="3664" spans="1:11" ht="30" customHeight="1" x14ac:dyDescent="0.2">
      <c r="A3664" s="242"/>
      <c r="F3664" s="285" t="str">
        <f t="shared" si="121"/>
        <v/>
      </c>
      <c r="K3664" s="246" t="str">
        <f t="shared" si="120"/>
        <v/>
      </c>
    </row>
    <row r="3665" spans="1:11" ht="30" customHeight="1" x14ac:dyDescent="0.2">
      <c r="A3665" s="242"/>
      <c r="F3665" s="285" t="str">
        <f t="shared" si="121"/>
        <v/>
      </c>
      <c r="K3665" s="246" t="str">
        <f t="shared" si="120"/>
        <v/>
      </c>
    </row>
    <row r="3666" spans="1:11" ht="30" customHeight="1" x14ac:dyDescent="0.2">
      <c r="A3666" s="242"/>
      <c r="F3666" s="285" t="str">
        <f t="shared" si="121"/>
        <v/>
      </c>
      <c r="K3666" s="246" t="str">
        <f t="shared" si="120"/>
        <v/>
      </c>
    </row>
    <row r="3667" spans="1:11" ht="30" customHeight="1" x14ac:dyDescent="0.2">
      <c r="A3667" s="242"/>
      <c r="F3667" s="285" t="str">
        <f t="shared" si="121"/>
        <v/>
      </c>
      <c r="K3667" s="246" t="str">
        <f t="shared" si="120"/>
        <v/>
      </c>
    </row>
    <row r="3668" spans="1:11" ht="30" customHeight="1" x14ac:dyDescent="0.2">
      <c r="A3668" s="242"/>
      <c r="F3668" s="285" t="str">
        <f t="shared" si="121"/>
        <v/>
      </c>
      <c r="K3668" s="246" t="str">
        <f t="shared" si="120"/>
        <v/>
      </c>
    </row>
    <row r="3669" spans="1:11" ht="30" customHeight="1" x14ac:dyDescent="0.2">
      <c r="A3669" s="242"/>
      <c r="F3669" s="285" t="str">
        <f t="shared" si="121"/>
        <v/>
      </c>
      <c r="K3669" s="246" t="str">
        <f t="shared" si="120"/>
        <v/>
      </c>
    </row>
    <row r="3670" spans="1:11" ht="30" customHeight="1" x14ac:dyDescent="0.2">
      <c r="A3670" s="242"/>
      <c r="F3670" s="285" t="str">
        <f t="shared" si="121"/>
        <v/>
      </c>
      <c r="K3670" s="246" t="str">
        <f t="shared" si="120"/>
        <v/>
      </c>
    </row>
    <row r="3671" spans="1:11" ht="30" customHeight="1" x14ac:dyDescent="0.2">
      <c r="A3671" s="242"/>
      <c r="F3671" s="285" t="str">
        <f t="shared" si="121"/>
        <v/>
      </c>
      <c r="K3671" s="246" t="str">
        <f t="shared" si="120"/>
        <v/>
      </c>
    </row>
    <row r="3672" spans="1:11" ht="30" customHeight="1" x14ac:dyDescent="0.2">
      <c r="A3672" s="242"/>
      <c r="F3672" s="285" t="str">
        <f t="shared" si="121"/>
        <v/>
      </c>
      <c r="K3672" s="246" t="str">
        <f t="shared" si="120"/>
        <v/>
      </c>
    </row>
    <row r="3673" spans="1:11" ht="30" customHeight="1" x14ac:dyDescent="0.2">
      <c r="A3673" s="242"/>
      <c r="F3673" s="285" t="str">
        <f t="shared" si="121"/>
        <v/>
      </c>
      <c r="K3673" s="246" t="str">
        <f t="shared" si="120"/>
        <v/>
      </c>
    </row>
    <row r="3674" spans="1:11" ht="30" customHeight="1" x14ac:dyDescent="0.2">
      <c r="A3674" s="242"/>
      <c r="F3674" s="285" t="str">
        <f t="shared" si="121"/>
        <v/>
      </c>
      <c r="K3674" s="246" t="str">
        <f t="shared" si="120"/>
        <v/>
      </c>
    </row>
    <row r="3675" spans="1:11" ht="30" customHeight="1" x14ac:dyDescent="0.2">
      <c r="A3675" s="242"/>
      <c r="F3675" s="285" t="str">
        <f t="shared" si="121"/>
        <v/>
      </c>
      <c r="K3675" s="246" t="str">
        <f t="shared" si="120"/>
        <v/>
      </c>
    </row>
    <row r="3676" spans="1:11" ht="30" customHeight="1" x14ac:dyDescent="0.2">
      <c r="A3676" s="242"/>
      <c r="F3676" s="285" t="str">
        <f t="shared" si="121"/>
        <v/>
      </c>
      <c r="K3676" s="246" t="str">
        <f t="shared" si="120"/>
        <v/>
      </c>
    </row>
    <row r="3677" spans="1:11" ht="30" customHeight="1" x14ac:dyDescent="0.2">
      <c r="A3677" s="242"/>
      <c r="F3677" s="285" t="str">
        <f t="shared" si="121"/>
        <v/>
      </c>
      <c r="K3677" s="246" t="str">
        <f t="shared" si="120"/>
        <v/>
      </c>
    </row>
    <row r="3678" spans="1:11" ht="30" customHeight="1" x14ac:dyDescent="0.2">
      <c r="A3678" s="242"/>
      <c r="F3678" s="285" t="str">
        <f t="shared" si="121"/>
        <v/>
      </c>
      <c r="K3678" s="246" t="str">
        <f t="shared" si="120"/>
        <v/>
      </c>
    </row>
    <row r="3679" spans="1:11" ht="30" customHeight="1" x14ac:dyDescent="0.2">
      <c r="A3679" s="242"/>
      <c r="F3679" s="285" t="str">
        <f t="shared" si="121"/>
        <v/>
      </c>
      <c r="K3679" s="246" t="str">
        <f t="shared" si="120"/>
        <v/>
      </c>
    </row>
    <row r="3680" spans="1:11" ht="30" customHeight="1" x14ac:dyDescent="0.2">
      <c r="A3680" s="242"/>
      <c r="F3680" s="285" t="str">
        <f t="shared" si="121"/>
        <v/>
      </c>
      <c r="K3680" s="246" t="str">
        <f t="shared" si="120"/>
        <v/>
      </c>
    </row>
    <row r="3681" spans="1:11" ht="30" customHeight="1" x14ac:dyDescent="0.2">
      <c r="A3681" s="242"/>
      <c r="F3681" s="285" t="str">
        <f t="shared" si="121"/>
        <v/>
      </c>
      <c r="K3681" s="246" t="str">
        <f t="shared" si="120"/>
        <v/>
      </c>
    </row>
    <row r="3682" spans="1:11" ht="30" customHeight="1" x14ac:dyDescent="0.2">
      <c r="A3682" s="242"/>
      <c r="F3682" s="285" t="str">
        <f t="shared" si="121"/>
        <v/>
      </c>
      <c r="K3682" s="246" t="str">
        <f t="shared" si="120"/>
        <v/>
      </c>
    </row>
    <row r="3683" spans="1:11" ht="30" customHeight="1" x14ac:dyDescent="0.2">
      <c r="A3683" s="242"/>
      <c r="F3683" s="285" t="str">
        <f t="shared" si="121"/>
        <v/>
      </c>
      <c r="K3683" s="246" t="str">
        <f t="shared" si="120"/>
        <v/>
      </c>
    </row>
    <row r="3684" spans="1:11" ht="30" customHeight="1" x14ac:dyDescent="0.2">
      <c r="A3684" s="242"/>
      <c r="F3684" s="285" t="str">
        <f t="shared" si="121"/>
        <v/>
      </c>
      <c r="K3684" s="246" t="str">
        <f t="shared" si="120"/>
        <v/>
      </c>
    </row>
    <row r="3685" spans="1:11" ht="30" customHeight="1" x14ac:dyDescent="0.2">
      <c r="A3685" s="242"/>
      <c r="F3685" s="285" t="str">
        <f t="shared" si="121"/>
        <v/>
      </c>
      <c r="K3685" s="246" t="str">
        <f t="shared" si="120"/>
        <v/>
      </c>
    </row>
    <row r="3686" spans="1:11" ht="30" customHeight="1" x14ac:dyDescent="0.2">
      <c r="A3686" s="242"/>
      <c r="F3686" s="285" t="str">
        <f t="shared" si="121"/>
        <v/>
      </c>
      <c r="K3686" s="246" t="str">
        <f t="shared" si="120"/>
        <v/>
      </c>
    </row>
    <row r="3687" spans="1:11" ht="30" customHeight="1" x14ac:dyDescent="0.2">
      <c r="A3687" s="242"/>
      <c r="F3687" s="285" t="str">
        <f t="shared" si="121"/>
        <v/>
      </c>
      <c r="K3687" s="246" t="str">
        <f t="shared" si="120"/>
        <v/>
      </c>
    </row>
    <row r="3688" spans="1:11" ht="30" customHeight="1" x14ac:dyDescent="0.2">
      <c r="A3688" s="242"/>
      <c r="F3688" s="285" t="str">
        <f t="shared" si="121"/>
        <v/>
      </c>
      <c r="K3688" s="246" t="str">
        <f t="shared" si="120"/>
        <v/>
      </c>
    </row>
    <row r="3689" spans="1:11" ht="30" customHeight="1" x14ac:dyDescent="0.2">
      <c r="A3689" s="242"/>
      <c r="F3689" s="285" t="str">
        <f t="shared" si="121"/>
        <v/>
      </c>
      <c r="K3689" s="246" t="str">
        <f t="shared" si="120"/>
        <v/>
      </c>
    </row>
    <row r="3690" spans="1:11" ht="30" customHeight="1" x14ac:dyDescent="0.2">
      <c r="A3690" s="242"/>
      <c r="F3690" s="285" t="str">
        <f t="shared" si="121"/>
        <v/>
      </c>
      <c r="K3690" s="246" t="str">
        <f t="shared" si="120"/>
        <v/>
      </c>
    </row>
    <row r="3691" spans="1:11" ht="30" customHeight="1" x14ac:dyDescent="0.2">
      <c r="A3691" s="242"/>
      <c r="F3691" s="285" t="str">
        <f t="shared" si="121"/>
        <v/>
      </c>
      <c r="K3691" s="246" t="str">
        <f t="shared" si="120"/>
        <v/>
      </c>
    </row>
    <row r="3692" spans="1:11" ht="30" customHeight="1" x14ac:dyDescent="0.2">
      <c r="A3692" s="242"/>
      <c r="F3692" s="285" t="str">
        <f t="shared" si="121"/>
        <v/>
      </c>
      <c r="K3692" s="246" t="str">
        <f t="shared" si="120"/>
        <v/>
      </c>
    </row>
    <row r="3693" spans="1:11" ht="30" customHeight="1" x14ac:dyDescent="0.2">
      <c r="A3693" s="242"/>
      <c r="F3693" s="285" t="str">
        <f t="shared" si="121"/>
        <v/>
      </c>
      <c r="K3693" s="246" t="str">
        <f t="shared" si="120"/>
        <v/>
      </c>
    </row>
    <row r="3694" spans="1:11" ht="30" customHeight="1" x14ac:dyDescent="0.2">
      <c r="A3694" s="242"/>
      <c r="F3694" s="285" t="str">
        <f t="shared" si="121"/>
        <v/>
      </c>
      <c r="K3694" s="246" t="str">
        <f t="shared" si="120"/>
        <v/>
      </c>
    </row>
    <row r="3695" spans="1:11" ht="30" customHeight="1" x14ac:dyDescent="0.2">
      <c r="A3695" s="242"/>
      <c r="F3695" s="285" t="str">
        <f t="shared" si="121"/>
        <v/>
      </c>
      <c r="K3695" s="246" t="str">
        <f t="shared" si="120"/>
        <v/>
      </c>
    </row>
    <row r="3696" spans="1:11" ht="30" customHeight="1" x14ac:dyDescent="0.2">
      <c r="A3696" s="242"/>
      <c r="F3696" s="285" t="str">
        <f t="shared" si="121"/>
        <v/>
      </c>
      <c r="K3696" s="246" t="str">
        <f t="shared" si="120"/>
        <v/>
      </c>
    </row>
    <row r="3697" spans="1:11" ht="30" customHeight="1" x14ac:dyDescent="0.2">
      <c r="A3697" s="242"/>
      <c r="F3697" s="285" t="str">
        <f t="shared" si="121"/>
        <v/>
      </c>
      <c r="K3697" s="246" t="str">
        <f t="shared" si="120"/>
        <v/>
      </c>
    </row>
    <row r="3698" spans="1:11" ht="30" customHeight="1" x14ac:dyDescent="0.2">
      <c r="A3698" s="242"/>
      <c r="F3698" s="285" t="str">
        <f t="shared" si="121"/>
        <v/>
      </c>
      <c r="K3698" s="246" t="str">
        <f t="shared" si="120"/>
        <v/>
      </c>
    </row>
    <row r="3699" spans="1:11" ht="30" customHeight="1" x14ac:dyDescent="0.2">
      <c r="A3699" s="242"/>
      <c r="F3699" s="285" t="str">
        <f t="shared" si="121"/>
        <v/>
      </c>
      <c r="K3699" s="246" t="str">
        <f t="shared" si="120"/>
        <v/>
      </c>
    </row>
    <row r="3700" spans="1:11" ht="30" customHeight="1" x14ac:dyDescent="0.2">
      <c r="A3700" s="242"/>
      <c r="F3700" s="285" t="str">
        <f t="shared" si="121"/>
        <v/>
      </c>
      <c r="K3700" s="246" t="str">
        <f t="shared" si="120"/>
        <v/>
      </c>
    </row>
    <row r="3701" spans="1:11" ht="30" customHeight="1" x14ac:dyDescent="0.2">
      <c r="A3701" s="242"/>
      <c r="F3701" s="285" t="str">
        <f t="shared" si="121"/>
        <v/>
      </c>
      <c r="K3701" s="246" t="str">
        <f t="shared" si="120"/>
        <v/>
      </c>
    </row>
    <row r="3702" spans="1:11" ht="30" customHeight="1" x14ac:dyDescent="0.2">
      <c r="A3702" s="242"/>
      <c r="F3702" s="285" t="str">
        <f t="shared" si="121"/>
        <v/>
      </c>
      <c r="K3702" s="246" t="str">
        <f t="shared" si="120"/>
        <v/>
      </c>
    </row>
    <row r="3703" spans="1:11" ht="30" customHeight="1" x14ac:dyDescent="0.2">
      <c r="A3703" s="242"/>
      <c r="F3703" s="285" t="str">
        <f t="shared" si="121"/>
        <v/>
      </c>
      <c r="K3703" s="246" t="str">
        <f t="shared" si="120"/>
        <v/>
      </c>
    </row>
    <row r="3704" spans="1:11" ht="30" customHeight="1" x14ac:dyDescent="0.2">
      <c r="A3704" s="242"/>
      <c r="F3704" s="285" t="str">
        <f t="shared" si="121"/>
        <v/>
      </c>
      <c r="K3704" s="246" t="str">
        <f t="shared" si="120"/>
        <v/>
      </c>
    </row>
    <row r="3705" spans="1:11" ht="30" customHeight="1" x14ac:dyDescent="0.2">
      <c r="A3705" s="242"/>
      <c r="F3705" s="285" t="str">
        <f t="shared" si="121"/>
        <v/>
      </c>
      <c r="K3705" s="246" t="str">
        <f t="shared" si="120"/>
        <v/>
      </c>
    </row>
    <row r="3706" spans="1:11" ht="30" customHeight="1" x14ac:dyDescent="0.2">
      <c r="A3706" s="242"/>
      <c r="F3706" s="285" t="str">
        <f t="shared" si="121"/>
        <v/>
      </c>
      <c r="K3706" s="246" t="str">
        <f t="shared" si="120"/>
        <v/>
      </c>
    </row>
    <row r="3707" spans="1:11" ht="30" customHeight="1" x14ac:dyDescent="0.2">
      <c r="A3707" s="242"/>
      <c r="F3707" s="285" t="str">
        <f t="shared" si="121"/>
        <v/>
      </c>
      <c r="K3707" s="246" t="str">
        <f t="shared" ref="K3707:K3770" si="122">IF(A3707="","",A3707)</f>
        <v/>
      </c>
    </row>
    <row r="3708" spans="1:11" ht="30" customHeight="1" x14ac:dyDescent="0.2">
      <c r="A3708" s="242"/>
      <c r="F3708" s="285" t="str">
        <f t="shared" si="121"/>
        <v/>
      </c>
      <c r="K3708" s="246" t="str">
        <f t="shared" si="122"/>
        <v/>
      </c>
    </row>
    <row r="3709" spans="1:11" ht="30" customHeight="1" x14ac:dyDescent="0.2">
      <c r="A3709" s="242"/>
      <c r="F3709" s="285" t="str">
        <f t="shared" si="121"/>
        <v/>
      </c>
      <c r="K3709" s="246" t="str">
        <f t="shared" si="122"/>
        <v/>
      </c>
    </row>
    <row r="3710" spans="1:11" ht="30" customHeight="1" x14ac:dyDescent="0.2">
      <c r="A3710" s="242"/>
      <c r="F3710" s="285" t="str">
        <f t="shared" si="121"/>
        <v/>
      </c>
      <c r="K3710" s="246" t="str">
        <f t="shared" si="122"/>
        <v/>
      </c>
    </row>
    <row r="3711" spans="1:11" ht="30" customHeight="1" x14ac:dyDescent="0.2">
      <c r="A3711" s="242"/>
      <c r="F3711" s="285" t="str">
        <f t="shared" si="121"/>
        <v/>
      </c>
      <c r="K3711" s="246" t="str">
        <f t="shared" si="122"/>
        <v/>
      </c>
    </row>
    <row r="3712" spans="1:11" ht="30" customHeight="1" x14ac:dyDescent="0.2">
      <c r="A3712" s="242"/>
      <c r="F3712" s="285" t="str">
        <f t="shared" si="121"/>
        <v/>
      </c>
      <c r="K3712" s="246" t="str">
        <f t="shared" si="122"/>
        <v/>
      </c>
    </row>
    <row r="3713" spans="1:11" ht="30" customHeight="1" x14ac:dyDescent="0.2">
      <c r="A3713" s="242"/>
      <c r="F3713" s="285" t="str">
        <f t="shared" si="121"/>
        <v/>
      </c>
      <c r="K3713" s="246" t="str">
        <f t="shared" si="122"/>
        <v/>
      </c>
    </row>
    <row r="3714" spans="1:11" ht="30" customHeight="1" x14ac:dyDescent="0.2">
      <c r="A3714" s="242"/>
      <c r="F3714" s="285" t="str">
        <f t="shared" si="121"/>
        <v/>
      </c>
      <c r="K3714" s="246" t="str">
        <f t="shared" si="122"/>
        <v/>
      </c>
    </row>
    <row r="3715" spans="1:11" ht="30" customHeight="1" x14ac:dyDescent="0.2">
      <c r="A3715" s="242"/>
      <c r="F3715" s="285" t="str">
        <f t="shared" si="121"/>
        <v/>
      </c>
      <c r="K3715" s="246" t="str">
        <f t="shared" si="122"/>
        <v/>
      </c>
    </row>
    <row r="3716" spans="1:11" ht="30" customHeight="1" x14ac:dyDescent="0.2">
      <c r="A3716" s="242"/>
      <c r="F3716" s="285" t="str">
        <f t="shared" si="121"/>
        <v/>
      </c>
      <c r="K3716" s="246" t="str">
        <f t="shared" si="122"/>
        <v/>
      </c>
    </row>
    <row r="3717" spans="1:11" ht="30" customHeight="1" x14ac:dyDescent="0.2">
      <c r="A3717" s="242"/>
      <c r="F3717" s="285" t="str">
        <f t="shared" ref="F3717:F3780" si="123">IF(A3717="","",A3717)</f>
        <v/>
      </c>
      <c r="K3717" s="246" t="str">
        <f t="shared" si="122"/>
        <v/>
      </c>
    </row>
    <row r="3718" spans="1:11" ht="30" customHeight="1" x14ac:dyDescent="0.2">
      <c r="A3718" s="242"/>
      <c r="F3718" s="285" t="str">
        <f t="shared" si="123"/>
        <v/>
      </c>
      <c r="K3718" s="246" t="str">
        <f t="shared" si="122"/>
        <v/>
      </c>
    </row>
    <row r="3719" spans="1:11" ht="30" customHeight="1" x14ac:dyDescent="0.2">
      <c r="A3719" s="242"/>
      <c r="F3719" s="285" t="str">
        <f t="shared" si="123"/>
        <v/>
      </c>
      <c r="K3719" s="246" t="str">
        <f t="shared" si="122"/>
        <v/>
      </c>
    </row>
    <row r="3720" spans="1:11" ht="30" customHeight="1" x14ac:dyDescent="0.2">
      <c r="A3720" s="242"/>
      <c r="F3720" s="285" t="str">
        <f t="shared" si="123"/>
        <v/>
      </c>
      <c r="K3720" s="246" t="str">
        <f t="shared" si="122"/>
        <v/>
      </c>
    </row>
    <row r="3721" spans="1:11" ht="30" customHeight="1" x14ac:dyDescent="0.2">
      <c r="A3721" s="242"/>
      <c r="F3721" s="285" t="str">
        <f t="shared" si="123"/>
        <v/>
      </c>
      <c r="K3721" s="246" t="str">
        <f t="shared" si="122"/>
        <v/>
      </c>
    </row>
    <row r="3722" spans="1:11" ht="30" customHeight="1" x14ac:dyDescent="0.2">
      <c r="A3722" s="242"/>
      <c r="F3722" s="285" t="str">
        <f t="shared" si="123"/>
        <v/>
      </c>
      <c r="K3722" s="246" t="str">
        <f t="shared" si="122"/>
        <v/>
      </c>
    </row>
    <row r="3723" spans="1:11" ht="30" customHeight="1" x14ac:dyDescent="0.2">
      <c r="A3723" s="242"/>
      <c r="F3723" s="285" t="str">
        <f t="shared" si="123"/>
        <v/>
      </c>
      <c r="K3723" s="246" t="str">
        <f t="shared" si="122"/>
        <v/>
      </c>
    </row>
    <row r="3724" spans="1:11" ht="30" customHeight="1" x14ac:dyDescent="0.2">
      <c r="A3724" s="242"/>
      <c r="F3724" s="285" t="str">
        <f t="shared" si="123"/>
        <v/>
      </c>
      <c r="K3724" s="246" t="str">
        <f t="shared" si="122"/>
        <v/>
      </c>
    </row>
    <row r="3725" spans="1:11" ht="30" customHeight="1" x14ac:dyDescent="0.2">
      <c r="A3725" s="242"/>
      <c r="F3725" s="285" t="str">
        <f t="shared" si="123"/>
        <v/>
      </c>
      <c r="K3725" s="246" t="str">
        <f t="shared" si="122"/>
        <v/>
      </c>
    </row>
    <row r="3726" spans="1:11" ht="30" customHeight="1" x14ac:dyDescent="0.2">
      <c r="A3726" s="242"/>
      <c r="F3726" s="285" t="str">
        <f t="shared" si="123"/>
        <v/>
      </c>
      <c r="K3726" s="246" t="str">
        <f t="shared" si="122"/>
        <v/>
      </c>
    </row>
    <row r="3727" spans="1:11" ht="30" customHeight="1" x14ac:dyDescent="0.2">
      <c r="A3727" s="242"/>
      <c r="F3727" s="285" t="str">
        <f t="shared" si="123"/>
        <v/>
      </c>
      <c r="K3727" s="246" t="str">
        <f t="shared" si="122"/>
        <v/>
      </c>
    </row>
    <row r="3728" spans="1:11" ht="30" customHeight="1" x14ac:dyDescent="0.2">
      <c r="A3728" s="242"/>
      <c r="F3728" s="285" t="str">
        <f t="shared" si="123"/>
        <v/>
      </c>
      <c r="K3728" s="246" t="str">
        <f t="shared" si="122"/>
        <v/>
      </c>
    </row>
    <row r="3729" spans="1:11" ht="30" customHeight="1" x14ac:dyDescent="0.2">
      <c r="A3729" s="242"/>
      <c r="F3729" s="285" t="str">
        <f t="shared" si="123"/>
        <v/>
      </c>
      <c r="K3729" s="246" t="str">
        <f t="shared" si="122"/>
        <v/>
      </c>
    </row>
    <row r="3730" spans="1:11" ht="30" customHeight="1" x14ac:dyDescent="0.2">
      <c r="A3730" s="242"/>
      <c r="F3730" s="285" t="str">
        <f t="shared" si="123"/>
        <v/>
      </c>
      <c r="K3730" s="246" t="str">
        <f t="shared" si="122"/>
        <v/>
      </c>
    </row>
    <row r="3731" spans="1:11" ht="30" customHeight="1" x14ac:dyDescent="0.2">
      <c r="A3731" s="242"/>
      <c r="F3731" s="285" t="str">
        <f t="shared" si="123"/>
        <v/>
      </c>
      <c r="K3731" s="246" t="str">
        <f t="shared" si="122"/>
        <v/>
      </c>
    </row>
    <row r="3732" spans="1:11" ht="30" customHeight="1" x14ac:dyDescent="0.2">
      <c r="A3732" s="242"/>
      <c r="F3732" s="285" t="str">
        <f t="shared" si="123"/>
        <v/>
      </c>
      <c r="K3732" s="246" t="str">
        <f t="shared" si="122"/>
        <v/>
      </c>
    </row>
    <row r="3733" spans="1:11" ht="30" customHeight="1" x14ac:dyDescent="0.2">
      <c r="A3733" s="242"/>
      <c r="F3733" s="285" t="str">
        <f t="shared" si="123"/>
        <v/>
      </c>
      <c r="K3733" s="246" t="str">
        <f t="shared" si="122"/>
        <v/>
      </c>
    </row>
    <row r="3734" spans="1:11" ht="30" customHeight="1" x14ac:dyDescent="0.2">
      <c r="A3734" s="242"/>
      <c r="F3734" s="285" t="str">
        <f t="shared" si="123"/>
        <v/>
      </c>
      <c r="K3734" s="246" t="str">
        <f t="shared" si="122"/>
        <v/>
      </c>
    </row>
    <row r="3735" spans="1:11" ht="30" customHeight="1" x14ac:dyDescent="0.2">
      <c r="A3735" s="242"/>
      <c r="F3735" s="285" t="str">
        <f t="shared" si="123"/>
        <v/>
      </c>
      <c r="K3735" s="246" t="str">
        <f t="shared" si="122"/>
        <v/>
      </c>
    </row>
    <row r="3736" spans="1:11" ht="30" customHeight="1" x14ac:dyDescent="0.2">
      <c r="A3736" s="242"/>
      <c r="F3736" s="285" t="str">
        <f t="shared" si="123"/>
        <v/>
      </c>
      <c r="K3736" s="246" t="str">
        <f t="shared" si="122"/>
        <v/>
      </c>
    </row>
    <row r="3737" spans="1:11" ht="30" customHeight="1" x14ac:dyDescent="0.2">
      <c r="A3737" s="242"/>
      <c r="F3737" s="285" t="str">
        <f t="shared" si="123"/>
        <v/>
      </c>
      <c r="K3737" s="246" t="str">
        <f t="shared" si="122"/>
        <v/>
      </c>
    </row>
    <row r="3738" spans="1:11" ht="30" customHeight="1" x14ac:dyDescent="0.2">
      <c r="A3738" s="242"/>
      <c r="F3738" s="285" t="str">
        <f t="shared" si="123"/>
        <v/>
      </c>
      <c r="K3738" s="246" t="str">
        <f t="shared" si="122"/>
        <v/>
      </c>
    </row>
    <row r="3739" spans="1:11" ht="30" customHeight="1" x14ac:dyDescent="0.2">
      <c r="A3739" s="242"/>
      <c r="F3739" s="285" t="str">
        <f t="shared" si="123"/>
        <v/>
      </c>
      <c r="K3739" s="246" t="str">
        <f t="shared" si="122"/>
        <v/>
      </c>
    </row>
    <row r="3740" spans="1:11" ht="30" customHeight="1" x14ac:dyDescent="0.2">
      <c r="A3740" s="242"/>
      <c r="F3740" s="285" t="str">
        <f t="shared" si="123"/>
        <v/>
      </c>
      <c r="K3740" s="246" t="str">
        <f t="shared" si="122"/>
        <v/>
      </c>
    </row>
    <row r="3741" spans="1:11" ht="30" customHeight="1" x14ac:dyDescent="0.2">
      <c r="A3741" s="242"/>
      <c r="F3741" s="285" t="str">
        <f t="shared" si="123"/>
        <v/>
      </c>
      <c r="K3741" s="246" t="str">
        <f t="shared" si="122"/>
        <v/>
      </c>
    </row>
    <row r="3742" spans="1:11" ht="30" customHeight="1" x14ac:dyDescent="0.2">
      <c r="A3742" s="242"/>
      <c r="F3742" s="285" t="str">
        <f t="shared" si="123"/>
        <v/>
      </c>
      <c r="K3742" s="246" t="str">
        <f t="shared" si="122"/>
        <v/>
      </c>
    </row>
    <row r="3743" spans="1:11" ht="30" customHeight="1" x14ac:dyDescent="0.2">
      <c r="A3743" s="242"/>
      <c r="F3743" s="285" t="str">
        <f t="shared" si="123"/>
        <v/>
      </c>
      <c r="K3743" s="246" t="str">
        <f t="shared" si="122"/>
        <v/>
      </c>
    </row>
    <row r="3744" spans="1:11" ht="30" customHeight="1" x14ac:dyDescent="0.2">
      <c r="A3744" s="242"/>
      <c r="F3744" s="285" t="str">
        <f t="shared" si="123"/>
        <v/>
      </c>
      <c r="K3744" s="246" t="str">
        <f t="shared" si="122"/>
        <v/>
      </c>
    </row>
    <row r="3745" spans="1:11" ht="30" customHeight="1" x14ac:dyDescent="0.2">
      <c r="A3745" s="242"/>
      <c r="F3745" s="285" t="str">
        <f t="shared" si="123"/>
        <v/>
      </c>
      <c r="K3745" s="246" t="str">
        <f t="shared" si="122"/>
        <v/>
      </c>
    </row>
    <row r="3746" spans="1:11" ht="30" customHeight="1" x14ac:dyDescent="0.2">
      <c r="A3746" s="242"/>
      <c r="F3746" s="285" t="str">
        <f t="shared" si="123"/>
        <v/>
      </c>
      <c r="K3746" s="246" t="str">
        <f t="shared" si="122"/>
        <v/>
      </c>
    </row>
    <row r="3747" spans="1:11" ht="30" customHeight="1" x14ac:dyDescent="0.2">
      <c r="A3747" s="242"/>
      <c r="F3747" s="285" t="str">
        <f t="shared" si="123"/>
        <v/>
      </c>
      <c r="K3747" s="246" t="str">
        <f t="shared" si="122"/>
        <v/>
      </c>
    </row>
    <row r="3748" spans="1:11" ht="30" customHeight="1" x14ac:dyDescent="0.2">
      <c r="A3748" s="242"/>
      <c r="F3748" s="285" t="str">
        <f t="shared" si="123"/>
        <v/>
      </c>
      <c r="K3748" s="246" t="str">
        <f t="shared" si="122"/>
        <v/>
      </c>
    </row>
    <row r="3749" spans="1:11" ht="30" customHeight="1" x14ac:dyDescent="0.2">
      <c r="A3749" s="242"/>
      <c r="F3749" s="285" t="str">
        <f t="shared" si="123"/>
        <v/>
      </c>
      <c r="K3749" s="246" t="str">
        <f t="shared" si="122"/>
        <v/>
      </c>
    </row>
    <row r="3750" spans="1:11" ht="30" customHeight="1" x14ac:dyDescent="0.2">
      <c r="A3750" s="242"/>
      <c r="F3750" s="285" t="str">
        <f t="shared" si="123"/>
        <v/>
      </c>
      <c r="K3750" s="246" t="str">
        <f t="shared" si="122"/>
        <v/>
      </c>
    </row>
    <row r="3751" spans="1:11" ht="30" customHeight="1" x14ac:dyDescent="0.2">
      <c r="A3751" s="242"/>
      <c r="F3751" s="285" t="str">
        <f t="shared" si="123"/>
        <v/>
      </c>
      <c r="K3751" s="246" t="str">
        <f t="shared" si="122"/>
        <v/>
      </c>
    </row>
    <row r="3752" spans="1:11" ht="30" customHeight="1" x14ac:dyDescent="0.2">
      <c r="A3752" s="242"/>
      <c r="F3752" s="285" t="str">
        <f t="shared" si="123"/>
        <v/>
      </c>
      <c r="K3752" s="246" t="str">
        <f t="shared" si="122"/>
        <v/>
      </c>
    </row>
    <row r="3753" spans="1:11" ht="30" customHeight="1" x14ac:dyDescent="0.2">
      <c r="A3753" s="242"/>
      <c r="F3753" s="285" t="str">
        <f t="shared" si="123"/>
        <v/>
      </c>
      <c r="K3753" s="246" t="str">
        <f t="shared" si="122"/>
        <v/>
      </c>
    </row>
    <row r="3754" spans="1:11" ht="30" customHeight="1" x14ac:dyDescent="0.2">
      <c r="A3754" s="242"/>
      <c r="F3754" s="285" t="str">
        <f t="shared" si="123"/>
        <v/>
      </c>
      <c r="K3754" s="246" t="str">
        <f t="shared" si="122"/>
        <v/>
      </c>
    </row>
    <row r="3755" spans="1:11" ht="30" customHeight="1" x14ac:dyDescent="0.2">
      <c r="A3755" s="242"/>
      <c r="F3755" s="285" t="str">
        <f t="shared" si="123"/>
        <v/>
      </c>
      <c r="K3755" s="246" t="str">
        <f t="shared" si="122"/>
        <v/>
      </c>
    </row>
    <row r="3756" spans="1:11" ht="30" customHeight="1" x14ac:dyDescent="0.2">
      <c r="A3756" s="242"/>
      <c r="F3756" s="285" t="str">
        <f t="shared" si="123"/>
        <v/>
      </c>
      <c r="K3756" s="246" t="str">
        <f t="shared" si="122"/>
        <v/>
      </c>
    </row>
    <row r="3757" spans="1:11" ht="30" customHeight="1" x14ac:dyDescent="0.2">
      <c r="A3757" s="242"/>
      <c r="F3757" s="285" t="str">
        <f t="shared" si="123"/>
        <v/>
      </c>
      <c r="K3757" s="246" t="str">
        <f t="shared" si="122"/>
        <v/>
      </c>
    </row>
    <row r="3758" spans="1:11" ht="30" customHeight="1" x14ac:dyDescent="0.2">
      <c r="A3758" s="242"/>
      <c r="F3758" s="285" t="str">
        <f t="shared" si="123"/>
        <v/>
      </c>
      <c r="K3758" s="246" t="str">
        <f t="shared" si="122"/>
        <v/>
      </c>
    </row>
    <row r="3759" spans="1:11" ht="30" customHeight="1" x14ac:dyDescent="0.2">
      <c r="A3759" s="242"/>
      <c r="F3759" s="285" t="str">
        <f t="shared" si="123"/>
        <v/>
      </c>
      <c r="K3759" s="246" t="str">
        <f t="shared" si="122"/>
        <v/>
      </c>
    </row>
    <row r="3760" spans="1:11" ht="30" customHeight="1" x14ac:dyDescent="0.2">
      <c r="A3760" s="242"/>
      <c r="F3760" s="285" t="str">
        <f t="shared" si="123"/>
        <v/>
      </c>
      <c r="K3760" s="246" t="str">
        <f t="shared" si="122"/>
        <v/>
      </c>
    </row>
    <row r="3761" spans="1:11" ht="30" customHeight="1" x14ac:dyDescent="0.2">
      <c r="A3761" s="242"/>
      <c r="F3761" s="285" t="str">
        <f t="shared" si="123"/>
        <v/>
      </c>
      <c r="K3761" s="246" t="str">
        <f t="shared" si="122"/>
        <v/>
      </c>
    </row>
    <row r="3762" spans="1:11" ht="30" customHeight="1" x14ac:dyDescent="0.2">
      <c r="A3762" s="242"/>
      <c r="F3762" s="285" t="str">
        <f t="shared" si="123"/>
        <v/>
      </c>
      <c r="K3762" s="246" t="str">
        <f t="shared" si="122"/>
        <v/>
      </c>
    </row>
    <row r="3763" spans="1:11" ht="30" customHeight="1" x14ac:dyDescent="0.2">
      <c r="A3763" s="242"/>
      <c r="F3763" s="285" t="str">
        <f t="shared" si="123"/>
        <v/>
      </c>
      <c r="K3763" s="246" t="str">
        <f t="shared" si="122"/>
        <v/>
      </c>
    </row>
    <row r="3764" spans="1:11" ht="30" customHeight="1" x14ac:dyDescent="0.2">
      <c r="A3764" s="242"/>
      <c r="F3764" s="285" t="str">
        <f t="shared" si="123"/>
        <v/>
      </c>
      <c r="K3764" s="246" t="str">
        <f t="shared" si="122"/>
        <v/>
      </c>
    </row>
    <row r="3765" spans="1:11" ht="30" customHeight="1" x14ac:dyDescent="0.2">
      <c r="A3765" s="242"/>
      <c r="F3765" s="285" t="str">
        <f t="shared" si="123"/>
        <v/>
      </c>
      <c r="K3765" s="246" t="str">
        <f t="shared" si="122"/>
        <v/>
      </c>
    </row>
    <row r="3766" spans="1:11" ht="30" customHeight="1" x14ac:dyDescent="0.2">
      <c r="A3766" s="242"/>
      <c r="F3766" s="285" t="str">
        <f t="shared" si="123"/>
        <v/>
      </c>
      <c r="K3766" s="246" t="str">
        <f t="shared" si="122"/>
        <v/>
      </c>
    </row>
    <row r="3767" spans="1:11" ht="30" customHeight="1" x14ac:dyDescent="0.2">
      <c r="A3767" s="242"/>
      <c r="F3767" s="285" t="str">
        <f t="shared" si="123"/>
        <v/>
      </c>
      <c r="K3767" s="246" t="str">
        <f t="shared" si="122"/>
        <v/>
      </c>
    </row>
    <row r="3768" spans="1:11" ht="30" customHeight="1" x14ac:dyDescent="0.2">
      <c r="A3768" s="242"/>
      <c r="F3768" s="285" t="str">
        <f t="shared" si="123"/>
        <v/>
      </c>
      <c r="K3768" s="246" t="str">
        <f t="shared" si="122"/>
        <v/>
      </c>
    </row>
    <row r="3769" spans="1:11" ht="30" customHeight="1" x14ac:dyDescent="0.2">
      <c r="A3769" s="242"/>
      <c r="F3769" s="285" t="str">
        <f t="shared" si="123"/>
        <v/>
      </c>
      <c r="K3769" s="246" t="str">
        <f t="shared" si="122"/>
        <v/>
      </c>
    </row>
    <row r="3770" spans="1:11" ht="30" customHeight="1" x14ac:dyDescent="0.2">
      <c r="A3770" s="242"/>
      <c r="F3770" s="285" t="str">
        <f t="shared" si="123"/>
        <v/>
      </c>
      <c r="K3770" s="246" t="str">
        <f t="shared" si="122"/>
        <v/>
      </c>
    </row>
    <row r="3771" spans="1:11" ht="30" customHeight="1" x14ac:dyDescent="0.2">
      <c r="A3771" s="242"/>
      <c r="F3771" s="285" t="str">
        <f t="shared" si="123"/>
        <v/>
      </c>
      <c r="K3771" s="246" t="str">
        <f t="shared" ref="K3771:K3834" si="124">IF(A3771="","",A3771)</f>
        <v/>
      </c>
    </row>
    <row r="3772" spans="1:11" ht="30" customHeight="1" x14ac:dyDescent="0.2">
      <c r="A3772" s="242"/>
      <c r="F3772" s="285" t="str">
        <f t="shared" si="123"/>
        <v/>
      </c>
      <c r="K3772" s="246" t="str">
        <f t="shared" si="124"/>
        <v/>
      </c>
    </row>
    <row r="3773" spans="1:11" ht="30" customHeight="1" x14ac:dyDescent="0.2">
      <c r="A3773" s="242"/>
      <c r="F3773" s="285" t="str">
        <f t="shared" si="123"/>
        <v/>
      </c>
      <c r="K3773" s="246" t="str">
        <f t="shared" si="124"/>
        <v/>
      </c>
    </row>
    <row r="3774" spans="1:11" ht="30" customHeight="1" x14ac:dyDescent="0.2">
      <c r="A3774" s="242"/>
      <c r="F3774" s="285" t="str">
        <f t="shared" si="123"/>
        <v/>
      </c>
      <c r="K3774" s="246" t="str">
        <f t="shared" si="124"/>
        <v/>
      </c>
    </row>
    <row r="3775" spans="1:11" ht="30" customHeight="1" x14ac:dyDescent="0.2">
      <c r="A3775" s="242"/>
      <c r="F3775" s="285" t="str">
        <f t="shared" si="123"/>
        <v/>
      </c>
      <c r="K3775" s="246" t="str">
        <f t="shared" si="124"/>
        <v/>
      </c>
    </row>
    <row r="3776" spans="1:11" ht="30" customHeight="1" x14ac:dyDescent="0.2">
      <c r="A3776" s="242"/>
      <c r="F3776" s="285" t="str">
        <f t="shared" si="123"/>
        <v/>
      </c>
      <c r="K3776" s="246" t="str">
        <f t="shared" si="124"/>
        <v/>
      </c>
    </row>
    <row r="3777" spans="1:11" ht="30" customHeight="1" x14ac:dyDescent="0.2">
      <c r="A3777" s="242"/>
      <c r="F3777" s="285" t="str">
        <f t="shared" si="123"/>
        <v/>
      </c>
      <c r="K3777" s="246" t="str">
        <f t="shared" si="124"/>
        <v/>
      </c>
    </row>
    <row r="3778" spans="1:11" ht="30" customHeight="1" x14ac:dyDescent="0.2">
      <c r="A3778" s="242"/>
      <c r="F3778" s="285" t="str">
        <f t="shared" si="123"/>
        <v/>
      </c>
      <c r="K3778" s="246" t="str">
        <f t="shared" si="124"/>
        <v/>
      </c>
    </row>
    <row r="3779" spans="1:11" ht="30" customHeight="1" x14ac:dyDescent="0.2">
      <c r="A3779" s="242"/>
      <c r="F3779" s="285" t="str">
        <f t="shared" si="123"/>
        <v/>
      </c>
      <c r="K3779" s="246" t="str">
        <f t="shared" si="124"/>
        <v/>
      </c>
    </row>
    <row r="3780" spans="1:11" ht="30" customHeight="1" x14ac:dyDescent="0.2">
      <c r="A3780" s="242"/>
      <c r="F3780" s="285" t="str">
        <f t="shared" si="123"/>
        <v/>
      </c>
      <c r="K3780" s="246" t="str">
        <f t="shared" si="124"/>
        <v/>
      </c>
    </row>
    <row r="3781" spans="1:11" ht="30" customHeight="1" x14ac:dyDescent="0.2">
      <c r="A3781" s="242"/>
      <c r="F3781" s="285" t="str">
        <f t="shared" ref="F3781:F3844" si="125">IF(A3781="","",A3781)</f>
        <v/>
      </c>
      <c r="K3781" s="246" t="str">
        <f t="shared" si="124"/>
        <v/>
      </c>
    </row>
    <row r="3782" spans="1:11" ht="30" customHeight="1" x14ac:dyDescent="0.2">
      <c r="A3782" s="242"/>
      <c r="F3782" s="285" t="str">
        <f t="shared" si="125"/>
        <v/>
      </c>
      <c r="K3782" s="246" t="str">
        <f t="shared" si="124"/>
        <v/>
      </c>
    </row>
    <row r="3783" spans="1:11" ht="30" customHeight="1" x14ac:dyDescent="0.2">
      <c r="A3783" s="242"/>
      <c r="F3783" s="285" t="str">
        <f t="shared" si="125"/>
        <v/>
      </c>
      <c r="K3783" s="246" t="str">
        <f t="shared" si="124"/>
        <v/>
      </c>
    </row>
    <row r="3784" spans="1:11" ht="30" customHeight="1" x14ac:dyDescent="0.2">
      <c r="A3784" s="242"/>
      <c r="F3784" s="285" t="str">
        <f t="shared" si="125"/>
        <v/>
      </c>
      <c r="K3784" s="246" t="str">
        <f t="shared" si="124"/>
        <v/>
      </c>
    </row>
    <row r="3785" spans="1:11" ht="30" customHeight="1" x14ac:dyDescent="0.2">
      <c r="A3785" s="242"/>
      <c r="F3785" s="285" t="str">
        <f t="shared" si="125"/>
        <v/>
      </c>
      <c r="K3785" s="246" t="str">
        <f t="shared" si="124"/>
        <v/>
      </c>
    </row>
    <row r="3786" spans="1:11" ht="30" customHeight="1" x14ac:dyDescent="0.2">
      <c r="A3786" s="242"/>
      <c r="F3786" s="285" t="str">
        <f t="shared" si="125"/>
        <v/>
      </c>
      <c r="K3786" s="246" t="str">
        <f t="shared" si="124"/>
        <v/>
      </c>
    </row>
    <row r="3787" spans="1:11" ht="30" customHeight="1" x14ac:dyDescent="0.2">
      <c r="A3787" s="242"/>
      <c r="F3787" s="285" t="str">
        <f t="shared" si="125"/>
        <v/>
      </c>
      <c r="K3787" s="246" t="str">
        <f t="shared" si="124"/>
        <v/>
      </c>
    </row>
    <row r="3788" spans="1:11" ht="30" customHeight="1" x14ac:dyDescent="0.2">
      <c r="A3788" s="242"/>
      <c r="F3788" s="285" t="str">
        <f t="shared" si="125"/>
        <v/>
      </c>
      <c r="K3788" s="246" t="str">
        <f t="shared" si="124"/>
        <v/>
      </c>
    </row>
    <row r="3789" spans="1:11" ht="30" customHeight="1" x14ac:dyDescent="0.2">
      <c r="A3789" s="242"/>
      <c r="F3789" s="285" t="str">
        <f t="shared" si="125"/>
        <v/>
      </c>
      <c r="K3789" s="246" t="str">
        <f t="shared" si="124"/>
        <v/>
      </c>
    </row>
    <row r="3790" spans="1:11" ht="30" customHeight="1" x14ac:dyDescent="0.2">
      <c r="A3790" s="242"/>
      <c r="F3790" s="285" t="str">
        <f t="shared" si="125"/>
        <v/>
      </c>
      <c r="K3790" s="246" t="str">
        <f t="shared" si="124"/>
        <v/>
      </c>
    </row>
    <row r="3791" spans="1:11" ht="30" customHeight="1" x14ac:dyDescent="0.2">
      <c r="A3791" s="242"/>
      <c r="F3791" s="285" t="str">
        <f t="shared" si="125"/>
        <v/>
      </c>
      <c r="K3791" s="246" t="str">
        <f t="shared" si="124"/>
        <v/>
      </c>
    </row>
    <row r="3792" spans="1:11" ht="30" customHeight="1" x14ac:dyDescent="0.2">
      <c r="A3792" s="242"/>
      <c r="F3792" s="285" t="str">
        <f t="shared" si="125"/>
        <v/>
      </c>
      <c r="K3792" s="246" t="str">
        <f t="shared" si="124"/>
        <v/>
      </c>
    </row>
    <row r="3793" spans="1:11" ht="30" customHeight="1" x14ac:dyDescent="0.2">
      <c r="A3793" s="242"/>
      <c r="F3793" s="285" t="str">
        <f t="shared" si="125"/>
        <v/>
      </c>
      <c r="K3793" s="246" t="str">
        <f t="shared" si="124"/>
        <v/>
      </c>
    </row>
    <row r="3794" spans="1:11" ht="30" customHeight="1" x14ac:dyDescent="0.2">
      <c r="A3794" s="242"/>
      <c r="F3794" s="285" t="str">
        <f t="shared" si="125"/>
        <v/>
      </c>
      <c r="K3794" s="246" t="str">
        <f t="shared" si="124"/>
        <v/>
      </c>
    </row>
    <row r="3795" spans="1:11" ht="30" customHeight="1" x14ac:dyDescent="0.2">
      <c r="A3795" s="242"/>
      <c r="F3795" s="285" t="str">
        <f t="shared" si="125"/>
        <v/>
      </c>
      <c r="K3795" s="246" t="str">
        <f t="shared" si="124"/>
        <v/>
      </c>
    </row>
    <row r="3796" spans="1:11" ht="30" customHeight="1" x14ac:dyDescent="0.2">
      <c r="A3796" s="242"/>
      <c r="F3796" s="285" t="str">
        <f t="shared" si="125"/>
        <v/>
      </c>
      <c r="K3796" s="246" t="str">
        <f t="shared" si="124"/>
        <v/>
      </c>
    </row>
    <row r="3797" spans="1:11" ht="30" customHeight="1" x14ac:dyDescent="0.2">
      <c r="A3797" s="242"/>
      <c r="F3797" s="285" t="str">
        <f t="shared" si="125"/>
        <v/>
      </c>
      <c r="K3797" s="246" t="str">
        <f t="shared" si="124"/>
        <v/>
      </c>
    </row>
    <row r="3798" spans="1:11" ht="30" customHeight="1" x14ac:dyDescent="0.2">
      <c r="A3798" s="242"/>
      <c r="F3798" s="285" t="str">
        <f t="shared" si="125"/>
        <v/>
      </c>
      <c r="K3798" s="246" t="str">
        <f t="shared" si="124"/>
        <v/>
      </c>
    </row>
    <row r="3799" spans="1:11" ht="30" customHeight="1" x14ac:dyDescent="0.2">
      <c r="A3799" s="242"/>
      <c r="F3799" s="285" t="str">
        <f t="shared" si="125"/>
        <v/>
      </c>
      <c r="K3799" s="246" t="str">
        <f t="shared" si="124"/>
        <v/>
      </c>
    </row>
    <row r="3800" spans="1:11" ht="30" customHeight="1" x14ac:dyDescent="0.2">
      <c r="A3800" s="242"/>
      <c r="F3800" s="285" t="str">
        <f t="shared" si="125"/>
        <v/>
      </c>
      <c r="K3800" s="246" t="str">
        <f t="shared" si="124"/>
        <v/>
      </c>
    </row>
    <row r="3801" spans="1:11" ht="30" customHeight="1" x14ac:dyDescent="0.2">
      <c r="A3801" s="242"/>
      <c r="F3801" s="285" t="str">
        <f t="shared" si="125"/>
        <v/>
      </c>
      <c r="K3801" s="246" t="str">
        <f t="shared" si="124"/>
        <v/>
      </c>
    </row>
    <row r="3802" spans="1:11" ht="30" customHeight="1" x14ac:dyDescent="0.2">
      <c r="A3802" s="242"/>
      <c r="F3802" s="285" t="str">
        <f t="shared" si="125"/>
        <v/>
      </c>
      <c r="K3802" s="246" t="str">
        <f t="shared" si="124"/>
        <v/>
      </c>
    </row>
    <row r="3803" spans="1:11" ht="30" customHeight="1" x14ac:dyDescent="0.2">
      <c r="A3803" s="242"/>
      <c r="F3803" s="285" t="str">
        <f t="shared" si="125"/>
        <v/>
      </c>
      <c r="K3803" s="246" t="str">
        <f t="shared" si="124"/>
        <v/>
      </c>
    </row>
    <row r="3804" spans="1:11" ht="30" customHeight="1" x14ac:dyDescent="0.2">
      <c r="A3804" s="242"/>
      <c r="F3804" s="285" t="str">
        <f t="shared" si="125"/>
        <v/>
      </c>
      <c r="K3804" s="246" t="str">
        <f t="shared" si="124"/>
        <v/>
      </c>
    </row>
    <row r="3805" spans="1:11" ht="30" customHeight="1" x14ac:dyDescent="0.2">
      <c r="A3805" s="242"/>
      <c r="F3805" s="285" t="str">
        <f t="shared" si="125"/>
        <v/>
      </c>
      <c r="K3805" s="246" t="str">
        <f t="shared" si="124"/>
        <v/>
      </c>
    </row>
    <row r="3806" spans="1:11" ht="30" customHeight="1" x14ac:dyDescent="0.2">
      <c r="A3806" s="242"/>
      <c r="F3806" s="285" t="str">
        <f t="shared" si="125"/>
        <v/>
      </c>
      <c r="K3806" s="246" t="str">
        <f t="shared" si="124"/>
        <v/>
      </c>
    </row>
    <row r="3807" spans="1:11" ht="30" customHeight="1" x14ac:dyDescent="0.2">
      <c r="A3807" s="242"/>
      <c r="F3807" s="285" t="str">
        <f t="shared" si="125"/>
        <v/>
      </c>
      <c r="K3807" s="246" t="str">
        <f t="shared" si="124"/>
        <v/>
      </c>
    </row>
    <row r="3808" spans="1:11" ht="30" customHeight="1" x14ac:dyDescent="0.2">
      <c r="A3808" s="242"/>
      <c r="F3808" s="285" t="str">
        <f t="shared" si="125"/>
        <v/>
      </c>
      <c r="K3808" s="246" t="str">
        <f t="shared" si="124"/>
        <v/>
      </c>
    </row>
    <row r="3809" spans="1:11" ht="30" customHeight="1" x14ac:dyDescent="0.2">
      <c r="A3809" s="242"/>
      <c r="F3809" s="285" t="str">
        <f t="shared" si="125"/>
        <v/>
      </c>
      <c r="K3809" s="246" t="str">
        <f t="shared" si="124"/>
        <v/>
      </c>
    </row>
    <row r="3810" spans="1:11" ht="30" customHeight="1" x14ac:dyDescent="0.2">
      <c r="A3810" s="242"/>
      <c r="F3810" s="285" t="str">
        <f t="shared" si="125"/>
        <v/>
      </c>
      <c r="K3810" s="246" t="str">
        <f t="shared" si="124"/>
        <v/>
      </c>
    </row>
    <row r="3811" spans="1:11" ht="30" customHeight="1" x14ac:dyDescent="0.2">
      <c r="A3811" s="242"/>
      <c r="F3811" s="285" t="str">
        <f t="shared" si="125"/>
        <v/>
      </c>
      <c r="K3811" s="246" t="str">
        <f t="shared" si="124"/>
        <v/>
      </c>
    </row>
    <row r="3812" spans="1:11" ht="30" customHeight="1" x14ac:dyDescent="0.2">
      <c r="A3812" s="242"/>
      <c r="F3812" s="285" t="str">
        <f t="shared" si="125"/>
        <v/>
      </c>
      <c r="K3812" s="246" t="str">
        <f t="shared" si="124"/>
        <v/>
      </c>
    </row>
    <row r="3813" spans="1:11" ht="30" customHeight="1" x14ac:dyDescent="0.2">
      <c r="A3813" s="242"/>
      <c r="F3813" s="285" t="str">
        <f t="shared" si="125"/>
        <v/>
      </c>
      <c r="K3813" s="246" t="str">
        <f t="shared" si="124"/>
        <v/>
      </c>
    </row>
    <row r="3814" spans="1:11" ht="30" customHeight="1" x14ac:dyDescent="0.2">
      <c r="A3814" s="242"/>
      <c r="F3814" s="285" t="str">
        <f t="shared" si="125"/>
        <v/>
      </c>
      <c r="K3814" s="246" t="str">
        <f t="shared" si="124"/>
        <v/>
      </c>
    </row>
    <row r="3815" spans="1:11" ht="30" customHeight="1" x14ac:dyDescent="0.2">
      <c r="A3815" s="242"/>
      <c r="F3815" s="285" t="str">
        <f t="shared" si="125"/>
        <v/>
      </c>
      <c r="K3815" s="246" t="str">
        <f t="shared" si="124"/>
        <v/>
      </c>
    </row>
    <row r="3816" spans="1:11" ht="30" customHeight="1" x14ac:dyDescent="0.2">
      <c r="A3816" s="242"/>
      <c r="F3816" s="285" t="str">
        <f t="shared" si="125"/>
        <v/>
      </c>
      <c r="K3816" s="246" t="str">
        <f t="shared" si="124"/>
        <v/>
      </c>
    </row>
    <row r="3817" spans="1:11" ht="30" customHeight="1" x14ac:dyDescent="0.2">
      <c r="A3817" s="242"/>
      <c r="F3817" s="285" t="str">
        <f t="shared" si="125"/>
        <v/>
      </c>
      <c r="K3817" s="246" t="str">
        <f t="shared" si="124"/>
        <v/>
      </c>
    </row>
    <row r="3818" spans="1:11" ht="30" customHeight="1" x14ac:dyDescent="0.2">
      <c r="A3818" s="242"/>
      <c r="F3818" s="285" t="str">
        <f t="shared" si="125"/>
        <v/>
      </c>
      <c r="K3818" s="246" t="str">
        <f t="shared" si="124"/>
        <v/>
      </c>
    </row>
    <row r="3819" spans="1:11" ht="30" customHeight="1" x14ac:dyDescent="0.2">
      <c r="A3819" s="242"/>
      <c r="F3819" s="285" t="str">
        <f t="shared" si="125"/>
        <v/>
      </c>
      <c r="K3819" s="246" t="str">
        <f t="shared" si="124"/>
        <v/>
      </c>
    </row>
    <row r="3820" spans="1:11" ht="30" customHeight="1" x14ac:dyDescent="0.2">
      <c r="A3820" s="242"/>
      <c r="F3820" s="285" t="str">
        <f t="shared" si="125"/>
        <v/>
      </c>
      <c r="K3820" s="246" t="str">
        <f t="shared" si="124"/>
        <v/>
      </c>
    </row>
    <row r="3821" spans="1:11" ht="30" customHeight="1" x14ac:dyDescent="0.2">
      <c r="A3821" s="242"/>
      <c r="F3821" s="285" t="str">
        <f t="shared" si="125"/>
        <v/>
      </c>
      <c r="K3821" s="246" t="str">
        <f t="shared" si="124"/>
        <v/>
      </c>
    </row>
    <row r="3822" spans="1:11" ht="30" customHeight="1" x14ac:dyDescent="0.2">
      <c r="A3822" s="242"/>
      <c r="F3822" s="285" t="str">
        <f t="shared" si="125"/>
        <v/>
      </c>
      <c r="K3822" s="246" t="str">
        <f t="shared" si="124"/>
        <v/>
      </c>
    </row>
    <row r="3823" spans="1:11" ht="30" customHeight="1" x14ac:dyDescent="0.2">
      <c r="A3823" s="242"/>
      <c r="F3823" s="285" t="str">
        <f t="shared" si="125"/>
        <v/>
      </c>
      <c r="K3823" s="246" t="str">
        <f t="shared" si="124"/>
        <v/>
      </c>
    </row>
    <row r="3824" spans="1:11" ht="30" customHeight="1" x14ac:dyDescent="0.2">
      <c r="A3824" s="242"/>
      <c r="F3824" s="285" t="str">
        <f t="shared" si="125"/>
        <v/>
      </c>
      <c r="K3824" s="246" t="str">
        <f t="shared" si="124"/>
        <v/>
      </c>
    </row>
    <row r="3825" spans="1:11" ht="30" customHeight="1" x14ac:dyDescent="0.2">
      <c r="A3825" s="242"/>
      <c r="F3825" s="285" t="str">
        <f t="shared" si="125"/>
        <v/>
      </c>
      <c r="K3825" s="246" t="str">
        <f t="shared" si="124"/>
        <v/>
      </c>
    </row>
    <row r="3826" spans="1:11" ht="30" customHeight="1" x14ac:dyDescent="0.2">
      <c r="A3826" s="242"/>
      <c r="F3826" s="285" t="str">
        <f t="shared" si="125"/>
        <v/>
      </c>
      <c r="K3826" s="246" t="str">
        <f t="shared" si="124"/>
        <v/>
      </c>
    </row>
    <row r="3827" spans="1:11" ht="30" customHeight="1" x14ac:dyDescent="0.2">
      <c r="A3827" s="242"/>
      <c r="F3827" s="285" t="str">
        <f t="shared" si="125"/>
        <v/>
      </c>
      <c r="K3827" s="246" t="str">
        <f t="shared" si="124"/>
        <v/>
      </c>
    </row>
    <row r="3828" spans="1:11" ht="30" customHeight="1" x14ac:dyDescent="0.2">
      <c r="A3828" s="242"/>
      <c r="F3828" s="285" t="str">
        <f t="shared" si="125"/>
        <v/>
      </c>
      <c r="K3828" s="246" t="str">
        <f t="shared" si="124"/>
        <v/>
      </c>
    </row>
    <row r="3829" spans="1:11" ht="30" customHeight="1" x14ac:dyDescent="0.2">
      <c r="A3829" s="242"/>
      <c r="F3829" s="285" t="str">
        <f t="shared" si="125"/>
        <v/>
      </c>
      <c r="K3829" s="246" t="str">
        <f t="shared" si="124"/>
        <v/>
      </c>
    </row>
    <row r="3830" spans="1:11" ht="30" customHeight="1" x14ac:dyDescent="0.2">
      <c r="A3830" s="242"/>
      <c r="F3830" s="285" t="str">
        <f t="shared" si="125"/>
        <v/>
      </c>
      <c r="K3830" s="246" t="str">
        <f t="shared" si="124"/>
        <v/>
      </c>
    </row>
    <row r="3831" spans="1:11" ht="30" customHeight="1" x14ac:dyDescent="0.2">
      <c r="A3831" s="242"/>
      <c r="F3831" s="285" t="str">
        <f t="shared" si="125"/>
        <v/>
      </c>
      <c r="K3831" s="246" t="str">
        <f t="shared" si="124"/>
        <v/>
      </c>
    </row>
    <row r="3832" spans="1:11" ht="30" customHeight="1" x14ac:dyDescent="0.2">
      <c r="A3832" s="242"/>
      <c r="F3832" s="285" t="str">
        <f t="shared" si="125"/>
        <v/>
      </c>
      <c r="K3832" s="246" t="str">
        <f t="shared" si="124"/>
        <v/>
      </c>
    </row>
    <row r="3833" spans="1:11" ht="30" customHeight="1" x14ac:dyDescent="0.2">
      <c r="A3833" s="242"/>
      <c r="F3833" s="285" t="str">
        <f t="shared" si="125"/>
        <v/>
      </c>
      <c r="K3833" s="246" t="str">
        <f t="shared" si="124"/>
        <v/>
      </c>
    </row>
    <row r="3834" spans="1:11" ht="30" customHeight="1" x14ac:dyDescent="0.2">
      <c r="A3834" s="242"/>
      <c r="F3834" s="285" t="str">
        <f t="shared" si="125"/>
        <v/>
      </c>
      <c r="K3834" s="246" t="str">
        <f t="shared" si="124"/>
        <v/>
      </c>
    </row>
    <row r="3835" spans="1:11" ht="30" customHeight="1" x14ac:dyDescent="0.2">
      <c r="A3835" s="242"/>
      <c r="F3835" s="285" t="str">
        <f t="shared" si="125"/>
        <v/>
      </c>
      <c r="K3835" s="246" t="str">
        <f t="shared" ref="K3835:K3898" si="126">IF(A3835="","",A3835)</f>
        <v/>
      </c>
    </row>
    <row r="3836" spans="1:11" ht="30" customHeight="1" x14ac:dyDescent="0.2">
      <c r="A3836" s="242"/>
      <c r="F3836" s="285" t="str">
        <f t="shared" si="125"/>
        <v/>
      </c>
      <c r="K3836" s="246" t="str">
        <f t="shared" si="126"/>
        <v/>
      </c>
    </row>
    <row r="3837" spans="1:11" ht="30" customHeight="1" x14ac:dyDescent="0.2">
      <c r="A3837" s="242"/>
      <c r="F3837" s="285" t="str">
        <f t="shared" si="125"/>
        <v/>
      </c>
      <c r="K3837" s="246" t="str">
        <f t="shared" si="126"/>
        <v/>
      </c>
    </row>
    <row r="3838" spans="1:11" ht="30" customHeight="1" x14ac:dyDescent="0.2">
      <c r="A3838" s="242"/>
      <c r="F3838" s="285" t="str">
        <f t="shared" si="125"/>
        <v/>
      </c>
      <c r="K3838" s="246" t="str">
        <f t="shared" si="126"/>
        <v/>
      </c>
    </row>
    <row r="3839" spans="1:11" ht="30" customHeight="1" x14ac:dyDescent="0.2">
      <c r="A3839" s="242"/>
      <c r="F3839" s="285" t="str">
        <f t="shared" si="125"/>
        <v/>
      </c>
      <c r="K3839" s="246" t="str">
        <f t="shared" si="126"/>
        <v/>
      </c>
    </row>
    <row r="3840" spans="1:11" ht="30" customHeight="1" x14ac:dyDescent="0.2">
      <c r="A3840" s="242"/>
      <c r="F3840" s="285" t="str">
        <f t="shared" si="125"/>
        <v/>
      </c>
      <c r="K3840" s="246" t="str">
        <f t="shared" si="126"/>
        <v/>
      </c>
    </row>
    <row r="3841" spans="1:11" ht="30" customHeight="1" x14ac:dyDescent="0.2">
      <c r="A3841" s="242"/>
      <c r="F3841" s="285" t="str">
        <f t="shared" si="125"/>
        <v/>
      </c>
      <c r="K3841" s="246" t="str">
        <f t="shared" si="126"/>
        <v/>
      </c>
    </row>
    <row r="3842" spans="1:11" ht="30" customHeight="1" x14ac:dyDescent="0.2">
      <c r="A3842" s="242"/>
      <c r="F3842" s="285" t="str">
        <f t="shared" si="125"/>
        <v/>
      </c>
      <c r="K3842" s="246" t="str">
        <f t="shared" si="126"/>
        <v/>
      </c>
    </row>
    <row r="3843" spans="1:11" ht="30" customHeight="1" x14ac:dyDescent="0.2">
      <c r="A3843" s="242"/>
      <c r="F3843" s="285" t="str">
        <f t="shared" si="125"/>
        <v/>
      </c>
      <c r="K3843" s="246" t="str">
        <f t="shared" si="126"/>
        <v/>
      </c>
    </row>
    <row r="3844" spans="1:11" ht="30" customHeight="1" x14ac:dyDescent="0.2">
      <c r="A3844" s="242"/>
      <c r="F3844" s="285" t="str">
        <f t="shared" si="125"/>
        <v/>
      </c>
      <c r="K3844" s="246" t="str">
        <f t="shared" si="126"/>
        <v/>
      </c>
    </row>
    <row r="3845" spans="1:11" ht="30" customHeight="1" x14ac:dyDescent="0.2">
      <c r="A3845" s="242"/>
      <c r="F3845" s="285" t="str">
        <f t="shared" ref="F3845:F3908" si="127">IF(A3845="","",A3845)</f>
        <v/>
      </c>
      <c r="K3845" s="246" t="str">
        <f t="shared" si="126"/>
        <v/>
      </c>
    </row>
    <row r="3846" spans="1:11" ht="30" customHeight="1" x14ac:dyDescent="0.2">
      <c r="A3846" s="242"/>
      <c r="F3846" s="285" t="str">
        <f t="shared" si="127"/>
        <v/>
      </c>
      <c r="K3846" s="246" t="str">
        <f t="shared" si="126"/>
        <v/>
      </c>
    </row>
    <row r="3847" spans="1:11" ht="30" customHeight="1" x14ac:dyDescent="0.2">
      <c r="A3847" s="242"/>
      <c r="F3847" s="285" t="str">
        <f t="shared" si="127"/>
        <v/>
      </c>
      <c r="K3847" s="246" t="str">
        <f t="shared" si="126"/>
        <v/>
      </c>
    </row>
    <row r="3848" spans="1:11" ht="30" customHeight="1" x14ac:dyDescent="0.2">
      <c r="A3848" s="242"/>
      <c r="F3848" s="285" t="str">
        <f t="shared" si="127"/>
        <v/>
      </c>
      <c r="K3848" s="246" t="str">
        <f t="shared" si="126"/>
        <v/>
      </c>
    </row>
    <row r="3849" spans="1:11" ht="30" customHeight="1" x14ac:dyDescent="0.2">
      <c r="A3849" s="242"/>
      <c r="F3849" s="285" t="str">
        <f t="shared" si="127"/>
        <v/>
      </c>
      <c r="K3849" s="246" t="str">
        <f t="shared" si="126"/>
        <v/>
      </c>
    </row>
    <row r="3850" spans="1:11" ht="30" customHeight="1" x14ac:dyDescent="0.2">
      <c r="A3850" s="242"/>
      <c r="F3850" s="285" t="str">
        <f t="shared" si="127"/>
        <v/>
      </c>
      <c r="K3850" s="246" t="str">
        <f t="shared" si="126"/>
        <v/>
      </c>
    </row>
    <row r="3851" spans="1:11" ht="30" customHeight="1" x14ac:dyDescent="0.2">
      <c r="A3851" s="242"/>
      <c r="F3851" s="285" t="str">
        <f t="shared" si="127"/>
        <v/>
      </c>
      <c r="K3851" s="246" t="str">
        <f t="shared" si="126"/>
        <v/>
      </c>
    </row>
    <row r="3852" spans="1:11" ht="30" customHeight="1" x14ac:dyDescent="0.2">
      <c r="A3852" s="242"/>
      <c r="F3852" s="285" t="str">
        <f t="shared" si="127"/>
        <v/>
      </c>
      <c r="K3852" s="246" t="str">
        <f t="shared" si="126"/>
        <v/>
      </c>
    </row>
    <row r="3853" spans="1:11" ht="30" customHeight="1" x14ac:dyDescent="0.2">
      <c r="A3853" s="242"/>
      <c r="F3853" s="285" t="str">
        <f t="shared" si="127"/>
        <v/>
      </c>
      <c r="K3853" s="246" t="str">
        <f t="shared" si="126"/>
        <v/>
      </c>
    </row>
    <row r="3854" spans="1:11" ht="30" customHeight="1" x14ac:dyDescent="0.2">
      <c r="A3854" s="242"/>
      <c r="F3854" s="285" t="str">
        <f t="shared" si="127"/>
        <v/>
      </c>
      <c r="K3854" s="246" t="str">
        <f t="shared" si="126"/>
        <v/>
      </c>
    </row>
    <row r="3855" spans="1:11" ht="30" customHeight="1" x14ac:dyDescent="0.2">
      <c r="A3855" s="242"/>
      <c r="F3855" s="285" t="str">
        <f t="shared" si="127"/>
        <v/>
      </c>
      <c r="K3855" s="246" t="str">
        <f t="shared" si="126"/>
        <v/>
      </c>
    </row>
    <row r="3856" spans="1:11" ht="30" customHeight="1" x14ac:dyDescent="0.2">
      <c r="A3856" s="242"/>
      <c r="F3856" s="285" t="str">
        <f t="shared" si="127"/>
        <v/>
      </c>
      <c r="K3856" s="246" t="str">
        <f t="shared" si="126"/>
        <v/>
      </c>
    </row>
    <row r="3857" spans="1:11" ht="30" customHeight="1" x14ac:dyDescent="0.2">
      <c r="A3857" s="242"/>
      <c r="F3857" s="285" t="str">
        <f t="shared" si="127"/>
        <v/>
      </c>
      <c r="K3857" s="246" t="str">
        <f t="shared" si="126"/>
        <v/>
      </c>
    </row>
    <row r="3858" spans="1:11" ht="30" customHeight="1" x14ac:dyDescent="0.2">
      <c r="A3858" s="242"/>
      <c r="F3858" s="285" t="str">
        <f t="shared" si="127"/>
        <v/>
      </c>
      <c r="K3858" s="246" t="str">
        <f t="shared" si="126"/>
        <v/>
      </c>
    </row>
    <row r="3859" spans="1:11" ht="30" customHeight="1" x14ac:dyDescent="0.2">
      <c r="A3859" s="242"/>
      <c r="F3859" s="285" t="str">
        <f t="shared" si="127"/>
        <v/>
      </c>
      <c r="K3859" s="246" t="str">
        <f t="shared" si="126"/>
        <v/>
      </c>
    </row>
    <row r="3860" spans="1:11" ht="30" customHeight="1" x14ac:dyDescent="0.2">
      <c r="A3860" s="242"/>
      <c r="F3860" s="285" t="str">
        <f t="shared" si="127"/>
        <v/>
      </c>
      <c r="K3860" s="246" t="str">
        <f t="shared" si="126"/>
        <v/>
      </c>
    </row>
    <row r="3861" spans="1:11" ht="30" customHeight="1" x14ac:dyDescent="0.2">
      <c r="A3861" s="242"/>
      <c r="F3861" s="285" t="str">
        <f t="shared" si="127"/>
        <v/>
      </c>
      <c r="K3861" s="246" t="str">
        <f t="shared" si="126"/>
        <v/>
      </c>
    </row>
    <row r="3862" spans="1:11" ht="30" customHeight="1" x14ac:dyDescent="0.2">
      <c r="A3862" s="242"/>
      <c r="F3862" s="285" t="str">
        <f t="shared" si="127"/>
        <v/>
      </c>
      <c r="K3862" s="246" t="str">
        <f t="shared" si="126"/>
        <v/>
      </c>
    </row>
    <row r="3863" spans="1:11" ht="30" customHeight="1" x14ac:dyDescent="0.2">
      <c r="A3863" s="242"/>
      <c r="F3863" s="285" t="str">
        <f t="shared" si="127"/>
        <v/>
      </c>
      <c r="K3863" s="246" t="str">
        <f t="shared" si="126"/>
        <v/>
      </c>
    </row>
    <row r="3864" spans="1:11" ht="30" customHeight="1" x14ac:dyDescent="0.2">
      <c r="A3864" s="242"/>
      <c r="F3864" s="285" t="str">
        <f t="shared" si="127"/>
        <v/>
      </c>
      <c r="K3864" s="246" t="str">
        <f t="shared" si="126"/>
        <v/>
      </c>
    </row>
    <row r="3865" spans="1:11" ht="30" customHeight="1" x14ac:dyDescent="0.2">
      <c r="A3865" s="242"/>
      <c r="F3865" s="285" t="str">
        <f t="shared" si="127"/>
        <v/>
      </c>
      <c r="K3865" s="246" t="str">
        <f t="shared" si="126"/>
        <v/>
      </c>
    </row>
    <row r="3866" spans="1:11" ht="30" customHeight="1" x14ac:dyDescent="0.2">
      <c r="A3866" s="242"/>
      <c r="F3866" s="285" t="str">
        <f t="shared" si="127"/>
        <v/>
      </c>
      <c r="K3866" s="246" t="str">
        <f t="shared" si="126"/>
        <v/>
      </c>
    </row>
    <row r="3867" spans="1:11" ht="30" customHeight="1" x14ac:dyDescent="0.2">
      <c r="A3867" s="242"/>
      <c r="F3867" s="285" t="str">
        <f t="shared" si="127"/>
        <v/>
      </c>
      <c r="K3867" s="246" t="str">
        <f t="shared" si="126"/>
        <v/>
      </c>
    </row>
    <row r="3868" spans="1:11" ht="30" customHeight="1" x14ac:dyDescent="0.2">
      <c r="A3868" s="242"/>
      <c r="F3868" s="285" t="str">
        <f t="shared" si="127"/>
        <v/>
      </c>
      <c r="K3868" s="246" t="str">
        <f t="shared" si="126"/>
        <v/>
      </c>
    </row>
    <row r="3869" spans="1:11" ht="30" customHeight="1" x14ac:dyDescent="0.2">
      <c r="A3869" s="242"/>
      <c r="F3869" s="285" t="str">
        <f t="shared" si="127"/>
        <v/>
      </c>
      <c r="K3869" s="246" t="str">
        <f t="shared" si="126"/>
        <v/>
      </c>
    </row>
    <row r="3870" spans="1:11" ht="30" customHeight="1" x14ac:dyDescent="0.2">
      <c r="A3870" s="242"/>
      <c r="F3870" s="285" t="str">
        <f t="shared" si="127"/>
        <v/>
      </c>
      <c r="K3870" s="246" t="str">
        <f t="shared" si="126"/>
        <v/>
      </c>
    </row>
    <row r="3871" spans="1:11" ht="30" customHeight="1" x14ac:dyDescent="0.2">
      <c r="A3871" s="242"/>
      <c r="F3871" s="285" t="str">
        <f t="shared" si="127"/>
        <v/>
      </c>
      <c r="K3871" s="246" t="str">
        <f t="shared" si="126"/>
        <v/>
      </c>
    </row>
    <row r="3872" spans="1:11" ht="30" customHeight="1" x14ac:dyDescent="0.2">
      <c r="A3872" s="242"/>
      <c r="F3872" s="285" t="str">
        <f t="shared" si="127"/>
        <v/>
      </c>
      <c r="K3872" s="246" t="str">
        <f t="shared" si="126"/>
        <v/>
      </c>
    </row>
    <row r="3873" spans="1:11" ht="30" customHeight="1" x14ac:dyDescent="0.2">
      <c r="A3873" s="242"/>
      <c r="F3873" s="285" t="str">
        <f t="shared" si="127"/>
        <v/>
      </c>
      <c r="K3873" s="246" t="str">
        <f t="shared" si="126"/>
        <v/>
      </c>
    </row>
    <row r="3874" spans="1:11" ht="30" customHeight="1" x14ac:dyDescent="0.2">
      <c r="A3874" s="242"/>
      <c r="F3874" s="285" t="str">
        <f t="shared" si="127"/>
        <v/>
      </c>
      <c r="K3874" s="246" t="str">
        <f t="shared" si="126"/>
        <v/>
      </c>
    </row>
    <row r="3875" spans="1:11" ht="30" customHeight="1" x14ac:dyDescent="0.2">
      <c r="A3875" s="242"/>
      <c r="F3875" s="285" t="str">
        <f t="shared" si="127"/>
        <v/>
      </c>
      <c r="K3875" s="246" t="str">
        <f t="shared" si="126"/>
        <v/>
      </c>
    </row>
    <row r="3876" spans="1:11" ht="30" customHeight="1" x14ac:dyDescent="0.2">
      <c r="A3876" s="242"/>
      <c r="F3876" s="285" t="str">
        <f t="shared" si="127"/>
        <v/>
      </c>
      <c r="K3876" s="246" t="str">
        <f t="shared" si="126"/>
        <v/>
      </c>
    </row>
    <row r="3877" spans="1:11" ht="30" customHeight="1" x14ac:dyDescent="0.2">
      <c r="A3877" s="242"/>
      <c r="F3877" s="285" t="str">
        <f t="shared" si="127"/>
        <v/>
      </c>
      <c r="K3877" s="246" t="str">
        <f t="shared" si="126"/>
        <v/>
      </c>
    </row>
    <row r="3878" spans="1:11" ht="30" customHeight="1" x14ac:dyDescent="0.2">
      <c r="A3878" s="242"/>
      <c r="F3878" s="285" t="str">
        <f t="shared" si="127"/>
        <v/>
      </c>
      <c r="K3878" s="246" t="str">
        <f t="shared" si="126"/>
        <v/>
      </c>
    </row>
    <row r="3879" spans="1:11" ht="30" customHeight="1" x14ac:dyDescent="0.2">
      <c r="A3879" s="242"/>
      <c r="F3879" s="285" t="str">
        <f t="shared" si="127"/>
        <v/>
      </c>
      <c r="K3879" s="246" t="str">
        <f t="shared" si="126"/>
        <v/>
      </c>
    </row>
    <row r="3880" spans="1:11" ht="30" customHeight="1" x14ac:dyDescent="0.2">
      <c r="A3880" s="242"/>
      <c r="F3880" s="285" t="str">
        <f t="shared" si="127"/>
        <v/>
      </c>
      <c r="K3880" s="246" t="str">
        <f t="shared" si="126"/>
        <v/>
      </c>
    </row>
    <row r="3881" spans="1:11" ht="30" customHeight="1" x14ac:dyDescent="0.2">
      <c r="A3881" s="242"/>
      <c r="F3881" s="285" t="str">
        <f t="shared" si="127"/>
        <v/>
      </c>
      <c r="K3881" s="246" t="str">
        <f t="shared" si="126"/>
        <v/>
      </c>
    </row>
    <row r="3882" spans="1:11" ht="30" customHeight="1" x14ac:dyDescent="0.2">
      <c r="A3882" s="242"/>
      <c r="F3882" s="285" t="str">
        <f t="shared" si="127"/>
        <v/>
      </c>
      <c r="K3882" s="246" t="str">
        <f t="shared" si="126"/>
        <v/>
      </c>
    </row>
    <row r="3883" spans="1:11" ht="30" customHeight="1" x14ac:dyDescent="0.2">
      <c r="A3883" s="242"/>
      <c r="F3883" s="285" t="str">
        <f t="shared" si="127"/>
        <v/>
      </c>
      <c r="K3883" s="246" t="str">
        <f t="shared" si="126"/>
        <v/>
      </c>
    </row>
    <row r="3884" spans="1:11" ht="30" customHeight="1" x14ac:dyDescent="0.2">
      <c r="A3884" s="242"/>
      <c r="F3884" s="285" t="str">
        <f t="shared" si="127"/>
        <v/>
      </c>
      <c r="K3884" s="246" t="str">
        <f t="shared" si="126"/>
        <v/>
      </c>
    </row>
    <row r="3885" spans="1:11" ht="30" customHeight="1" x14ac:dyDescent="0.2">
      <c r="A3885" s="242"/>
      <c r="F3885" s="285" t="str">
        <f t="shared" si="127"/>
        <v/>
      </c>
      <c r="K3885" s="246" t="str">
        <f t="shared" si="126"/>
        <v/>
      </c>
    </row>
    <row r="3886" spans="1:11" ht="30" customHeight="1" x14ac:dyDescent="0.2">
      <c r="A3886" s="242"/>
      <c r="F3886" s="285" t="str">
        <f t="shared" si="127"/>
        <v/>
      </c>
      <c r="K3886" s="246" t="str">
        <f t="shared" si="126"/>
        <v/>
      </c>
    </row>
    <row r="3887" spans="1:11" ht="30" customHeight="1" x14ac:dyDescent="0.2">
      <c r="A3887" s="242"/>
      <c r="F3887" s="285" t="str">
        <f t="shared" si="127"/>
        <v/>
      </c>
      <c r="K3887" s="246" t="str">
        <f t="shared" si="126"/>
        <v/>
      </c>
    </row>
    <row r="3888" spans="1:11" ht="30" customHeight="1" x14ac:dyDescent="0.2">
      <c r="A3888" s="242"/>
      <c r="F3888" s="285" t="str">
        <f t="shared" si="127"/>
        <v/>
      </c>
      <c r="K3888" s="246" t="str">
        <f t="shared" si="126"/>
        <v/>
      </c>
    </row>
    <row r="3889" spans="1:11" ht="30" customHeight="1" x14ac:dyDescent="0.2">
      <c r="A3889" s="242"/>
      <c r="F3889" s="285" t="str">
        <f t="shared" si="127"/>
        <v/>
      </c>
      <c r="K3889" s="246" t="str">
        <f t="shared" si="126"/>
        <v/>
      </c>
    </row>
    <row r="3890" spans="1:11" ht="30" customHeight="1" x14ac:dyDescent="0.2">
      <c r="A3890" s="242"/>
      <c r="F3890" s="285" t="str">
        <f t="shared" si="127"/>
        <v/>
      </c>
      <c r="K3890" s="246" t="str">
        <f t="shared" si="126"/>
        <v/>
      </c>
    </row>
    <row r="3891" spans="1:11" ht="30" customHeight="1" x14ac:dyDescent="0.2">
      <c r="A3891" s="242"/>
      <c r="F3891" s="285" t="str">
        <f t="shared" si="127"/>
        <v/>
      </c>
      <c r="K3891" s="246" t="str">
        <f t="shared" si="126"/>
        <v/>
      </c>
    </row>
    <row r="3892" spans="1:11" ht="30" customHeight="1" x14ac:dyDescent="0.2">
      <c r="A3892" s="242"/>
      <c r="F3892" s="285" t="str">
        <f t="shared" si="127"/>
        <v/>
      </c>
      <c r="K3892" s="246" t="str">
        <f t="shared" si="126"/>
        <v/>
      </c>
    </row>
    <row r="3893" spans="1:11" ht="30" customHeight="1" x14ac:dyDescent="0.2">
      <c r="A3893" s="242"/>
      <c r="F3893" s="285" t="str">
        <f t="shared" si="127"/>
        <v/>
      </c>
      <c r="K3893" s="246" t="str">
        <f t="shared" si="126"/>
        <v/>
      </c>
    </row>
    <row r="3894" spans="1:11" ht="30" customHeight="1" x14ac:dyDescent="0.2">
      <c r="A3894" s="242"/>
      <c r="F3894" s="285" t="str">
        <f t="shared" si="127"/>
        <v/>
      </c>
      <c r="K3894" s="246" t="str">
        <f t="shared" si="126"/>
        <v/>
      </c>
    </row>
    <row r="3895" spans="1:11" ht="30" customHeight="1" x14ac:dyDescent="0.2">
      <c r="A3895" s="242"/>
      <c r="F3895" s="285" t="str">
        <f t="shared" si="127"/>
        <v/>
      </c>
      <c r="K3895" s="246" t="str">
        <f t="shared" si="126"/>
        <v/>
      </c>
    </row>
    <row r="3896" spans="1:11" ht="30" customHeight="1" x14ac:dyDescent="0.2">
      <c r="A3896" s="242"/>
      <c r="F3896" s="285" t="str">
        <f t="shared" si="127"/>
        <v/>
      </c>
      <c r="K3896" s="246" t="str">
        <f t="shared" si="126"/>
        <v/>
      </c>
    </row>
    <row r="3897" spans="1:11" ht="30" customHeight="1" x14ac:dyDescent="0.2">
      <c r="A3897" s="242"/>
      <c r="F3897" s="285" t="str">
        <f t="shared" si="127"/>
        <v/>
      </c>
      <c r="K3897" s="246" t="str">
        <f t="shared" si="126"/>
        <v/>
      </c>
    </row>
    <row r="3898" spans="1:11" ht="30" customHeight="1" x14ac:dyDescent="0.2">
      <c r="A3898" s="242"/>
      <c r="F3898" s="285" t="str">
        <f t="shared" si="127"/>
        <v/>
      </c>
      <c r="K3898" s="246" t="str">
        <f t="shared" si="126"/>
        <v/>
      </c>
    </row>
    <row r="3899" spans="1:11" ht="30" customHeight="1" x14ac:dyDescent="0.2">
      <c r="A3899" s="242"/>
      <c r="F3899" s="285" t="str">
        <f t="shared" si="127"/>
        <v/>
      </c>
      <c r="K3899" s="246" t="str">
        <f t="shared" ref="K3899:K3962" si="128">IF(A3899="","",A3899)</f>
        <v/>
      </c>
    </row>
    <row r="3900" spans="1:11" ht="30" customHeight="1" x14ac:dyDescent="0.2">
      <c r="A3900" s="242"/>
      <c r="F3900" s="285" t="str">
        <f t="shared" si="127"/>
        <v/>
      </c>
      <c r="K3900" s="246" t="str">
        <f t="shared" si="128"/>
        <v/>
      </c>
    </row>
    <row r="3901" spans="1:11" ht="30" customHeight="1" x14ac:dyDescent="0.2">
      <c r="A3901" s="242"/>
      <c r="F3901" s="285" t="str">
        <f t="shared" si="127"/>
        <v/>
      </c>
      <c r="K3901" s="246" t="str">
        <f t="shared" si="128"/>
        <v/>
      </c>
    </row>
    <row r="3902" spans="1:11" ht="30" customHeight="1" x14ac:dyDescent="0.2">
      <c r="A3902" s="242"/>
      <c r="F3902" s="285" t="str">
        <f t="shared" si="127"/>
        <v/>
      </c>
      <c r="K3902" s="246" t="str">
        <f t="shared" si="128"/>
        <v/>
      </c>
    </row>
    <row r="3903" spans="1:11" ht="30" customHeight="1" x14ac:dyDescent="0.2">
      <c r="A3903" s="242"/>
      <c r="F3903" s="285" t="str">
        <f t="shared" si="127"/>
        <v/>
      </c>
      <c r="K3903" s="246" t="str">
        <f t="shared" si="128"/>
        <v/>
      </c>
    </row>
    <row r="3904" spans="1:11" ht="30" customHeight="1" x14ac:dyDescent="0.2">
      <c r="A3904" s="242"/>
      <c r="F3904" s="285" t="str">
        <f t="shared" si="127"/>
        <v/>
      </c>
      <c r="K3904" s="246" t="str">
        <f t="shared" si="128"/>
        <v/>
      </c>
    </row>
    <row r="3905" spans="1:11" ht="30" customHeight="1" x14ac:dyDescent="0.2">
      <c r="A3905" s="242"/>
      <c r="F3905" s="285" t="str">
        <f t="shared" si="127"/>
        <v/>
      </c>
      <c r="K3905" s="246" t="str">
        <f t="shared" si="128"/>
        <v/>
      </c>
    </row>
    <row r="3906" spans="1:11" ht="30" customHeight="1" x14ac:dyDescent="0.2">
      <c r="A3906" s="242"/>
      <c r="F3906" s="285" t="str">
        <f t="shared" si="127"/>
        <v/>
      </c>
      <c r="K3906" s="246" t="str">
        <f t="shared" si="128"/>
        <v/>
      </c>
    </row>
    <row r="3907" spans="1:11" ht="30" customHeight="1" x14ac:dyDescent="0.2">
      <c r="A3907" s="242"/>
      <c r="F3907" s="285" t="str">
        <f t="shared" si="127"/>
        <v/>
      </c>
      <c r="K3907" s="246" t="str">
        <f t="shared" si="128"/>
        <v/>
      </c>
    </row>
    <row r="3908" spans="1:11" ht="30" customHeight="1" x14ac:dyDescent="0.2">
      <c r="A3908" s="242"/>
      <c r="F3908" s="285" t="str">
        <f t="shared" si="127"/>
        <v/>
      </c>
      <c r="K3908" s="246" t="str">
        <f t="shared" si="128"/>
        <v/>
      </c>
    </row>
    <row r="3909" spans="1:11" ht="30" customHeight="1" x14ac:dyDescent="0.2">
      <c r="A3909" s="242"/>
      <c r="F3909" s="285" t="str">
        <f t="shared" ref="F3909:F3972" si="129">IF(A3909="","",A3909)</f>
        <v/>
      </c>
      <c r="K3909" s="246" t="str">
        <f t="shared" si="128"/>
        <v/>
      </c>
    </row>
    <row r="3910" spans="1:11" ht="30" customHeight="1" x14ac:dyDescent="0.2">
      <c r="A3910" s="242"/>
      <c r="F3910" s="285" t="str">
        <f t="shared" si="129"/>
        <v/>
      </c>
      <c r="K3910" s="246" t="str">
        <f t="shared" si="128"/>
        <v/>
      </c>
    </row>
    <row r="3911" spans="1:11" ht="30" customHeight="1" x14ac:dyDescent="0.2">
      <c r="A3911" s="242"/>
      <c r="F3911" s="285" t="str">
        <f t="shared" si="129"/>
        <v/>
      </c>
      <c r="K3911" s="246" t="str">
        <f t="shared" si="128"/>
        <v/>
      </c>
    </row>
    <row r="3912" spans="1:11" ht="30" customHeight="1" x14ac:dyDescent="0.2">
      <c r="A3912" s="242"/>
      <c r="F3912" s="285" t="str">
        <f t="shared" si="129"/>
        <v/>
      </c>
      <c r="K3912" s="246" t="str">
        <f t="shared" si="128"/>
        <v/>
      </c>
    </row>
    <row r="3913" spans="1:11" ht="30" customHeight="1" x14ac:dyDescent="0.2">
      <c r="A3913" s="242"/>
      <c r="F3913" s="285" t="str">
        <f t="shared" si="129"/>
        <v/>
      </c>
      <c r="K3913" s="246" t="str">
        <f t="shared" si="128"/>
        <v/>
      </c>
    </row>
    <row r="3914" spans="1:11" ht="30" customHeight="1" x14ac:dyDescent="0.2">
      <c r="A3914" s="242"/>
      <c r="F3914" s="285" t="str">
        <f t="shared" si="129"/>
        <v/>
      </c>
      <c r="K3914" s="246" t="str">
        <f t="shared" si="128"/>
        <v/>
      </c>
    </row>
    <row r="3915" spans="1:11" ht="30" customHeight="1" x14ac:dyDescent="0.2">
      <c r="A3915" s="242"/>
      <c r="F3915" s="285" t="str">
        <f t="shared" si="129"/>
        <v/>
      </c>
      <c r="K3915" s="246" t="str">
        <f t="shared" si="128"/>
        <v/>
      </c>
    </row>
    <row r="3916" spans="1:11" ht="30" customHeight="1" x14ac:dyDescent="0.2">
      <c r="A3916" s="242"/>
      <c r="F3916" s="285" t="str">
        <f t="shared" si="129"/>
        <v/>
      </c>
      <c r="K3916" s="246" t="str">
        <f t="shared" si="128"/>
        <v/>
      </c>
    </row>
    <row r="3917" spans="1:11" ht="30" customHeight="1" x14ac:dyDescent="0.2">
      <c r="A3917" s="242"/>
      <c r="F3917" s="285" t="str">
        <f t="shared" si="129"/>
        <v/>
      </c>
      <c r="K3917" s="246" t="str">
        <f t="shared" si="128"/>
        <v/>
      </c>
    </row>
    <row r="3918" spans="1:11" ht="30" customHeight="1" x14ac:dyDescent="0.2">
      <c r="A3918" s="242"/>
      <c r="F3918" s="285" t="str">
        <f t="shared" si="129"/>
        <v/>
      </c>
      <c r="K3918" s="246" t="str">
        <f t="shared" si="128"/>
        <v/>
      </c>
    </row>
    <row r="3919" spans="1:11" ht="30" customHeight="1" x14ac:dyDescent="0.2">
      <c r="A3919" s="242"/>
      <c r="F3919" s="285" t="str">
        <f t="shared" si="129"/>
        <v/>
      </c>
      <c r="K3919" s="246" t="str">
        <f t="shared" si="128"/>
        <v/>
      </c>
    </row>
    <row r="3920" spans="1:11" ht="30" customHeight="1" x14ac:dyDescent="0.2">
      <c r="A3920" s="242"/>
      <c r="F3920" s="285" t="str">
        <f t="shared" si="129"/>
        <v/>
      </c>
      <c r="K3920" s="246" t="str">
        <f t="shared" si="128"/>
        <v/>
      </c>
    </row>
    <row r="3921" spans="1:11" ht="30" customHeight="1" x14ac:dyDescent="0.2">
      <c r="A3921" s="242"/>
      <c r="F3921" s="285" t="str">
        <f t="shared" si="129"/>
        <v/>
      </c>
      <c r="K3921" s="246" t="str">
        <f t="shared" si="128"/>
        <v/>
      </c>
    </row>
    <row r="3922" spans="1:11" ht="30" customHeight="1" x14ac:dyDescent="0.2">
      <c r="A3922" s="242"/>
      <c r="F3922" s="285" t="str">
        <f t="shared" si="129"/>
        <v/>
      </c>
      <c r="K3922" s="246" t="str">
        <f t="shared" si="128"/>
        <v/>
      </c>
    </row>
    <row r="3923" spans="1:11" ht="30" customHeight="1" x14ac:dyDescent="0.2">
      <c r="A3923" s="242"/>
      <c r="F3923" s="285" t="str">
        <f t="shared" si="129"/>
        <v/>
      </c>
      <c r="K3923" s="246" t="str">
        <f t="shared" si="128"/>
        <v/>
      </c>
    </row>
    <row r="3924" spans="1:11" ht="30" customHeight="1" x14ac:dyDescent="0.2">
      <c r="A3924" s="242"/>
      <c r="F3924" s="285" t="str">
        <f t="shared" si="129"/>
        <v/>
      </c>
      <c r="K3924" s="246" t="str">
        <f t="shared" si="128"/>
        <v/>
      </c>
    </row>
    <row r="3925" spans="1:11" ht="30" customHeight="1" x14ac:dyDescent="0.2">
      <c r="A3925" s="242"/>
      <c r="F3925" s="285" t="str">
        <f t="shared" si="129"/>
        <v/>
      </c>
      <c r="K3925" s="246" t="str">
        <f t="shared" si="128"/>
        <v/>
      </c>
    </row>
    <row r="3926" spans="1:11" ht="30" customHeight="1" x14ac:dyDescent="0.2">
      <c r="A3926" s="242"/>
      <c r="F3926" s="285" t="str">
        <f t="shared" si="129"/>
        <v/>
      </c>
      <c r="K3926" s="246" t="str">
        <f t="shared" si="128"/>
        <v/>
      </c>
    </row>
    <row r="3927" spans="1:11" ht="30" customHeight="1" x14ac:dyDescent="0.2">
      <c r="A3927" s="242"/>
      <c r="F3927" s="285" t="str">
        <f t="shared" si="129"/>
        <v/>
      </c>
      <c r="K3927" s="246" t="str">
        <f t="shared" si="128"/>
        <v/>
      </c>
    </row>
    <row r="3928" spans="1:11" ht="30" customHeight="1" x14ac:dyDescent="0.2">
      <c r="A3928" s="242"/>
      <c r="F3928" s="285" t="str">
        <f t="shared" si="129"/>
        <v/>
      </c>
      <c r="K3928" s="246" t="str">
        <f t="shared" si="128"/>
        <v/>
      </c>
    </row>
    <row r="3929" spans="1:11" ht="30" customHeight="1" x14ac:dyDescent="0.2">
      <c r="A3929" s="242"/>
      <c r="F3929" s="285" t="str">
        <f t="shared" si="129"/>
        <v/>
      </c>
      <c r="K3929" s="246" t="str">
        <f t="shared" si="128"/>
        <v/>
      </c>
    </row>
    <row r="3930" spans="1:11" ht="30" customHeight="1" x14ac:dyDescent="0.2">
      <c r="A3930" s="242"/>
      <c r="F3930" s="285" t="str">
        <f t="shared" si="129"/>
        <v/>
      </c>
      <c r="K3930" s="246" t="str">
        <f t="shared" si="128"/>
        <v/>
      </c>
    </row>
    <row r="3931" spans="1:11" ht="30" customHeight="1" x14ac:dyDescent="0.2">
      <c r="A3931" s="242"/>
      <c r="F3931" s="285" t="str">
        <f t="shared" si="129"/>
        <v/>
      </c>
      <c r="K3931" s="246" t="str">
        <f t="shared" si="128"/>
        <v/>
      </c>
    </row>
    <row r="3932" spans="1:11" ht="30" customHeight="1" x14ac:dyDescent="0.2">
      <c r="A3932" s="242"/>
      <c r="F3932" s="285" t="str">
        <f t="shared" si="129"/>
        <v/>
      </c>
      <c r="K3932" s="246" t="str">
        <f t="shared" si="128"/>
        <v/>
      </c>
    </row>
    <row r="3933" spans="1:11" ht="30" customHeight="1" x14ac:dyDescent="0.2">
      <c r="A3933" s="242"/>
      <c r="F3933" s="285" t="str">
        <f t="shared" si="129"/>
        <v/>
      </c>
      <c r="K3933" s="246" t="str">
        <f t="shared" si="128"/>
        <v/>
      </c>
    </row>
    <row r="3934" spans="1:11" ht="30" customHeight="1" x14ac:dyDescent="0.2">
      <c r="A3934" s="242"/>
      <c r="F3934" s="285" t="str">
        <f t="shared" si="129"/>
        <v/>
      </c>
      <c r="K3934" s="246" t="str">
        <f t="shared" si="128"/>
        <v/>
      </c>
    </row>
    <row r="3935" spans="1:11" ht="30" customHeight="1" x14ac:dyDescent="0.2">
      <c r="A3935" s="242"/>
      <c r="F3935" s="285" t="str">
        <f t="shared" si="129"/>
        <v/>
      </c>
      <c r="K3935" s="246" t="str">
        <f t="shared" si="128"/>
        <v/>
      </c>
    </row>
    <row r="3936" spans="1:11" ht="30" customHeight="1" x14ac:dyDescent="0.2">
      <c r="A3936" s="242"/>
      <c r="F3936" s="285" t="str">
        <f t="shared" si="129"/>
        <v/>
      </c>
      <c r="K3936" s="246" t="str">
        <f t="shared" si="128"/>
        <v/>
      </c>
    </row>
    <row r="3937" spans="1:11" ht="30" customHeight="1" x14ac:dyDescent="0.2">
      <c r="A3937" s="242"/>
      <c r="F3937" s="285" t="str">
        <f t="shared" si="129"/>
        <v/>
      </c>
      <c r="K3937" s="246" t="str">
        <f t="shared" si="128"/>
        <v/>
      </c>
    </row>
    <row r="3938" spans="1:11" ht="30" customHeight="1" x14ac:dyDescent="0.2">
      <c r="A3938" s="242"/>
      <c r="F3938" s="285" t="str">
        <f t="shared" si="129"/>
        <v/>
      </c>
      <c r="K3938" s="246" t="str">
        <f t="shared" si="128"/>
        <v/>
      </c>
    </row>
    <row r="3939" spans="1:11" ht="30" customHeight="1" x14ac:dyDescent="0.2">
      <c r="A3939" s="242"/>
      <c r="F3939" s="285" t="str">
        <f t="shared" si="129"/>
        <v/>
      </c>
      <c r="K3939" s="246" t="str">
        <f t="shared" si="128"/>
        <v/>
      </c>
    </row>
    <row r="3940" spans="1:11" ht="30" customHeight="1" x14ac:dyDescent="0.2">
      <c r="A3940" s="242"/>
      <c r="F3940" s="285" t="str">
        <f t="shared" si="129"/>
        <v/>
      </c>
      <c r="K3940" s="246" t="str">
        <f t="shared" si="128"/>
        <v/>
      </c>
    </row>
    <row r="3941" spans="1:11" ht="30" customHeight="1" x14ac:dyDescent="0.2">
      <c r="A3941" s="242"/>
      <c r="F3941" s="285" t="str">
        <f t="shared" si="129"/>
        <v/>
      </c>
      <c r="K3941" s="246" t="str">
        <f t="shared" si="128"/>
        <v/>
      </c>
    </row>
    <row r="3942" spans="1:11" ht="30" customHeight="1" x14ac:dyDescent="0.2">
      <c r="A3942" s="242"/>
      <c r="F3942" s="285" t="str">
        <f t="shared" si="129"/>
        <v/>
      </c>
      <c r="K3942" s="246" t="str">
        <f t="shared" si="128"/>
        <v/>
      </c>
    </row>
    <row r="3943" spans="1:11" ht="30" customHeight="1" x14ac:dyDescent="0.2">
      <c r="A3943" s="242"/>
      <c r="F3943" s="285" t="str">
        <f t="shared" si="129"/>
        <v/>
      </c>
      <c r="K3943" s="246" t="str">
        <f t="shared" si="128"/>
        <v/>
      </c>
    </row>
    <row r="3944" spans="1:11" ht="30" customHeight="1" x14ac:dyDescent="0.2">
      <c r="A3944" s="242"/>
      <c r="F3944" s="285" t="str">
        <f t="shared" si="129"/>
        <v/>
      </c>
      <c r="K3944" s="246" t="str">
        <f t="shared" si="128"/>
        <v/>
      </c>
    </row>
    <row r="3945" spans="1:11" ht="30" customHeight="1" x14ac:dyDescent="0.2">
      <c r="A3945" s="242"/>
      <c r="F3945" s="285" t="str">
        <f t="shared" si="129"/>
        <v/>
      </c>
      <c r="K3945" s="246" t="str">
        <f t="shared" si="128"/>
        <v/>
      </c>
    </row>
    <row r="3946" spans="1:11" ht="30" customHeight="1" x14ac:dyDescent="0.2">
      <c r="A3946" s="242"/>
      <c r="F3946" s="285" t="str">
        <f t="shared" si="129"/>
        <v/>
      </c>
      <c r="K3946" s="246" t="str">
        <f t="shared" si="128"/>
        <v/>
      </c>
    </row>
    <row r="3947" spans="1:11" ht="30" customHeight="1" x14ac:dyDescent="0.2">
      <c r="A3947" s="242"/>
      <c r="F3947" s="285" t="str">
        <f t="shared" si="129"/>
        <v/>
      </c>
      <c r="K3947" s="246" t="str">
        <f t="shared" si="128"/>
        <v/>
      </c>
    </row>
    <row r="3948" spans="1:11" ht="30" customHeight="1" x14ac:dyDescent="0.2">
      <c r="A3948" s="242"/>
      <c r="F3948" s="285" t="str">
        <f t="shared" si="129"/>
        <v/>
      </c>
      <c r="K3948" s="246" t="str">
        <f t="shared" si="128"/>
        <v/>
      </c>
    </row>
    <row r="3949" spans="1:11" ht="30" customHeight="1" x14ac:dyDescent="0.2">
      <c r="A3949" s="242"/>
      <c r="F3949" s="285" t="str">
        <f t="shared" si="129"/>
        <v/>
      </c>
      <c r="K3949" s="246" t="str">
        <f t="shared" si="128"/>
        <v/>
      </c>
    </row>
    <row r="3950" spans="1:11" ht="30" customHeight="1" x14ac:dyDescent="0.2">
      <c r="A3950" s="242"/>
      <c r="F3950" s="285" t="str">
        <f t="shared" si="129"/>
        <v/>
      </c>
      <c r="K3950" s="246" t="str">
        <f t="shared" si="128"/>
        <v/>
      </c>
    </row>
    <row r="3951" spans="1:11" ht="30" customHeight="1" x14ac:dyDescent="0.2">
      <c r="A3951" s="242"/>
      <c r="F3951" s="285" t="str">
        <f t="shared" si="129"/>
        <v/>
      </c>
      <c r="K3951" s="246" t="str">
        <f t="shared" si="128"/>
        <v/>
      </c>
    </row>
    <row r="3952" spans="1:11" ht="30" customHeight="1" x14ac:dyDescent="0.2">
      <c r="A3952" s="242"/>
      <c r="F3952" s="285" t="str">
        <f t="shared" si="129"/>
        <v/>
      </c>
      <c r="K3952" s="246" t="str">
        <f t="shared" si="128"/>
        <v/>
      </c>
    </row>
    <row r="3953" spans="1:11" ht="30" customHeight="1" x14ac:dyDescent="0.2">
      <c r="A3953" s="242"/>
      <c r="F3953" s="285" t="str">
        <f t="shared" si="129"/>
        <v/>
      </c>
      <c r="K3953" s="246" t="str">
        <f t="shared" si="128"/>
        <v/>
      </c>
    </row>
    <row r="3954" spans="1:11" ht="30" customHeight="1" x14ac:dyDescent="0.2">
      <c r="A3954" s="242"/>
      <c r="F3954" s="285" t="str">
        <f t="shared" si="129"/>
        <v/>
      </c>
      <c r="K3954" s="246" t="str">
        <f t="shared" si="128"/>
        <v/>
      </c>
    </row>
    <row r="3955" spans="1:11" ht="30" customHeight="1" x14ac:dyDescent="0.2">
      <c r="A3955" s="242"/>
      <c r="F3955" s="285" t="str">
        <f t="shared" si="129"/>
        <v/>
      </c>
      <c r="K3955" s="246" t="str">
        <f t="shared" si="128"/>
        <v/>
      </c>
    </row>
    <row r="3956" spans="1:11" ht="30" customHeight="1" x14ac:dyDescent="0.2">
      <c r="A3956" s="242"/>
      <c r="F3956" s="285" t="str">
        <f t="shared" si="129"/>
        <v/>
      </c>
      <c r="K3956" s="246" t="str">
        <f t="shared" si="128"/>
        <v/>
      </c>
    </row>
    <row r="3957" spans="1:11" ht="30" customHeight="1" x14ac:dyDescent="0.2">
      <c r="A3957" s="242"/>
      <c r="F3957" s="285" t="str">
        <f t="shared" si="129"/>
        <v/>
      </c>
      <c r="K3957" s="246" t="str">
        <f t="shared" si="128"/>
        <v/>
      </c>
    </row>
    <row r="3958" spans="1:11" ht="30" customHeight="1" x14ac:dyDescent="0.2">
      <c r="A3958" s="242"/>
      <c r="F3958" s="285" t="str">
        <f t="shared" si="129"/>
        <v/>
      </c>
      <c r="K3958" s="246" t="str">
        <f t="shared" si="128"/>
        <v/>
      </c>
    </row>
    <row r="3959" spans="1:11" ht="30" customHeight="1" x14ac:dyDescent="0.2">
      <c r="A3959" s="242"/>
      <c r="F3959" s="285" t="str">
        <f t="shared" si="129"/>
        <v/>
      </c>
      <c r="K3959" s="246" t="str">
        <f t="shared" si="128"/>
        <v/>
      </c>
    </row>
    <row r="3960" spans="1:11" ht="30" customHeight="1" x14ac:dyDescent="0.2">
      <c r="A3960" s="242"/>
      <c r="F3960" s="285" t="str">
        <f t="shared" si="129"/>
        <v/>
      </c>
      <c r="K3960" s="246" t="str">
        <f t="shared" si="128"/>
        <v/>
      </c>
    </row>
    <row r="3961" spans="1:11" ht="30" customHeight="1" x14ac:dyDescent="0.2">
      <c r="A3961" s="242"/>
      <c r="F3961" s="285" t="str">
        <f t="shared" si="129"/>
        <v/>
      </c>
      <c r="K3961" s="246" t="str">
        <f t="shared" si="128"/>
        <v/>
      </c>
    </row>
    <row r="3962" spans="1:11" ht="30" customHeight="1" x14ac:dyDescent="0.2">
      <c r="A3962" s="242"/>
      <c r="F3962" s="285" t="str">
        <f t="shared" si="129"/>
        <v/>
      </c>
      <c r="K3962" s="246" t="str">
        <f t="shared" si="128"/>
        <v/>
      </c>
    </row>
    <row r="3963" spans="1:11" ht="30" customHeight="1" x14ac:dyDescent="0.2">
      <c r="A3963" s="242"/>
      <c r="F3963" s="285" t="str">
        <f t="shared" si="129"/>
        <v/>
      </c>
      <c r="K3963" s="246" t="str">
        <f t="shared" ref="K3963:K4026" si="130">IF(A3963="","",A3963)</f>
        <v/>
      </c>
    </row>
    <row r="3964" spans="1:11" ht="30" customHeight="1" x14ac:dyDescent="0.2">
      <c r="A3964" s="242"/>
      <c r="F3964" s="285" t="str">
        <f t="shared" si="129"/>
        <v/>
      </c>
      <c r="K3964" s="246" t="str">
        <f t="shared" si="130"/>
        <v/>
      </c>
    </row>
    <row r="3965" spans="1:11" ht="30" customHeight="1" x14ac:dyDescent="0.2">
      <c r="A3965" s="242"/>
      <c r="F3965" s="285" t="str">
        <f t="shared" si="129"/>
        <v/>
      </c>
      <c r="K3965" s="246" t="str">
        <f t="shared" si="130"/>
        <v/>
      </c>
    </row>
    <row r="3966" spans="1:11" ht="30" customHeight="1" x14ac:dyDescent="0.2">
      <c r="A3966" s="242"/>
      <c r="F3966" s="285" t="str">
        <f t="shared" si="129"/>
        <v/>
      </c>
      <c r="K3966" s="246" t="str">
        <f t="shared" si="130"/>
        <v/>
      </c>
    </row>
    <row r="3967" spans="1:11" ht="30" customHeight="1" x14ac:dyDescent="0.2">
      <c r="A3967" s="242"/>
      <c r="F3967" s="285" t="str">
        <f t="shared" si="129"/>
        <v/>
      </c>
      <c r="K3967" s="246" t="str">
        <f t="shared" si="130"/>
        <v/>
      </c>
    </row>
    <row r="3968" spans="1:11" ht="30" customHeight="1" x14ac:dyDescent="0.2">
      <c r="A3968" s="242"/>
      <c r="F3968" s="285" t="str">
        <f t="shared" si="129"/>
        <v/>
      </c>
      <c r="K3968" s="246" t="str">
        <f t="shared" si="130"/>
        <v/>
      </c>
    </row>
    <row r="3969" spans="1:11" ht="30" customHeight="1" x14ac:dyDescent="0.2">
      <c r="A3969" s="242"/>
      <c r="F3969" s="285" t="str">
        <f t="shared" si="129"/>
        <v/>
      </c>
      <c r="K3969" s="246" t="str">
        <f t="shared" si="130"/>
        <v/>
      </c>
    </row>
    <row r="3970" spans="1:11" ht="30" customHeight="1" x14ac:dyDescent="0.2">
      <c r="A3970" s="242"/>
      <c r="F3970" s="285" t="str">
        <f t="shared" si="129"/>
        <v/>
      </c>
      <c r="K3970" s="246" t="str">
        <f t="shared" si="130"/>
        <v/>
      </c>
    </row>
    <row r="3971" spans="1:11" ht="30" customHeight="1" x14ac:dyDescent="0.2">
      <c r="A3971" s="242"/>
      <c r="F3971" s="285" t="str">
        <f t="shared" si="129"/>
        <v/>
      </c>
      <c r="K3971" s="246" t="str">
        <f t="shared" si="130"/>
        <v/>
      </c>
    </row>
    <row r="3972" spans="1:11" ht="30" customHeight="1" x14ac:dyDescent="0.2">
      <c r="A3972" s="242"/>
      <c r="F3972" s="285" t="str">
        <f t="shared" si="129"/>
        <v/>
      </c>
      <c r="K3972" s="246" t="str">
        <f t="shared" si="130"/>
        <v/>
      </c>
    </row>
    <row r="3973" spans="1:11" ht="30" customHeight="1" x14ac:dyDescent="0.2">
      <c r="A3973" s="242"/>
      <c r="F3973" s="285" t="str">
        <f t="shared" ref="F3973:F4036" si="131">IF(A3973="","",A3973)</f>
        <v/>
      </c>
      <c r="K3973" s="246" t="str">
        <f t="shared" si="130"/>
        <v/>
      </c>
    </row>
    <row r="3974" spans="1:11" ht="30" customHeight="1" x14ac:dyDescent="0.2">
      <c r="A3974" s="242"/>
      <c r="F3974" s="285" t="str">
        <f t="shared" si="131"/>
        <v/>
      </c>
      <c r="K3974" s="246" t="str">
        <f t="shared" si="130"/>
        <v/>
      </c>
    </row>
    <row r="3975" spans="1:11" ht="30" customHeight="1" x14ac:dyDescent="0.2">
      <c r="A3975" s="242"/>
      <c r="F3975" s="285" t="str">
        <f t="shared" si="131"/>
        <v/>
      </c>
      <c r="K3975" s="246" t="str">
        <f t="shared" si="130"/>
        <v/>
      </c>
    </row>
    <row r="3976" spans="1:11" ht="30" customHeight="1" x14ac:dyDescent="0.2">
      <c r="A3976" s="242"/>
      <c r="F3976" s="285" t="str">
        <f t="shared" si="131"/>
        <v/>
      </c>
      <c r="K3976" s="246" t="str">
        <f t="shared" si="130"/>
        <v/>
      </c>
    </row>
    <row r="3977" spans="1:11" ht="30" customHeight="1" x14ac:dyDescent="0.2">
      <c r="A3977" s="242"/>
      <c r="F3977" s="285" t="str">
        <f t="shared" si="131"/>
        <v/>
      </c>
      <c r="K3977" s="246" t="str">
        <f t="shared" si="130"/>
        <v/>
      </c>
    </row>
    <row r="3978" spans="1:11" ht="30" customHeight="1" x14ac:dyDescent="0.2">
      <c r="A3978" s="242"/>
      <c r="F3978" s="285" t="str">
        <f t="shared" si="131"/>
        <v/>
      </c>
      <c r="K3978" s="246" t="str">
        <f t="shared" si="130"/>
        <v/>
      </c>
    </row>
    <row r="3979" spans="1:11" ht="30" customHeight="1" x14ac:dyDescent="0.2">
      <c r="A3979" s="242"/>
      <c r="F3979" s="285" t="str">
        <f t="shared" si="131"/>
        <v/>
      </c>
      <c r="K3979" s="246" t="str">
        <f t="shared" si="130"/>
        <v/>
      </c>
    </row>
    <row r="3980" spans="1:11" ht="30" customHeight="1" x14ac:dyDescent="0.2">
      <c r="A3980" s="242"/>
      <c r="F3980" s="285" t="str">
        <f t="shared" si="131"/>
        <v/>
      </c>
      <c r="K3980" s="246" t="str">
        <f t="shared" si="130"/>
        <v/>
      </c>
    </row>
    <row r="3981" spans="1:11" ht="30" customHeight="1" x14ac:dyDescent="0.2">
      <c r="A3981" s="242"/>
      <c r="F3981" s="285" t="str">
        <f t="shared" si="131"/>
        <v/>
      </c>
      <c r="K3981" s="246" t="str">
        <f t="shared" si="130"/>
        <v/>
      </c>
    </row>
    <row r="3982" spans="1:11" ht="30" customHeight="1" x14ac:dyDescent="0.2">
      <c r="A3982" s="242"/>
      <c r="F3982" s="285" t="str">
        <f t="shared" si="131"/>
        <v/>
      </c>
      <c r="K3982" s="246" t="str">
        <f t="shared" si="130"/>
        <v/>
      </c>
    </row>
    <row r="3983" spans="1:11" ht="30" customHeight="1" x14ac:dyDescent="0.2">
      <c r="A3983" s="242"/>
      <c r="F3983" s="285" t="str">
        <f t="shared" si="131"/>
        <v/>
      </c>
      <c r="K3983" s="246" t="str">
        <f t="shared" si="130"/>
        <v/>
      </c>
    </row>
    <row r="3984" spans="1:11" ht="30" customHeight="1" x14ac:dyDescent="0.2">
      <c r="A3984" s="242"/>
      <c r="F3984" s="285" t="str">
        <f t="shared" si="131"/>
        <v/>
      </c>
      <c r="K3984" s="246" t="str">
        <f t="shared" si="130"/>
        <v/>
      </c>
    </row>
    <row r="3985" spans="1:11" ht="30" customHeight="1" x14ac:dyDescent="0.2">
      <c r="A3985" s="242"/>
      <c r="F3985" s="285" t="str">
        <f t="shared" si="131"/>
        <v/>
      </c>
      <c r="K3985" s="246" t="str">
        <f t="shared" si="130"/>
        <v/>
      </c>
    </row>
    <row r="3986" spans="1:11" ht="30" customHeight="1" x14ac:dyDescent="0.2">
      <c r="A3986" s="242"/>
      <c r="F3986" s="285" t="str">
        <f t="shared" si="131"/>
        <v/>
      </c>
      <c r="K3986" s="246" t="str">
        <f t="shared" si="130"/>
        <v/>
      </c>
    </row>
    <row r="3987" spans="1:11" ht="30" customHeight="1" x14ac:dyDescent="0.2">
      <c r="A3987" s="242"/>
      <c r="F3987" s="285" t="str">
        <f t="shared" si="131"/>
        <v/>
      </c>
      <c r="K3987" s="246" t="str">
        <f t="shared" si="130"/>
        <v/>
      </c>
    </row>
    <row r="3988" spans="1:11" ht="30" customHeight="1" x14ac:dyDescent="0.2">
      <c r="A3988" s="242"/>
      <c r="F3988" s="285" t="str">
        <f t="shared" si="131"/>
        <v/>
      </c>
      <c r="K3988" s="246" t="str">
        <f t="shared" si="130"/>
        <v/>
      </c>
    </row>
    <row r="3989" spans="1:11" ht="30" customHeight="1" x14ac:dyDescent="0.2">
      <c r="A3989" s="242"/>
      <c r="F3989" s="285" t="str">
        <f t="shared" si="131"/>
        <v/>
      </c>
      <c r="K3989" s="246" t="str">
        <f t="shared" si="130"/>
        <v/>
      </c>
    </row>
    <row r="3990" spans="1:11" ht="30" customHeight="1" x14ac:dyDescent="0.2">
      <c r="A3990" s="242"/>
      <c r="F3990" s="285" t="str">
        <f t="shared" si="131"/>
        <v/>
      </c>
      <c r="K3990" s="246" t="str">
        <f t="shared" si="130"/>
        <v/>
      </c>
    </row>
    <row r="3991" spans="1:11" ht="30" customHeight="1" x14ac:dyDescent="0.2">
      <c r="A3991" s="242"/>
      <c r="F3991" s="285" t="str">
        <f t="shared" si="131"/>
        <v/>
      </c>
      <c r="K3991" s="246" t="str">
        <f t="shared" si="130"/>
        <v/>
      </c>
    </row>
    <row r="3992" spans="1:11" ht="30" customHeight="1" x14ac:dyDescent="0.2">
      <c r="A3992" s="242"/>
      <c r="F3992" s="285" t="str">
        <f t="shared" si="131"/>
        <v/>
      </c>
      <c r="K3992" s="246" t="str">
        <f t="shared" si="130"/>
        <v/>
      </c>
    </row>
    <row r="3993" spans="1:11" ht="30" customHeight="1" x14ac:dyDescent="0.2">
      <c r="A3993" s="242"/>
      <c r="F3993" s="285" t="str">
        <f t="shared" si="131"/>
        <v/>
      </c>
      <c r="K3993" s="246" t="str">
        <f t="shared" si="130"/>
        <v/>
      </c>
    </row>
    <row r="3994" spans="1:11" ht="30" customHeight="1" x14ac:dyDescent="0.2">
      <c r="A3994" s="242"/>
      <c r="F3994" s="285" t="str">
        <f t="shared" si="131"/>
        <v/>
      </c>
      <c r="K3994" s="246" t="str">
        <f t="shared" si="130"/>
        <v/>
      </c>
    </row>
    <row r="3995" spans="1:11" ht="30" customHeight="1" x14ac:dyDescent="0.2">
      <c r="A3995" s="242"/>
      <c r="F3995" s="285" t="str">
        <f t="shared" si="131"/>
        <v/>
      </c>
      <c r="K3995" s="246" t="str">
        <f t="shared" si="130"/>
        <v/>
      </c>
    </row>
    <row r="3996" spans="1:11" ht="30" customHeight="1" x14ac:dyDescent="0.2">
      <c r="A3996" s="242"/>
      <c r="F3996" s="285" t="str">
        <f t="shared" si="131"/>
        <v/>
      </c>
      <c r="K3996" s="246" t="str">
        <f t="shared" si="130"/>
        <v/>
      </c>
    </row>
    <row r="3997" spans="1:11" ht="30" customHeight="1" x14ac:dyDescent="0.2">
      <c r="A3997" s="242"/>
      <c r="F3997" s="285" t="str">
        <f t="shared" si="131"/>
        <v/>
      </c>
      <c r="K3997" s="246" t="str">
        <f t="shared" si="130"/>
        <v/>
      </c>
    </row>
    <row r="3998" spans="1:11" ht="30" customHeight="1" x14ac:dyDescent="0.2">
      <c r="A3998" s="242"/>
      <c r="F3998" s="285" t="str">
        <f t="shared" si="131"/>
        <v/>
      </c>
      <c r="K3998" s="246" t="str">
        <f t="shared" si="130"/>
        <v/>
      </c>
    </row>
    <row r="3999" spans="1:11" ht="30" customHeight="1" x14ac:dyDescent="0.2">
      <c r="A3999" s="242"/>
      <c r="F3999" s="285" t="str">
        <f t="shared" si="131"/>
        <v/>
      </c>
      <c r="K3999" s="246" t="str">
        <f t="shared" si="130"/>
        <v/>
      </c>
    </row>
    <row r="4000" spans="1:11" ht="30" customHeight="1" x14ac:dyDescent="0.2">
      <c r="A4000" s="242"/>
      <c r="F4000" s="285" t="str">
        <f t="shared" si="131"/>
        <v/>
      </c>
      <c r="K4000" s="246" t="str">
        <f t="shared" si="130"/>
        <v/>
      </c>
    </row>
    <row r="4001" spans="1:11" ht="30" customHeight="1" x14ac:dyDescent="0.2">
      <c r="A4001" s="242"/>
      <c r="F4001" s="285" t="str">
        <f t="shared" si="131"/>
        <v/>
      </c>
      <c r="K4001" s="246" t="str">
        <f t="shared" si="130"/>
        <v/>
      </c>
    </row>
    <row r="4002" spans="1:11" ht="30" customHeight="1" x14ac:dyDescent="0.2">
      <c r="A4002" s="242"/>
      <c r="F4002" s="285" t="str">
        <f t="shared" si="131"/>
        <v/>
      </c>
      <c r="K4002" s="246" t="str">
        <f t="shared" si="130"/>
        <v/>
      </c>
    </row>
    <row r="4003" spans="1:11" ht="30" customHeight="1" x14ac:dyDescent="0.2">
      <c r="A4003" s="242"/>
      <c r="F4003" s="285" t="str">
        <f t="shared" si="131"/>
        <v/>
      </c>
      <c r="K4003" s="246" t="str">
        <f t="shared" si="130"/>
        <v/>
      </c>
    </row>
    <row r="4004" spans="1:11" ht="30" customHeight="1" x14ac:dyDescent="0.2">
      <c r="A4004" s="242"/>
      <c r="F4004" s="285" t="str">
        <f t="shared" si="131"/>
        <v/>
      </c>
      <c r="K4004" s="246" t="str">
        <f t="shared" si="130"/>
        <v/>
      </c>
    </row>
    <row r="4005" spans="1:11" ht="30" customHeight="1" x14ac:dyDescent="0.2">
      <c r="A4005" s="242"/>
      <c r="F4005" s="285" t="str">
        <f t="shared" si="131"/>
        <v/>
      </c>
      <c r="K4005" s="246" t="str">
        <f t="shared" si="130"/>
        <v/>
      </c>
    </row>
    <row r="4006" spans="1:11" ht="30" customHeight="1" x14ac:dyDescent="0.2">
      <c r="A4006" s="242"/>
      <c r="F4006" s="285" t="str">
        <f t="shared" si="131"/>
        <v/>
      </c>
      <c r="K4006" s="246" t="str">
        <f t="shared" si="130"/>
        <v/>
      </c>
    </row>
    <row r="4007" spans="1:11" ht="30" customHeight="1" x14ac:dyDescent="0.2">
      <c r="A4007" s="242"/>
      <c r="F4007" s="285" t="str">
        <f t="shared" si="131"/>
        <v/>
      </c>
      <c r="K4007" s="246" t="str">
        <f t="shared" si="130"/>
        <v/>
      </c>
    </row>
    <row r="4008" spans="1:11" ht="30" customHeight="1" x14ac:dyDescent="0.2">
      <c r="A4008" s="242"/>
      <c r="F4008" s="285" t="str">
        <f t="shared" si="131"/>
        <v/>
      </c>
      <c r="K4008" s="246" t="str">
        <f t="shared" si="130"/>
        <v/>
      </c>
    </row>
    <row r="4009" spans="1:11" ht="30" customHeight="1" x14ac:dyDescent="0.2">
      <c r="A4009" s="242"/>
      <c r="F4009" s="285" t="str">
        <f t="shared" si="131"/>
        <v/>
      </c>
      <c r="K4009" s="246" t="str">
        <f t="shared" si="130"/>
        <v/>
      </c>
    </row>
    <row r="4010" spans="1:11" ht="30" customHeight="1" x14ac:dyDescent="0.2">
      <c r="A4010" s="242"/>
      <c r="F4010" s="285" t="str">
        <f t="shared" si="131"/>
        <v/>
      </c>
      <c r="K4010" s="246" t="str">
        <f t="shared" si="130"/>
        <v/>
      </c>
    </row>
    <row r="4011" spans="1:11" ht="30" customHeight="1" x14ac:dyDescent="0.2">
      <c r="A4011" s="242"/>
      <c r="F4011" s="285" t="str">
        <f t="shared" si="131"/>
        <v/>
      </c>
      <c r="K4011" s="246" t="str">
        <f t="shared" si="130"/>
        <v/>
      </c>
    </row>
    <row r="4012" spans="1:11" ht="30" customHeight="1" x14ac:dyDescent="0.2">
      <c r="A4012" s="242"/>
      <c r="F4012" s="285" t="str">
        <f t="shared" si="131"/>
        <v/>
      </c>
      <c r="K4012" s="246" t="str">
        <f t="shared" si="130"/>
        <v/>
      </c>
    </row>
    <row r="4013" spans="1:11" ht="30" customHeight="1" x14ac:dyDescent="0.2">
      <c r="A4013" s="242"/>
      <c r="F4013" s="285" t="str">
        <f t="shared" si="131"/>
        <v/>
      </c>
      <c r="K4013" s="246" t="str">
        <f t="shared" si="130"/>
        <v/>
      </c>
    </row>
    <row r="4014" spans="1:11" ht="30" customHeight="1" x14ac:dyDescent="0.2">
      <c r="A4014" s="242"/>
      <c r="F4014" s="285" t="str">
        <f t="shared" si="131"/>
        <v/>
      </c>
      <c r="K4014" s="246" t="str">
        <f t="shared" si="130"/>
        <v/>
      </c>
    </row>
    <row r="4015" spans="1:11" ht="30" customHeight="1" x14ac:dyDescent="0.2">
      <c r="A4015" s="242"/>
      <c r="F4015" s="285" t="str">
        <f t="shared" si="131"/>
        <v/>
      </c>
      <c r="K4015" s="246" t="str">
        <f t="shared" si="130"/>
        <v/>
      </c>
    </row>
    <row r="4016" spans="1:11" ht="30" customHeight="1" x14ac:dyDescent="0.2">
      <c r="A4016" s="242"/>
      <c r="F4016" s="285" t="str">
        <f t="shared" si="131"/>
        <v/>
      </c>
      <c r="K4016" s="246" t="str">
        <f t="shared" si="130"/>
        <v/>
      </c>
    </row>
    <row r="4017" spans="1:11" ht="30" customHeight="1" x14ac:dyDescent="0.2">
      <c r="A4017" s="242"/>
      <c r="F4017" s="285" t="str">
        <f t="shared" si="131"/>
        <v/>
      </c>
      <c r="K4017" s="246" t="str">
        <f t="shared" si="130"/>
        <v/>
      </c>
    </row>
    <row r="4018" spans="1:11" ht="30" customHeight="1" x14ac:dyDescent="0.2">
      <c r="A4018" s="242"/>
      <c r="F4018" s="285" t="str">
        <f t="shared" si="131"/>
        <v/>
      </c>
      <c r="K4018" s="246" t="str">
        <f t="shared" si="130"/>
        <v/>
      </c>
    </row>
    <row r="4019" spans="1:11" ht="30" customHeight="1" x14ac:dyDescent="0.2">
      <c r="A4019" s="242"/>
      <c r="F4019" s="285" t="str">
        <f t="shared" si="131"/>
        <v/>
      </c>
      <c r="K4019" s="246" t="str">
        <f t="shared" si="130"/>
        <v/>
      </c>
    </row>
    <row r="4020" spans="1:11" ht="30" customHeight="1" x14ac:dyDescent="0.2">
      <c r="A4020" s="242"/>
      <c r="F4020" s="285" t="str">
        <f t="shared" si="131"/>
        <v/>
      </c>
      <c r="K4020" s="246" t="str">
        <f t="shared" si="130"/>
        <v/>
      </c>
    </row>
    <row r="4021" spans="1:11" ht="30" customHeight="1" x14ac:dyDescent="0.2">
      <c r="A4021" s="242"/>
      <c r="F4021" s="285" t="str">
        <f t="shared" si="131"/>
        <v/>
      </c>
      <c r="K4021" s="246" t="str">
        <f t="shared" si="130"/>
        <v/>
      </c>
    </row>
    <row r="4022" spans="1:11" ht="30" customHeight="1" x14ac:dyDescent="0.2">
      <c r="A4022" s="242"/>
      <c r="F4022" s="285" t="str">
        <f t="shared" si="131"/>
        <v/>
      </c>
      <c r="K4022" s="246" t="str">
        <f t="shared" si="130"/>
        <v/>
      </c>
    </row>
    <row r="4023" spans="1:11" ht="30" customHeight="1" x14ac:dyDescent="0.2">
      <c r="A4023" s="242"/>
      <c r="F4023" s="285" t="str">
        <f t="shared" si="131"/>
        <v/>
      </c>
      <c r="K4023" s="246" t="str">
        <f t="shared" si="130"/>
        <v/>
      </c>
    </row>
    <row r="4024" spans="1:11" ht="30" customHeight="1" x14ac:dyDescent="0.2">
      <c r="A4024" s="242"/>
      <c r="F4024" s="285" t="str">
        <f t="shared" si="131"/>
        <v/>
      </c>
      <c r="K4024" s="246" t="str">
        <f t="shared" si="130"/>
        <v/>
      </c>
    </row>
    <row r="4025" spans="1:11" ht="30" customHeight="1" x14ac:dyDescent="0.2">
      <c r="A4025" s="242"/>
      <c r="F4025" s="285" t="str">
        <f t="shared" si="131"/>
        <v/>
      </c>
      <c r="K4025" s="246" t="str">
        <f t="shared" si="130"/>
        <v/>
      </c>
    </row>
    <row r="4026" spans="1:11" ht="30" customHeight="1" x14ac:dyDescent="0.2">
      <c r="A4026" s="242"/>
      <c r="F4026" s="285" t="str">
        <f t="shared" si="131"/>
        <v/>
      </c>
      <c r="K4026" s="246" t="str">
        <f t="shared" si="130"/>
        <v/>
      </c>
    </row>
    <row r="4027" spans="1:11" ht="30" customHeight="1" x14ac:dyDescent="0.2">
      <c r="A4027" s="242"/>
      <c r="F4027" s="285" t="str">
        <f t="shared" si="131"/>
        <v/>
      </c>
      <c r="K4027" s="246" t="str">
        <f t="shared" ref="K4027:K4090" si="132">IF(A4027="","",A4027)</f>
        <v/>
      </c>
    </row>
    <row r="4028" spans="1:11" ht="30" customHeight="1" x14ac:dyDescent="0.2">
      <c r="A4028" s="242"/>
      <c r="F4028" s="285" t="str">
        <f t="shared" si="131"/>
        <v/>
      </c>
      <c r="K4028" s="246" t="str">
        <f t="shared" si="132"/>
        <v/>
      </c>
    </row>
    <row r="4029" spans="1:11" ht="30" customHeight="1" x14ac:dyDescent="0.2">
      <c r="A4029" s="242"/>
      <c r="F4029" s="285" t="str">
        <f t="shared" si="131"/>
        <v/>
      </c>
      <c r="K4029" s="246" t="str">
        <f t="shared" si="132"/>
        <v/>
      </c>
    </row>
    <row r="4030" spans="1:11" ht="30" customHeight="1" x14ac:dyDescent="0.2">
      <c r="A4030" s="242"/>
      <c r="F4030" s="285" t="str">
        <f t="shared" si="131"/>
        <v/>
      </c>
      <c r="K4030" s="246" t="str">
        <f t="shared" si="132"/>
        <v/>
      </c>
    </row>
    <row r="4031" spans="1:11" ht="30" customHeight="1" x14ac:dyDescent="0.2">
      <c r="A4031" s="242"/>
      <c r="F4031" s="285" t="str">
        <f t="shared" si="131"/>
        <v/>
      </c>
      <c r="K4031" s="246" t="str">
        <f t="shared" si="132"/>
        <v/>
      </c>
    </row>
    <row r="4032" spans="1:11" ht="30" customHeight="1" x14ac:dyDescent="0.2">
      <c r="A4032" s="242"/>
      <c r="F4032" s="285" t="str">
        <f t="shared" si="131"/>
        <v/>
      </c>
      <c r="K4032" s="246" t="str">
        <f t="shared" si="132"/>
        <v/>
      </c>
    </row>
    <row r="4033" spans="1:11" ht="30" customHeight="1" x14ac:dyDescent="0.2">
      <c r="A4033" s="242"/>
      <c r="F4033" s="285" t="str">
        <f t="shared" si="131"/>
        <v/>
      </c>
      <c r="K4033" s="246" t="str">
        <f t="shared" si="132"/>
        <v/>
      </c>
    </row>
    <row r="4034" spans="1:11" ht="30" customHeight="1" x14ac:dyDescent="0.2">
      <c r="A4034" s="242"/>
      <c r="F4034" s="285" t="str">
        <f t="shared" si="131"/>
        <v/>
      </c>
      <c r="K4034" s="246" t="str">
        <f t="shared" si="132"/>
        <v/>
      </c>
    </row>
    <row r="4035" spans="1:11" ht="30" customHeight="1" x14ac:dyDescent="0.2">
      <c r="A4035" s="242"/>
      <c r="F4035" s="285" t="str">
        <f t="shared" si="131"/>
        <v/>
      </c>
      <c r="K4035" s="246" t="str">
        <f t="shared" si="132"/>
        <v/>
      </c>
    </row>
    <row r="4036" spans="1:11" ht="30" customHeight="1" x14ac:dyDescent="0.2">
      <c r="A4036" s="242"/>
      <c r="F4036" s="285" t="str">
        <f t="shared" si="131"/>
        <v/>
      </c>
      <c r="K4036" s="246" t="str">
        <f t="shared" si="132"/>
        <v/>
      </c>
    </row>
    <row r="4037" spans="1:11" ht="30" customHeight="1" x14ac:dyDescent="0.2">
      <c r="A4037" s="242"/>
      <c r="F4037" s="285" t="str">
        <f t="shared" ref="F4037:F4100" si="133">IF(A4037="","",A4037)</f>
        <v/>
      </c>
      <c r="K4037" s="246" t="str">
        <f t="shared" si="132"/>
        <v/>
      </c>
    </row>
    <row r="4038" spans="1:11" ht="30" customHeight="1" x14ac:dyDescent="0.2">
      <c r="A4038" s="242"/>
      <c r="F4038" s="285" t="str">
        <f t="shared" si="133"/>
        <v/>
      </c>
      <c r="K4038" s="246" t="str">
        <f t="shared" si="132"/>
        <v/>
      </c>
    </row>
    <row r="4039" spans="1:11" ht="30" customHeight="1" x14ac:dyDescent="0.2">
      <c r="A4039" s="242"/>
      <c r="F4039" s="285" t="str">
        <f t="shared" si="133"/>
        <v/>
      </c>
      <c r="K4039" s="246" t="str">
        <f t="shared" si="132"/>
        <v/>
      </c>
    </row>
    <row r="4040" spans="1:11" ht="30" customHeight="1" x14ac:dyDescent="0.2">
      <c r="A4040" s="242"/>
      <c r="F4040" s="285" t="str">
        <f t="shared" si="133"/>
        <v/>
      </c>
      <c r="K4040" s="246" t="str">
        <f t="shared" si="132"/>
        <v/>
      </c>
    </row>
    <row r="4041" spans="1:11" ht="30" customHeight="1" x14ac:dyDescent="0.2">
      <c r="A4041" s="242"/>
      <c r="F4041" s="285" t="str">
        <f t="shared" si="133"/>
        <v/>
      </c>
      <c r="K4041" s="246" t="str">
        <f t="shared" si="132"/>
        <v/>
      </c>
    </row>
    <row r="4042" spans="1:11" ht="30" customHeight="1" x14ac:dyDescent="0.2">
      <c r="A4042" s="242"/>
      <c r="F4042" s="285" t="str">
        <f t="shared" si="133"/>
        <v/>
      </c>
      <c r="K4042" s="246" t="str">
        <f t="shared" si="132"/>
        <v/>
      </c>
    </row>
    <row r="4043" spans="1:11" ht="30" customHeight="1" x14ac:dyDescent="0.2">
      <c r="A4043" s="242"/>
      <c r="F4043" s="285" t="str">
        <f t="shared" si="133"/>
        <v/>
      </c>
      <c r="K4043" s="246" t="str">
        <f t="shared" si="132"/>
        <v/>
      </c>
    </row>
    <row r="4044" spans="1:11" ht="30" customHeight="1" x14ac:dyDescent="0.2">
      <c r="A4044" s="242"/>
      <c r="F4044" s="285" t="str">
        <f t="shared" si="133"/>
        <v/>
      </c>
      <c r="K4044" s="246" t="str">
        <f t="shared" si="132"/>
        <v/>
      </c>
    </row>
    <row r="4045" spans="1:11" ht="30" customHeight="1" x14ac:dyDescent="0.2">
      <c r="A4045" s="242"/>
      <c r="F4045" s="285" t="str">
        <f t="shared" si="133"/>
        <v/>
      </c>
      <c r="K4045" s="246" t="str">
        <f t="shared" si="132"/>
        <v/>
      </c>
    </row>
    <row r="4046" spans="1:11" ht="30" customHeight="1" x14ac:dyDescent="0.2">
      <c r="A4046" s="242"/>
      <c r="F4046" s="285" t="str">
        <f t="shared" si="133"/>
        <v/>
      </c>
      <c r="K4046" s="246" t="str">
        <f t="shared" si="132"/>
        <v/>
      </c>
    </row>
    <row r="4047" spans="1:11" ht="30" customHeight="1" x14ac:dyDescent="0.2">
      <c r="A4047" s="242"/>
      <c r="F4047" s="285" t="str">
        <f t="shared" si="133"/>
        <v/>
      </c>
      <c r="K4047" s="246" t="str">
        <f t="shared" si="132"/>
        <v/>
      </c>
    </row>
    <row r="4048" spans="1:11" ht="30" customHeight="1" x14ac:dyDescent="0.2">
      <c r="A4048" s="242"/>
      <c r="F4048" s="285" t="str">
        <f t="shared" si="133"/>
        <v/>
      </c>
      <c r="K4048" s="246" t="str">
        <f t="shared" si="132"/>
        <v/>
      </c>
    </row>
    <row r="4049" spans="1:11" ht="30" customHeight="1" x14ac:dyDescent="0.2">
      <c r="A4049" s="242"/>
      <c r="F4049" s="285" t="str">
        <f t="shared" si="133"/>
        <v/>
      </c>
      <c r="K4049" s="246" t="str">
        <f t="shared" si="132"/>
        <v/>
      </c>
    </row>
    <row r="4050" spans="1:11" ht="30" customHeight="1" x14ac:dyDescent="0.2">
      <c r="A4050" s="242"/>
      <c r="F4050" s="285" t="str">
        <f t="shared" si="133"/>
        <v/>
      </c>
      <c r="K4050" s="246" t="str">
        <f t="shared" si="132"/>
        <v/>
      </c>
    </row>
    <row r="4051" spans="1:11" ht="30" customHeight="1" x14ac:dyDescent="0.2">
      <c r="A4051" s="242"/>
      <c r="F4051" s="285" t="str">
        <f t="shared" si="133"/>
        <v/>
      </c>
      <c r="K4051" s="246" t="str">
        <f t="shared" si="132"/>
        <v/>
      </c>
    </row>
    <row r="4052" spans="1:11" ht="30" customHeight="1" x14ac:dyDescent="0.2">
      <c r="A4052" s="242"/>
      <c r="F4052" s="285" t="str">
        <f t="shared" si="133"/>
        <v/>
      </c>
      <c r="K4052" s="246" t="str">
        <f t="shared" si="132"/>
        <v/>
      </c>
    </row>
    <row r="4053" spans="1:11" ht="30" customHeight="1" x14ac:dyDescent="0.2">
      <c r="A4053" s="242"/>
      <c r="F4053" s="285" t="str">
        <f t="shared" si="133"/>
        <v/>
      </c>
      <c r="K4053" s="246" t="str">
        <f t="shared" si="132"/>
        <v/>
      </c>
    </row>
    <row r="4054" spans="1:11" ht="30" customHeight="1" x14ac:dyDescent="0.2">
      <c r="A4054" s="242"/>
      <c r="F4054" s="285" t="str">
        <f t="shared" si="133"/>
        <v/>
      </c>
      <c r="K4054" s="246" t="str">
        <f t="shared" si="132"/>
        <v/>
      </c>
    </row>
    <row r="4055" spans="1:11" ht="30" customHeight="1" x14ac:dyDescent="0.2">
      <c r="A4055" s="242"/>
      <c r="F4055" s="285" t="str">
        <f t="shared" si="133"/>
        <v/>
      </c>
      <c r="K4055" s="246" t="str">
        <f t="shared" si="132"/>
        <v/>
      </c>
    </row>
    <row r="4056" spans="1:11" ht="30" customHeight="1" x14ac:dyDescent="0.2">
      <c r="A4056" s="242"/>
      <c r="F4056" s="285" t="str">
        <f t="shared" si="133"/>
        <v/>
      </c>
      <c r="K4056" s="246" t="str">
        <f t="shared" si="132"/>
        <v/>
      </c>
    </row>
    <row r="4057" spans="1:11" ht="30" customHeight="1" x14ac:dyDescent="0.2">
      <c r="A4057" s="242"/>
      <c r="F4057" s="285" t="str">
        <f t="shared" si="133"/>
        <v/>
      </c>
      <c r="K4057" s="246" t="str">
        <f t="shared" si="132"/>
        <v/>
      </c>
    </row>
    <row r="4058" spans="1:11" ht="30" customHeight="1" x14ac:dyDescent="0.2">
      <c r="A4058" s="242"/>
      <c r="F4058" s="285" t="str">
        <f t="shared" si="133"/>
        <v/>
      </c>
      <c r="K4058" s="246" t="str">
        <f t="shared" si="132"/>
        <v/>
      </c>
    </row>
    <row r="4059" spans="1:11" ht="30" customHeight="1" x14ac:dyDescent="0.2">
      <c r="A4059" s="242"/>
      <c r="F4059" s="285" t="str">
        <f t="shared" si="133"/>
        <v/>
      </c>
      <c r="K4059" s="246" t="str">
        <f t="shared" si="132"/>
        <v/>
      </c>
    </row>
    <row r="4060" spans="1:11" ht="30" customHeight="1" x14ac:dyDescent="0.2">
      <c r="A4060" s="242"/>
      <c r="F4060" s="285" t="str">
        <f t="shared" si="133"/>
        <v/>
      </c>
      <c r="K4060" s="246" t="str">
        <f t="shared" si="132"/>
        <v/>
      </c>
    </row>
    <row r="4061" spans="1:11" ht="30" customHeight="1" x14ac:dyDescent="0.2">
      <c r="A4061" s="242"/>
      <c r="F4061" s="285" t="str">
        <f t="shared" si="133"/>
        <v/>
      </c>
      <c r="K4061" s="246" t="str">
        <f t="shared" si="132"/>
        <v/>
      </c>
    </row>
    <row r="4062" spans="1:11" ht="30" customHeight="1" x14ac:dyDescent="0.2">
      <c r="A4062" s="242"/>
      <c r="F4062" s="285" t="str">
        <f t="shared" si="133"/>
        <v/>
      </c>
      <c r="K4062" s="246" t="str">
        <f t="shared" si="132"/>
        <v/>
      </c>
    </row>
    <row r="4063" spans="1:11" ht="30" customHeight="1" x14ac:dyDescent="0.2">
      <c r="A4063" s="242"/>
      <c r="F4063" s="285" t="str">
        <f t="shared" si="133"/>
        <v/>
      </c>
      <c r="K4063" s="246" t="str">
        <f t="shared" si="132"/>
        <v/>
      </c>
    </row>
    <row r="4064" spans="1:11" ht="30" customHeight="1" x14ac:dyDescent="0.2">
      <c r="A4064" s="242"/>
      <c r="F4064" s="285" t="str">
        <f t="shared" si="133"/>
        <v/>
      </c>
      <c r="K4064" s="246" t="str">
        <f t="shared" si="132"/>
        <v/>
      </c>
    </row>
    <row r="4065" spans="1:11" ht="30" customHeight="1" x14ac:dyDescent="0.2">
      <c r="A4065" s="242"/>
      <c r="F4065" s="285" t="str">
        <f t="shared" si="133"/>
        <v/>
      </c>
      <c r="K4065" s="246" t="str">
        <f t="shared" si="132"/>
        <v/>
      </c>
    </row>
    <row r="4066" spans="1:11" ht="30" customHeight="1" x14ac:dyDescent="0.2">
      <c r="A4066" s="242"/>
      <c r="F4066" s="285" t="str">
        <f t="shared" si="133"/>
        <v/>
      </c>
      <c r="K4066" s="246" t="str">
        <f t="shared" si="132"/>
        <v/>
      </c>
    </row>
    <row r="4067" spans="1:11" ht="30" customHeight="1" x14ac:dyDescent="0.2">
      <c r="A4067" s="242"/>
      <c r="F4067" s="285" t="str">
        <f t="shared" si="133"/>
        <v/>
      </c>
      <c r="K4067" s="246" t="str">
        <f t="shared" si="132"/>
        <v/>
      </c>
    </row>
    <row r="4068" spans="1:11" ht="30" customHeight="1" x14ac:dyDescent="0.2">
      <c r="A4068" s="242"/>
      <c r="F4068" s="285" t="str">
        <f t="shared" si="133"/>
        <v/>
      </c>
      <c r="K4068" s="246" t="str">
        <f t="shared" si="132"/>
        <v/>
      </c>
    </row>
    <row r="4069" spans="1:11" ht="30" customHeight="1" x14ac:dyDescent="0.2">
      <c r="A4069" s="242"/>
      <c r="F4069" s="285" t="str">
        <f t="shared" si="133"/>
        <v/>
      </c>
      <c r="K4069" s="246" t="str">
        <f t="shared" si="132"/>
        <v/>
      </c>
    </row>
    <row r="4070" spans="1:11" ht="30" customHeight="1" x14ac:dyDescent="0.2">
      <c r="A4070" s="242"/>
      <c r="F4070" s="285" t="str">
        <f t="shared" si="133"/>
        <v/>
      </c>
      <c r="K4070" s="246" t="str">
        <f t="shared" si="132"/>
        <v/>
      </c>
    </row>
    <row r="4071" spans="1:11" ht="30" customHeight="1" x14ac:dyDescent="0.2">
      <c r="A4071" s="242"/>
      <c r="F4071" s="285" t="str">
        <f t="shared" si="133"/>
        <v/>
      </c>
      <c r="K4071" s="246" t="str">
        <f t="shared" si="132"/>
        <v/>
      </c>
    </row>
    <row r="4072" spans="1:11" ht="30" customHeight="1" x14ac:dyDescent="0.2">
      <c r="A4072" s="242"/>
      <c r="F4072" s="285" t="str">
        <f t="shared" si="133"/>
        <v/>
      </c>
      <c r="K4072" s="246" t="str">
        <f t="shared" si="132"/>
        <v/>
      </c>
    </row>
    <row r="4073" spans="1:11" ht="30" customHeight="1" x14ac:dyDescent="0.2">
      <c r="A4073" s="242"/>
      <c r="F4073" s="285" t="str">
        <f t="shared" si="133"/>
        <v/>
      </c>
      <c r="K4073" s="246" t="str">
        <f t="shared" si="132"/>
        <v/>
      </c>
    </row>
    <row r="4074" spans="1:11" ht="30" customHeight="1" x14ac:dyDescent="0.2">
      <c r="A4074" s="242"/>
      <c r="F4074" s="285" t="str">
        <f t="shared" si="133"/>
        <v/>
      </c>
      <c r="K4074" s="246" t="str">
        <f t="shared" si="132"/>
        <v/>
      </c>
    </row>
    <row r="4075" spans="1:11" ht="30" customHeight="1" x14ac:dyDescent="0.2">
      <c r="A4075" s="242"/>
      <c r="F4075" s="285" t="str">
        <f t="shared" si="133"/>
        <v/>
      </c>
      <c r="K4075" s="246" t="str">
        <f t="shared" si="132"/>
        <v/>
      </c>
    </row>
    <row r="4076" spans="1:11" ht="30" customHeight="1" x14ac:dyDescent="0.2">
      <c r="A4076" s="242"/>
      <c r="F4076" s="285" t="str">
        <f t="shared" si="133"/>
        <v/>
      </c>
      <c r="K4076" s="246" t="str">
        <f t="shared" si="132"/>
        <v/>
      </c>
    </row>
    <row r="4077" spans="1:11" ht="30" customHeight="1" x14ac:dyDescent="0.2">
      <c r="A4077" s="242"/>
      <c r="F4077" s="285" t="str">
        <f t="shared" si="133"/>
        <v/>
      </c>
      <c r="K4077" s="246" t="str">
        <f t="shared" si="132"/>
        <v/>
      </c>
    </row>
    <row r="4078" spans="1:11" ht="30" customHeight="1" x14ac:dyDescent="0.2">
      <c r="A4078" s="242"/>
      <c r="F4078" s="285" t="str">
        <f t="shared" si="133"/>
        <v/>
      </c>
      <c r="K4078" s="246" t="str">
        <f t="shared" si="132"/>
        <v/>
      </c>
    </row>
    <row r="4079" spans="1:11" ht="30" customHeight="1" x14ac:dyDescent="0.2">
      <c r="A4079" s="242"/>
      <c r="F4079" s="285" t="str">
        <f t="shared" si="133"/>
        <v/>
      </c>
      <c r="K4079" s="246" t="str">
        <f t="shared" si="132"/>
        <v/>
      </c>
    </row>
    <row r="4080" spans="1:11" ht="30" customHeight="1" x14ac:dyDescent="0.2">
      <c r="A4080" s="242"/>
      <c r="F4080" s="285" t="str">
        <f t="shared" si="133"/>
        <v/>
      </c>
      <c r="K4080" s="246" t="str">
        <f t="shared" si="132"/>
        <v/>
      </c>
    </row>
    <row r="4081" spans="1:11" ht="30" customHeight="1" x14ac:dyDescent="0.2">
      <c r="A4081" s="242"/>
      <c r="F4081" s="285" t="str">
        <f t="shared" si="133"/>
        <v/>
      </c>
      <c r="K4081" s="246" t="str">
        <f t="shared" si="132"/>
        <v/>
      </c>
    </row>
    <row r="4082" spans="1:11" ht="30" customHeight="1" x14ac:dyDescent="0.2">
      <c r="A4082" s="242"/>
      <c r="F4082" s="285" t="str">
        <f t="shared" si="133"/>
        <v/>
      </c>
      <c r="K4082" s="246" t="str">
        <f t="shared" si="132"/>
        <v/>
      </c>
    </row>
    <row r="4083" spans="1:11" ht="30" customHeight="1" x14ac:dyDescent="0.2">
      <c r="A4083" s="242"/>
      <c r="F4083" s="285" t="str">
        <f t="shared" si="133"/>
        <v/>
      </c>
      <c r="K4083" s="246" t="str">
        <f t="shared" si="132"/>
        <v/>
      </c>
    </row>
    <row r="4084" spans="1:11" ht="30" customHeight="1" x14ac:dyDescent="0.2">
      <c r="A4084" s="242"/>
      <c r="F4084" s="285" t="str">
        <f t="shared" si="133"/>
        <v/>
      </c>
      <c r="K4084" s="246" t="str">
        <f t="shared" si="132"/>
        <v/>
      </c>
    </row>
    <row r="4085" spans="1:11" ht="30" customHeight="1" x14ac:dyDescent="0.2">
      <c r="A4085" s="242"/>
      <c r="F4085" s="285" t="str">
        <f t="shared" si="133"/>
        <v/>
      </c>
      <c r="K4085" s="246" t="str">
        <f t="shared" si="132"/>
        <v/>
      </c>
    </row>
    <row r="4086" spans="1:11" ht="30" customHeight="1" x14ac:dyDescent="0.2">
      <c r="A4086" s="242"/>
      <c r="F4086" s="285" t="str">
        <f t="shared" si="133"/>
        <v/>
      </c>
      <c r="K4086" s="246" t="str">
        <f t="shared" si="132"/>
        <v/>
      </c>
    </row>
    <row r="4087" spans="1:11" ht="30" customHeight="1" x14ac:dyDescent="0.2">
      <c r="A4087" s="242"/>
      <c r="F4087" s="285" t="str">
        <f t="shared" si="133"/>
        <v/>
      </c>
      <c r="K4087" s="246" t="str">
        <f t="shared" si="132"/>
        <v/>
      </c>
    </row>
    <row r="4088" spans="1:11" ht="30" customHeight="1" x14ac:dyDescent="0.2">
      <c r="A4088" s="242"/>
      <c r="F4088" s="285" t="str">
        <f t="shared" si="133"/>
        <v/>
      </c>
      <c r="K4088" s="246" t="str">
        <f t="shared" si="132"/>
        <v/>
      </c>
    </row>
    <row r="4089" spans="1:11" ht="30" customHeight="1" x14ac:dyDescent="0.2">
      <c r="A4089" s="242"/>
      <c r="F4089" s="285" t="str">
        <f t="shared" si="133"/>
        <v/>
      </c>
      <c r="K4089" s="246" t="str">
        <f t="shared" si="132"/>
        <v/>
      </c>
    </row>
    <row r="4090" spans="1:11" ht="30" customHeight="1" x14ac:dyDescent="0.2">
      <c r="A4090" s="242"/>
      <c r="F4090" s="285" t="str">
        <f t="shared" si="133"/>
        <v/>
      </c>
      <c r="K4090" s="246" t="str">
        <f t="shared" si="132"/>
        <v/>
      </c>
    </row>
    <row r="4091" spans="1:11" ht="30" customHeight="1" x14ac:dyDescent="0.2">
      <c r="A4091" s="242"/>
      <c r="F4091" s="285" t="str">
        <f t="shared" si="133"/>
        <v/>
      </c>
      <c r="K4091" s="246" t="str">
        <f t="shared" ref="K4091:K4154" si="134">IF(A4091="","",A4091)</f>
        <v/>
      </c>
    </row>
    <row r="4092" spans="1:11" ht="30" customHeight="1" x14ac:dyDescent="0.2">
      <c r="A4092" s="242"/>
      <c r="F4092" s="285" t="str">
        <f t="shared" si="133"/>
        <v/>
      </c>
      <c r="K4092" s="246" t="str">
        <f t="shared" si="134"/>
        <v/>
      </c>
    </row>
    <row r="4093" spans="1:11" ht="30" customHeight="1" x14ac:dyDescent="0.2">
      <c r="A4093" s="242"/>
      <c r="F4093" s="285" t="str">
        <f t="shared" si="133"/>
        <v/>
      </c>
      <c r="K4093" s="246" t="str">
        <f t="shared" si="134"/>
        <v/>
      </c>
    </row>
    <row r="4094" spans="1:11" ht="30" customHeight="1" x14ac:dyDescent="0.2">
      <c r="A4094" s="242"/>
      <c r="F4094" s="285" t="str">
        <f t="shared" si="133"/>
        <v/>
      </c>
      <c r="K4094" s="246" t="str">
        <f t="shared" si="134"/>
        <v/>
      </c>
    </row>
    <row r="4095" spans="1:11" ht="30" customHeight="1" x14ac:dyDescent="0.2">
      <c r="A4095" s="242"/>
      <c r="F4095" s="285" t="str">
        <f t="shared" si="133"/>
        <v/>
      </c>
      <c r="K4095" s="246" t="str">
        <f t="shared" si="134"/>
        <v/>
      </c>
    </row>
    <row r="4096" spans="1:11" ht="30" customHeight="1" x14ac:dyDescent="0.2">
      <c r="A4096" s="242"/>
      <c r="F4096" s="285" t="str">
        <f t="shared" si="133"/>
        <v/>
      </c>
      <c r="K4096" s="246" t="str">
        <f t="shared" si="134"/>
        <v/>
      </c>
    </row>
    <row r="4097" spans="1:11" ht="30" customHeight="1" x14ac:dyDescent="0.2">
      <c r="A4097" s="242"/>
      <c r="F4097" s="285" t="str">
        <f t="shared" si="133"/>
        <v/>
      </c>
      <c r="K4097" s="246" t="str">
        <f t="shared" si="134"/>
        <v/>
      </c>
    </row>
    <row r="4098" spans="1:11" ht="30" customHeight="1" x14ac:dyDescent="0.2">
      <c r="A4098" s="242"/>
      <c r="F4098" s="285" t="str">
        <f t="shared" si="133"/>
        <v/>
      </c>
      <c r="K4098" s="246" t="str">
        <f t="shared" si="134"/>
        <v/>
      </c>
    </row>
    <row r="4099" spans="1:11" ht="30" customHeight="1" x14ac:dyDescent="0.2">
      <c r="A4099" s="242"/>
      <c r="F4099" s="285" t="str">
        <f t="shared" si="133"/>
        <v/>
      </c>
      <c r="K4099" s="246" t="str">
        <f t="shared" si="134"/>
        <v/>
      </c>
    </row>
    <row r="4100" spans="1:11" ht="30" customHeight="1" x14ac:dyDescent="0.2">
      <c r="A4100" s="242"/>
      <c r="F4100" s="285" t="str">
        <f t="shared" si="133"/>
        <v/>
      </c>
      <c r="K4100" s="246" t="str">
        <f t="shared" si="134"/>
        <v/>
      </c>
    </row>
    <row r="4101" spans="1:11" ht="30" customHeight="1" x14ac:dyDescent="0.2">
      <c r="A4101" s="242"/>
      <c r="F4101" s="285" t="str">
        <f t="shared" ref="F4101:F4164" si="135">IF(A4101="","",A4101)</f>
        <v/>
      </c>
      <c r="K4101" s="246" t="str">
        <f t="shared" si="134"/>
        <v/>
      </c>
    </row>
    <row r="4102" spans="1:11" ht="30" customHeight="1" x14ac:dyDescent="0.2">
      <c r="A4102" s="242"/>
      <c r="F4102" s="285" t="str">
        <f t="shared" si="135"/>
        <v/>
      </c>
      <c r="K4102" s="246" t="str">
        <f t="shared" si="134"/>
        <v/>
      </c>
    </row>
    <row r="4103" spans="1:11" ht="30" customHeight="1" x14ac:dyDescent="0.2">
      <c r="A4103" s="242"/>
      <c r="F4103" s="285" t="str">
        <f t="shared" si="135"/>
        <v/>
      </c>
      <c r="K4103" s="246" t="str">
        <f t="shared" si="134"/>
        <v/>
      </c>
    </row>
    <row r="4104" spans="1:11" ht="30" customHeight="1" x14ac:dyDescent="0.2">
      <c r="A4104" s="242"/>
      <c r="F4104" s="285" t="str">
        <f t="shared" si="135"/>
        <v/>
      </c>
      <c r="K4104" s="246" t="str">
        <f t="shared" si="134"/>
        <v/>
      </c>
    </row>
    <row r="4105" spans="1:11" ht="30" customHeight="1" x14ac:dyDescent="0.2">
      <c r="A4105" s="242"/>
      <c r="F4105" s="285" t="str">
        <f t="shared" si="135"/>
        <v/>
      </c>
      <c r="K4105" s="246" t="str">
        <f t="shared" si="134"/>
        <v/>
      </c>
    </row>
    <row r="4106" spans="1:11" ht="30" customHeight="1" x14ac:dyDescent="0.2">
      <c r="A4106" s="242"/>
      <c r="F4106" s="285" t="str">
        <f t="shared" si="135"/>
        <v/>
      </c>
      <c r="K4106" s="246" t="str">
        <f t="shared" si="134"/>
        <v/>
      </c>
    </row>
    <row r="4107" spans="1:11" ht="30" customHeight="1" x14ac:dyDescent="0.2">
      <c r="A4107" s="242"/>
      <c r="F4107" s="285" t="str">
        <f t="shared" si="135"/>
        <v/>
      </c>
      <c r="K4107" s="246" t="str">
        <f t="shared" si="134"/>
        <v/>
      </c>
    </row>
    <row r="4108" spans="1:11" ht="30" customHeight="1" x14ac:dyDescent="0.2">
      <c r="A4108" s="242"/>
      <c r="F4108" s="285" t="str">
        <f t="shared" si="135"/>
        <v/>
      </c>
      <c r="K4108" s="246" t="str">
        <f t="shared" si="134"/>
        <v/>
      </c>
    </row>
    <row r="4109" spans="1:11" ht="30" customHeight="1" x14ac:dyDescent="0.2">
      <c r="A4109" s="242"/>
      <c r="F4109" s="285" t="str">
        <f t="shared" si="135"/>
        <v/>
      </c>
      <c r="K4109" s="246" t="str">
        <f t="shared" si="134"/>
        <v/>
      </c>
    </row>
    <row r="4110" spans="1:11" ht="30" customHeight="1" x14ac:dyDescent="0.2">
      <c r="A4110" s="242"/>
      <c r="F4110" s="285" t="str">
        <f t="shared" si="135"/>
        <v/>
      </c>
      <c r="K4110" s="246" t="str">
        <f t="shared" si="134"/>
        <v/>
      </c>
    </row>
    <row r="4111" spans="1:11" ht="30" customHeight="1" x14ac:dyDescent="0.2">
      <c r="A4111" s="242"/>
      <c r="F4111" s="285" t="str">
        <f t="shared" si="135"/>
        <v/>
      </c>
      <c r="K4111" s="246" t="str">
        <f t="shared" si="134"/>
        <v/>
      </c>
    </row>
    <row r="4112" spans="1:11" ht="30" customHeight="1" x14ac:dyDescent="0.2">
      <c r="A4112" s="242"/>
      <c r="F4112" s="285" t="str">
        <f t="shared" si="135"/>
        <v/>
      </c>
      <c r="K4112" s="246" t="str">
        <f t="shared" si="134"/>
        <v/>
      </c>
    </row>
    <row r="4113" spans="1:11" ht="30" customHeight="1" x14ac:dyDescent="0.2">
      <c r="A4113" s="242"/>
      <c r="F4113" s="285" t="str">
        <f t="shared" si="135"/>
        <v/>
      </c>
      <c r="K4113" s="246" t="str">
        <f t="shared" si="134"/>
        <v/>
      </c>
    </row>
    <row r="4114" spans="1:11" ht="30" customHeight="1" x14ac:dyDescent="0.2">
      <c r="A4114" s="242"/>
      <c r="F4114" s="285" t="str">
        <f t="shared" si="135"/>
        <v/>
      </c>
      <c r="K4114" s="246" t="str">
        <f t="shared" si="134"/>
        <v/>
      </c>
    </row>
    <row r="4115" spans="1:11" ht="30" customHeight="1" x14ac:dyDescent="0.2">
      <c r="A4115" s="242"/>
      <c r="F4115" s="285" t="str">
        <f t="shared" si="135"/>
        <v/>
      </c>
      <c r="K4115" s="246" t="str">
        <f t="shared" si="134"/>
        <v/>
      </c>
    </row>
    <row r="4116" spans="1:11" ht="30" customHeight="1" x14ac:dyDescent="0.2">
      <c r="A4116" s="242"/>
      <c r="F4116" s="285" t="str">
        <f t="shared" si="135"/>
        <v/>
      </c>
      <c r="K4116" s="246" t="str">
        <f t="shared" si="134"/>
        <v/>
      </c>
    </row>
    <row r="4117" spans="1:11" ht="30" customHeight="1" x14ac:dyDescent="0.2">
      <c r="A4117" s="242"/>
      <c r="F4117" s="285" t="str">
        <f t="shared" si="135"/>
        <v/>
      </c>
      <c r="K4117" s="246" t="str">
        <f t="shared" si="134"/>
        <v/>
      </c>
    </row>
    <row r="4118" spans="1:11" ht="30" customHeight="1" x14ac:dyDescent="0.2">
      <c r="A4118" s="242"/>
      <c r="F4118" s="285" t="str">
        <f t="shared" si="135"/>
        <v/>
      </c>
      <c r="K4118" s="246" t="str">
        <f t="shared" si="134"/>
        <v/>
      </c>
    </row>
    <row r="4119" spans="1:11" ht="30" customHeight="1" x14ac:dyDescent="0.2">
      <c r="A4119" s="242"/>
      <c r="F4119" s="285" t="str">
        <f t="shared" si="135"/>
        <v/>
      </c>
      <c r="K4119" s="246" t="str">
        <f t="shared" si="134"/>
        <v/>
      </c>
    </row>
    <row r="4120" spans="1:11" ht="30" customHeight="1" x14ac:dyDescent="0.2">
      <c r="A4120" s="242"/>
      <c r="F4120" s="285" t="str">
        <f t="shared" si="135"/>
        <v/>
      </c>
      <c r="K4120" s="246" t="str">
        <f t="shared" si="134"/>
        <v/>
      </c>
    </row>
    <row r="4121" spans="1:11" ht="30" customHeight="1" x14ac:dyDescent="0.2">
      <c r="A4121" s="242"/>
      <c r="F4121" s="285" t="str">
        <f t="shared" si="135"/>
        <v/>
      </c>
      <c r="K4121" s="246" t="str">
        <f t="shared" si="134"/>
        <v/>
      </c>
    </row>
    <row r="4122" spans="1:11" ht="30" customHeight="1" x14ac:dyDescent="0.2">
      <c r="A4122" s="242"/>
      <c r="F4122" s="285" t="str">
        <f t="shared" si="135"/>
        <v/>
      </c>
      <c r="K4122" s="246" t="str">
        <f t="shared" si="134"/>
        <v/>
      </c>
    </row>
    <row r="4123" spans="1:11" ht="30" customHeight="1" x14ac:dyDescent="0.2">
      <c r="A4123" s="242"/>
      <c r="F4123" s="285" t="str">
        <f t="shared" si="135"/>
        <v/>
      </c>
      <c r="K4123" s="246" t="str">
        <f t="shared" si="134"/>
        <v/>
      </c>
    </row>
    <row r="4124" spans="1:11" ht="30" customHeight="1" x14ac:dyDescent="0.2">
      <c r="A4124" s="242"/>
      <c r="F4124" s="285" t="str">
        <f t="shared" si="135"/>
        <v/>
      </c>
      <c r="K4124" s="246" t="str">
        <f t="shared" si="134"/>
        <v/>
      </c>
    </row>
    <row r="4125" spans="1:11" ht="30" customHeight="1" x14ac:dyDescent="0.2">
      <c r="A4125" s="242"/>
      <c r="F4125" s="285" t="str">
        <f t="shared" si="135"/>
        <v/>
      </c>
      <c r="K4125" s="246" t="str">
        <f t="shared" si="134"/>
        <v/>
      </c>
    </row>
    <row r="4126" spans="1:11" ht="30" customHeight="1" x14ac:dyDescent="0.2">
      <c r="A4126" s="242"/>
      <c r="F4126" s="285" t="str">
        <f t="shared" si="135"/>
        <v/>
      </c>
      <c r="K4126" s="246" t="str">
        <f t="shared" si="134"/>
        <v/>
      </c>
    </row>
    <row r="4127" spans="1:11" ht="30" customHeight="1" x14ac:dyDescent="0.2">
      <c r="A4127" s="242"/>
      <c r="F4127" s="285" t="str">
        <f t="shared" si="135"/>
        <v/>
      </c>
      <c r="K4127" s="246" t="str">
        <f t="shared" si="134"/>
        <v/>
      </c>
    </row>
    <row r="4128" spans="1:11" ht="30" customHeight="1" x14ac:dyDescent="0.2">
      <c r="A4128" s="242"/>
      <c r="F4128" s="285" t="str">
        <f t="shared" si="135"/>
        <v/>
      </c>
      <c r="K4128" s="246" t="str">
        <f t="shared" si="134"/>
        <v/>
      </c>
    </row>
    <row r="4129" spans="1:11" ht="30" customHeight="1" x14ac:dyDescent="0.2">
      <c r="A4129" s="242"/>
      <c r="F4129" s="285" t="str">
        <f t="shared" si="135"/>
        <v/>
      </c>
      <c r="K4129" s="246" t="str">
        <f t="shared" si="134"/>
        <v/>
      </c>
    </row>
    <row r="4130" spans="1:11" ht="30" customHeight="1" x14ac:dyDescent="0.2">
      <c r="A4130" s="242"/>
      <c r="F4130" s="285" t="str">
        <f t="shared" si="135"/>
        <v/>
      </c>
      <c r="K4130" s="246" t="str">
        <f t="shared" si="134"/>
        <v/>
      </c>
    </row>
    <row r="4131" spans="1:11" ht="30" customHeight="1" x14ac:dyDescent="0.2">
      <c r="A4131" s="242"/>
      <c r="F4131" s="285" t="str">
        <f t="shared" si="135"/>
        <v/>
      </c>
      <c r="K4131" s="246" t="str">
        <f t="shared" si="134"/>
        <v/>
      </c>
    </row>
    <row r="4132" spans="1:11" ht="30" customHeight="1" x14ac:dyDescent="0.2">
      <c r="A4132" s="242"/>
      <c r="F4132" s="285" t="str">
        <f t="shared" si="135"/>
        <v/>
      </c>
      <c r="K4132" s="246" t="str">
        <f t="shared" si="134"/>
        <v/>
      </c>
    </row>
    <row r="4133" spans="1:11" ht="30" customHeight="1" x14ac:dyDescent="0.2">
      <c r="A4133" s="242"/>
      <c r="F4133" s="285" t="str">
        <f t="shared" si="135"/>
        <v/>
      </c>
      <c r="K4133" s="246" t="str">
        <f t="shared" si="134"/>
        <v/>
      </c>
    </row>
    <row r="4134" spans="1:11" ht="30" customHeight="1" x14ac:dyDescent="0.2">
      <c r="A4134" s="242"/>
      <c r="F4134" s="285" t="str">
        <f t="shared" si="135"/>
        <v/>
      </c>
      <c r="K4134" s="246" t="str">
        <f t="shared" si="134"/>
        <v/>
      </c>
    </row>
    <row r="4135" spans="1:11" ht="30" customHeight="1" x14ac:dyDescent="0.2">
      <c r="A4135" s="242"/>
      <c r="F4135" s="285" t="str">
        <f t="shared" si="135"/>
        <v/>
      </c>
      <c r="K4135" s="246" t="str">
        <f t="shared" si="134"/>
        <v/>
      </c>
    </row>
    <row r="4136" spans="1:11" ht="30" customHeight="1" x14ac:dyDescent="0.2">
      <c r="A4136" s="242"/>
      <c r="F4136" s="285" t="str">
        <f t="shared" si="135"/>
        <v/>
      </c>
      <c r="K4136" s="246" t="str">
        <f t="shared" si="134"/>
        <v/>
      </c>
    </row>
    <row r="4137" spans="1:11" ht="30" customHeight="1" x14ac:dyDescent="0.2">
      <c r="A4137" s="242"/>
      <c r="F4137" s="285" t="str">
        <f t="shared" si="135"/>
        <v/>
      </c>
      <c r="K4137" s="246" t="str">
        <f t="shared" si="134"/>
        <v/>
      </c>
    </row>
    <row r="4138" spans="1:11" ht="30" customHeight="1" x14ac:dyDescent="0.2">
      <c r="A4138" s="242"/>
      <c r="F4138" s="285" t="str">
        <f t="shared" si="135"/>
        <v/>
      </c>
      <c r="K4138" s="246" t="str">
        <f t="shared" si="134"/>
        <v/>
      </c>
    </row>
    <row r="4139" spans="1:11" ht="30" customHeight="1" x14ac:dyDescent="0.2">
      <c r="A4139" s="242"/>
      <c r="F4139" s="285" t="str">
        <f t="shared" si="135"/>
        <v/>
      </c>
      <c r="K4139" s="246" t="str">
        <f t="shared" si="134"/>
        <v/>
      </c>
    </row>
    <row r="4140" spans="1:11" ht="30" customHeight="1" x14ac:dyDescent="0.2">
      <c r="A4140" s="242"/>
      <c r="F4140" s="285" t="str">
        <f t="shared" si="135"/>
        <v/>
      </c>
      <c r="K4140" s="246" t="str">
        <f t="shared" si="134"/>
        <v/>
      </c>
    </row>
    <row r="4141" spans="1:11" ht="30" customHeight="1" x14ac:dyDescent="0.2">
      <c r="A4141" s="242"/>
      <c r="F4141" s="285" t="str">
        <f t="shared" si="135"/>
        <v/>
      </c>
      <c r="K4141" s="246" t="str">
        <f t="shared" si="134"/>
        <v/>
      </c>
    </row>
    <row r="4142" spans="1:11" ht="30" customHeight="1" x14ac:dyDescent="0.2">
      <c r="A4142" s="242"/>
      <c r="F4142" s="285" t="str">
        <f t="shared" si="135"/>
        <v/>
      </c>
      <c r="K4142" s="246" t="str">
        <f t="shared" si="134"/>
        <v/>
      </c>
    </row>
    <row r="4143" spans="1:11" ht="30" customHeight="1" x14ac:dyDescent="0.2">
      <c r="A4143" s="242"/>
      <c r="F4143" s="285" t="str">
        <f t="shared" si="135"/>
        <v/>
      </c>
      <c r="K4143" s="246" t="str">
        <f t="shared" si="134"/>
        <v/>
      </c>
    </row>
    <row r="4144" spans="1:11" ht="30" customHeight="1" x14ac:dyDescent="0.2">
      <c r="A4144" s="242"/>
      <c r="F4144" s="285" t="str">
        <f t="shared" si="135"/>
        <v/>
      </c>
      <c r="K4144" s="246" t="str">
        <f t="shared" si="134"/>
        <v/>
      </c>
    </row>
    <row r="4145" spans="1:11" ht="30" customHeight="1" x14ac:dyDescent="0.2">
      <c r="A4145" s="242"/>
      <c r="F4145" s="285" t="str">
        <f t="shared" si="135"/>
        <v/>
      </c>
      <c r="K4145" s="246" t="str">
        <f t="shared" si="134"/>
        <v/>
      </c>
    </row>
    <row r="4146" spans="1:11" ht="30" customHeight="1" x14ac:dyDescent="0.2">
      <c r="A4146" s="242"/>
      <c r="F4146" s="285" t="str">
        <f t="shared" si="135"/>
        <v/>
      </c>
      <c r="K4146" s="246" t="str">
        <f t="shared" si="134"/>
        <v/>
      </c>
    </row>
    <row r="4147" spans="1:11" ht="30" customHeight="1" x14ac:dyDescent="0.2">
      <c r="A4147" s="242"/>
      <c r="F4147" s="285" t="str">
        <f t="shared" si="135"/>
        <v/>
      </c>
      <c r="K4147" s="246" t="str">
        <f t="shared" si="134"/>
        <v/>
      </c>
    </row>
    <row r="4148" spans="1:11" ht="30" customHeight="1" x14ac:dyDescent="0.2">
      <c r="A4148" s="242"/>
      <c r="F4148" s="285" t="str">
        <f t="shared" si="135"/>
        <v/>
      </c>
      <c r="K4148" s="246" t="str">
        <f t="shared" si="134"/>
        <v/>
      </c>
    </row>
    <row r="4149" spans="1:11" ht="30" customHeight="1" x14ac:dyDescent="0.2">
      <c r="A4149" s="242"/>
      <c r="F4149" s="285" t="str">
        <f t="shared" si="135"/>
        <v/>
      </c>
      <c r="K4149" s="246" t="str">
        <f t="shared" si="134"/>
        <v/>
      </c>
    </row>
    <row r="4150" spans="1:11" ht="30" customHeight="1" x14ac:dyDescent="0.2">
      <c r="A4150" s="242"/>
      <c r="F4150" s="285" t="str">
        <f t="shared" si="135"/>
        <v/>
      </c>
      <c r="K4150" s="246" t="str">
        <f t="shared" si="134"/>
        <v/>
      </c>
    </row>
    <row r="4151" spans="1:11" ht="30" customHeight="1" x14ac:dyDescent="0.2">
      <c r="A4151" s="242"/>
      <c r="F4151" s="285" t="str">
        <f t="shared" si="135"/>
        <v/>
      </c>
      <c r="K4151" s="246" t="str">
        <f t="shared" si="134"/>
        <v/>
      </c>
    </row>
    <row r="4152" spans="1:11" ht="30" customHeight="1" x14ac:dyDescent="0.2">
      <c r="A4152" s="242"/>
      <c r="F4152" s="285" t="str">
        <f t="shared" si="135"/>
        <v/>
      </c>
      <c r="K4152" s="246" t="str">
        <f t="shared" si="134"/>
        <v/>
      </c>
    </row>
    <row r="4153" spans="1:11" ht="30" customHeight="1" x14ac:dyDescent="0.2">
      <c r="A4153" s="242"/>
      <c r="F4153" s="285" t="str">
        <f t="shared" si="135"/>
        <v/>
      </c>
      <c r="K4153" s="246" t="str">
        <f t="shared" si="134"/>
        <v/>
      </c>
    </row>
    <row r="4154" spans="1:11" ht="30" customHeight="1" x14ac:dyDescent="0.2">
      <c r="A4154" s="242"/>
      <c r="F4154" s="285" t="str">
        <f t="shared" si="135"/>
        <v/>
      </c>
      <c r="K4154" s="246" t="str">
        <f t="shared" si="134"/>
        <v/>
      </c>
    </row>
    <row r="4155" spans="1:11" ht="30" customHeight="1" x14ac:dyDescent="0.2">
      <c r="A4155" s="242"/>
      <c r="F4155" s="285" t="str">
        <f t="shared" si="135"/>
        <v/>
      </c>
      <c r="K4155" s="246" t="str">
        <f t="shared" ref="K4155:K4218" si="136">IF(A4155="","",A4155)</f>
        <v/>
      </c>
    </row>
    <row r="4156" spans="1:11" ht="30" customHeight="1" x14ac:dyDescent="0.2">
      <c r="A4156" s="242"/>
      <c r="F4156" s="285" t="str">
        <f t="shared" si="135"/>
        <v/>
      </c>
      <c r="K4156" s="246" t="str">
        <f t="shared" si="136"/>
        <v/>
      </c>
    </row>
    <row r="4157" spans="1:11" ht="30" customHeight="1" x14ac:dyDescent="0.2">
      <c r="A4157" s="242"/>
      <c r="F4157" s="285" t="str">
        <f t="shared" si="135"/>
        <v/>
      </c>
      <c r="K4157" s="246" t="str">
        <f t="shared" si="136"/>
        <v/>
      </c>
    </row>
    <row r="4158" spans="1:11" ht="30" customHeight="1" x14ac:dyDescent="0.2">
      <c r="A4158" s="242"/>
      <c r="F4158" s="285" t="str">
        <f t="shared" si="135"/>
        <v/>
      </c>
      <c r="K4158" s="246" t="str">
        <f t="shared" si="136"/>
        <v/>
      </c>
    </row>
    <row r="4159" spans="1:11" ht="30" customHeight="1" x14ac:dyDescent="0.2">
      <c r="A4159" s="242"/>
      <c r="F4159" s="285" t="str">
        <f t="shared" si="135"/>
        <v/>
      </c>
      <c r="K4159" s="246" t="str">
        <f t="shared" si="136"/>
        <v/>
      </c>
    </row>
    <row r="4160" spans="1:11" ht="30" customHeight="1" x14ac:dyDescent="0.2">
      <c r="A4160" s="242"/>
      <c r="F4160" s="285" t="str">
        <f t="shared" si="135"/>
        <v/>
      </c>
      <c r="K4160" s="246" t="str">
        <f t="shared" si="136"/>
        <v/>
      </c>
    </row>
    <row r="4161" spans="1:11" ht="30" customHeight="1" x14ac:dyDescent="0.2">
      <c r="A4161" s="242"/>
      <c r="F4161" s="285" t="str">
        <f t="shared" si="135"/>
        <v/>
      </c>
      <c r="K4161" s="246" t="str">
        <f t="shared" si="136"/>
        <v/>
      </c>
    </row>
    <row r="4162" spans="1:11" ht="30" customHeight="1" x14ac:dyDescent="0.2">
      <c r="A4162" s="242"/>
      <c r="F4162" s="285" t="str">
        <f t="shared" si="135"/>
        <v/>
      </c>
      <c r="K4162" s="246" t="str">
        <f t="shared" si="136"/>
        <v/>
      </c>
    </row>
    <row r="4163" spans="1:11" ht="30" customHeight="1" x14ac:dyDescent="0.2">
      <c r="A4163" s="242"/>
      <c r="F4163" s="285" t="str">
        <f t="shared" si="135"/>
        <v/>
      </c>
      <c r="K4163" s="246" t="str">
        <f t="shared" si="136"/>
        <v/>
      </c>
    </row>
    <row r="4164" spans="1:11" ht="30" customHeight="1" x14ac:dyDescent="0.2">
      <c r="A4164" s="242"/>
      <c r="F4164" s="285" t="str">
        <f t="shared" si="135"/>
        <v/>
      </c>
      <c r="K4164" s="246" t="str">
        <f t="shared" si="136"/>
        <v/>
      </c>
    </row>
    <row r="4165" spans="1:11" ht="30" customHeight="1" x14ac:dyDescent="0.2">
      <c r="A4165" s="242"/>
      <c r="F4165" s="285" t="str">
        <f t="shared" ref="F4165:F4228" si="137">IF(A4165="","",A4165)</f>
        <v/>
      </c>
      <c r="K4165" s="246" t="str">
        <f t="shared" si="136"/>
        <v/>
      </c>
    </row>
    <row r="4166" spans="1:11" ht="30" customHeight="1" x14ac:dyDescent="0.2">
      <c r="A4166" s="242"/>
      <c r="F4166" s="285" t="str">
        <f t="shared" si="137"/>
        <v/>
      </c>
      <c r="K4166" s="246" t="str">
        <f t="shared" si="136"/>
        <v/>
      </c>
    </row>
    <row r="4167" spans="1:11" ht="30" customHeight="1" x14ac:dyDescent="0.2">
      <c r="A4167" s="242"/>
      <c r="F4167" s="285" t="str">
        <f t="shared" si="137"/>
        <v/>
      </c>
      <c r="K4167" s="246" t="str">
        <f t="shared" si="136"/>
        <v/>
      </c>
    </row>
    <row r="4168" spans="1:11" ht="30" customHeight="1" x14ac:dyDescent="0.2">
      <c r="A4168" s="242"/>
      <c r="F4168" s="285" t="str">
        <f t="shared" si="137"/>
        <v/>
      </c>
      <c r="K4168" s="246" t="str">
        <f t="shared" si="136"/>
        <v/>
      </c>
    </row>
    <row r="4169" spans="1:11" ht="30" customHeight="1" x14ac:dyDescent="0.2">
      <c r="A4169" s="242"/>
      <c r="F4169" s="285" t="str">
        <f t="shared" si="137"/>
        <v/>
      </c>
      <c r="K4169" s="246" t="str">
        <f t="shared" si="136"/>
        <v/>
      </c>
    </row>
    <row r="4170" spans="1:11" ht="30" customHeight="1" x14ac:dyDescent="0.2">
      <c r="A4170" s="242"/>
      <c r="F4170" s="285" t="str">
        <f t="shared" si="137"/>
        <v/>
      </c>
      <c r="K4170" s="246" t="str">
        <f t="shared" si="136"/>
        <v/>
      </c>
    </row>
    <row r="4171" spans="1:11" ht="30" customHeight="1" x14ac:dyDescent="0.2">
      <c r="A4171" s="242"/>
      <c r="F4171" s="285" t="str">
        <f t="shared" si="137"/>
        <v/>
      </c>
      <c r="K4171" s="246" t="str">
        <f t="shared" si="136"/>
        <v/>
      </c>
    </row>
    <row r="4172" spans="1:11" ht="30" customHeight="1" x14ac:dyDescent="0.2">
      <c r="A4172" s="242"/>
      <c r="F4172" s="285" t="str">
        <f t="shared" si="137"/>
        <v/>
      </c>
      <c r="K4172" s="246" t="str">
        <f t="shared" si="136"/>
        <v/>
      </c>
    </row>
    <row r="4173" spans="1:11" ht="30" customHeight="1" x14ac:dyDescent="0.2">
      <c r="A4173" s="242"/>
      <c r="F4173" s="285" t="str">
        <f t="shared" si="137"/>
        <v/>
      </c>
      <c r="K4173" s="246" t="str">
        <f t="shared" si="136"/>
        <v/>
      </c>
    </row>
    <row r="4174" spans="1:11" ht="30" customHeight="1" x14ac:dyDescent="0.2">
      <c r="A4174" s="242"/>
      <c r="F4174" s="285" t="str">
        <f t="shared" si="137"/>
        <v/>
      </c>
      <c r="K4174" s="246" t="str">
        <f t="shared" si="136"/>
        <v/>
      </c>
    </row>
    <row r="4175" spans="1:11" ht="30" customHeight="1" x14ac:dyDescent="0.2">
      <c r="A4175" s="242"/>
      <c r="F4175" s="285" t="str">
        <f t="shared" si="137"/>
        <v/>
      </c>
      <c r="K4175" s="246" t="str">
        <f t="shared" si="136"/>
        <v/>
      </c>
    </row>
    <row r="4176" spans="1:11" ht="30" customHeight="1" x14ac:dyDescent="0.2">
      <c r="A4176" s="242"/>
      <c r="F4176" s="285" t="str">
        <f t="shared" si="137"/>
        <v/>
      </c>
      <c r="K4176" s="246" t="str">
        <f t="shared" si="136"/>
        <v/>
      </c>
    </row>
    <row r="4177" spans="1:11" ht="30" customHeight="1" x14ac:dyDescent="0.2">
      <c r="A4177" s="242"/>
      <c r="F4177" s="285" t="str">
        <f t="shared" si="137"/>
        <v/>
      </c>
      <c r="K4177" s="246" t="str">
        <f t="shared" si="136"/>
        <v/>
      </c>
    </row>
    <row r="4178" spans="1:11" ht="30" customHeight="1" x14ac:dyDescent="0.2">
      <c r="A4178" s="242"/>
      <c r="F4178" s="285" t="str">
        <f t="shared" si="137"/>
        <v/>
      </c>
      <c r="K4178" s="246" t="str">
        <f t="shared" si="136"/>
        <v/>
      </c>
    </row>
    <row r="4179" spans="1:11" ht="30" customHeight="1" x14ac:dyDescent="0.2">
      <c r="A4179" s="242"/>
      <c r="F4179" s="285" t="str">
        <f t="shared" si="137"/>
        <v/>
      </c>
      <c r="K4179" s="246" t="str">
        <f t="shared" si="136"/>
        <v/>
      </c>
    </row>
    <row r="4180" spans="1:11" ht="30" customHeight="1" x14ac:dyDescent="0.2">
      <c r="A4180" s="242"/>
      <c r="F4180" s="285" t="str">
        <f t="shared" si="137"/>
        <v/>
      </c>
      <c r="K4180" s="246" t="str">
        <f t="shared" si="136"/>
        <v/>
      </c>
    </row>
    <row r="4181" spans="1:11" ht="30" customHeight="1" x14ac:dyDescent="0.2">
      <c r="A4181" s="242"/>
      <c r="F4181" s="285" t="str">
        <f t="shared" si="137"/>
        <v/>
      </c>
      <c r="K4181" s="246" t="str">
        <f t="shared" si="136"/>
        <v/>
      </c>
    </row>
    <row r="4182" spans="1:11" ht="30" customHeight="1" x14ac:dyDescent="0.2">
      <c r="A4182" s="242"/>
      <c r="F4182" s="285" t="str">
        <f t="shared" si="137"/>
        <v/>
      </c>
      <c r="K4182" s="246" t="str">
        <f t="shared" si="136"/>
        <v/>
      </c>
    </row>
    <row r="4183" spans="1:11" ht="30" customHeight="1" x14ac:dyDescent="0.2">
      <c r="A4183" s="242"/>
      <c r="F4183" s="285" t="str">
        <f t="shared" si="137"/>
        <v/>
      </c>
      <c r="K4183" s="246" t="str">
        <f t="shared" si="136"/>
        <v/>
      </c>
    </row>
    <row r="4184" spans="1:11" ht="30" customHeight="1" x14ac:dyDescent="0.2">
      <c r="A4184" s="242"/>
      <c r="F4184" s="285" t="str">
        <f t="shared" si="137"/>
        <v/>
      </c>
      <c r="K4184" s="246" t="str">
        <f t="shared" si="136"/>
        <v/>
      </c>
    </row>
    <row r="4185" spans="1:11" ht="30" customHeight="1" x14ac:dyDescent="0.2">
      <c r="A4185" s="242"/>
      <c r="F4185" s="285" t="str">
        <f t="shared" si="137"/>
        <v/>
      </c>
      <c r="K4185" s="246" t="str">
        <f t="shared" si="136"/>
        <v/>
      </c>
    </row>
    <row r="4186" spans="1:11" ht="30" customHeight="1" x14ac:dyDescent="0.2">
      <c r="A4186" s="242"/>
      <c r="F4186" s="285" t="str">
        <f t="shared" si="137"/>
        <v/>
      </c>
      <c r="K4186" s="246" t="str">
        <f t="shared" si="136"/>
        <v/>
      </c>
    </row>
    <row r="4187" spans="1:11" ht="30" customHeight="1" x14ac:dyDescent="0.2">
      <c r="A4187" s="242"/>
      <c r="F4187" s="285" t="str">
        <f t="shared" si="137"/>
        <v/>
      </c>
      <c r="K4187" s="246" t="str">
        <f t="shared" si="136"/>
        <v/>
      </c>
    </row>
    <row r="4188" spans="1:11" ht="30" customHeight="1" x14ac:dyDescent="0.2">
      <c r="A4188" s="242"/>
      <c r="F4188" s="285" t="str">
        <f t="shared" si="137"/>
        <v/>
      </c>
      <c r="K4188" s="246" t="str">
        <f t="shared" si="136"/>
        <v/>
      </c>
    </row>
    <row r="4189" spans="1:11" ht="30" customHeight="1" x14ac:dyDescent="0.2">
      <c r="A4189" s="242"/>
      <c r="F4189" s="285" t="str">
        <f t="shared" si="137"/>
        <v/>
      </c>
      <c r="K4189" s="246" t="str">
        <f t="shared" si="136"/>
        <v/>
      </c>
    </row>
    <row r="4190" spans="1:11" ht="30" customHeight="1" x14ac:dyDescent="0.2">
      <c r="A4190" s="242"/>
      <c r="F4190" s="285" t="str">
        <f t="shared" si="137"/>
        <v/>
      </c>
      <c r="K4190" s="246" t="str">
        <f t="shared" si="136"/>
        <v/>
      </c>
    </row>
    <row r="4191" spans="1:11" ht="30" customHeight="1" x14ac:dyDescent="0.2">
      <c r="A4191" s="242"/>
      <c r="F4191" s="285" t="str">
        <f t="shared" si="137"/>
        <v/>
      </c>
      <c r="K4191" s="246" t="str">
        <f t="shared" si="136"/>
        <v/>
      </c>
    </row>
    <row r="4192" spans="1:11" ht="30" customHeight="1" x14ac:dyDescent="0.2">
      <c r="A4192" s="242"/>
      <c r="F4192" s="285" t="str">
        <f t="shared" si="137"/>
        <v/>
      </c>
      <c r="K4192" s="246" t="str">
        <f t="shared" si="136"/>
        <v/>
      </c>
    </row>
    <row r="4193" spans="1:11" ht="30" customHeight="1" x14ac:dyDescent="0.2">
      <c r="A4193" s="242"/>
      <c r="F4193" s="285" t="str">
        <f t="shared" si="137"/>
        <v/>
      </c>
      <c r="K4193" s="246" t="str">
        <f t="shared" si="136"/>
        <v/>
      </c>
    </row>
    <row r="4194" spans="1:11" ht="30" customHeight="1" x14ac:dyDescent="0.2">
      <c r="A4194" s="242"/>
      <c r="F4194" s="285" t="str">
        <f t="shared" si="137"/>
        <v/>
      </c>
      <c r="K4194" s="246" t="str">
        <f t="shared" si="136"/>
        <v/>
      </c>
    </row>
    <row r="4195" spans="1:11" ht="30" customHeight="1" x14ac:dyDescent="0.2">
      <c r="A4195" s="242"/>
      <c r="F4195" s="285" t="str">
        <f t="shared" si="137"/>
        <v/>
      </c>
      <c r="K4195" s="246" t="str">
        <f t="shared" si="136"/>
        <v/>
      </c>
    </row>
    <row r="4196" spans="1:11" ht="30" customHeight="1" x14ac:dyDescent="0.2">
      <c r="A4196" s="242"/>
      <c r="F4196" s="285" t="str">
        <f t="shared" si="137"/>
        <v/>
      </c>
      <c r="K4196" s="246" t="str">
        <f t="shared" si="136"/>
        <v/>
      </c>
    </row>
    <row r="4197" spans="1:11" ht="30" customHeight="1" x14ac:dyDescent="0.2">
      <c r="A4197" s="242"/>
      <c r="F4197" s="285" t="str">
        <f t="shared" si="137"/>
        <v/>
      </c>
      <c r="K4197" s="246" t="str">
        <f t="shared" si="136"/>
        <v/>
      </c>
    </row>
    <row r="4198" spans="1:11" ht="30" customHeight="1" x14ac:dyDescent="0.2">
      <c r="A4198" s="242"/>
      <c r="F4198" s="285" t="str">
        <f t="shared" si="137"/>
        <v/>
      </c>
      <c r="K4198" s="246" t="str">
        <f t="shared" si="136"/>
        <v/>
      </c>
    </row>
    <row r="4199" spans="1:11" ht="30" customHeight="1" x14ac:dyDescent="0.2">
      <c r="A4199" s="242"/>
      <c r="F4199" s="285" t="str">
        <f t="shared" si="137"/>
        <v/>
      </c>
      <c r="K4199" s="246" t="str">
        <f t="shared" si="136"/>
        <v/>
      </c>
    </row>
    <row r="4200" spans="1:11" ht="30" customHeight="1" x14ac:dyDescent="0.2">
      <c r="A4200" s="242"/>
      <c r="F4200" s="285" t="str">
        <f t="shared" si="137"/>
        <v/>
      </c>
      <c r="K4200" s="246" t="str">
        <f t="shared" si="136"/>
        <v/>
      </c>
    </row>
    <row r="4201" spans="1:11" ht="30" customHeight="1" x14ac:dyDescent="0.2">
      <c r="A4201" s="242"/>
      <c r="F4201" s="285" t="str">
        <f t="shared" si="137"/>
        <v/>
      </c>
      <c r="K4201" s="246" t="str">
        <f t="shared" si="136"/>
        <v/>
      </c>
    </row>
    <row r="4202" spans="1:11" ht="30" customHeight="1" x14ac:dyDescent="0.2">
      <c r="A4202" s="242"/>
      <c r="F4202" s="285" t="str">
        <f t="shared" si="137"/>
        <v/>
      </c>
      <c r="K4202" s="246" t="str">
        <f t="shared" si="136"/>
        <v/>
      </c>
    </row>
    <row r="4203" spans="1:11" ht="30" customHeight="1" x14ac:dyDescent="0.2">
      <c r="A4203" s="242"/>
      <c r="F4203" s="285" t="str">
        <f t="shared" si="137"/>
        <v/>
      </c>
      <c r="K4203" s="246" t="str">
        <f t="shared" si="136"/>
        <v/>
      </c>
    </row>
    <row r="4204" spans="1:11" ht="30" customHeight="1" x14ac:dyDescent="0.2">
      <c r="A4204" s="242"/>
      <c r="F4204" s="285" t="str">
        <f t="shared" si="137"/>
        <v/>
      </c>
      <c r="K4204" s="246" t="str">
        <f t="shared" si="136"/>
        <v/>
      </c>
    </row>
    <row r="4205" spans="1:11" ht="30" customHeight="1" x14ac:dyDescent="0.2">
      <c r="A4205" s="242"/>
      <c r="F4205" s="285" t="str">
        <f t="shared" si="137"/>
        <v/>
      </c>
      <c r="K4205" s="246" t="str">
        <f t="shared" si="136"/>
        <v/>
      </c>
    </row>
    <row r="4206" spans="1:11" ht="30" customHeight="1" x14ac:dyDescent="0.2">
      <c r="A4206" s="242"/>
      <c r="F4206" s="285" t="str">
        <f t="shared" si="137"/>
        <v/>
      </c>
      <c r="K4206" s="246" t="str">
        <f t="shared" si="136"/>
        <v/>
      </c>
    </row>
    <row r="4207" spans="1:11" ht="30" customHeight="1" x14ac:dyDescent="0.2">
      <c r="A4207" s="242"/>
      <c r="F4207" s="285" t="str">
        <f t="shared" si="137"/>
        <v/>
      </c>
      <c r="K4207" s="246" t="str">
        <f t="shared" si="136"/>
        <v/>
      </c>
    </row>
    <row r="4208" spans="1:11" ht="30" customHeight="1" x14ac:dyDescent="0.2">
      <c r="A4208" s="242"/>
      <c r="F4208" s="285" t="str">
        <f t="shared" si="137"/>
        <v/>
      </c>
      <c r="K4208" s="246" t="str">
        <f t="shared" si="136"/>
        <v/>
      </c>
    </row>
    <row r="4209" spans="1:11" ht="30" customHeight="1" x14ac:dyDescent="0.2">
      <c r="A4209" s="242"/>
      <c r="F4209" s="285" t="str">
        <f t="shared" si="137"/>
        <v/>
      </c>
      <c r="K4209" s="246" t="str">
        <f t="shared" si="136"/>
        <v/>
      </c>
    </row>
    <row r="4210" spans="1:11" ht="30" customHeight="1" x14ac:dyDescent="0.2">
      <c r="A4210" s="242"/>
      <c r="F4210" s="285" t="str">
        <f t="shared" si="137"/>
        <v/>
      </c>
      <c r="K4210" s="246" t="str">
        <f t="shared" si="136"/>
        <v/>
      </c>
    </row>
    <row r="4211" spans="1:11" ht="30" customHeight="1" x14ac:dyDescent="0.2">
      <c r="A4211" s="242"/>
      <c r="F4211" s="285" t="str">
        <f t="shared" si="137"/>
        <v/>
      </c>
      <c r="K4211" s="246" t="str">
        <f t="shared" si="136"/>
        <v/>
      </c>
    </row>
    <row r="4212" spans="1:11" ht="30" customHeight="1" x14ac:dyDescent="0.2">
      <c r="A4212" s="242"/>
      <c r="F4212" s="285" t="str">
        <f t="shared" si="137"/>
        <v/>
      </c>
      <c r="K4212" s="246" t="str">
        <f t="shared" si="136"/>
        <v/>
      </c>
    </row>
    <row r="4213" spans="1:11" ht="30" customHeight="1" x14ac:dyDescent="0.2">
      <c r="A4213" s="242"/>
      <c r="F4213" s="285" t="str">
        <f t="shared" si="137"/>
        <v/>
      </c>
      <c r="K4213" s="246" t="str">
        <f t="shared" si="136"/>
        <v/>
      </c>
    </row>
    <row r="4214" spans="1:11" ht="30" customHeight="1" x14ac:dyDescent="0.2">
      <c r="A4214" s="242"/>
      <c r="F4214" s="285" t="str">
        <f t="shared" si="137"/>
        <v/>
      </c>
      <c r="K4214" s="246" t="str">
        <f t="shared" si="136"/>
        <v/>
      </c>
    </row>
    <row r="4215" spans="1:11" ht="30" customHeight="1" x14ac:dyDescent="0.2">
      <c r="A4215" s="242"/>
      <c r="F4215" s="285" t="str">
        <f t="shared" si="137"/>
        <v/>
      </c>
      <c r="K4215" s="246" t="str">
        <f t="shared" si="136"/>
        <v/>
      </c>
    </row>
    <row r="4216" spans="1:11" ht="30" customHeight="1" x14ac:dyDescent="0.2">
      <c r="A4216" s="242"/>
      <c r="F4216" s="285" t="str">
        <f t="shared" si="137"/>
        <v/>
      </c>
      <c r="K4216" s="246" t="str">
        <f t="shared" si="136"/>
        <v/>
      </c>
    </row>
    <row r="4217" spans="1:11" ht="30" customHeight="1" x14ac:dyDescent="0.2">
      <c r="A4217" s="242"/>
      <c r="F4217" s="285" t="str">
        <f t="shared" si="137"/>
        <v/>
      </c>
      <c r="K4217" s="246" t="str">
        <f t="shared" si="136"/>
        <v/>
      </c>
    </row>
    <row r="4218" spans="1:11" ht="30" customHeight="1" x14ac:dyDescent="0.2">
      <c r="A4218" s="242"/>
      <c r="F4218" s="285" t="str">
        <f t="shared" si="137"/>
        <v/>
      </c>
      <c r="K4218" s="246" t="str">
        <f t="shared" si="136"/>
        <v/>
      </c>
    </row>
    <row r="4219" spans="1:11" ht="30" customHeight="1" x14ac:dyDescent="0.2">
      <c r="A4219" s="242"/>
      <c r="F4219" s="285" t="str">
        <f t="shared" si="137"/>
        <v/>
      </c>
      <c r="K4219" s="246" t="str">
        <f t="shared" ref="K4219:K4282" si="138">IF(A4219="","",A4219)</f>
        <v/>
      </c>
    </row>
    <row r="4220" spans="1:11" ht="30" customHeight="1" x14ac:dyDescent="0.2">
      <c r="A4220" s="242"/>
      <c r="F4220" s="285" t="str">
        <f t="shared" si="137"/>
        <v/>
      </c>
      <c r="K4220" s="246" t="str">
        <f t="shared" si="138"/>
        <v/>
      </c>
    </row>
    <row r="4221" spans="1:11" ht="30" customHeight="1" x14ac:dyDescent="0.2">
      <c r="A4221" s="242"/>
      <c r="F4221" s="285" t="str">
        <f t="shared" si="137"/>
        <v/>
      </c>
      <c r="K4221" s="246" t="str">
        <f t="shared" si="138"/>
        <v/>
      </c>
    </row>
    <row r="4222" spans="1:11" ht="30" customHeight="1" x14ac:dyDescent="0.2">
      <c r="A4222" s="242"/>
      <c r="F4222" s="285" t="str">
        <f t="shared" si="137"/>
        <v/>
      </c>
      <c r="K4222" s="246" t="str">
        <f t="shared" si="138"/>
        <v/>
      </c>
    </row>
    <row r="4223" spans="1:11" ht="30" customHeight="1" x14ac:dyDescent="0.2">
      <c r="A4223" s="242"/>
      <c r="F4223" s="285" t="str">
        <f t="shared" si="137"/>
        <v/>
      </c>
      <c r="K4223" s="246" t="str">
        <f t="shared" si="138"/>
        <v/>
      </c>
    </row>
    <row r="4224" spans="1:11" ht="30" customHeight="1" x14ac:dyDescent="0.2">
      <c r="A4224" s="242"/>
      <c r="F4224" s="285" t="str">
        <f t="shared" si="137"/>
        <v/>
      </c>
      <c r="K4224" s="246" t="str">
        <f t="shared" si="138"/>
        <v/>
      </c>
    </row>
    <row r="4225" spans="1:11" ht="30" customHeight="1" x14ac:dyDescent="0.2">
      <c r="A4225" s="242"/>
      <c r="F4225" s="285" t="str">
        <f t="shared" si="137"/>
        <v/>
      </c>
      <c r="K4225" s="246" t="str">
        <f t="shared" si="138"/>
        <v/>
      </c>
    </row>
    <row r="4226" spans="1:11" ht="30" customHeight="1" x14ac:dyDescent="0.2">
      <c r="A4226" s="242"/>
      <c r="F4226" s="285" t="str">
        <f t="shared" si="137"/>
        <v/>
      </c>
      <c r="K4226" s="246" t="str">
        <f t="shared" si="138"/>
        <v/>
      </c>
    </row>
    <row r="4227" spans="1:11" ht="30" customHeight="1" x14ac:dyDescent="0.2">
      <c r="A4227" s="242"/>
      <c r="F4227" s="285" t="str">
        <f t="shared" si="137"/>
        <v/>
      </c>
      <c r="K4227" s="246" t="str">
        <f t="shared" si="138"/>
        <v/>
      </c>
    </row>
    <row r="4228" spans="1:11" ht="30" customHeight="1" x14ac:dyDescent="0.2">
      <c r="A4228" s="242"/>
      <c r="F4228" s="285" t="str">
        <f t="shared" si="137"/>
        <v/>
      </c>
      <c r="K4228" s="246" t="str">
        <f t="shared" si="138"/>
        <v/>
      </c>
    </row>
    <row r="4229" spans="1:11" ht="30" customHeight="1" x14ac:dyDescent="0.2">
      <c r="A4229" s="242"/>
      <c r="F4229" s="285" t="str">
        <f t="shared" ref="F4229:F4292" si="139">IF(A4229="","",A4229)</f>
        <v/>
      </c>
      <c r="K4229" s="246" t="str">
        <f t="shared" si="138"/>
        <v/>
      </c>
    </row>
    <row r="4230" spans="1:11" ht="30" customHeight="1" x14ac:dyDescent="0.2">
      <c r="A4230" s="242"/>
      <c r="F4230" s="285" t="str">
        <f t="shared" si="139"/>
        <v/>
      </c>
      <c r="K4230" s="246" t="str">
        <f t="shared" si="138"/>
        <v/>
      </c>
    </row>
    <row r="4231" spans="1:11" ht="30" customHeight="1" x14ac:dyDescent="0.2">
      <c r="A4231" s="242"/>
      <c r="F4231" s="285" t="str">
        <f t="shared" si="139"/>
        <v/>
      </c>
      <c r="K4231" s="246" t="str">
        <f t="shared" si="138"/>
        <v/>
      </c>
    </row>
    <row r="4232" spans="1:11" ht="30" customHeight="1" x14ac:dyDescent="0.2">
      <c r="A4232" s="242"/>
      <c r="F4232" s="285" t="str">
        <f t="shared" si="139"/>
        <v/>
      </c>
      <c r="K4232" s="246" t="str">
        <f t="shared" si="138"/>
        <v/>
      </c>
    </row>
    <row r="4233" spans="1:11" ht="30" customHeight="1" x14ac:dyDescent="0.2">
      <c r="A4233" s="242"/>
      <c r="F4233" s="285" t="str">
        <f t="shared" si="139"/>
        <v/>
      </c>
      <c r="K4233" s="246" t="str">
        <f t="shared" si="138"/>
        <v/>
      </c>
    </row>
    <row r="4234" spans="1:11" ht="30" customHeight="1" x14ac:dyDescent="0.2">
      <c r="A4234" s="242"/>
      <c r="F4234" s="285" t="str">
        <f t="shared" si="139"/>
        <v/>
      </c>
      <c r="K4234" s="246" t="str">
        <f t="shared" si="138"/>
        <v/>
      </c>
    </row>
    <row r="4235" spans="1:11" ht="30" customHeight="1" x14ac:dyDescent="0.2">
      <c r="A4235" s="242"/>
      <c r="F4235" s="285" t="str">
        <f t="shared" si="139"/>
        <v/>
      </c>
      <c r="K4235" s="246" t="str">
        <f t="shared" si="138"/>
        <v/>
      </c>
    </row>
    <row r="4236" spans="1:11" ht="30" customHeight="1" x14ac:dyDescent="0.2">
      <c r="A4236" s="242"/>
      <c r="F4236" s="285" t="str">
        <f t="shared" si="139"/>
        <v/>
      </c>
      <c r="K4236" s="246" t="str">
        <f t="shared" si="138"/>
        <v/>
      </c>
    </row>
    <row r="4237" spans="1:11" ht="30" customHeight="1" x14ac:dyDescent="0.2">
      <c r="A4237" s="242"/>
      <c r="F4237" s="285" t="str">
        <f t="shared" si="139"/>
        <v/>
      </c>
      <c r="K4237" s="246" t="str">
        <f t="shared" si="138"/>
        <v/>
      </c>
    </row>
    <row r="4238" spans="1:11" ht="30" customHeight="1" x14ac:dyDescent="0.2">
      <c r="A4238" s="242"/>
      <c r="F4238" s="285" t="str">
        <f t="shared" si="139"/>
        <v/>
      </c>
      <c r="K4238" s="246" t="str">
        <f t="shared" si="138"/>
        <v/>
      </c>
    </row>
    <row r="4239" spans="1:11" ht="30" customHeight="1" x14ac:dyDescent="0.2">
      <c r="A4239" s="242"/>
      <c r="F4239" s="285" t="str">
        <f t="shared" si="139"/>
        <v/>
      </c>
      <c r="K4239" s="246" t="str">
        <f t="shared" si="138"/>
        <v/>
      </c>
    </row>
    <row r="4240" spans="1:11" ht="30" customHeight="1" x14ac:dyDescent="0.2">
      <c r="A4240" s="242"/>
      <c r="F4240" s="285" t="str">
        <f t="shared" si="139"/>
        <v/>
      </c>
      <c r="K4240" s="246" t="str">
        <f t="shared" si="138"/>
        <v/>
      </c>
    </row>
    <row r="4241" spans="1:11" ht="30" customHeight="1" x14ac:dyDescent="0.2">
      <c r="A4241" s="242"/>
      <c r="F4241" s="285" t="str">
        <f t="shared" si="139"/>
        <v/>
      </c>
      <c r="K4241" s="246" t="str">
        <f t="shared" si="138"/>
        <v/>
      </c>
    </row>
    <row r="4242" spans="1:11" ht="30" customHeight="1" x14ac:dyDescent="0.2">
      <c r="A4242" s="242"/>
      <c r="F4242" s="285" t="str">
        <f t="shared" si="139"/>
        <v/>
      </c>
      <c r="K4242" s="246" t="str">
        <f t="shared" si="138"/>
        <v/>
      </c>
    </row>
    <row r="4243" spans="1:11" ht="30" customHeight="1" x14ac:dyDescent="0.2">
      <c r="A4243" s="242"/>
      <c r="F4243" s="285" t="str">
        <f t="shared" si="139"/>
        <v/>
      </c>
      <c r="K4243" s="246" t="str">
        <f t="shared" si="138"/>
        <v/>
      </c>
    </row>
    <row r="4244" spans="1:11" ht="30" customHeight="1" x14ac:dyDescent="0.2">
      <c r="A4244" s="242"/>
      <c r="F4244" s="285" t="str">
        <f t="shared" si="139"/>
        <v/>
      </c>
      <c r="K4244" s="246" t="str">
        <f t="shared" si="138"/>
        <v/>
      </c>
    </row>
    <row r="4245" spans="1:11" ht="30" customHeight="1" x14ac:dyDescent="0.2">
      <c r="A4245" s="242"/>
      <c r="F4245" s="285" t="str">
        <f t="shared" si="139"/>
        <v/>
      </c>
      <c r="K4245" s="246" t="str">
        <f t="shared" si="138"/>
        <v/>
      </c>
    </row>
    <row r="4246" spans="1:11" ht="30" customHeight="1" x14ac:dyDescent="0.2">
      <c r="A4246" s="242"/>
      <c r="F4246" s="285" t="str">
        <f t="shared" si="139"/>
        <v/>
      </c>
      <c r="K4246" s="246" t="str">
        <f t="shared" si="138"/>
        <v/>
      </c>
    </row>
    <row r="4247" spans="1:11" ht="30" customHeight="1" x14ac:dyDescent="0.2">
      <c r="A4247" s="242"/>
      <c r="F4247" s="285" t="str">
        <f t="shared" si="139"/>
        <v/>
      </c>
      <c r="K4247" s="246" t="str">
        <f t="shared" si="138"/>
        <v/>
      </c>
    </row>
    <row r="4248" spans="1:11" ht="30" customHeight="1" x14ac:dyDescent="0.2">
      <c r="A4248" s="242"/>
      <c r="F4248" s="285" t="str">
        <f t="shared" si="139"/>
        <v/>
      </c>
      <c r="K4248" s="246" t="str">
        <f t="shared" si="138"/>
        <v/>
      </c>
    </row>
    <row r="4249" spans="1:11" ht="30" customHeight="1" x14ac:dyDescent="0.2">
      <c r="A4249" s="242"/>
      <c r="F4249" s="285" t="str">
        <f t="shared" si="139"/>
        <v/>
      </c>
      <c r="K4249" s="246" t="str">
        <f t="shared" si="138"/>
        <v/>
      </c>
    </row>
    <row r="4250" spans="1:11" ht="30" customHeight="1" x14ac:dyDescent="0.2">
      <c r="A4250" s="242"/>
      <c r="F4250" s="285" t="str">
        <f t="shared" si="139"/>
        <v/>
      </c>
      <c r="K4250" s="246" t="str">
        <f t="shared" si="138"/>
        <v/>
      </c>
    </row>
    <row r="4251" spans="1:11" ht="30" customHeight="1" x14ac:dyDescent="0.2">
      <c r="A4251" s="242"/>
      <c r="F4251" s="285" t="str">
        <f t="shared" si="139"/>
        <v/>
      </c>
      <c r="K4251" s="246" t="str">
        <f t="shared" si="138"/>
        <v/>
      </c>
    </row>
    <row r="4252" spans="1:11" ht="30" customHeight="1" x14ac:dyDescent="0.2">
      <c r="A4252" s="242"/>
      <c r="F4252" s="285" t="str">
        <f t="shared" si="139"/>
        <v/>
      </c>
      <c r="K4252" s="246" t="str">
        <f t="shared" si="138"/>
        <v/>
      </c>
    </row>
    <row r="4253" spans="1:11" ht="30" customHeight="1" x14ac:dyDescent="0.2">
      <c r="A4253" s="242"/>
      <c r="F4253" s="285" t="str">
        <f t="shared" si="139"/>
        <v/>
      </c>
      <c r="K4253" s="246" t="str">
        <f t="shared" si="138"/>
        <v/>
      </c>
    </row>
    <row r="4254" spans="1:11" ht="30" customHeight="1" x14ac:dyDescent="0.2">
      <c r="A4254" s="242"/>
      <c r="F4254" s="285" t="str">
        <f t="shared" si="139"/>
        <v/>
      </c>
      <c r="K4254" s="246" t="str">
        <f t="shared" si="138"/>
        <v/>
      </c>
    </row>
    <row r="4255" spans="1:11" ht="30" customHeight="1" x14ac:dyDescent="0.2">
      <c r="A4255" s="242"/>
      <c r="F4255" s="285" t="str">
        <f t="shared" si="139"/>
        <v/>
      </c>
      <c r="K4255" s="246" t="str">
        <f t="shared" si="138"/>
        <v/>
      </c>
    </row>
    <row r="4256" spans="1:11" ht="30" customHeight="1" x14ac:dyDescent="0.2">
      <c r="A4256" s="242"/>
      <c r="F4256" s="285" t="str">
        <f t="shared" si="139"/>
        <v/>
      </c>
      <c r="K4256" s="246" t="str">
        <f t="shared" si="138"/>
        <v/>
      </c>
    </row>
    <row r="4257" spans="1:11" ht="30" customHeight="1" x14ac:dyDescent="0.2">
      <c r="A4257" s="242"/>
      <c r="F4257" s="285" t="str">
        <f t="shared" si="139"/>
        <v/>
      </c>
      <c r="K4257" s="246" t="str">
        <f t="shared" si="138"/>
        <v/>
      </c>
    </row>
    <row r="4258" spans="1:11" ht="30" customHeight="1" x14ac:dyDescent="0.2">
      <c r="A4258" s="242"/>
      <c r="F4258" s="285" t="str">
        <f t="shared" si="139"/>
        <v/>
      </c>
      <c r="K4258" s="246" t="str">
        <f t="shared" si="138"/>
        <v/>
      </c>
    </row>
    <row r="4259" spans="1:11" ht="30" customHeight="1" x14ac:dyDescent="0.2">
      <c r="A4259" s="242"/>
      <c r="F4259" s="285" t="str">
        <f t="shared" si="139"/>
        <v/>
      </c>
      <c r="K4259" s="246" t="str">
        <f t="shared" si="138"/>
        <v/>
      </c>
    </row>
    <row r="4260" spans="1:11" ht="30" customHeight="1" x14ac:dyDescent="0.2">
      <c r="A4260" s="242"/>
      <c r="F4260" s="285" t="str">
        <f t="shared" si="139"/>
        <v/>
      </c>
      <c r="K4260" s="246" t="str">
        <f t="shared" si="138"/>
        <v/>
      </c>
    </row>
    <row r="4261" spans="1:11" ht="30" customHeight="1" x14ac:dyDescent="0.2">
      <c r="A4261" s="242"/>
      <c r="F4261" s="285" t="str">
        <f t="shared" si="139"/>
        <v/>
      </c>
      <c r="K4261" s="246" t="str">
        <f t="shared" si="138"/>
        <v/>
      </c>
    </row>
    <row r="4262" spans="1:11" ht="30" customHeight="1" x14ac:dyDescent="0.2">
      <c r="A4262" s="242"/>
      <c r="F4262" s="285" t="str">
        <f t="shared" si="139"/>
        <v/>
      </c>
      <c r="K4262" s="246" t="str">
        <f t="shared" si="138"/>
        <v/>
      </c>
    </row>
    <row r="4263" spans="1:11" ht="30" customHeight="1" x14ac:dyDescent="0.2">
      <c r="A4263" s="242"/>
      <c r="F4263" s="285" t="str">
        <f t="shared" si="139"/>
        <v/>
      </c>
      <c r="K4263" s="246" t="str">
        <f t="shared" si="138"/>
        <v/>
      </c>
    </row>
    <row r="4264" spans="1:11" ht="30" customHeight="1" x14ac:dyDescent="0.2">
      <c r="A4264" s="242"/>
      <c r="F4264" s="285" t="str">
        <f t="shared" si="139"/>
        <v/>
      </c>
      <c r="K4264" s="246" t="str">
        <f t="shared" si="138"/>
        <v/>
      </c>
    </row>
    <row r="4265" spans="1:11" ht="30" customHeight="1" x14ac:dyDescent="0.2">
      <c r="A4265" s="242"/>
      <c r="F4265" s="285" t="str">
        <f t="shared" si="139"/>
        <v/>
      </c>
      <c r="K4265" s="246" t="str">
        <f t="shared" si="138"/>
        <v/>
      </c>
    </row>
    <row r="4266" spans="1:11" ht="30" customHeight="1" x14ac:dyDescent="0.2">
      <c r="A4266" s="242"/>
      <c r="F4266" s="285" t="str">
        <f t="shared" si="139"/>
        <v/>
      </c>
      <c r="K4266" s="246" t="str">
        <f t="shared" si="138"/>
        <v/>
      </c>
    </row>
    <row r="4267" spans="1:11" ht="30" customHeight="1" x14ac:dyDescent="0.2">
      <c r="A4267" s="242"/>
      <c r="F4267" s="285" t="str">
        <f t="shared" si="139"/>
        <v/>
      </c>
      <c r="K4267" s="246" t="str">
        <f t="shared" si="138"/>
        <v/>
      </c>
    </row>
    <row r="4268" spans="1:11" ht="30" customHeight="1" x14ac:dyDescent="0.2">
      <c r="A4268" s="242"/>
      <c r="F4268" s="285" t="str">
        <f t="shared" si="139"/>
        <v/>
      </c>
      <c r="K4268" s="246" t="str">
        <f t="shared" si="138"/>
        <v/>
      </c>
    </row>
    <row r="4269" spans="1:11" ht="30" customHeight="1" x14ac:dyDescent="0.2">
      <c r="A4269" s="242"/>
      <c r="F4269" s="285" t="str">
        <f t="shared" si="139"/>
        <v/>
      </c>
      <c r="K4269" s="246" t="str">
        <f t="shared" si="138"/>
        <v/>
      </c>
    </row>
    <row r="4270" spans="1:11" ht="30" customHeight="1" x14ac:dyDescent="0.2">
      <c r="A4270" s="242"/>
      <c r="F4270" s="285" t="str">
        <f t="shared" si="139"/>
        <v/>
      </c>
      <c r="K4270" s="246" t="str">
        <f t="shared" si="138"/>
        <v/>
      </c>
    </row>
    <row r="4271" spans="1:11" ht="30" customHeight="1" x14ac:dyDescent="0.2">
      <c r="A4271" s="242"/>
      <c r="F4271" s="285" t="str">
        <f t="shared" si="139"/>
        <v/>
      </c>
      <c r="K4271" s="246" t="str">
        <f t="shared" si="138"/>
        <v/>
      </c>
    </row>
    <row r="4272" spans="1:11" ht="30" customHeight="1" x14ac:dyDescent="0.2">
      <c r="A4272" s="242"/>
      <c r="F4272" s="285" t="str">
        <f t="shared" si="139"/>
        <v/>
      </c>
      <c r="K4272" s="246" t="str">
        <f t="shared" si="138"/>
        <v/>
      </c>
    </row>
    <row r="4273" spans="1:11" ht="30" customHeight="1" x14ac:dyDescent="0.2">
      <c r="A4273" s="242"/>
      <c r="F4273" s="285" t="str">
        <f t="shared" si="139"/>
        <v/>
      </c>
      <c r="K4273" s="246" t="str">
        <f t="shared" si="138"/>
        <v/>
      </c>
    </row>
    <row r="4274" spans="1:11" ht="30" customHeight="1" x14ac:dyDescent="0.2">
      <c r="A4274" s="242"/>
      <c r="F4274" s="285" t="str">
        <f t="shared" si="139"/>
        <v/>
      </c>
      <c r="K4274" s="246" t="str">
        <f t="shared" si="138"/>
        <v/>
      </c>
    </row>
    <row r="4275" spans="1:11" ht="30" customHeight="1" x14ac:dyDescent="0.2">
      <c r="A4275" s="242"/>
      <c r="F4275" s="285" t="str">
        <f t="shared" si="139"/>
        <v/>
      </c>
      <c r="K4275" s="246" t="str">
        <f t="shared" si="138"/>
        <v/>
      </c>
    </row>
    <row r="4276" spans="1:11" ht="30" customHeight="1" x14ac:dyDescent="0.2">
      <c r="A4276" s="242"/>
      <c r="F4276" s="285" t="str">
        <f t="shared" si="139"/>
        <v/>
      </c>
      <c r="K4276" s="246" t="str">
        <f t="shared" si="138"/>
        <v/>
      </c>
    </row>
    <row r="4277" spans="1:11" ht="30" customHeight="1" x14ac:dyDescent="0.2">
      <c r="A4277" s="242"/>
      <c r="F4277" s="285" t="str">
        <f t="shared" si="139"/>
        <v/>
      </c>
      <c r="K4277" s="246" t="str">
        <f t="shared" si="138"/>
        <v/>
      </c>
    </row>
    <row r="4278" spans="1:11" ht="30" customHeight="1" x14ac:dyDescent="0.2">
      <c r="A4278" s="242"/>
      <c r="F4278" s="285" t="str">
        <f t="shared" si="139"/>
        <v/>
      </c>
      <c r="K4278" s="246" t="str">
        <f t="shared" si="138"/>
        <v/>
      </c>
    </row>
    <row r="4279" spans="1:11" ht="30" customHeight="1" x14ac:dyDescent="0.2">
      <c r="A4279" s="242"/>
      <c r="F4279" s="285" t="str">
        <f t="shared" si="139"/>
        <v/>
      </c>
      <c r="K4279" s="246" t="str">
        <f t="shared" si="138"/>
        <v/>
      </c>
    </row>
    <row r="4280" spans="1:11" ht="30" customHeight="1" x14ac:dyDescent="0.2">
      <c r="A4280" s="242"/>
      <c r="F4280" s="285" t="str">
        <f t="shared" si="139"/>
        <v/>
      </c>
      <c r="K4280" s="246" t="str">
        <f t="shared" si="138"/>
        <v/>
      </c>
    </row>
    <row r="4281" spans="1:11" ht="30" customHeight="1" x14ac:dyDescent="0.2">
      <c r="A4281" s="242"/>
      <c r="F4281" s="285" t="str">
        <f t="shared" si="139"/>
        <v/>
      </c>
      <c r="K4281" s="246" t="str">
        <f t="shared" si="138"/>
        <v/>
      </c>
    </row>
    <row r="4282" spans="1:11" ht="30" customHeight="1" x14ac:dyDescent="0.2">
      <c r="A4282" s="242"/>
      <c r="F4282" s="285" t="str">
        <f t="shared" si="139"/>
        <v/>
      </c>
      <c r="K4282" s="246" t="str">
        <f t="shared" si="138"/>
        <v/>
      </c>
    </row>
    <row r="4283" spans="1:11" ht="30" customHeight="1" x14ac:dyDescent="0.2">
      <c r="A4283" s="242"/>
      <c r="F4283" s="285" t="str">
        <f t="shared" si="139"/>
        <v/>
      </c>
      <c r="K4283" s="246" t="str">
        <f t="shared" ref="K4283:K4346" si="140">IF(A4283="","",A4283)</f>
        <v/>
      </c>
    </row>
    <row r="4284" spans="1:11" ht="30" customHeight="1" x14ac:dyDescent="0.2">
      <c r="A4284" s="242"/>
      <c r="F4284" s="285" t="str">
        <f t="shared" si="139"/>
        <v/>
      </c>
      <c r="K4284" s="246" t="str">
        <f t="shared" si="140"/>
        <v/>
      </c>
    </row>
    <row r="4285" spans="1:11" ht="30" customHeight="1" x14ac:dyDescent="0.2">
      <c r="A4285" s="242"/>
      <c r="F4285" s="285" t="str">
        <f t="shared" si="139"/>
        <v/>
      </c>
      <c r="K4285" s="246" t="str">
        <f t="shared" si="140"/>
        <v/>
      </c>
    </row>
    <row r="4286" spans="1:11" ht="30" customHeight="1" x14ac:dyDescent="0.2">
      <c r="A4286" s="242"/>
      <c r="F4286" s="285" t="str">
        <f t="shared" si="139"/>
        <v/>
      </c>
      <c r="K4286" s="246" t="str">
        <f t="shared" si="140"/>
        <v/>
      </c>
    </row>
    <row r="4287" spans="1:11" ht="30" customHeight="1" x14ac:dyDescent="0.2">
      <c r="A4287" s="242"/>
      <c r="F4287" s="285" t="str">
        <f t="shared" si="139"/>
        <v/>
      </c>
      <c r="K4287" s="246" t="str">
        <f t="shared" si="140"/>
        <v/>
      </c>
    </row>
    <row r="4288" spans="1:11" ht="30" customHeight="1" x14ac:dyDescent="0.2">
      <c r="A4288" s="242"/>
      <c r="F4288" s="285" t="str">
        <f t="shared" si="139"/>
        <v/>
      </c>
      <c r="K4288" s="246" t="str">
        <f t="shared" si="140"/>
        <v/>
      </c>
    </row>
    <row r="4289" spans="1:11" ht="30" customHeight="1" x14ac:dyDescent="0.2">
      <c r="A4289" s="242"/>
      <c r="F4289" s="285" t="str">
        <f t="shared" si="139"/>
        <v/>
      </c>
      <c r="K4289" s="246" t="str">
        <f t="shared" si="140"/>
        <v/>
      </c>
    </row>
    <row r="4290" spans="1:11" ht="30" customHeight="1" x14ac:dyDescent="0.2">
      <c r="A4290" s="242"/>
      <c r="F4290" s="285" t="str">
        <f t="shared" si="139"/>
        <v/>
      </c>
      <c r="K4290" s="246" t="str">
        <f t="shared" si="140"/>
        <v/>
      </c>
    </row>
    <row r="4291" spans="1:11" ht="30" customHeight="1" x14ac:dyDescent="0.2">
      <c r="A4291" s="242"/>
      <c r="F4291" s="285" t="str">
        <f t="shared" si="139"/>
        <v/>
      </c>
      <c r="K4291" s="246" t="str">
        <f t="shared" si="140"/>
        <v/>
      </c>
    </row>
    <row r="4292" spans="1:11" ht="30" customHeight="1" x14ac:dyDescent="0.2">
      <c r="A4292" s="242"/>
      <c r="F4292" s="285" t="str">
        <f t="shared" si="139"/>
        <v/>
      </c>
      <c r="K4292" s="246" t="str">
        <f t="shared" si="140"/>
        <v/>
      </c>
    </row>
    <row r="4293" spans="1:11" ht="30" customHeight="1" x14ac:dyDescent="0.2">
      <c r="A4293" s="242"/>
      <c r="F4293" s="285" t="str">
        <f t="shared" ref="F4293:F4356" si="141">IF(A4293="","",A4293)</f>
        <v/>
      </c>
      <c r="K4293" s="246" t="str">
        <f t="shared" si="140"/>
        <v/>
      </c>
    </row>
    <row r="4294" spans="1:11" ht="30" customHeight="1" x14ac:dyDescent="0.2">
      <c r="A4294" s="242"/>
      <c r="F4294" s="285" t="str">
        <f t="shared" si="141"/>
        <v/>
      </c>
      <c r="K4294" s="246" t="str">
        <f t="shared" si="140"/>
        <v/>
      </c>
    </row>
    <row r="4295" spans="1:11" ht="30" customHeight="1" x14ac:dyDescent="0.2">
      <c r="A4295" s="242"/>
      <c r="F4295" s="285" t="str">
        <f t="shared" si="141"/>
        <v/>
      </c>
      <c r="K4295" s="246" t="str">
        <f t="shared" si="140"/>
        <v/>
      </c>
    </row>
    <row r="4296" spans="1:11" ht="30" customHeight="1" x14ac:dyDescent="0.2">
      <c r="A4296" s="242"/>
      <c r="F4296" s="285" t="str">
        <f t="shared" si="141"/>
        <v/>
      </c>
      <c r="K4296" s="246" t="str">
        <f t="shared" si="140"/>
        <v/>
      </c>
    </row>
    <row r="4297" spans="1:11" ht="30" customHeight="1" x14ac:dyDescent="0.2">
      <c r="A4297" s="242"/>
      <c r="F4297" s="285" t="str">
        <f t="shared" si="141"/>
        <v/>
      </c>
      <c r="K4297" s="246" t="str">
        <f t="shared" si="140"/>
        <v/>
      </c>
    </row>
    <row r="4298" spans="1:11" ht="30" customHeight="1" x14ac:dyDescent="0.2">
      <c r="A4298" s="242"/>
      <c r="F4298" s="285" t="str">
        <f t="shared" si="141"/>
        <v/>
      </c>
      <c r="K4298" s="246" t="str">
        <f t="shared" si="140"/>
        <v/>
      </c>
    </row>
    <row r="4299" spans="1:11" ht="30" customHeight="1" x14ac:dyDescent="0.2">
      <c r="A4299" s="242"/>
      <c r="F4299" s="285" t="str">
        <f t="shared" si="141"/>
        <v/>
      </c>
      <c r="K4299" s="246" t="str">
        <f t="shared" si="140"/>
        <v/>
      </c>
    </row>
    <row r="4300" spans="1:11" ht="30" customHeight="1" x14ac:dyDescent="0.2">
      <c r="A4300" s="242"/>
      <c r="F4300" s="285" t="str">
        <f t="shared" si="141"/>
        <v/>
      </c>
      <c r="K4300" s="246" t="str">
        <f t="shared" si="140"/>
        <v/>
      </c>
    </row>
    <row r="4301" spans="1:11" ht="30" customHeight="1" x14ac:dyDescent="0.2">
      <c r="A4301" s="242"/>
      <c r="F4301" s="285" t="str">
        <f t="shared" si="141"/>
        <v/>
      </c>
      <c r="K4301" s="246" t="str">
        <f t="shared" si="140"/>
        <v/>
      </c>
    </row>
    <row r="4302" spans="1:11" ht="30" customHeight="1" x14ac:dyDescent="0.2">
      <c r="A4302" s="242"/>
      <c r="F4302" s="285" t="str">
        <f t="shared" si="141"/>
        <v/>
      </c>
      <c r="K4302" s="246" t="str">
        <f t="shared" si="140"/>
        <v/>
      </c>
    </row>
    <row r="4303" spans="1:11" ht="30" customHeight="1" x14ac:dyDescent="0.2">
      <c r="A4303" s="242"/>
      <c r="F4303" s="285" t="str">
        <f t="shared" si="141"/>
        <v/>
      </c>
      <c r="K4303" s="246" t="str">
        <f t="shared" si="140"/>
        <v/>
      </c>
    </row>
    <row r="4304" spans="1:11" ht="30" customHeight="1" x14ac:dyDescent="0.2">
      <c r="A4304" s="242"/>
      <c r="F4304" s="285" t="str">
        <f t="shared" si="141"/>
        <v/>
      </c>
      <c r="K4304" s="246" t="str">
        <f t="shared" si="140"/>
        <v/>
      </c>
    </row>
    <row r="4305" spans="1:11" ht="30" customHeight="1" x14ac:dyDescent="0.2">
      <c r="A4305" s="242"/>
      <c r="F4305" s="285" t="str">
        <f t="shared" si="141"/>
        <v/>
      </c>
      <c r="K4305" s="246" t="str">
        <f t="shared" si="140"/>
        <v/>
      </c>
    </row>
    <row r="4306" spans="1:11" ht="30" customHeight="1" x14ac:dyDescent="0.2">
      <c r="A4306" s="242"/>
      <c r="F4306" s="285" t="str">
        <f t="shared" si="141"/>
        <v/>
      </c>
      <c r="K4306" s="246" t="str">
        <f t="shared" si="140"/>
        <v/>
      </c>
    </row>
    <row r="4307" spans="1:11" ht="30" customHeight="1" x14ac:dyDescent="0.2">
      <c r="A4307" s="242"/>
      <c r="F4307" s="285" t="str">
        <f t="shared" si="141"/>
        <v/>
      </c>
      <c r="K4307" s="246" t="str">
        <f t="shared" si="140"/>
        <v/>
      </c>
    </row>
    <row r="4308" spans="1:11" ht="30" customHeight="1" x14ac:dyDescent="0.2">
      <c r="A4308" s="242"/>
      <c r="F4308" s="285" t="str">
        <f t="shared" si="141"/>
        <v/>
      </c>
      <c r="K4308" s="246" t="str">
        <f t="shared" si="140"/>
        <v/>
      </c>
    </row>
    <row r="4309" spans="1:11" ht="30" customHeight="1" x14ac:dyDescent="0.2">
      <c r="A4309" s="242"/>
      <c r="F4309" s="285" t="str">
        <f t="shared" si="141"/>
        <v/>
      </c>
      <c r="K4309" s="246" t="str">
        <f t="shared" si="140"/>
        <v/>
      </c>
    </row>
    <row r="4310" spans="1:11" ht="30" customHeight="1" x14ac:dyDescent="0.2">
      <c r="A4310" s="242"/>
      <c r="F4310" s="285" t="str">
        <f t="shared" si="141"/>
        <v/>
      </c>
      <c r="K4310" s="246" t="str">
        <f t="shared" si="140"/>
        <v/>
      </c>
    </row>
    <row r="4311" spans="1:11" ht="30" customHeight="1" x14ac:dyDescent="0.2">
      <c r="A4311" s="242"/>
      <c r="F4311" s="285" t="str">
        <f t="shared" si="141"/>
        <v/>
      </c>
      <c r="K4311" s="246" t="str">
        <f t="shared" si="140"/>
        <v/>
      </c>
    </row>
    <row r="4312" spans="1:11" ht="30" customHeight="1" x14ac:dyDescent="0.2">
      <c r="A4312" s="242"/>
      <c r="F4312" s="285" t="str">
        <f t="shared" si="141"/>
        <v/>
      </c>
      <c r="K4312" s="246" t="str">
        <f t="shared" si="140"/>
        <v/>
      </c>
    </row>
    <row r="4313" spans="1:11" ht="30" customHeight="1" x14ac:dyDescent="0.2">
      <c r="A4313" s="242"/>
      <c r="F4313" s="285" t="str">
        <f t="shared" si="141"/>
        <v/>
      </c>
      <c r="K4313" s="246" t="str">
        <f t="shared" si="140"/>
        <v/>
      </c>
    </row>
    <row r="4314" spans="1:11" ht="30" customHeight="1" x14ac:dyDescent="0.2">
      <c r="A4314" s="242"/>
      <c r="F4314" s="285" t="str">
        <f t="shared" si="141"/>
        <v/>
      </c>
      <c r="K4314" s="246" t="str">
        <f t="shared" si="140"/>
        <v/>
      </c>
    </row>
    <row r="4315" spans="1:11" ht="30" customHeight="1" x14ac:dyDescent="0.2">
      <c r="A4315" s="242"/>
      <c r="F4315" s="285" t="str">
        <f t="shared" si="141"/>
        <v/>
      </c>
      <c r="K4315" s="246" t="str">
        <f t="shared" si="140"/>
        <v/>
      </c>
    </row>
    <row r="4316" spans="1:11" ht="30" customHeight="1" x14ac:dyDescent="0.2">
      <c r="A4316" s="242"/>
      <c r="F4316" s="285" t="str">
        <f t="shared" si="141"/>
        <v/>
      </c>
      <c r="K4316" s="246" t="str">
        <f t="shared" si="140"/>
        <v/>
      </c>
    </row>
    <row r="4317" spans="1:11" ht="30" customHeight="1" x14ac:dyDescent="0.2">
      <c r="A4317" s="242"/>
      <c r="F4317" s="285" t="str">
        <f t="shared" si="141"/>
        <v/>
      </c>
      <c r="K4317" s="246" t="str">
        <f t="shared" si="140"/>
        <v/>
      </c>
    </row>
    <row r="4318" spans="1:11" ht="30" customHeight="1" x14ac:dyDescent="0.2">
      <c r="A4318" s="242"/>
      <c r="F4318" s="285" t="str">
        <f t="shared" si="141"/>
        <v/>
      </c>
      <c r="K4318" s="246" t="str">
        <f t="shared" si="140"/>
        <v/>
      </c>
    </row>
    <row r="4319" spans="1:11" ht="30" customHeight="1" x14ac:dyDescent="0.2">
      <c r="A4319" s="242"/>
      <c r="F4319" s="285" t="str">
        <f t="shared" si="141"/>
        <v/>
      </c>
      <c r="K4319" s="246" t="str">
        <f t="shared" si="140"/>
        <v/>
      </c>
    </row>
    <row r="4320" spans="1:11" ht="30" customHeight="1" x14ac:dyDescent="0.2">
      <c r="A4320" s="242"/>
      <c r="F4320" s="285" t="str">
        <f t="shared" si="141"/>
        <v/>
      </c>
      <c r="K4320" s="246" t="str">
        <f t="shared" si="140"/>
        <v/>
      </c>
    </row>
    <row r="4321" spans="1:11" ht="30" customHeight="1" x14ac:dyDescent="0.2">
      <c r="A4321" s="242"/>
      <c r="F4321" s="285" t="str">
        <f t="shared" si="141"/>
        <v/>
      </c>
      <c r="K4321" s="246" t="str">
        <f t="shared" si="140"/>
        <v/>
      </c>
    </row>
    <row r="4322" spans="1:11" ht="30" customHeight="1" x14ac:dyDescent="0.2">
      <c r="A4322" s="242"/>
      <c r="F4322" s="285" t="str">
        <f t="shared" si="141"/>
        <v/>
      </c>
      <c r="K4322" s="246" t="str">
        <f t="shared" si="140"/>
        <v/>
      </c>
    </row>
    <row r="4323" spans="1:11" ht="30" customHeight="1" x14ac:dyDescent="0.2">
      <c r="A4323" s="242"/>
      <c r="F4323" s="285" t="str">
        <f t="shared" si="141"/>
        <v/>
      </c>
      <c r="K4323" s="246" t="str">
        <f t="shared" si="140"/>
        <v/>
      </c>
    </row>
    <row r="4324" spans="1:11" ht="30" customHeight="1" x14ac:dyDescent="0.2">
      <c r="A4324" s="242"/>
      <c r="F4324" s="285" t="str">
        <f t="shared" si="141"/>
        <v/>
      </c>
      <c r="K4324" s="246" t="str">
        <f t="shared" si="140"/>
        <v/>
      </c>
    </row>
    <row r="4325" spans="1:11" ht="30" customHeight="1" x14ac:dyDescent="0.2">
      <c r="A4325" s="242"/>
      <c r="F4325" s="285" t="str">
        <f t="shared" si="141"/>
        <v/>
      </c>
      <c r="K4325" s="246" t="str">
        <f t="shared" si="140"/>
        <v/>
      </c>
    </row>
    <row r="4326" spans="1:11" ht="30" customHeight="1" x14ac:dyDescent="0.2">
      <c r="A4326" s="242"/>
      <c r="F4326" s="285" t="str">
        <f t="shared" si="141"/>
        <v/>
      </c>
      <c r="K4326" s="246" t="str">
        <f t="shared" si="140"/>
        <v/>
      </c>
    </row>
    <row r="4327" spans="1:11" ht="30" customHeight="1" x14ac:dyDescent="0.2">
      <c r="A4327" s="242"/>
      <c r="F4327" s="285" t="str">
        <f t="shared" si="141"/>
        <v/>
      </c>
      <c r="K4327" s="246" t="str">
        <f t="shared" si="140"/>
        <v/>
      </c>
    </row>
    <row r="4328" spans="1:11" ht="30" customHeight="1" x14ac:dyDescent="0.2">
      <c r="A4328" s="242"/>
      <c r="F4328" s="285" t="str">
        <f t="shared" si="141"/>
        <v/>
      </c>
      <c r="K4328" s="246" t="str">
        <f t="shared" si="140"/>
        <v/>
      </c>
    </row>
    <row r="4329" spans="1:11" ht="30" customHeight="1" x14ac:dyDescent="0.2">
      <c r="A4329" s="242"/>
      <c r="F4329" s="285" t="str">
        <f t="shared" si="141"/>
        <v/>
      </c>
      <c r="K4329" s="246" t="str">
        <f t="shared" si="140"/>
        <v/>
      </c>
    </row>
    <row r="4330" spans="1:11" ht="30" customHeight="1" x14ac:dyDescent="0.2">
      <c r="A4330" s="242"/>
      <c r="F4330" s="285" t="str">
        <f t="shared" si="141"/>
        <v/>
      </c>
      <c r="K4330" s="246" t="str">
        <f t="shared" si="140"/>
        <v/>
      </c>
    </row>
    <row r="4331" spans="1:11" ht="30" customHeight="1" x14ac:dyDescent="0.2">
      <c r="A4331" s="242"/>
      <c r="F4331" s="285" t="str">
        <f t="shared" si="141"/>
        <v/>
      </c>
      <c r="K4331" s="246" t="str">
        <f t="shared" si="140"/>
        <v/>
      </c>
    </row>
    <row r="4332" spans="1:11" ht="30" customHeight="1" x14ac:dyDescent="0.2">
      <c r="A4332" s="242"/>
      <c r="F4332" s="285" t="str">
        <f t="shared" si="141"/>
        <v/>
      </c>
      <c r="K4332" s="246" t="str">
        <f t="shared" si="140"/>
        <v/>
      </c>
    </row>
    <row r="4333" spans="1:11" ht="30" customHeight="1" x14ac:dyDescent="0.2">
      <c r="A4333" s="242"/>
      <c r="F4333" s="285" t="str">
        <f t="shared" si="141"/>
        <v/>
      </c>
      <c r="K4333" s="246" t="str">
        <f t="shared" si="140"/>
        <v/>
      </c>
    </row>
    <row r="4334" spans="1:11" ht="30" customHeight="1" x14ac:dyDescent="0.2">
      <c r="A4334" s="242"/>
      <c r="F4334" s="285" t="str">
        <f t="shared" si="141"/>
        <v/>
      </c>
      <c r="K4334" s="246" t="str">
        <f t="shared" si="140"/>
        <v/>
      </c>
    </row>
    <row r="4335" spans="1:11" ht="30" customHeight="1" x14ac:dyDescent="0.2">
      <c r="A4335" s="242"/>
      <c r="F4335" s="285" t="str">
        <f t="shared" si="141"/>
        <v/>
      </c>
      <c r="K4335" s="246" t="str">
        <f t="shared" si="140"/>
        <v/>
      </c>
    </row>
    <row r="4336" spans="1:11" ht="30" customHeight="1" x14ac:dyDescent="0.2">
      <c r="A4336" s="242"/>
      <c r="F4336" s="285" t="str">
        <f t="shared" si="141"/>
        <v/>
      </c>
      <c r="K4336" s="246" t="str">
        <f t="shared" si="140"/>
        <v/>
      </c>
    </row>
    <row r="4337" spans="1:11" ht="30" customHeight="1" x14ac:dyDescent="0.2">
      <c r="A4337" s="242"/>
      <c r="F4337" s="285" t="str">
        <f t="shared" si="141"/>
        <v/>
      </c>
      <c r="K4337" s="246" t="str">
        <f t="shared" si="140"/>
        <v/>
      </c>
    </row>
    <row r="4338" spans="1:11" ht="30" customHeight="1" x14ac:dyDescent="0.2">
      <c r="A4338" s="242"/>
      <c r="F4338" s="285" t="str">
        <f t="shared" si="141"/>
        <v/>
      </c>
      <c r="K4338" s="246" t="str">
        <f t="shared" si="140"/>
        <v/>
      </c>
    </row>
    <row r="4339" spans="1:11" ht="30" customHeight="1" x14ac:dyDescent="0.2">
      <c r="A4339" s="242"/>
      <c r="F4339" s="285" t="str">
        <f t="shared" si="141"/>
        <v/>
      </c>
      <c r="K4339" s="246" t="str">
        <f t="shared" si="140"/>
        <v/>
      </c>
    </row>
    <row r="4340" spans="1:11" ht="30" customHeight="1" x14ac:dyDescent="0.2">
      <c r="A4340" s="242"/>
      <c r="F4340" s="285" t="str">
        <f t="shared" si="141"/>
        <v/>
      </c>
      <c r="K4340" s="246" t="str">
        <f t="shared" si="140"/>
        <v/>
      </c>
    </row>
    <row r="4341" spans="1:11" ht="30" customHeight="1" x14ac:dyDescent="0.2">
      <c r="A4341" s="242"/>
      <c r="F4341" s="285" t="str">
        <f t="shared" si="141"/>
        <v/>
      </c>
      <c r="K4341" s="246" t="str">
        <f t="shared" si="140"/>
        <v/>
      </c>
    </row>
    <row r="4342" spans="1:11" ht="30" customHeight="1" x14ac:dyDescent="0.2">
      <c r="A4342" s="242"/>
      <c r="F4342" s="285" t="str">
        <f t="shared" si="141"/>
        <v/>
      </c>
      <c r="K4342" s="246" t="str">
        <f t="shared" si="140"/>
        <v/>
      </c>
    </row>
    <row r="4343" spans="1:11" ht="30" customHeight="1" x14ac:dyDescent="0.2">
      <c r="A4343" s="242"/>
      <c r="F4343" s="285" t="str">
        <f t="shared" si="141"/>
        <v/>
      </c>
      <c r="K4343" s="246" t="str">
        <f t="shared" si="140"/>
        <v/>
      </c>
    </row>
    <row r="4344" spans="1:11" ht="30" customHeight="1" x14ac:dyDescent="0.2">
      <c r="A4344" s="242"/>
      <c r="F4344" s="285" t="str">
        <f t="shared" si="141"/>
        <v/>
      </c>
      <c r="K4344" s="246" t="str">
        <f t="shared" si="140"/>
        <v/>
      </c>
    </row>
    <row r="4345" spans="1:11" ht="30" customHeight="1" x14ac:dyDescent="0.2">
      <c r="A4345" s="242"/>
      <c r="F4345" s="285" t="str">
        <f t="shared" si="141"/>
        <v/>
      </c>
      <c r="K4345" s="246" t="str">
        <f t="shared" si="140"/>
        <v/>
      </c>
    </row>
    <row r="4346" spans="1:11" ht="30" customHeight="1" x14ac:dyDescent="0.2">
      <c r="A4346" s="242"/>
      <c r="F4346" s="285" t="str">
        <f t="shared" si="141"/>
        <v/>
      </c>
      <c r="K4346" s="246" t="str">
        <f t="shared" si="140"/>
        <v/>
      </c>
    </row>
    <row r="4347" spans="1:11" ht="30" customHeight="1" x14ac:dyDescent="0.2">
      <c r="A4347" s="242"/>
      <c r="F4347" s="285" t="str">
        <f t="shared" si="141"/>
        <v/>
      </c>
      <c r="K4347" s="246" t="str">
        <f t="shared" ref="K4347:K4410" si="142">IF(A4347="","",A4347)</f>
        <v/>
      </c>
    </row>
    <row r="4348" spans="1:11" ht="30" customHeight="1" x14ac:dyDescent="0.2">
      <c r="A4348" s="242"/>
      <c r="F4348" s="285" t="str">
        <f t="shared" si="141"/>
        <v/>
      </c>
      <c r="K4348" s="246" t="str">
        <f t="shared" si="142"/>
        <v/>
      </c>
    </row>
    <row r="4349" spans="1:11" ht="30" customHeight="1" x14ac:dyDescent="0.2">
      <c r="A4349" s="242"/>
      <c r="F4349" s="285" t="str">
        <f t="shared" si="141"/>
        <v/>
      </c>
      <c r="K4349" s="246" t="str">
        <f t="shared" si="142"/>
        <v/>
      </c>
    </row>
    <row r="4350" spans="1:11" ht="30" customHeight="1" x14ac:dyDescent="0.2">
      <c r="A4350" s="242"/>
      <c r="F4350" s="285" t="str">
        <f t="shared" si="141"/>
        <v/>
      </c>
      <c r="K4350" s="246" t="str">
        <f t="shared" si="142"/>
        <v/>
      </c>
    </row>
    <row r="4351" spans="1:11" ht="30" customHeight="1" x14ac:dyDescent="0.2">
      <c r="A4351" s="242"/>
      <c r="F4351" s="285" t="str">
        <f t="shared" si="141"/>
        <v/>
      </c>
      <c r="K4351" s="246" t="str">
        <f t="shared" si="142"/>
        <v/>
      </c>
    </row>
    <row r="4352" spans="1:11" ht="30" customHeight="1" x14ac:dyDescent="0.2">
      <c r="A4352" s="242"/>
      <c r="F4352" s="285" t="str">
        <f t="shared" si="141"/>
        <v/>
      </c>
      <c r="K4352" s="246" t="str">
        <f t="shared" si="142"/>
        <v/>
      </c>
    </row>
    <row r="4353" spans="1:11" ht="30" customHeight="1" x14ac:dyDescent="0.2">
      <c r="A4353" s="242"/>
      <c r="F4353" s="285" t="str">
        <f t="shared" si="141"/>
        <v/>
      </c>
      <c r="K4353" s="246" t="str">
        <f t="shared" si="142"/>
        <v/>
      </c>
    </row>
    <row r="4354" spans="1:11" ht="30" customHeight="1" x14ac:dyDescent="0.2">
      <c r="A4354" s="242"/>
      <c r="F4354" s="285" t="str">
        <f t="shared" si="141"/>
        <v/>
      </c>
      <c r="K4354" s="246" t="str">
        <f t="shared" si="142"/>
        <v/>
      </c>
    </row>
    <row r="4355" spans="1:11" ht="30" customHeight="1" x14ac:dyDescent="0.2">
      <c r="A4355" s="242"/>
      <c r="F4355" s="285" t="str">
        <f t="shared" si="141"/>
        <v/>
      </c>
      <c r="K4355" s="246" t="str">
        <f t="shared" si="142"/>
        <v/>
      </c>
    </row>
    <row r="4356" spans="1:11" ht="30" customHeight="1" x14ac:dyDescent="0.2">
      <c r="A4356" s="242"/>
      <c r="F4356" s="285" t="str">
        <f t="shared" si="141"/>
        <v/>
      </c>
      <c r="K4356" s="246" t="str">
        <f t="shared" si="142"/>
        <v/>
      </c>
    </row>
    <row r="4357" spans="1:11" ht="30" customHeight="1" x14ac:dyDescent="0.2">
      <c r="A4357" s="242"/>
      <c r="F4357" s="285" t="str">
        <f t="shared" ref="F4357:F4420" si="143">IF(A4357="","",A4357)</f>
        <v/>
      </c>
      <c r="K4357" s="246" t="str">
        <f t="shared" si="142"/>
        <v/>
      </c>
    </row>
    <row r="4358" spans="1:11" ht="30" customHeight="1" x14ac:dyDescent="0.2">
      <c r="A4358" s="242"/>
      <c r="F4358" s="285" t="str">
        <f t="shared" si="143"/>
        <v/>
      </c>
      <c r="K4358" s="246" t="str">
        <f t="shared" si="142"/>
        <v/>
      </c>
    </row>
    <row r="4359" spans="1:11" ht="30" customHeight="1" x14ac:dyDescent="0.2">
      <c r="A4359" s="242"/>
      <c r="F4359" s="285" t="str">
        <f t="shared" si="143"/>
        <v/>
      </c>
      <c r="K4359" s="246" t="str">
        <f t="shared" si="142"/>
        <v/>
      </c>
    </row>
    <row r="4360" spans="1:11" ht="30" customHeight="1" x14ac:dyDescent="0.2">
      <c r="A4360" s="242"/>
      <c r="F4360" s="285" t="str">
        <f t="shared" si="143"/>
        <v/>
      </c>
      <c r="K4360" s="246" t="str">
        <f t="shared" si="142"/>
        <v/>
      </c>
    </row>
    <row r="4361" spans="1:11" ht="30" customHeight="1" x14ac:dyDescent="0.2">
      <c r="A4361" s="242"/>
      <c r="F4361" s="285" t="str">
        <f t="shared" si="143"/>
        <v/>
      </c>
      <c r="K4361" s="246" t="str">
        <f t="shared" si="142"/>
        <v/>
      </c>
    </row>
    <row r="4362" spans="1:11" ht="30" customHeight="1" x14ac:dyDescent="0.2">
      <c r="A4362" s="242"/>
      <c r="F4362" s="285" t="str">
        <f t="shared" si="143"/>
        <v/>
      </c>
      <c r="K4362" s="246" t="str">
        <f t="shared" si="142"/>
        <v/>
      </c>
    </row>
    <row r="4363" spans="1:11" ht="30" customHeight="1" x14ac:dyDescent="0.2">
      <c r="A4363" s="242"/>
      <c r="F4363" s="285" t="str">
        <f t="shared" si="143"/>
        <v/>
      </c>
      <c r="K4363" s="246" t="str">
        <f t="shared" si="142"/>
        <v/>
      </c>
    </row>
    <row r="4364" spans="1:11" ht="30" customHeight="1" x14ac:dyDescent="0.2">
      <c r="A4364" s="242"/>
      <c r="F4364" s="285" t="str">
        <f t="shared" si="143"/>
        <v/>
      </c>
      <c r="K4364" s="246" t="str">
        <f t="shared" si="142"/>
        <v/>
      </c>
    </row>
    <row r="4365" spans="1:11" ht="30" customHeight="1" x14ac:dyDescent="0.2">
      <c r="A4365" s="242"/>
      <c r="F4365" s="285" t="str">
        <f t="shared" si="143"/>
        <v/>
      </c>
      <c r="K4365" s="246" t="str">
        <f t="shared" si="142"/>
        <v/>
      </c>
    </row>
    <row r="4366" spans="1:11" ht="30" customHeight="1" x14ac:dyDescent="0.2">
      <c r="A4366" s="242"/>
      <c r="F4366" s="285" t="str">
        <f t="shared" si="143"/>
        <v/>
      </c>
      <c r="K4366" s="246" t="str">
        <f t="shared" si="142"/>
        <v/>
      </c>
    </row>
    <row r="4367" spans="1:11" ht="30" customHeight="1" x14ac:dyDescent="0.2">
      <c r="A4367" s="242"/>
      <c r="F4367" s="285" t="str">
        <f t="shared" si="143"/>
        <v/>
      </c>
      <c r="K4367" s="246" t="str">
        <f t="shared" si="142"/>
        <v/>
      </c>
    </row>
    <row r="4368" spans="1:11" ht="30" customHeight="1" x14ac:dyDescent="0.2">
      <c r="A4368" s="242"/>
      <c r="F4368" s="285" t="str">
        <f t="shared" si="143"/>
        <v/>
      </c>
      <c r="K4368" s="246" t="str">
        <f t="shared" si="142"/>
        <v/>
      </c>
    </row>
    <row r="4369" spans="1:11" ht="30" customHeight="1" x14ac:dyDescent="0.2">
      <c r="A4369" s="242"/>
      <c r="F4369" s="285" t="str">
        <f t="shared" si="143"/>
        <v/>
      </c>
      <c r="K4369" s="246" t="str">
        <f t="shared" si="142"/>
        <v/>
      </c>
    </row>
    <row r="4370" spans="1:11" ht="30" customHeight="1" x14ac:dyDescent="0.2">
      <c r="A4370" s="242"/>
      <c r="F4370" s="285" t="str">
        <f t="shared" si="143"/>
        <v/>
      </c>
      <c r="K4370" s="246" t="str">
        <f t="shared" si="142"/>
        <v/>
      </c>
    </row>
    <row r="4371" spans="1:11" ht="30" customHeight="1" x14ac:dyDescent="0.2">
      <c r="A4371" s="242"/>
      <c r="F4371" s="285" t="str">
        <f t="shared" si="143"/>
        <v/>
      </c>
      <c r="K4371" s="246" t="str">
        <f t="shared" si="142"/>
        <v/>
      </c>
    </row>
    <row r="4372" spans="1:11" ht="30" customHeight="1" x14ac:dyDescent="0.2">
      <c r="A4372" s="242"/>
      <c r="F4372" s="285" t="str">
        <f t="shared" si="143"/>
        <v/>
      </c>
      <c r="K4372" s="246" t="str">
        <f t="shared" si="142"/>
        <v/>
      </c>
    </row>
    <row r="4373" spans="1:11" ht="30" customHeight="1" x14ac:dyDescent="0.2">
      <c r="A4373" s="242"/>
      <c r="F4373" s="285" t="str">
        <f t="shared" si="143"/>
        <v/>
      </c>
      <c r="K4373" s="246" t="str">
        <f t="shared" si="142"/>
        <v/>
      </c>
    </row>
    <row r="4374" spans="1:11" ht="30" customHeight="1" x14ac:dyDescent="0.2">
      <c r="A4374" s="242"/>
      <c r="F4374" s="285" t="str">
        <f t="shared" si="143"/>
        <v/>
      </c>
      <c r="K4374" s="246" t="str">
        <f t="shared" si="142"/>
        <v/>
      </c>
    </row>
    <row r="4375" spans="1:11" ht="30" customHeight="1" x14ac:dyDescent="0.2">
      <c r="A4375" s="242"/>
      <c r="F4375" s="285" t="str">
        <f t="shared" si="143"/>
        <v/>
      </c>
      <c r="K4375" s="246" t="str">
        <f t="shared" si="142"/>
        <v/>
      </c>
    </row>
    <row r="4376" spans="1:11" ht="30" customHeight="1" x14ac:dyDescent="0.2">
      <c r="A4376" s="242"/>
      <c r="F4376" s="285" t="str">
        <f t="shared" si="143"/>
        <v/>
      </c>
      <c r="K4376" s="246" t="str">
        <f t="shared" si="142"/>
        <v/>
      </c>
    </row>
    <row r="4377" spans="1:11" ht="30" customHeight="1" x14ac:dyDescent="0.2">
      <c r="A4377" s="242"/>
      <c r="F4377" s="285" t="str">
        <f t="shared" si="143"/>
        <v/>
      </c>
      <c r="K4377" s="246" t="str">
        <f t="shared" si="142"/>
        <v/>
      </c>
    </row>
    <row r="4378" spans="1:11" ht="30" customHeight="1" x14ac:dyDescent="0.2">
      <c r="A4378" s="242"/>
      <c r="F4378" s="285" t="str">
        <f t="shared" si="143"/>
        <v/>
      </c>
      <c r="K4378" s="246" t="str">
        <f t="shared" si="142"/>
        <v/>
      </c>
    </row>
    <row r="4379" spans="1:11" ht="30" customHeight="1" x14ac:dyDescent="0.2">
      <c r="A4379" s="242"/>
      <c r="F4379" s="285" t="str">
        <f t="shared" si="143"/>
        <v/>
      </c>
      <c r="K4379" s="246" t="str">
        <f t="shared" si="142"/>
        <v/>
      </c>
    </row>
    <row r="4380" spans="1:11" ht="30" customHeight="1" x14ac:dyDescent="0.2">
      <c r="A4380" s="242"/>
      <c r="F4380" s="285" t="str">
        <f t="shared" si="143"/>
        <v/>
      </c>
      <c r="K4380" s="246" t="str">
        <f t="shared" si="142"/>
        <v/>
      </c>
    </row>
    <row r="4381" spans="1:11" ht="30" customHeight="1" x14ac:dyDescent="0.2">
      <c r="A4381" s="242"/>
      <c r="F4381" s="285" t="str">
        <f t="shared" si="143"/>
        <v/>
      </c>
      <c r="K4381" s="246" t="str">
        <f t="shared" si="142"/>
        <v/>
      </c>
    </row>
    <row r="4382" spans="1:11" ht="30" customHeight="1" x14ac:dyDescent="0.2">
      <c r="A4382" s="242"/>
      <c r="F4382" s="285" t="str">
        <f t="shared" si="143"/>
        <v/>
      </c>
      <c r="K4382" s="246" t="str">
        <f t="shared" si="142"/>
        <v/>
      </c>
    </row>
    <row r="4383" spans="1:11" ht="30" customHeight="1" x14ac:dyDescent="0.2">
      <c r="A4383" s="242"/>
      <c r="F4383" s="285" t="str">
        <f t="shared" si="143"/>
        <v/>
      </c>
      <c r="K4383" s="246" t="str">
        <f t="shared" si="142"/>
        <v/>
      </c>
    </row>
    <row r="4384" spans="1:11" ht="30" customHeight="1" x14ac:dyDescent="0.2">
      <c r="A4384" s="242"/>
      <c r="F4384" s="285" t="str">
        <f t="shared" si="143"/>
        <v/>
      </c>
      <c r="K4384" s="246" t="str">
        <f t="shared" si="142"/>
        <v/>
      </c>
    </row>
    <row r="4385" spans="1:11" ht="30" customHeight="1" x14ac:dyDescent="0.2">
      <c r="A4385" s="242"/>
      <c r="F4385" s="285" t="str">
        <f t="shared" si="143"/>
        <v/>
      </c>
      <c r="K4385" s="246" t="str">
        <f t="shared" si="142"/>
        <v/>
      </c>
    </row>
    <row r="4386" spans="1:11" ht="30" customHeight="1" x14ac:dyDescent="0.2">
      <c r="A4386" s="242"/>
      <c r="F4386" s="285" t="str">
        <f t="shared" si="143"/>
        <v/>
      </c>
      <c r="K4386" s="246" t="str">
        <f t="shared" si="142"/>
        <v/>
      </c>
    </row>
    <row r="4387" spans="1:11" ht="30" customHeight="1" x14ac:dyDescent="0.2">
      <c r="A4387" s="242"/>
      <c r="F4387" s="285" t="str">
        <f t="shared" si="143"/>
        <v/>
      </c>
      <c r="K4387" s="246" t="str">
        <f t="shared" si="142"/>
        <v/>
      </c>
    </row>
    <row r="4388" spans="1:11" ht="30" customHeight="1" x14ac:dyDescent="0.2">
      <c r="A4388" s="242"/>
      <c r="F4388" s="285" t="str">
        <f t="shared" si="143"/>
        <v/>
      </c>
      <c r="K4388" s="246" t="str">
        <f t="shared" si="142"/>
        <v/>
      </c>
    </row>
    <row r="4389" spans="1:11" ht="30" customHeight="1" x14ac:dyDescent="0.2">
      <c r="A4389" s="242"/>
      <c r="F4389" s="285" t="str">
        <f t="shared" si="143"/>
        <v/>
      </c>
      <c r="K4389" s="246" t="str">
        <f t="shared" si="142"/>
        <v/>
      </c>
    </row>
    <row r="4390" spans="1:11" ht="30" customHeight="1" x14ac:dyDescent="0.2">
      <c r="A4390" s="242"/>
      <c r="F4390" s="285" t="str">
        <f t="shared" si="143"/>
        <v/>
      </c>
      <c r="K4390" s="246" t="str">
        <f t="shared" si="142"/>
        <v/>
      </c>
    </row>
    <row r="4391" spans="1:11" ht="30" customHeight="1" x14ac:dyDescent="0.2">
      <c r="A4391" s="242"/>
      <c r="F4391" s="285" t="str">
        <f t="shared" si="143"/>
        <v/>
      </c>
      <c r="K4391" s="246" t="str">
        <f t="shared" si="142"/>
        <v/>
      </c>
    </row>
    <row r="4392" spans="1:11" ht="30" customHeight="1" x14ac:dyDescent="0.2">
      <c r="A4392" s="242"/>
      <c r="F4392" s="285" t="str">
        <f t="shared" si="143"/>
        <v/>
      </c>
      <c r="K4392" s="246" t="str">
        <f t="shared" si="142"/>
        <v/>
      </c>
    </row>
    <row r="4393" spans="1:11" ht="30" customHeight="1" x14ac:dyDescent="0.2">
      <c r="A4393" s="242"/>
      <c r="F4393" s="285" t="str">
        <f t="shared" si="143"/>
        <v/>
      </c>
      <c r="K4393" s="246" t="str">
        <f t="shared" si="142"/>
        <v/>
      </c>
    </row>
    <row r="4394" spans="1:11" ht="30" customHeight="1" x14ac:dyDescent="0.2">
      <c r="A4394" s="242"/>
      <c r="F4394" s="285" t="str">
        <f t="shared" si="143"/>
        <v/>
      </c>
      <c r="K4394" s="246" t="str">
        <f t="shared" si="142"/>
        <v/>
      </c>
    </row>
    <row r="4395" spans="1:11" ht="30" customHeight="1" x14ac:dyDescent="0.2">
      <c r="A4395" s="242"/>
      <c r="F4395" s="285" t="str">
        <f t="shared" si="143"/>
        <v/>
      </c>
      <c r="K4395" s="246" t="str">
        <f t="shared" si="142"/>
        <v/>
      </c>
    </row>
    <row r="4396" spans="1:11" ht="30" customHeight="1" x14ac:dyDescent="0.2">
      <c r="A4396" s="242"/>
      <c r="F4396" s="285" t="str">
        <f t="shared" si="143"/>
        <v/>
      </c>
      <c r="K4396" s="246" t="str">
        <f t="shared" si="142"/>
        <v/>
      </c>
    </row>
    <row r="4397" spans="1:11" ht="30" customHeight="1" x14ac:dyDescent="0.2">
      <c r="A4397" s="242"/>
      <c r="F4397" s="285" t="str">
        <f t="shared" si="143"/>
        <v/>
      </c>
      <c r="K4397" s="246" t="str">
        <f t="shared" si="142"/>
        <v/>
      </c>
    </row>
    <row r="4398" spans="1:11" ht="30" customHeight="1" x14ac:dyDescent="0.2">
      <c r="A4398" s="242"/>
      <c r="F4398" s="285" t="str">
        <f t="shared" si="143"/>
        <v/>
      </c>
      <c r="K4398" s="246" t="str">
        <f t="shared" si="142"/>
        <v/>
      </c>
    </row>
    <row r="4399" spans="1:11" ht="30" customHeight="1" x14ac:dyDescent="0.2">
      <c r="A4399" s="242"/>
      <c r="F4399" s="285" t="str">
        <f t="shared" si="143"/>
        <v/>
      </c>
      <c r="K4399" s="246" t="str">
        <f t="shared" si="142"/>
        <v/>
      </c>
    </row>
    <row r="4400" spans="1:11" ht="30" customHeight="1" x14ac:dyDescent="0.2">
      <c r="A4400" s="242"/>
      <c r="F4400" s="285" t="str">
        <f t="shared" si="143"/>
        <v/>
      </c>
      <c r="K4400" s="246" t="str">
        <f t="shared" si="142"/>
        <v/>
      </c>
    </row>
    <row r="4401" spans="1:11" ht="30" customHeight="1" x14ac:dyDescent="0.2">
      <c r="A4401" s="242"/>
      <c r="F4401" s="285" t="str">
        <f t="shared" si="143"/>
        <v/>
      </c>
      <c r="K4401" s="246" t="str">
        <f t="shared" si="142"/>
        <v/>
      </c>
    </row>
    <row r="4402" spans="1:11" ht="30" customHeight="1" x14ac:dyDescent="0.2">
      <c r="A4402" s="242"/>
      <c r="F4402" s="285" t="str">
        <f t="shared" si="143"/>
        <v/>
      </c>
      <c r="K4402" s="246" t="str">
        <f t="shared" si="142"/>
        <v/>
      </c>
    </row>
    <row r="4403" spans="1:11" ht="30" customHeight="1" x14ac:dyDescent="0.2">
      <c r="A4403" s="242"/>
      <c r="F4403" s="285" t="str">
        <f t="shared" si="143"/>
        <v/>
      </c>
      <c r="K4403" s="246" t="str">
        <f t="shared" si="142"/>
        <v/>
      </c>
    </row>
    <row r="4404" spans="1:11" ht="30" customHeight="1" x14ac:dyDescent="0.2">
      <c r="A4404" s="242"/>
      <c r="F4404" s="285" t="str">
        <f t="shared" si="143"/>
        <v/>
      </c>
      <c r="K4404" s="246" t="str">
        <f t="shared" si="142"/>
        <v/>
      </c>
    </row>
    <row r="4405" spans="1:11" ht="30" customHeight="1" x14ac:dyDescent="0.2">
      <c r="A4405" s="242"/>
      <c r="F4405" s="285" t="str">
        <f t="shared" si="143"/>
        <v/>
      </c>
      <c r="K4405" s="246" t="str">
        <f t="shared" si="142"/>
        <v/>
      </c>
    </row>
    <row r="4406" spans="1:11" ht="30" customHeight="1" x14ac:dyDescent="0.2">
      <c r="A4406" s="242"/>
      <c r="F4406" s="285" t="str">
        <f t="shared" si="143"/>
        <v/>
      </c>
      <c r="K4406" s="246" t="str">
        <f t="shared" si="142"/>
        <v/>
      </c>
    </row>
    <row r="4407" spans="1:11" ht="30" customHeight="1" x14ac:dyDescent="0.2">
      <c r="A4407" s="242"/>
      <c r="F4407" s="285" t="str">
        <f t="shared" si="143"/>
        <v/>
      </c>
      <c r="K4407" s="246" t="str">
        <f t="shared" si="142"/>
        <v/>
      </c>
    </row>
    <row r="4408" spans="1:11" ht="30" customHeight="1" x14ac:dyDescent="0.2">
      <c r="A4408" s="242"/>
      <c r="F4408" s="285" t="str">
        <f t="shared" si="143"/>
        <v/>
      </c>
      <c r="K4408" s="246" t="str">
        <f t="shared" si="142"/>
        <v/>
      </c>
    </row>
    <row r="4409" spans="1:11" ht="30" customHeight="1" x14ac:dyDescent="0.2">
      <c r="A4409" s="242"/>
      <c r="F4409" s="285" t="str">
        <f t="shared" si="143"/>
        <v/>
      </c>
      <c r="K4409" s="246" t="str">
        <f t="shared" si="142"/>
        <v/>
      </c>
    </row>
    <row r="4410" spans="1:11" ht="30" customHeight="1" x14ac:dyDescent="0.2">
      <c r="A4410" s="242"/>
      <c r="F4410" s="285" t="str">
        <f t="shared" si="143"/>
        <v/>
      </c>
      <c r="K4410" s="246" t="str">
        <f t="shared" si="142"/>
        <v/>
      </c>
    </row>
    <row r="4411" spans="1:11" ht="30" customHeight="1" x14ac:dyDescent="0.2">
      <c r="A4411" s="242"/>
      <c r="F4411" s="285" t="str">
        <f t="shared" si="143"/>
        <v/>
      </c>
      <c r="K4411" s="246" t="str">
        <f t="shared" ref="K4411:K4474" si="144">IF(A4411="","",A4411)</f>
        <v/>
      </c>
    </row>
    <row r="4412" spans="1:11" ht="30" customHeight="1" x14ac:dyDescent="0.2">
      <c r="A4412" s="242"/>
      <c r="F4412" s="285" t="str">
        <f t="shared" si="143"/>
        <v/>
      </c>
      <c r="K4412" s="246" t="str">
        <f t="shared" si="144"/>
        <v/>
      </c>
    </row>
    <row r="4413" spans="1:11" ht="30" customHeight="1" x14ac:dyDescent="0.2">
      <c r="A4413" s="242"/>
      <c r="F4413" s="285" t="str">
        <f t="shared" si="143"/>
        <v/>
      </c>
      <c r="K4413" s="246" t="str">
        <f t="shared" si="144"/>
        <v/>
      </c>
    </row>
    <row r="4414" spans="1:11" ht="30" customHeight="1" x14ac:dyDescent="0.2">
      <c r="A4414" s="242"/>
      <c r="F4414" s="285" t="str">
        <f t="shared" si="143"/>
        <v/>
      </c>
      <c r="K4414" s="246" t="str">
        <f t="shared" si="144"/>
        <v/>
      </c>
    </row>
    <row r="4415" spans="1:11" ht="30" customHeight="1" x14ac:dyDescent="0.2">
      <c r="A4415" s="242"/>
      <c r="F4415" s="285" t="str">
        <f t="shared" si="143"/>
        <v/>
      </c>
      <c r="K4415" s="246" t="str">
        <f t="shared" si="144"/>
        <v/>
      </c>
    </row>
    <row r="4416" spans="1:11" ht="30" customHeight="1" x14ac:dyDescent="0.2">
      <c r="A4416" s="242"/>
      <c r="F4416" s="285" t="str">
        <f t="shared" si="143"/>
        <v/>
      </c>
      <c r="K4416" s="246" t="str">
        <f t="shared" si="144"/>
        <v/>
      </c>
    </row>
    <row r="4417" spans="1:11" ht="30" customHeight="1" x14ac:dyDescent="0.2">
      <c r="A4417" s="242"/>
      <c r="F4417" s="285" t="str">
        <f t="shared" si="143"/>
        <v/>
      </c>
      <c r="K4417" s="246" t="str">
        <f t="shared" si="144"/>
        <v/>
      </c>
    </row>
    <row r="4418" spans="1:11" ht="30" customHeight="1" x14ac:dyDescent="0.2">
      <c r="A4418" s="242"/>
      <c r="F4418" s="285" t="str">
        <f t="shared" si="143"/>
        <v/>
      </c>
      <c r="K4418" s="246" t="str">
        <f t="shared" si="144"/>
        <v/>
      </c>
    </row>
    <row r="4419" spans="1:11" ht="30" customHeight="1" x14ac:dyDescent="0.2">
      <c r="A4419" s="242"/>
      <c r="F4419" s="285" t="str">
        <f t="shared" si="143"/>
        <v/>
      </c>
      <c r="K4419" s="246" t="str">
        <f t="shared" si="144"/>
        <v/>
      </c>
    </row>
    <row r="4420" spans="1:11" ht="30" customHeight="1" x14ac:dyDescent="0.2">
      <c r="A4420" s="242"/>
      <c r="F4420" s="285" t="str">
        <f t="shared" si="143"/>
        <v/>
      </c>
      <c r="K4420" s="246" t="str">
        <f t="shared" si="144"/>
        <v/>
      </c>
    </row>
    <row r="4421" spans="1:11" ht="30" customHeight="1" x14ac:dyDescent="0.2">
      <c r="A4421" s="242"/>
      <c r="F4421" s="285" t="str">
        <f t="shared" ref="F4421:F4484" si="145">IF(A4421="","",A4421)</f>
        <v/>
      </c>
      <c r="K4421" s="246" t="str">
        <f t="shared" si="144"/>
        <v/>
      </c>
    </row>
    <row r="4422" spans="1:11" ht="30" customHeight="1" x14ac:dyDescent="0.2">
      <c r="A4422" s="242"/>
      <c r="F4422" s="285" t="str">
        <f t="shared" si="145"/>
        <v/>
      </c>
      <c r="K4422" s="246" t="str">
        <f t="shared" si="144"/>
        <v/>
      </c>
    </row>
    <row r="4423" spans="1:11" ht="30" customHeight="1" x14ac:dyDescent="0.2">
      <c r="A4423" s="242"/>
      <c r="F4423" s="285" t="str">
        <f t="shared" si="145"/>
        <v/>
      </c>
      <c r="K4423" s="246" t="str">
        <f t="shared" si="144"/>
        <v/>
      </c>
    </row>
    <row r="4424" spans="1:11" ht="30" customHeight="1" x14ac:dyDescent="0.2">
      <c r="A4424" s="242"/>
      <c r="F4424" s="285" t="str">
        <f t="shared" si="145"/>
        <v/>
      </c>
      <c r="K4424" s="246" t="str">
        <f t="shared" si="144"/>
        <v/>
      </c>
    </row>
    <row r="4425" spans="1:11" ht="30" customHeight="1" x14ac:dyDescent="0.2">
      <c r="A4425" s="242"/>
      <c r="F4425" s="285" t="str">
        <f t="shared" si="145"/>
        <v/>
      </c>
      <c r="K4425" s="246" t="str">
        <f t="shared" si="144"/>
        <v/>
      </c>
    </row>
    <row r="4426" spans="1:11" ht="30" customHeight="1" x14ac:dyDescent="0.2">
      <c r="A4426" s="242"/>
      <c r="F4426" s="285" t="str">
        <f t="shared" si="145"/>
        <v/>
      </c>
      <c r="K4426" s="246" t="str">
        <f t="shared" si="144"/>
        <v/>
      </c>
    </row>
    <row r="4427" spans="1:11" ht="30" customHeight="1" x14ac:dyDescent="0.2">
      <c r="A4427" s="242"/>
      <c r="F4427" s="285" t="str">
        <f t="shared" si="145"/>
        <v/>
      </c>
      <c r="K4427" s="246" t="str">
        <f t="shared" si="144"/>
        <v/>
      </c>
    </row>
    <row r="4428" spans="1:11" ht="30" customHeight="1" x14ac:dyDescent="0.2">
      <c r="A4428" s="242"/>
      <c r="F4428" s="285" t="str">
        <f t="shared" si="145"/>
        <v/>
      </c>
      <c r="K4428" s="246" t="str">
        <f t="shared" si="144"/>
        <v/>
      </c>
    </row>
    <row r="4429" spans="1:11" ht="30" customHeight="1" x14ac:dyDescent="0.2">
      <c r="A4429" s="242"/>
      <c r="F4429" s="285" t="str">
        <f t="shared" si="145"/>
        <v/>
      </c>
      <c r="K4429" s="246" t="str">
        <f t="shared" si="144"/>
        <v/>
      </c>
    </row>
    <row r="4430" spans="1:11" ht="30" customHeight="1" x14ac:dyDescent="0.2">
      <c r="A4430" s="242"/>
      <c r="F4430" s="285" t="str">
        <f t="shared" si="145"/>
        <v/>
      </c>
      <c r="K4430" s="246" t="str">
        <f t="shared" si="144"/>
        <v/>
      </c>
    </row>
    <row r="4431" spans="1:11" ht="30" customHeight="1" x14ac:dyDescent="0.2">
      <c r="A4431" s="242"/>
      <c r="F4431" s="285" t="str">
        <f t="shared" si="145"/>
        <v/>
      </c>
      <c r="K4431" s="246" t="str">
        <f t="shared" si="144"/>
        <v/>
      </c>
    </row>
    <row r="4432" spans="1:11" ht="30" customHeight="1" x14ac:dyDescent="0.2">
      <c r="A4432" s="242"/>
      <c r="F4432" s="285" t="str">
        <f t="shared" si="145"/>
        <v/>
      </c>
      <c r="K4432" s="246" t="str">
        <f t="shared" si="144"/>
        <v/>
      </c>
    </row>
    <row r="4433" spans="1:11" ht="30" customHeight="1" x14ac:dyDescent="0.2">
      <c r="A4433" s="242"/>
      <c r="F4433" s="285" t="str">
        <f t="shared" si="145"/>
        <v/>
      </c>
      <c r="K4433" s="246" t="str">
        <f t="shared" si="144"/>
        <v/>
      </c>
    </row>
    <row r="4434" spans="1:11" ht="30" customHeight="1" x14ac:dyDescent="0.2">
      <c r="A4434" s="242"/>
      <c r="F4434" s="285" t="str">
        <f t="shared" si="145"/>
        <v/>
      </c>
      <c r="K4434" s="246" t="str">
        <f t="shared" si="144"/>
        <v/>
      </c>
    </row>
    <row r="4435" spans="1:11" ht="30" customHeight="1" x14ac:dyDescent="0.2">
      <c r="A4435" s="242"/>
      <c r="F4435" s="285" t="str">
        <f t="shared" si="145"/>
        <v/>
      </c>
      <c r="K4435" s="246" t="str">
        <f t="shared" si="144"/>
        <v/>
      </c>
    </row>
    <row r="4436" spans="1:11" ht="30" customHeight="1" x14ac:dyDescent="0.2">
      <c r="A4436" s="242"/>
      <c r="F4436" s="285" t="str">
        <f t="shared" si="145"/>
        <v/>
      </c>
      <c r="K4436" s="246" t="str">
        <f t="shared" si="144"/>
        <v/>
      </c>
    </row>
    <row r="4437" spans="1:11" ht="30" customHeight="1" x14ac:dyDescent="0.2">
      <c r="A4437" s="242"/>
      <c r="F4437" s="285" t="str">
        <f t="shared" si="145"/>
        <v/>
      </c>
      <c r="K4437" s="246" t="str">
        <f t="shared" si="144"/>
        <v/>
      </c>
    </row>
    <row r="4438" spans="1:11" ht="30" customHeight="1" x14ac:dyDescent="0.2">
      <c r="A4438" s="242"/>
      <c r="F4438" s="285" t="str">
        <f t="shared" si="145"/>
        <v/>
      </c>
      <c r="K4438" s="246" t="str">
        <f t="shared" si="144"/>
        <v/>
      </c>
    </row>
    <row r="4439" spans="1:11" ht="30" customHeight="1" x14ac:dyDescent="0.2">
      <c r="A4439" s="242"/>
      <c r="F4439" s="285" t="str">
        <f t="shared" si="145"/>
        <v/>
      </c>
      <c r="K4439" s="246" t="str">
        <f t="shared" si="144"/>
        <v/>
      </c>
    </row>
    <row r="4440" spans="1:11" ht="30" customHeight="1" x14ac:dyDescent="0.2">
      <c r="A4440" s="242"/>
      <c r="F4440" s="285" t="str">
        <f t="shared" si="145"/>
        <v/>
      </c>
      <c r="K4440" s="246" t="str">
        <f t="shared" si="144"/>
        <v/>
      </c>
    </row>
    <row r="4441" spans="1:11" ht="30" customHeight="1" x14ac:dyDescent="0.2">
      <c r="A4441" s="242"/>
      <c r="F4441" s="285" t="str">
        <f t="shared" si="145"/>
        <v/>
      </c>
      <c r="K4441" s="246" t="str">
        <f t="shared" si="144"/>
        <v/>
      </c>
    </row>
    <row r="4442" spans="1:11" ht="30" customHeight="1" x14ac:dyDescent="0.2">
      <c r="A4442" s="242"/>
      <c r="F4442" s="285" t="str">
        <f t="shared" si="145"/>
        <v/>
      </c>
      <c r="K4442" s="246" t="str">
        <f t="shared" si="144"/>
        <v/>
      </c>
    </row>
    <row r="4443" spans="1:11" ht="30" customHeight="1" x14ac:dyDescent="0.2">
      <c r="A4443" s="242"/>
      <c r="F4443" s="285" t="str">
        <f t="shared" si="145"/>
        <v/>
      </c>
      <c r="K4443" s="246" t="str">
        <f t="shared" si="144"/>
        <v/>
      </c>
    </row>
    <row r="4444" spans="1:11" ht="30" customHeight="1" x14ac:dyDescent="0.2">
      <c r="A4444" s="242"/>
      <c r="F4444" s="285" t="str">
        <f t="shared" si="145"/>
        <v/>
      </c>
      <c r="K4444" s="246" t="str">
        <f t="shared" si="144"/>
        <v/>
      </c>
    </row>
    <row r="4445" spans="1:11" ht="30" customHeight="1" x14ac:dyDescent="0.2">
      <c r="A4445" s="242"/>
      <c r="F4445" s="285" t="str">
        <f t="shared" si="145"/>
        <v/>
      </c>
      <c r="K4445" s="246" t="str">
        <f t="shared" si="144"/>
        <v/>
      </c>
    </row>
    <row r="4446" spans="1:11" ht="30" customHeight="1" x14ac:dyDescent="0.2">
      <c r="A4446" s="242"/>
      <c r="F4446" s="285" t="str">
        <f t="shared" si="145"/>
        <v/>
      </c>
      <c r="K4446" s="246" t="str">
        <f t="shared" si="144"/>
        <v/>
      </c>
    </row>
    <row r="4447" spans="1:11" ht="30" customHeight="1" x14ac:dyDescent="0.2">
      <c r="A4447" s="242"/>
      <c r="F4447" s="285" t="str">
        <f t="shared" si="145"/>
        <v/>
      </c>
      <c r="K4447" s="246" t="str">
        <f t="shared" si="144"/>
        <v/>
      </c>
    </row>
    <row r="4448" spans="1:11" ht="30" customHeight="1" x14ac:dyDescent="0.2">
      <c r="A4448" s="242"/>
      <c r="F4448" s="285" t="str">
        <f t="shared" si="145"/>
        <v/>
      </c>
      <c r="K4448" s="246" t="str">
        <f t="shared" si="144"/>
        <v/>
      </c>
    </row>
    <row r="4449" spans="1:11" ht="30" customHeight="1" x14ac:dyDescent="0.2">
      <c r="A4449" s="242"/>
      <c r="F4449" s="285" t="str">
        <f t="shared" si="145"/>
        <v/>
      </c>
      <c r="K4449" s="246" t="str">
        <f t="shared" si="144"/>
        <v/>
      </c>
    </row>
    <row r="4450" spans="1:11" ht="30" customHeight="1" x14ac:dyDescent="0.2">
      <c r="A4450" s="242"/>
      <c r="F4450" s="285" t="str">
        <f t="shared" si="145"/>
        <v/>
      </c>
      <c r="K4450" s="246" t="str">
        <f t="shared" si="144"/>
        <v/>
      </c>
    </row>
    <row r="4451" spans="1:11" ht="30" customHeight="1" x14ac:dyDescent="0.2">
      <c r="A4451" s="242"/>
      <c r="F4451" s="285" t="str">
        <f t="shared" si="145"/>
        <v/>
      </c>
      <c r="K4451" s="246" t="str">
        <f t="shared" si="144"/>
        <v/>
      </c>
    </row>
    <row r="4452" spans="1:11" ht="30" customHeight="1" x14ac:dyDescent="0.2">
      <c r="A4452" s="242"/>
      <c r="F4452" s="285" t="str">
        <f t="shared" si="145"/>
        <v/>
      </c>
      <c r="K4452" s="246" t="str">
        <f t="shared" si="144"/>
        <v/>
      </c>
    </row>
    <row r="4453" spans="1:11" ht="30" customHeight="1" x14ac:dyDescent="0.2">
      <c r="A4453" s="242"/>
      <c r="F4453" s="285" t="str">
        <f t="shared" si="145"/>
        <v/>
      </c>
      <c r="K4453" s="246" t="str">
        <f t="shared" si="144"/>
        <v/>
      </c>
    </row>
    <row r="4454" spans="1:11" ht="30" customHeight="1" x14ac:dyDescent="0.2">
      <c r="A4454" s="242"/>
      <c r="F4454" s="285" t="str">
        <f t="shared" si="145"/>
        <v/>
      </c>
      <c r="K4454" s="246" t="str">
        <f t="shared" si="144"/>
        <v/>
      </c>
    </row>
    <row r="4455" spans="1:11" ht="30" customHeight="1" x14ac:dyDescent="0.2">
      <c r="A4455" s="242"/>
      <c r="F4455" s="285" t="str">
        <f t="shared" si="145"/>
        <v/>
      </c>
      <c r="K4455" s="246" t="str">
        <f t="shared" si="144"/>
        <v/>
      </c>
    </row>
    <row r="4456" spans="1:11" ht="30" customHeight="1" x14ac:dyDescent="0.2">
      <c r="A4456" s="242"/>
      <c r="F4456" s="285" t="str">
        <f t="shared" si="145"/>
        <v/>
      </c>
      <c r="K4456" s="246" t="str">
        <f t="shared" si="144"/>
        <v/>
      </c>
    </row>
    <row r="4457" spans="1:11" ht="30" customHeight="1" x14ac:dyDescent="0.2">
      <c r="A4457" s="242"/>
      <c r="F4457" s="285" t="str">
        <f t="shared" si="145"/>
        <v/>
      </c>
      <c r="K4457" s="246" t="str">
        <f t="shared" si="144"/>
        <v/>
      </c>
    </row>
    <row r="4458" spans="1:11" ht="30" customHeight="1" x14ac:dyDescent="0.2">
      <c r="A4458" s="242"/>
      <c r="F4458" s="285" t="str">
        <f t="shared" si="145"/>
        <v/>
      </c>
      <c r="K4458" s="246" t="str">
        <f t="shared" si="144"/>
        <v/>
      </c>
    </row>
    <row r="4459" spans="1:11" ht="30" customHeight="1" x14ac:dyDescent="0.2">
      <c r="A4459" s="242"/>
      <c r="F4459" s="285" t="str">
        <f t="shared" si="145"/>
        <v/>
      </c>
      <c r="K4459" s="246" t="str">
        <f t="shared" si="144"/>
        <v/>
      </c>
    </row>
    <row r="4460" spans="1:11" ht="30" customHeight="1" x14ac:dyDescent="0.2">
      <c r="A4460" s="242"/>
      <c r="F4460" s="285" t="str">
        <f t="shared" si="145"/>
        <v/>
      </c>
      <c r="K4460" s="246" t="str">
        <f t="shared" si="144"/>
        <v/>
      </c>
    </row>
    <row r="4461" spans="1:11" ht="30" customHeight="1" x14ac:dyDescent="0.2">
      <c r="A4461" s="242"/>
      <c r="F4461" s="285" t="str">
        <f t="shared" si="145"/>
        <v/>
      </c>
      <c r="K4461" s="246" t="str">
        <f t="shared" si="144"/>
        <v/>
      </c>
    </row>
    <row r="4462" spans="1:11" ht="30" customHeight="1" x14ac:dyDescent="0.2">
      <c r="A4462" s="242"/>
      <c r="F4462" s="285" t="str">
        <f t="shared" si="145"/>
        <v/>
      </c>
      <c r="K4462" s="246" t="str">
        <f t="shared" si="144"/>
        <v/>
      </c>
    </row>
    <row r="4463" spans="1:11" ht="30" customHeight="1" x14ac:dyDescent="0.2">
      <c r="A4463" s="242"/>
      <c r="F4463" s="285" t="str">
        <f t="shared" si="145"/>
        <v/>
      </c>
      <c r="K4463" s="246" t="str">
        <f t="shared" si="144"/>
        <v/>
      </c>
    </row>
    <row r="4464" spans="1:11" ht="30" customHeight="1" x14ac:dyDescent="0.2">
      <c r="A4464" s="242"/>
      <c r="F4464" s="285" t="str">
        <f t="shared" si="145"/>
        <v/>
      </c>
      <c r="K4464" s="246" t="str">
        <f t="shared" si="144"/>
        <v/>
      </c>
    </row>
    <row r="4465" spans="1:11" ht="30" customHeight="1" x14ac:dyDescent="0.2">
      <c r="A4465" s="242"/>
      <c r="F4465" s="285" t="str">
        <f t="shared" si="145"/>
        <v/>
      </c>
      <c r="K4465" s="246" t="str">
        <f t="shared" si="144"/>
        <v/>
      </c>
    </row>
    <row r="4466" spans="1:11" ht="30" customHeight="1" x14ac:dyDescent="0.2">
      <c r="A4466" s="242"/>
      <c r="F4466" s="285" t="str">
        <f t="shared" si="145"/>
        <v/>
      </c>
      <c r="K4466" s="246" t="str">
        <f t="shared" si="144"/>
        <v/>
      </c>
    </row>
    <row r="4467" spans="1:11" ht="30" customHeight="1" x14ac:dyDescent="0.2">
      <c r="A4467" s="242"/>
      <c r="F4467" s="285" t="str">
        <f t="shared" si="145"/>
        <v/>
      </c>
      <c r="K4467" s="246" t="str">
        <f t="shared" si="144"/>
        <v/>
      </c>
    </row>
    <row r="4468" spans="1:11" ht="30" customHeight="1" x14ac:dyDescent="0.2">
      <c r="A4468" s="242"/>
      <c r="F4468" s="285" t="str">
        <f t="shared" si="145"/>
        <v/>
      </c>
      <c r="K4468" s="246" t="str">
        <f t="shared" si="144"/>
        <v/>
      </c>
    </row>
    <row r="4469" spans="1:11" ht="30" customHeight="1" x14ac:dyDescent="0.2">
      <c r="A4469" s="242"/>
      <c r="F4469" s="285" t="str">
        <f t="shared" si="145"/>
        <v/>
      </c>
      <c r="K4469" s="246" t="str">
        <f t="shared" si="144"/>
        <v/>
      </c>
    </row>
    <row r="4470" spans="1:11" ht="30" customHeight="1" x14ac:dyDescent="0.2">
      <c r="A4470" s="242"/>
      <c r="F4470" s="285" t="str">
        <f t="shared" si="145"/>
        <v/>
      </c>
      <c r="K4470" s="246" t="str">
        <f t="shared" si="144"/>
        <v/>
      </c>
    </row>
    <row r="4471" spans="1:11" ht="30" customHeight="1" x14ac:dyDescent="0.2">
      <c r="A4471" s="242"/>
      <c r="F4471" s="285" t="str">
        <f t="shared" si="145"/>
        <v/>
      </c>
      <c r="K4471" s="246" t="str">
        <f t="shared" si="144"/>
        <v/>
      </c>
    </row>
    <row r="4472" spans="1:11" ht="30" customHeight="1" x14ac:dyDescent="0.2">
      <c r="A4472" s="242"/>
      <c r="F4472" s="285" t="str">
        <f t="shared" si="145"/>
        <v/>
      </c>
      <c r="K4472" s="246" t="str">
        <f t="shared" si="144"/>
        <v/>
      </c>
    </row>
    <row r="4473" spans="1:11" ht="30" customHeight="1" x14ac:dyDescent="0.2">
      <c r="A4473" s="242"/>
      <c r="F4473" s="285" t="str">
        <f t="shared" si="145"/>
        <v/>
      </c>
      <c r="K4473" s="246" t="str">
        <f t="shared" si="144"/>
        <v/>
      </c>
    </row>
    <row r="4474" spans="1:11" ht="30" customHeight="1" x14ac:dyDescent="0.2">
      <c r="A4474" s="242"/>
      <c r="F4474" s="285" t="str">
        <f t="shared" si="145"/>
        <v/>
      </c>
      <c r="K4474" s="246" t="str">
        <f t="shared" si="144"/>
        <v/>
      </c>
    </row>
    <row r="4475" spans="1:11" ht="30" customHeight="1" x14ac:dyDescent="0.2">
      <c r="A4475" s="242"/>
      <c r="F4475" s="285" t="str">
        <f t="shared" si="145"/>
        <v/>
      </c>
      <c r="K4475" s="246" t="str">
        <f t="shared" ref="K4475:K4538" si="146">IF(A4475="","",A4475)</f>
        <v/>
      </c>
    </row>
    <row r="4476" spans="1:11" ht="30" customHeight="1" x14ac:dyDescent="0.2">
      <c r="A4476" s="242"/>
      <c r="F4476" s="285" t="str">
        <f t="shared" si="145"/>
        <v/>
      </c>
      <c r="K4476" s="246" t="str">
        <f t="shared" si="146"/>
        <v/>
      </c>
    </row>
    <row r="4477" spans="1:11" ht="30" customHeight="1" x14ac:dyDescent="0.2">
      <c r="A4477" s="242"/>
      <c r="F4477" s="285" t="str">
        <f t="shared" si="145"/>
        <v/>
      </c>
      <c r="K4477" s="246" t="str">
        <f t="shared" si="146"/>
        <v/>
      </c>
    </row>
    <row r="4478" spans="1:11" ht="30" customHeight="1" x14ac:dyDescent="0.2">
      <c r="A4478" s="242"/>
      <c r="F4478" s="285" t="str">
        <f t="shared" si="145"/>
        <v/>
      </c>
      <c r="K4478" s="246" t="str">
        <f t="shared" si="146"/>
        <v/>
      </c>
    </row>
    <row r="4479" spans="1:11" ht="30" customHeight="1" x14ac:dyDescent="0.2">
      <c r="A4479" s="242"/>
      <c r="F4479" s="285" t="str">
        <f t="shared" si="145"/>
        <v/>
      </c>
      <c r="K4479" s="246" t="str">
        <f t="shared" si="146"/>
        <v/>
      </c>
    </row>
    <row r="4480" spans="1:11" ht="30" customHeight="1" x14ac:dyDescent="0.2">
      <c r="A4480" s="242"/>
      <c r="F4480" s="285" t="str">
        <f t="shared" si="145"/>
        <v/>
      </c>
      <c r="K4480" s="246" t="str">
        <f t="shared" si="146"/>
        <v/>
      </c>
    </row>
    <row r="4481" spans="1:11" ht="30" customHeight="1" x14ac:dyDescent="0.2">
      <c r="A4481" s="242"/>
      <c r="F4481" s="285" t="str">
        <f t="shared" si="145"/>
        <v/>
      </c>
      <c r="K4481" s="246" t="str">
        <f t="shared" si="146"/>
        <v/>
      </c>
    </row>
    <row r="4482" spans="1:11" ht="30" customHeight="1" x14ac:dyDescent="0.2">
      <c r="A4482" s="242"/>
      <c r="F4482" s="285" t="str">
        <f t="shared" si="145"/>
        <v/>
      </c>
      <c r="K4482" s="246" t="str">
        <f t="shared" si="146"/>
        <v/>
      </c>
    </row>
    <row r="4483" spans="1:11" ht="30" customHeight="1" x14ac:dyDescent="0.2">
      <c r="A4483" s="242"/>
      <c r="F4483" s="285" t="str">
        <f t="shared" si="145"/>
        <v/>
      </c>
      <c r="K4483" s="246" t="str">
        <f t="shared" si="146"/>
        <v/>
      </c>
    </row>
    <row r="4484" spans="1:11" ht="30" customHeight="1" x14ac:dyDescent="0.2">
      <c r="A4484" s="242"/>
      <c r="F4484" s="285" t="str">
        <f t="shared" si="145"/>
        <v/>
      </c>
      <c r="K4484" s="246" t="str">
        <f t="shared" si="146"/>
        <v/>
      </c>
    </row>
    <row r="4485" spans="1:11" ht="30" customHeight="1" x14ac:dyDescent="0.2">
      <c r="A4485" s="242"/>
      <c r="F4485" s="285" t="str">
        <f t="shared" ref="F4485:F4548" si="147">IF(A4485="","",A4485)</f>
        <v/>
      </c>
      <c r="K4485" s="246" t="str">
        <f t="shared" si="146"/>
        <v/>
      </c>
    </row>
    <row r="4486" spans="1:11" ht="30" customHeight="1" x14ac:dyDescent="0.2">
      <c r="A4486" s="242"/>
      <c r="F4486" s="285" t="str">
        <f t="shared" si="147"/>
        <v/>
      </c>
      <c r="K4486" s="246" t="str">
        <f t="shared" si="146"/>
        <v/>
      </c>
    </row>
    <row r="4487" spans="1:11" ht="30" customHeight="1" x14ac:dyDescent="0.2">
      <c r="A4487" s="242"/>
      <c r="F4487" s="285" t="str">
        <f t="shared" si="147"/>
        <v/>
      </c>
      <c r="K4487" s="246" t="str">
        <f t="shared" si="146"/>
        <v/>
      </c>
    </row>
    <row r="4488" spans="1:11" ht="30" customHeight="1" x14ac:dyDescent="0.2">
      <c r="A4488" s="242"/>
      <c r="F4488" s="285" t="str">
        <f t="shared" si="147"/>
        <v/>
      </c>
      <c r="K4488" s="246" t="str">
        <f t="shared" si="146"/>
        <v/>
      </c>
    </row>
    <row r="4489" spans="1:11" ht="30" customHeight="1" x14ac:dyDescent="0.2">
      <c r="A4489" s="242"/>
      <c r="F4489" s="285" t="str">
        <f t="shared" si="147"/>
        <v/>
      </c>
      <c r="K4489" s="246" t="str">
        <f t="shared" si="146"/>
        <v/>
      </c>
    </row>
    <row r="4490" spans="1:11" ht="30" customHeight="1" x14ac:dyDescent="0.2">
      <c r="A4490" s="242"/>
      <c r="F4490" s="285" t="str">
        <f t="shared" si="147"/>
        <v/>
      </c>
      <c r="K4490" s="246" t="str">
        <f t="shared" si="146"/>
        <v/>
      </c>
    </row>
    <row r="4491" spans="1:11" ht="30" customHeight="1" x14ac:dyDescent="0.2">
      <c r="A4491" s="242"/>
      <c r="F4491" s="285" t="str">
        <f t="shared" si="147"/>
        <v/>
      </c>
      <c r="K4491" s="246" t="str">
        <f t="shared" si="146"/>
        <v/>
      </c>
    </row>
    <row r="4492" spans="1:11" ht="30" customHeight="1" x14ac:dyDescent="0.2">
      <c r="A4492" s="242"/>
      <c r="F4492" s="285" t="str">
        <f t="shared" si="147"/>
        <v/>
      </c>
      <c r="K4492" s="246" t="str">
        <f t="shared" si="146"/>
        <v/>
      </c>
    </row>
    <row r="4493" spans="1:11" ht="30" customHeight="1" x14ac:dyDescent="0.2">
      <c r="A4493" s="242"/>
      <c r="F4493" s="285" t="str">
        <f t="shared" si="147"/>
        <v/>
      </c>
      <c r="K4493" s="246" t="str">
        <f t="shared" si="146"/>
        <v/>
      </c>
    </row>
    <row r="4494" spans="1:11" ht="30" customHeight="1" x14ac:dyDescent="0.2">
      <c r="A4494" s="242"/>
      <c r="F4494" s="285" t="str">
        <f t="shared" si="147"/>
        <v/>
      </c>
      <c r="K4494" s="246" t="str">
        <f t="shared" si="146"/>
        <v/>
      </c>
    </row>
    <row r="4495" spans="1:11" ht="30" customHeight="1" x14ac:dyDescent="0.2">
      <c r="A4495" s="242"/>
      <c r="F4495" s="285" t="str">
        <f t="shared" si="147"/>
        <v/>
      </c>
      <c r="K4495" s="246" t="str">
        <f t="shared" si="146"/>
        <v/>
      </c>
    </row>
    <row r="4496" spans="1:11" ht="30" customHeight="1" x14ac:dyDescent="0.2">
      <c r="A4496" s="242"/>
      <c r="F4496" s="285" t="str">
        <f t="shared" si="147"/>
        <v/>
      </c>
      <c r="K4496" s="246" t="str">
        <f t="shared" si="146"/>
        <v/>
      </c>
    </row>
    <row r="4497" spans="1:11" ht="30" customHeight="1" x14ac:dyDescent="0.2">
      <c r="A4497" s="242"/>
      <c r="F4497" s="285" t="str">
        <f t="shared" si="147"/>
        <v/>
      </c>
      <c r="K4497" s="246" t="str">
        <f t="shared" si="146"/>
        <v/>
      </c>
    </row>
    <row r="4498" spans="1:11" ht="30" customHeight="1" x14ac:dyDescent="0.2">
      <c r="A4498" s="242"/>
      <c r="F4498" s="285" t="str">
        <f t="shared" si="147"/>
        <v/>
      </c>
      <c r="K4498" s="246" t="str">
        <f t="shared" si="146"/>
        <v/>
      </c>
    </row>
    <row r="4499" spans="1:11" ht="30" customHeight="1" x14ac:dyDescent="0.2">
      <c r="A4499" s="242"/>
      <c r="F4499" s="285" t="str">
        <f t="shared" si="147"/>
        <v/>
      </c>
      <c r="K4499" s="246" t="str">
        <f t="shared" si="146"/>
        <v/>
      </c>
    </row>
    <row r="4500" spans="1:11" ht="30" customHeight="1" x14ac:dyDescent="0.2">
      <c r="A4500" s="242"/>
      <c r="F4500" s="285" t="str">
        <f t="shared" si="147"/>
        <v/>
      </c>
      <c r="K4500" s="246" t="str">
        <f t="shared" si="146"/>
        <v/>
      </c>
    </row>
    <row r="4501" spans="1:11" ht="30" customHeight="1" x14ac:dyDescent="0.2">
      <c r="A4501" s="242"/>
      <c r="F4501" s="285" t="str">
        <f t="shared" si="147"/>
        <v/>
      </c>
      <c r="K4501" s="246" t="str">
        <f t="shared" si="146"/>
        <v/>
      </c>
    </row>
    <row r="4502" spans="1:11" ht="30" customHeight="1" x14ac:dyDescent="0.2">
      <c r="A4502" s="242"/>
      <c r="F4502" s="285" t="str">
        <f t="shared" si="147"/>
        <v/>
      </c>
      <c r="K4502" s="246" t="str">
        <f t="shared" si="146"/>
        <v/>
      </c>
    </row>
    <row r="4503" spans="1:11" ht="30" customHeight="1" x14ac:dyDescent="0.2">
      <c r="A4503" s="242"/>
      <c r="F4503" s="285" t="str">
        <f t="shared" si="147"/>
        <v/>
      </c>
      <c r="K4503" s="246" t="str">
        <f t="shared" si="146"/>
        <v/>
      </c>
    </row>
    <row r="4504" spans="1:11" ht="30" customHeight="1" x14ac:dyDescent="0.2">
      <c r="A4504" s="242"/>
      <c r="F4504" s="285" t="str">
        <f t="shared" si="147"/>
        <v/>
      </c>
      <c r="K4504" s="246" t="str">
        <f t="shared" si="146"/>
        <v/>
      </c>
    </row>
    <row r="4505" spans="1:11" ht="30" customHeight="1" x14ac:dyDescent="0.2">
      <c r="A4505" s="242"/>
      <c r="F4505" s="285" t="str">
        <f t="shared" si="147"/>
        <v/>
      </c>
      <c r="K4505" s="246" t="str">
        <f t="shared" si="146"/>
        <v/>
      </c>
    </row>
    <row r="4506" spans="1:11" ht="30" customHeight="1" x14ac:dyDescent="0.2">
      <c r="A4506" s="242"/>
      <c r="F4506" s="285" t="str">
        <f t="shared" si="147"/>
        <v/>
      </c>
      <c r="K4506" s="246" t="str">
        <f t="shared" si="146"/>
        <v/>
      </c>
    </row>
    <row r="4507" spans="1:11" ht="30" customHeight="1" x14ac:dyDescent="0.2">
      <c r="A4507" s="242"/>
      <c r="F4507" s="285" t="str">
        <f t="shared" si="147"/>
        <v/>
      </c>
      <c r="K4507" s="246" t="str">
        <f t="shared" si="146"/>
        <v/>
      </c>
    </row>
    <row r="4508" spans="1:11" ht="30" customHeight="1" x14ac:dyDescent="0.2">
      <c r="A4508" s="242"/>
      <c r="F4508" s="285" t="str">
        <f t="shared" si="147"/>
        <v/>
      </c>
      <c r="K4508" s="246" t="str">
        <f t="shared" si="146"/>
        <v/>
      </c>
    </row>
    <row r="4509" spans="1:11" ht="30" customHeight="1" x14ac:dyDescent="0.2">
      <c r="A4509" s="242"/>
      <c r="F4509" s="285" t="str">
        <f t="shared" si="147"/>
        <v/>
      </c>
      <c r="K4509" s="246" t="str">
        <f t="shared" si="146"/>
        <v/>
      </c>
    </row>
    <row r="4510" spans="1:11" ht="30" customHeight="1" x14ac:dyDescent="0.2">
      <c r="A4510" s="242"/>
      <c r="F4510" s="285" t="str">
        <f t="shared" si="147"/>
        <v/>
      </c>
      <c r="K4510" s="246" t="str">
        <f t="shared" si="146"/>
        <v/>
      </c>
    </row>
    <row r="4511" spans="1:11" ht="30" customHeight="1" x14ac:dyDescent="0.2">
      <c r="A4511" s="242"/>
      <c r="F4511" s="285" t="str">
        <f t="shared" si="147"/>
        <v/>
      </c>
      <c r="K4511" s="246" t="str">
        <f t="shared" si="146"/>
        <v/>
      </c>
    </row>
    <row r="4512" spans="1:11" ht="30" customHeight="1" x14ac:dyDescent="0.2">
      <c r="A4512" s="242"/>
      <c r="F4512" s="285" t="str">
        <f t="shared" si="147"/>
        <v/>
      </c>
      <c r="K4512" s="246" t="str">
        <f t="shared" si="146"/>
        <v/>
      </c>
    </row>
    <row r="4513" spans="1:11" ht="30" customHeight="1" x14ac:dyDescent="0.2">
      <c r="A4513" s="242"/>
      <c r="F4513" s="285" t="str">
        <f t="shared" si="147"/>
        <v/>
      </c>
      <c r="K4513" s="246" t="str">
        <f t="shared" si="146"/>
        <v/>
      </c>
    </row>
    <row r="4514" spans="1:11" ht="30" customHeight="1" x14ac:dyDescent="0.2">
      <c r="A4514" s="242"/>
      <c r="F4514" s="285" t="str">
        <f t="shared" si="147"/>
        <v/>
      </c>
      <c r="K4514" s="246" t="str">
        <f t="shared" si="146"/>
        <v/>
      </c>
    </row>
    <row r="4515" spans="1:11" ht="30" customHeight="1" x14ac:dyDescent="0.2">
      <c r="A4515" s="242"/>
      <c r="F4515" s="285" t="str">
        <f t="shared" si="147"/>
        <v/>
      </c>
      <c r="K4515" s="246" t="str">
        <f t="shared" si="146"/>
        <v/>
      </c>
    </row>
    <row r="4516" spans="1:11" ht="30" customHeight="1" x14ac:dyDescent="0.2">
      <c r="A4516" s="242"/>
      <c r="F4516" s="285" t="str">
        <f t="shared" si="147"/>
        <v/>
      </c>
      <c r="K4516" s="246" t="str">
        <f t="shared" si="146"/>
        <v/>
      </c>
    </row>
    <row r="4517" spans="1:11" ht="30" customHeight="1" x14ac:dyDescent="0.2">
      <c r="A4517" s="242"/>
      <c r="F4517" s="285" t="str">
        <f t="shared" si="147"/>
        <v/>
      </c>
      <c r="K4517" s="246" t="str">
        <f t="shared" si="146"/>
        <v/>
      </c>
    </row>
    <row r="4518" spans="1:11" ht="30" customHeight="1" x14ac:dyDescent="0.2">
      <c r="A4518" s="242"/>
      <c r="F4518" s="285" t="str">
        <f t="shared" si="147"/>
        <v/>
      </c>
      <c r="K4518" s="246" t="str">
        <f t="shared" si="146"/>
        <v/>
      </c>
    </row>
    <row r="4519" spans="1:11" ht="30" customHeight="1" x14ac:dyDescent="0.2">
      <c r="A4519" s="242"/>
      <c r="F4519" s="285" t="str">
        <f t="shared" si="147"/>
        <v/>
      </c>
      <c r="K4519" s="246" t="str">
        <f t="shared" si="146"/>
        <v/>
      </c>
    </row>
    <row r="4520" spans="1:11" ht="30" customHeight="1" x14ac:dyDescent="0.2">
      <c r="A4520" s="242"/>
      <c r="F4520" s="285" t="str">
        <f t="shared" si="147"/>
        <v/>
      </c>
      <c r="K4520" s="246" t="str">
        <f t="shared" si="146"/>
        <v/>
      </c>
    </row>
    <row r="4521" spans="1:11" ht="30" customHeight="1" x14ac:dyDescent="0.2">
      <c r="A4521" s="242"/>
      <c r="F4521" s="285" t="str">
        <f t="shared" si="147"/>
        <v/>
      </c>
      <c r="K4521" s="246" t="str">
        <f t="shared" si="146"/>
        <v/>
      </c>
    </row>
    <row r="4522" spans="1:11" ht="30" customHeight="1" x14ac:dyDescent="0.2">
      <c r="A4522" s="242"/>
      <c r="F4522" s="285" t="str">
        <f t="shared" si="147"/>
        <v/>
      </c>
      <c r="K4522" s="246" t="str">
        <f t="shared" si="146"/>
        <v/>
      </c>
    </row>
    <row r="4523" spans="1:11" ht="30" customHeight="1" x14ac:dyDescent="0.2">
      <c r="A4523" s="242"/>
      <c r="F4523" s="285" t="str">
        <f t="shared" si="147"/>
        <v/>
      </c>
      <c r="K4523" s="246" t="str">
        <f t="shared" si="146"/>
        <v/>
      </c>
    </row>
    <row r="4524" spans="1:11" ht="30" customHeight="1" x14ac:dyDescent="0.2">
      <c r="A4524" s="242"/>
      <c r="F4524" s="285" t="str">
        <f t="shared" si="147"/>
        <v/>
      </c>
      <c r="K4524" s="246" t="str">
        <f t="shared" si="146"/>
        <v/>
      </c>
    </row>
    <row r="4525" spans="1:11" ht="30" customHeight="1" x14ac:dyDescent="0.2">
      <c r="A4525" s="242"/>
      <c r="F4525" s="285" t="str">
        <f t="shared" si="147"/>
        <v/>
      </c>
      <c r="K4525" s="246" t="str">
        <f t="shared" si="146"/>
        <v/>
      </c>
    </row>
    <row r="4526" spans="1:11" ht="30" customHeight="1" x14ac:dyDescent="0.2">
      <c r="A4526" s="242"/>
      <c r="F4526" s="285" t="str">
        <f t="shared" si="147"/>
        <v/>
      </c>
      <c r="K4526" s="246" t="str">
        <f t="shared" si="146"/>
        <v/>
      </c>
    </row>
    <row r="4527" spans="1:11" ht="30" customHeight="1" x14ac:dyDescent="0.2">
      <c r="A4527" s="242"/>
      <c r="F4527" s="285" t="str">
        <f t="shared" si="147"/>
        <v/>
      </c>
      <c r="K4527" s="246" t="str">
        <f t="shared" si="146"/>
        <v/>
      </c>
    </row>
    <row r="4528" spans="1:11" ht="30" customHeight="1" x14ac:dyDescent="0.2">
      <c r="A4528" s="242"/>
      <c r="F4528" s="285" t="str">
        <f t="shared" si="147"/>
        <v/>
      </c>
      <c r="K4528" s="246" t="str">
        <f t="shared" si="146"/>
        <v/>
      </c>
    </row>
    <row r="4529" spans="1:11" ht="30" customHeight="1" x14ac:dyDescent="0.2">
      <c r="A4529" s="242"/>
      <c r="F4529" s="285" t="str">
        <f t="shared" si="147"/>
        <v/>
      </c>
      <c r="K4529" s="246" t="str">
        <f t="shared" si="146"/>
        <v/>
      </c>
    </row>
    <row r="4530" spans="1:11" ht="30" customHeight="1" x14ac:dyDescent="0.2">
      <c r="A4530" s="242"/>
      <c r="F4530" s="285" t="str">
        <f t="shared" si="147"/>
        <v/>
      </c>
      <c r="K4530" s="246" t="str">
        <f t="shared" si="146"/>
        <v/>
      </c>
    </row>
    <row r="4531" spans="1:11" ht="30" customHeight="1" x14ac:dyDescent="0.2">
      <c r="A4531" s="242"/>
      <c r="F4531" s="285" t="str">
        <f t="shared" si="147"/>
        <v/>
      </c>
      <c r="K4531" s="246" t="str">
        <f t="shared" si="146"/>
        <v/>
      </c>
    </row>
    <row r="4532" spans="1:11" ht="30" customHeight="1" x14ac:dyDescent="0.2">
      <c r="A4532" s="242"/>
      <c r="F4532" s="285" t="str">
        <f t="shared" si="147"/>
        <v/>
      </c>
      <c r="K4532" s="246" t="str">
        <f t="shared" si="146"/>
        <v/>
      </c>
    </row>
    <row r="4533" spans="1:11" ht="30" customHeight="1" x14ac:dyDescent="0.2">
      <c r="A4533" s="242"/>
      <c r="F4533" s="285" t="str">
        <f t="shared" si="147"/>
        <v/>
      </c>
      <c r="K4533" s="246" t="str">
        <f t="shared" si="146"/>
        <v/>
      </c>
    </row>
    <row r="4534" spans="1:11" ht="30" customHeight="1" x14ac:dyDescent="0.2">
      <c r="A4534" s="242"/>
      <c r="F4534" s="285" t="str">
        <f t="shared" si="147"/>
        <v/>
      </c>
      <c r="K4534" s="246" t="str">
        <f t="shared" si="146"/>
        <v/>
      </c>
    </row>
    <row r="4535" spans="1:11" ht="30" customHeight="1" x14ac:dyDescent="0.2">
      <c r="A4535" s="242"/>
      <c r="F4535" s="285" t="str">
        <f t="shared" si="147"/>
        <v/>
      </c>
      <c r="K4535" s="246" t="str">
        <f t="shared" si="146"/>
        <v/>
      </c>
    </row>
    <row r="4536" spans="1:11" ht="30" customHeight="1" x14ac:dyDescent="0.2">
      <c r="A4536" s="242"/>
      <c r="F4536" s="285" t="str">
        <f t="shared" si="147"/>
        <v/>
      </c>
      <c r="K4536" s="246" t="str">
        <f t="shared" si="146"/>
        <v/>
      </c>
    </row>
    <row r="4537" spans="1:11" ht="30" customHeight="1" x14ac:dyDescent="0.2">
      <c r="A4537" s="242"/>
      <c r="F4537" s="285" t="str">
        <f t="shared" si="147"/>
        <v/>
      </c>
      <c r="K4537" s="246" t="str">
        <f t="shared" si="146"/>
        <v/>
      </c>
    </row>
    <row r="4538" spans="1:11" ht="30" customHeight="1" x14ac:dyDescent="0.2">
      <c r="A4538" s="242"/>
      <c r="F4538" s="285" t="str">
        <f t="shared" si="147"/>
        <v/>
      </c>
      <c r="K4538" s="246" t="str">
        <f t="shared" si="146"/>
        <v/>
      </c>
    </row>
    <row r="4539" spans="1:11" ht="30" customHeight="1" x14ac:dyDescent="0.2">
      <c r="A4539" s="242"/>
      <c r="F4539" s="285" t="str">
        <f t="shared" si="147"/>
        <v/>
      </c>
      <c r="K4539" s="246" t="str">
        <f t="shared" ref="K4539:K4602" si="148">IF(A4539="","",A4539)</f>
        <v/>
      </c>
    </row>
    <row r="4540" spans="1:11" ht="30" customHeight="1" x14ac:dyDescent="0.2">
      <c r="A4540" s="242"/>
      <c r="F4540" s="285" t="str">
        <f t="shared" si="147"/>
        <v/>
      </c>
      <c r="K4540" s="246" t="str">
        <f t="shared" si="148"/>
        <v/>
      </c>
    </row>
    <row r="4541" spans="1:11" ht="30" customHeight="1" x14ac:dyDescent="0.2">
      <c r="A4541" s="242"/>
      <c r="F4541" s="285" t="str">
        <f t="shared" si="147"/>
        <v/>
      </c>
      <c r="K4541" s="246" t="str">
        <f t="shared" si="148"/>
        <v/>
      </c>
    </row>
    <row r="4542" spans="1:11" ht="30" customHeight="1" x14ac:dyDescent="0.2">
      <c r="A4542" s="242"/>
      <c r="F4542" s="285" t="str">
        <f t="shared" si="147"/>
        <v/>
      </c>
      <c r="K4542" s="246" t="str">
        <f t="shared" si="148"/>
        <v/>
      </c>
    </row>
    <row r="4543" spans="1:11" ht="30" customHeight="1" x14ac:dyDescent="0.2">
      <c r="A4543" s="242"/>
      <c r="F4543" s="285" t="str">
        <f t="shared" si="147"/>
        <v/>
      </c>
      <c r="K4543" s="246" t="str">
        <f t="shared" si="148"/>
        <v/>
      </c>
    </row>
    <row r="4544" spans="1:11" ht="30" customHeight="1" x14ac:dyDescent="0.2">
      <c r="A4544" s="242"/>
      <c r="F4544" s="285" t="str">
        <f t="shared" si="147"/>
        <v/>
      </c>
      <c r="K4544" s="246" t="str">
        <f t="shared" si="148"/>
        <v/>
      </c>
    </row>
    <row r="4545" spans="1:11" ht="30" customHeight="1" x14ac:dyDescent="0.2">
      <c r="A4545" s="242"/>
      <c r="F4545" s="285" t="str">
        <f t="shared" si="147"/>
        <v/>
      </c>
      <c r="K4545" s="246" t="str">
        <f t="shared" si="148"/>
        <v/>
      </c>
    </row>
    <row r="4546" spans="1:11" ht="30" customHeight="1" x14ac:dyDescent="0.2">
      <c r="A4546" s="242"/>
      <c r="F4546" s="285" t="str">
        <f t="shared" si="147"/>
        <v/>
      </c>
      <c r="K4546" s="246" t="str">
        <f t="shared" si="148"/>
        <v/>
      </c>
    </row>
    <row r="4547" spans="1:11" ht="30" customHeight="1" x14ac:dyDescent="0.2">
      <c r="A4547" s="242"/>
      <c r="F4547" s="285" t="str">
        <f t="shared" si="147"/>
        <v/>
      </c>
      <c r="K4547" s="246" t="str">
        <f t="shared" si="148"/>
        <v/>
      </c>
    </row>
    <row r="4548" spans="1:11" ht="30" customHeight="1" x14ac:dyDescent="0.2">
      <c r="A4548" s="242"/>
      <c r="F4548" s="285" t="str">
        <f t="shared" si="147"/>
        <v/>
      </c>
      <c r="K4548" s="246" t="str">
        <f t="shared" si="148"/>
        <v/>
      </c>
    </row>
    <row r="4549" spans="1:11" ht="30" customHeight="1" x14ac:dyDescent="0.2">
      <c r="A4549" s="242"/>
      <c r="F4549" s="285" t="str">
        <f t="shared" ref="F4549:F4612" si="149">IF(A4549="","",A4549)</f>
        <v/>
      </c>
      <c r="K4549" s="246" t="str">
        <f t="shared" si="148"/>
        <v/>
      </c>
    </row>
    <row r="4550" spans="1:11" ht="30" customHeight="1" x14ac:dyDescent="0.2">
      <c r="A4550" s="242"/>
      <c r="F4550" s="285" t="str">
        <f t="shared" si="149"/>
        <v/>
      </c>
      <c r="K4550" s="246" t="str">
        <f t="shared" si="148"/>
        <v/>
      </c>
    </row>
    <row r="4551" spans="1:11" ht="30" customHeight="1" x14ac:dyDescent="0.2">
      <c r="A4551" s="242"/>
      <c r="F4551" s="285" t="str">
        <f t="shared" si="149"/>
        <v/>
      </c>
      <c r="K4551" s="246" t="str">
        <f t="shared" si="148"/>
        <v/>
      </c>
    </row>
    <row r="4552" spans="1:11" ht="30" customHeight="1" x14ac:dyDescent="0.2">
      <c r="A4552" s="242"/>
      <c r="F4552" s="285" t="str">
        <f t="shared" si="149"/>
        <v/>
      </c>
      <c r="K4552" s="246" t="str">
        <f t="shared" si="148"/>
        <v/>
      </c>
    </row>
    <row r="4553" spans="1:11" ht="30" customHeight="1" x14ac:dyDescent="0.2">
      <c r="A4553" s="242"/>
      <c r="F4553" s="285" t="str">
        <f t="shared" si="149"/>
        <v/>
      </c>
      <c r="K4553" s="246" t="str">
        <f t="shared" si="148"/>
        <v/>
      </c>
    </row>
    <row r="4554" spans="1:11" ht="30" customHeight="1" x14ac:dyDescent="0.2">
      <c r="A4554" s="242"/>
      <c r="F4554" s="285" t="str">
        <f t="shared" si="149"/>
        <v/>
      </c>
      <c r="K4554" s="246" t="str">
        <f t="shared" si="148"/>
        <v/>
      </c>
    </row>
    <row r="4555" spans="1:11" ht="30" customHeight="1" x14ac:dyDescent="0.2">
      <c r="A4555" s="242"/>
      <c r="F4555" s="285" t="str">
        <f t="shared" si="149"/>
        <v/>
      </c>
      <c r="K4555" s="246" t="str">
        <f t="shared" si="148"/>
        <v/>
      </c>
    </row>
    <row r="4556" spans="1:11" ht="30" customHeight="1" x14ac:dyDescent="0.2">
      <c r="A4556" s="242"/>
      <c r="F4556" s="285" t="str">
        <f t="shared" si="149"/>
        <v/>
      </c>
      <c r="K4556" s="246" t="str">
        <f t="shared" si="148"/>
        <v/>
      </c>
    </row>
    <row r="4557" spans="1:11" ht="30" customHeight="1" x14ac:dyDescent="0.2">
      <c r="A4557" s="242"/>
      <c r="F4557" s="285" t="str">
        <f t="shared" si="149"/>
        <v/>
      </c>
      <c r="K4557" s="246" t="str">
        <f t="shared" si="148"/>
        <v/>
      </c>
    </row>
    <row r="4558" spans="1:11" ht="30" customHeight="1" x14ac:dyDescent="0.2">
      <c r="A4558" s="242"/>
      <c r="F4558" s="285" t="str">
        <f t="shared" si="149"/>
        <v/>
      </c>
      <c r="K4558" s="246" t="str">
        <f t="shared" si="148"/>
        <v/>
      </c>
    </row>
    <row r="4559" spans="1:11" ht="30" customHeight="1" x14ac:dyDescent="0.2">
      <c r="A4559" s="242"/>
      <c r="F4559" s="285" t="str">
        <f t="shared" si="149"/>
        <v/>
      </c>
      <c r="K4559" s="246" t="str">
        <f t="shared" si="148"/>
        <v/>
      </c>
    </row>
    <row r="4560" spans="1:11" ht="30" customHeight="1" x14ac:dyDescent="0.2">
      <c r="A4560" s="242"/>
      <c r="F4560" s="285" t="str">
        <f t="shared" si="149"/>
        <v/>
      </c>
      <c r="K4560" s="246" t="str">
        <f t="shared" si="148"/>
        <v/>
      </c>
    </row>
    <row r="4561" spans="1:11" ht="30" customHeight="1" x14ac:dyDescent="0.2">
      <c r="A4561" s="242"/>
      <c r="F4561" s="285" t="str">
        <f t="shared" si="149"/>
        <v/>
      </c>
      <c r="K4561" s="246" t="str">
        <f t="shared" si="148"/>
        <v/>
      </c>
    </row>
    <row r="4562" spans="1:11" ht="30" customHeight="1" x14ac:dyDescent="0.2">
      <c r="A4562" s="242"/>
      <c r="F4562" s="285" t="str">
        <f t="shared" si="149"/>
        <v/>
      </c>
      <c r="K4562" s="246" t="str">
        <f t="shared" si="148"/>
        <v/>
      </c>
    </row>
    <row r="4563" spans="1:11" ht="30" customHeight="1" x14ac:dyDescent="0.2">
      <c r="A4563" s="242"/>
      <c r="F4563" s="285" t="str">
        <f t="shared" si="149"/>
        <v/>
      </c>
      <c r="K4563" s="246" t="str">
        <f t="shared" si="148"/>
        <v/>
      </c>
    </row>
    <row r="4564" spans="1:11" ht="30" customHeight="1" x14ac:dyDescent="0.2">
      <c r="A4564" s="242"/>
      <c r="F4564" s="285" t="str">
        <f t="shared" si="149"/>
        <v/>
      </c>
      <c r="K4564" s="246" t="str">
        <f t="shared" si="148"/>
        <v/>
      </c>
    </row>
    <row r="4565" spans="1:11" ht="30" customHeight="1" x14ac:dyDescent="0.2">
      <c r="A4565" s="242"/>
      <c r="F4565" s="285" t="str">
        <f t="shared" si="149"/>
        <v/>
      </c>
      <c r="K4565" s="246" t="str">
        <f t="shared" si="148"/>
        <v/>
      </c>
    </row>
    <row r="4566" spans="1:11" ht="30" customHeight="1" x14ac:dyDescent="0.2">
      <c r="A4566" s="242"/>
      <c r="F4566" s="285" t="str">
        <f t="shared" si="149"/>
        <v/>
      </c>
      <c r="K4566" s="246" t="str">
        <f t="shared" si="148"/>
        <v/>
      </c>
    </row>
    <row r="4567" spans="1:11" ht="30" customHeight="1" x14ac:dyDescent="0.2">
      <c r="A4567" s="242"/>
      <c r="F4567" s="285" t="str">
        <f t="shared" si="149"/>
        <v/>
      </c>
      <c r="K4567" s="246" t="str">
        <f t="shared" si="148"/>
        <v/>
      </c>
    </row>
    <row r="4568" spans="1:11" ht="30" customHeight="1" x14ac:dyDescent="0.2">
      <c r="A4568" s="242"/>
      <c r="F4568" s="285" t="str">
        <f t="shared" si="149"/>
        <v/>
      </c>
      <c r="K4568" s="246" t="str">
        <f t="shared" si="148"/>
        <v/>
      </c>
    </row>
    <row r="4569" spans="1:11" ht="30" customHeight="1" x14ac:dyDescent="0.2">
      <c r="A4569" s="242"/>
      <c r="F4569" s="285" t="str">
        <f t="shared" si="149"/>
        <v/>
      </c>
      <c r="K4569" s="246" t="str">
        <f t="shared" si="148"/>
        <v/>
      </c>
    </row>
    <row r="4570" spans="1:11" ht="30" customHeight="1" x14ac:dyDescent="0.2">
      <c r="A4570" s="242"/>
      <c r="F4570" s="285" t="str">
        <f t="shared" si="149"/>
        <v/>
      </c>
      <c r="K4570" s="246" t="str">
        <f t="shared" si="148"/>
        <v/>
      </c>
    </row>
    <row r="4571" spans="1:11" ht="30" customHeight="1" x14ac:dyDescent="0.2">
      <c r="A4571" s="242"/>
      <c r="F4571" s="285" t="str">
        <f t="shared" si="149"/>
        <v/>
      </c>
      <c r="K4571" s="246" t="str">
        <f t="shared" si="148"/>
        <v/>
      </c>
    </row>
    <row r="4572" spans="1:11" ht="30" customHeight="1" x14ac:dyDescent="0.2">
      <c r="A4572" s="242"/>
      <c r="F4572" s="285" t="str">
        <f t="shared" si="149"/>
        <v/>
      </c>
      <c r="K4572" s="246" t="str">
        <f t="shared" si="148"/>
        <v/>
      </c>
    </row>
    <row r="4573" spans="1:11" ht="30" customHeight="1" x14ac:dyDescent="0.2">
      <c r="A4573" s="242"/>
      <c r="F4573" s="285" t="str">
        <f t="shared" si="149"/>
        <v/>
      </c>
      <c r="K4573" s="246" t="str">
        <f t="shared" si="148"/>
        <v/>
      </c>
    </row>
    <row r="4574" spans="1:11" ht="30" customHeight="1" x14ac:dyDescent="0.2">
      <c r="A4574" s="242"/>
      <c r="F4574" s="285" t="str">
        <f t="shared" si="149"/>
        <v/>
      </c>
      <c r="K4574" s="246" t="str">
        <f t="shared" si="148"/>
        <v/>
      </c>
    </row>
    <row r="4575" spans="1:11" ht="30" customHeight="1" x14ac:dyDescent="0.2">
      <c r="A4575" s="242"/>
      <c r="F4575" s="285" t="str">
        <f t="shared" si="149"/>
        <v/>
      </c>
      <c r="K4575" s="246" t="str">
        <f t="shared" si="148"/>
        <v/>
      </c>
    </row>
    <row r="4576" spans="1:11" ht="30" customHeight="1" x14ac:dyDescent="0.2">
      <c r="A4576" s="242"/>
      <c r="F4576" s="285" t="str">
        <f t="shared" si="149"/>
        <v/>
      </c>
      <c r="K4576" s="246" t="str">
        <f t="shared" si="148"/>
        <v/>
      </c>
    </row>
    <row r="4577" spans="1:11" ht="30" customHeight="1" x14ac:dyDescent="0.2">
      <c r="A4577" s="242"/>
      <c r="F4577" s="285" t="str">
        <f t="shared" si="149"/>
        <v/>
      </c>
      <c r="K4577" s="246" t="str">
        <f t="shared" si="148"/>
        <v/>
      </c>
    </row>
    <row r="4578" spans="1:11" ht="30" customHeight="1" x14ac:dyDescent="0.2">
      <c r="A4578" s="242"/>
      <c r="F4578" s="285" t="str">
        <f t="shared" si="149"/>
        <v/>
      </c>
      <c r="K4578" s="246" t="str">
        <f t="shared" si="148"/>
        <v/>
      </c>
    </row>
    <row r="4579" spans="1:11" ht="30" customHeight="1" x14ac:dyDescent="0.2">
      <c r="A4579" s="242"/>
      <c r="F4579" s="285" t="str">
        <f t="shared" si="149"/>
        <v/>
      </c>
      <c r="K4579" s="246" t="str">
        <f t="shared" si="148"/>
        <v/>
      </c>
    </row>
    <row r="4580" spans="1:11" ht="30" customHeight="1" x14ac:dyDescent="0.2">
      <c r="A4580" s="242"/>
      <c r="F4580" s="285" t="str">
        <f t="shared" si="149"/>
        <v/>
      </c>
      <c r="K4580" s="246" t="str">
        <f t="shared" si="148"/>
        <v/>
      </c>
    </row>
    <row r="4581" spans="1:11" ht="30" customHeight="1" x14ac:dyDescent="0.2">
      <c r="A4581" s="242"/>
      <c r="F4581" s="285" t="str">
        <f t="shared" si="149"/>
        <v/>
      </c>
      <c r="K4581" s="246" t="str">
        <f t="shared" si="148"/>
        <v/>
      </c>
    </row>
    <row r="4582" spans="1:11" ht="30" customHeight="1" x14ac:dyDescent="0.2">
      <c r="A4582" s="242"/>
      <c r="F4582" s="285" t="str">
        <f t="shared" si="149"/>
        <v/>
      </c>
      <c r="K4582" s="246" t="str">
        <f t="shared" si="148"/>
        <v/>
      </c>
    </row>
    <row r="4583" spans="1:11" ht="30" customHeight="1" x14ac:dyDescent="0.2">
      <c r="A4583" s="242"/>
      <c r="F4583" s="285" t="str">
        <f t="shared" si="149"/>
        <v/>
      </c>
      <c r="K4583" s="246" t="str">
        <f t="shared" si="148"/>
        <v/>
      </c>
    </row>
    <row r="4584" spans="1:11" ht="30" customHeight="1" x14ac:dyDescent="0.2">
      <c r="A4584" s="242"/>
      <c r="F4584" s="285" t="str">
        <f t="shared" si="149"/>
        <v/>
      </c>
      <c r="K4584" s="246" t="str">
        <f t="shared" si="148"/>
        <v/>
      </c>
    </row>
    <row r="4585" spans="1:11" ht="30" customHeight="1" x14ac:dyDescent="0.2">
      <c r="A4585" s="242"/>
      <c r="F4585" s="285" t="str">
        <f t="shared" si="149"/>
        <v/>
      </c>
      <c r="K4585" s="246" t="str">
        <f t="shared" si="148"/>
        <v/>
      </c>
    </row>
    <row r="4586" spans="1:11" ht="30" customHeight="1" x14ac:dyDescent="0.2">
      <c r="A4586" s="242"/>
      <c r="F4586" s="285" t="str">
        <f t="shared" si="149"/>
        <v/>
      </c>
      <c r="K4586" s="246" t="str">
        <f t="shared" si="148"/>
        <v/>
      </c>
    </row>
    <row r="4587" spans="1:11" ht="30" customHeight="1" x14ac:dyDescent="0.2">
      <c r="A4587" s="242"/>
      <c r="F4587" s="285" t="str">
        <f t="shared" si="149"/>
        <v/>
      </c>
      <c r="K4587" s="246" t="str">
        <f t="shared" si="148"/>
        <v/>
      </c>
    </row>
    <row r="4588" spans="1:11" ht="30" customHeight="1" x14ac:dyDescent="0.2">
      <c r="A4588" s="242"/>
      <c r="F4588" s="285" t="str">
        <f t="shared" si="149"/>
        <v/>
      </c>
      <c r="K4588" s="246" t="str">
        <f t="shared" si="148"/>
        <v/>
      </c>
    </row>
    <row r="4589" spans="1:11" ht="30" customHeight="1" x14ac:dyDescent="0.2">
      <c r="A4589" s="242"/>
      <c r="F4589" s="285" t="str">
        <f t="shared" si="149"/>
        <v/>
      </c>
      <c r="K4589" s="246" t="str">
        <f t="shared" si="148"/>
        <v/>
      </c>
    </row>
    <row r="4590" spans="1:11" ht="30" customHeight="1" x14ac:dyDescent="0.2">
      <c r="A4590" s="242"/>
      <c r="F4590" s="285" t="str">
        <f t="shared" si="149"/>
        <v/>
      </c>
      <c r="K4590" s="246" t="str">
        <f t="shared" si="148"/>
        <v/>
      </c>
    </row>
    <row r="4591" spans="1:11" ht="30" customHeight="1" x14ac:dyDescent="0.2">
      <c r="A4591" s="242"/>
      <c r="F4591" s="285" t="str">
        <f t="shared" si="149"/>
        <v/>
      </c>
      <c r="K4591" s="246" t="str">
        <f t="shared" si="148"/>
        <v/>
      </c>
    </row>
    <row r="4592" spans="1:11" ht="30" customHeight="1" x14ac:dyDescent="0.2">
      <c r="A4592" s="242"/>
      <c r="F4592" s="285" t="str">
        <f t="shared" si="149"/>
        <v/>
      </c>
      <c r="K4592" s="246" t="str">
        <f t="shared" si="148"/>
        <v/>
      </c>
    </row>
    <row r="4593" spans="1:11" ht="30" customHeight="1" x14ac:dyDescent="0.2">
      <c r="A4593" s="242"/>
      <c r="F4593" s="285" t="str">
        <f t="shared" si="149"/>
        <v/>
      </c>
      <c r="K4593" s="246" t="str">
        <f t="shared" si="148"/>
        <v/>
      </c>
    </row>
    <row r="4594" spans="1:11" ht="30" customHeight="1" x14ac:dyDescent="0.2">
      <c r="A4594" s="242"/>
      <c r="F4594" s="285" t="str">
        <f t="shared" si="149"/>
        <v/>
      </c>
      <c r="K4594" s="246" t="str">
        <f t="shared" si="148"/>
        <v/>
      </c>
    </row>
    <row r="4595" spans="1:11" ht="30" customHeight="1" x14ac:dyDescent="0.2">
      <c r="A4595" s="242"/>
      <c r="F4595" s="285" t="str">
        <f t="shared" si="149"/>
        <v/>
      </c>
      <c r="K4595" s="246" t="str">
        <f t="shared" si="148"/>
        <v/>
      </c>
    </row>
    <row r="4596" spans="1:11" ht="30" customHeight="1" x14ac:dyDescent="0.2">
      <c r="A4596" s="242"/>
      <c r="F4596" s="285" t="str">
        <f t="shared" si="149"/>
        <v/>
      </c>
      <c r="K4596" s="246" t="str">
        <f t="shared" si="148"/>
        <v/>
      </c>
    </row>
    <row r="4597" spans="1:11" ht="30" customHeight="1" x14ac:dyDescent="0.2">
      <c r="A4597" s="242"/>
      <c r="F4597" s="285" t="str">
        <f t="shared" si="149"/>
        <v/>
      </c>
      <c r="K4597" s="246" t="str">
        <f t="shared" si="148"/>
        <v/>
      </c>
    </row>
    <row r="4598" spans="1:11" ht="30" customHeight="1" x14ac:dyDescent="0.2">
      <c r="A4598" s="242"/>
      <c r="F4598" s="285" t="str">
        <f t="shared" si="149"/>
        <v/>
      </c>
      <c r="K4598" s="246" t="str">
        <f t="shared" si="148"/>
        <v/>
      </c>
    </row>
    <row r="4599" spans="1:11" ht="30" customHeight="1" x14ac:dyDescent="0.2">
      <c r="A4599" s="242"/>
      <c r="F4599" s="285" t="str">
        <f t="shared" si="149"/>
        <v/>
      </c>
      <c r="K4599" s="246" t="str">
        <f t="shared" si="148"/>
        <v/>
      </c>
    </row>
    <row r="4600" spans="1:11" ht="30" customHeight="1" x14ac:dyDescent="0.2">
      <c r="A4600" s="242"/>
      <c r="F4600" s="285" t="str">
        <f t="shared" si="149"/>
        <v/>
      </c>
      <c r="K4600" s="246" t="str">
        <f t="shared" si="148"/>
        <v/>
      </c>
    </row>
    <row r="4601" spans="1:11" ht="30" customHeight="1" x14ac:dyDescent="0.2">
      <c r="A4601" s="242"/>
      <c r="F4601" s="285" t="str">
        <f t="shared" si="149"/>
        <v/>
      </c>
      <c r="K4601" s="246" t="str">
        <f t="shared" si="148"/>
        <v/>
      </c>
    </row>
    <row r="4602" spans="1:11" ht="30" customHeight="1" x14ac:dyDescent="0.2">
      <c r="A4602" s="242"/>
      <c r="F4602" s="285" t="str">
        <f t="shared" si="149"/>
        <v/>
      </c>
      <c r="K4602" s="246" t="str">
        <f t="shared" si="148"/>
        <v/>
      </c>
    </row>
    <row r="4603" spans="1:11" ht="30" customHeight="1" x14ac:dyDescent="0.2">
      <c r="A4603" s="242"/>
      <c r="F4603" s="285" t="str">
        <f t="shared" si="149"/>
        <v/>
      </c>
      <c r="K4603" s="246" t="str">
        <f t="shared" ref="K4603:K4666" si="150">IF(A4603="","",A4603)</f>
        <v/>
      </c>
    </row>
    <row r="4604" spans="1:11" ht="30" customHeight="1" x14ac:dyDescent="0.2">
      <c r="A4604" s="242"/>
      <c r="F4604" s="285" t="str">
        <f t="shared" si="149"/>
        <v/>
      </c>
      <c r="K4604" s="246" t="str">
        <f t="shared" si="150"/>
        <v/>
      </c>
    </row>
    <row r="4605" spans="1:11" ht="30" customHeight="1" x14ac:dyDescent="0.2">
      <c r="A4605" s="242"/>
      <c r="F4605" s="285" t="str">
        <f t="shared" si="149"/>
        <v/>
      </c>
      <c r="K4605" s="246" t="str">
        <f t="shared" si="150"/>
        <v/>
      </c>
    </row>
    <row r="4606" spans="1:11" ht="30" customHeight="1" x14ac:dyDescent="0.2">
      <c r="A4606" s="242"/>
      <c r="F4606" s="285" t="str">
        <f t="shared" si="149"/>
        <v/>
      </c>
      <c r="K4606" s="246" t="str">
        <f t="shared" si="150"/>
        <v/>
      </c>
    </row>
    <row r="4607" spans="1:11" ht="30" customHeight="1" x14ac:dyDescent="0.2">
      <c r="A4607" s="242"/>
      <c r="F4607" s="285" t="str">
        <f t="shared" si="149"/>
        <v/>
      </c>
      <c r="K4607" s="246" t="str">
        <f t="shared" si="150"/>
        <v/>
      </c>
    </row>
    <row r="4608" spans="1:11" ht="30" customHeight="1" x14ac:dyDescent="0.2">
      <c r="A4608" s="242"/>
      <c r="F4608" s="285" t="str">
        <f t="shared" si="149"/>
        <v/>
      </c>
      <c r="K4608" s="246" t="str">
        <f t="shared" si="150"/>
        <v/>
      </c>
    </row>
    <row r="4609" spans="1:11" ht="30" customHeight="1" x14ac:dyDescent="0.2">
      <c r="A4609" s="242"/>
      <c r="F4609" s="285" t="str">
        <f t="shared" si="149"/>
        <v/>
      </c>
      <c r="K4609" s="246" t="str">
        <f t="shared" si="150"/>
        <v/>
      </c>
    </row>
    <row r="4610" spans="1:11" ht="30" customHeight="1" x14ac:dyDescent="0.2">
      <c r="A4610" s="242"/>
      <c r="F4610" s="285" t="str">
        <f t="shared" si="149"/>
        <v/>
      </c>
      <c r="K4610" s="246" t="str">
        <f t="shared" si="150"/>
        <v/>
      </c>
    </row>
    <row r="4611" spans="1:11" ht="30" customHeight="1" x14ac:dyDescent="0.2">
      <c r="A4611" s="242"/>
      <c r="F4611" s="285" t="str">
        <f t="shared" si="149"/>
        <v/>
      </c>
      <c r="K4611" s="246" t="str">
        <f t="shared" si="150"/>
        <v/>
      </c>
    </row>
    <row r="4612" spans="1:11" ht="30" customHeight="1" x14ac:dyDescent="0.2">
      <c r="A4612" s="242"/>
      <c r="F4612" s="285" t="str">
        <f t="shared" si="149"/>
        <v/>
      </c>
      <c r="K4612" s="246" t="str">
        <f t="shared" si="150"/>
        <v/>
      </c>
    </row>
    <row r="4613" spans="1:11" ht="30" customHeight="1" x14ac:dyDescent="0.2">
      <c r="A4613" s="242"/>
      <c r="F4613" s="285" t="str">
        <f t="shared" ref="F4613:F4676" si="151">IF(A4613="","",A4613)</f>
        <v/>
      </c>
      <c r="K4613" s="246" t="str">
        <f t="shared" si="150"/>
        <v/>
      </c>
    </row>
    <row r="4614" spans="1:11" ht="30" customHeight="1" x14ac:dyDescent="0.2">
      <c r="A4614" s="242"/>
      <c r="F4614" s="285" t="str">
        <f t="shared" si="151"/>
        <v/>
      </c>
      <c r="K4614" s="246" t="str">
        <f t="shared" si="150"/>
        <v/>
      </c>
    </row>
    <row r="4615" spans="1:11" ht="30" customHeight="1" x14ac:dyDescent="0.2">
      <c r="A4615" s="242"/>
      <c r="F4615" s="285" t="str">
        <f t="shared" si="151"/>
        <v/>
      </c>
      <c r="K4615" s="246" t="str">
        <f t="shared" si="150"/>
        <v/>
      </c>
    </row>
    <row r="4616" spans="1:11" ht="30" customHeight="1" x14ac:dyDescent="0.2">
      <c r="A4616" s="242"/>
      <c r="F4616" s="285" t="str">
        <f t="shared" si="151"/>
        <v/>
      </c>
      <c r="K4616" s="246" t="str">
        <f t="shared" si="150"/>
        <v/>
      </c>
    </row>
    <row r="4617" spans="1:11" ht="30" customHeight="1" x14ac:dyDescent="0.2">
      <c r="A4617" s="242"/>
      <c r="F4617" s="285" t="str">
        <f t="shared" si="151"/>
        <v/>
      </c>
      <c r="K4617" s="246" t="str">
        <f t="shared" si="150"/>
        <v/>
      </c>
    </row>
    <row r="4618" spans="1:11" ht="30" customHeight="1" x14ac:dyDescent="0.2">
      <c r="A4618" s="242"/>
      <c r="F4618" s="285" t="str">
        <f t="shared" si="151"/>
        <v/>
      </c>
      <c r="K4618" s="246" t="str">
        <f t="shared" si="150"/>
        <v/>
      </c>
    </row>
    <row r="4619" spans="1:11" ht="30" customHeight="1" x14ac:dyDescent="0.2">
      <c r="A4619" s="242"/>
      <c r="F4619" s="285" t="str">
        <f t="shared" si="151"/>
        <v/>
      </c>
      <c r="K4619" s="246" t="str">
        <f t="shared" si="150"/>
        <v/>
      </c>
    </row>
    <row r="4620" spans="1:11" ht="30" customHeight="1" x14ac:dyDescent="0.2">
      <c r="A4620" s="242"/>
      <c r="F4620" s="285" t="str">
        <f t="shared" si="151"/>
        <v/>
      </c>
      <c r="K4620" s="246" t="str">
        <f t="shared" si="150"/>
        <v/>
      </c>
    </row>
    <row r="4621" spans="1:11" ht="30" customHeight="1" x14ac:dyDescent="0.2">
      <c r="A4621" s="242"/>
      <c r="F4621" s="285" t="str">
        <f t="shared" si="151"/>
        <v/>
      </c>
      <c r="K4621" s="246" t="str">
        <f t="shared" si="150"/>
        <v/>
      </c>
    </row>
    <row r="4622" spans="1:11" ht="30" customHeight="1" x14ac:dyDescent="0.2">
      <c r="A4622" s="242"/>
      <c r="F4622" s="285" t="str">
        <f t="shared" si="151"/>
        <v/>
      </c>
      <c r="K4622" s="246" t="str">
        <f t="shared" si="150"/>
        <v/>
      </c>
    </row>
    <row r="4623" spans="1:11" ht="30" customHeight="1" x14ac:dyDescent="0.2">
      <c r="A4623" s="242"/>
      <c r="F4623" s="285" t="str">
        <f t="shared" si="151"/>
        <v/>
      </c>
      <c r="K4623" s="246" t="str">
        <f t="shared" si="150"/>
        <v/>
      </c>
    </row>
    <row r="4624" spans="1:11" ht="30" customHeight="1" x14ac:dyDescent="0.2">
      <c r="A4624" s="242"/>
      <c r="F4624" s="285" t="str">
        <f t="shared" si="151"/>
        <v/>
      </c>
      <c r="K4624" s="246" t="str">
        <f t="shared" si="150"/>
        <v/>
      </c>
    </row>
    <row r="4625" spans="1:11" ht="30" customHeight="1" x14ac:dyDescent="0.2">
      <c r="A4625" s="242"/>
      <c r="F4625" s="285" t="str">
        <f t="shared" si="151"/>
        <v/>
      </c>
      <c r="K4625" s="246" t="str">
        <f t="shared" si="150"/>
        <v/>
      </c>
    </row>
    <row r="4626" spans="1:11" ht="30" customHeight="1" x14ac:dyDescent="0.2">
      <c r="A4626" s="242"/>
      <c r="F4626" s="285" t="str">
        <f t="shared" si="151"/>
        <v/>
      </c>
      <c r="K4626" s="246" t="str">
        <f t="shared" si="150"/>
        <v/>
      </c>
    </row>
    <row r="4627" spans="1:11" ht="30" customHeight="1" x14ac:dyDescent="0.2">
      <c r="A4627" s="242"/>
      <c r="F4627" s="285" t="str">
        <f t="shared" si="151"/>
        <v/>
      </c>
      <c r="K4627" s="246" t="str">
        <f t="shared" si="150"/>
        <v/>
      </c>
    </row>
    <row r="4628" spans="1:11" ht="30" customHeight="1" x14ac:dyDescent="0.2">
      <c r="A4628" s="242"/>
      <c r="F4628" s="285" t="str">
        <f t="shared" si="151"/>
        <v/>
      </c>
      <c r="K4628" s="246" t="str">
        <f t="shared" si="150"/>
        <v/>
      </c>
    </row>
    <row r="4629" spans="1:11" ht="30" customHeight="1" x14ac:dyDescent="0.2">
      <c r="A4629" s="242"/>
      <c r="F4629" s="285" t="str">
        <f t="shared" si="151"/>
        <v/>
      </c>
      <c r="K4629" s="246" t="str">
        <f t="shared" si="150"/>
        <v/>
      </c>
    </row>
    <row r="4630" spans="1:11" ht="30" customHeight="1" x14ac:dyDescent="0.2">
      <c r="A4630" s="242"/>
      <c r="F4630" s="285" t="str">
        <f t="shared" si="151"/>
        <v/>
      </c>
      <c r="K4630" s="246" t="str">
        <f t="shared" si="150"/>
        <v/>
      </c>
    </row>
    <row r="4631" spans="1:11" ht="30" customHeight="1" x14ac:dyDescent="0.2">
      <c r="A4631" s="242"/>
      <c r="F4631" s="285" t="str">
        <f t="shared" si="151"/>
        <v/>
      </c>
      <c r="K4631" s="246" t="str">
        <f t="shared" si="150"/>
        <v/>
      </c>
    </row>
    <row r="4632" spans="1:11" ht="30" customHeight="1" x14ac:dyDescent="0.2">
      <c r="A4632" s="242"/>
      <c r="F4632" s="285" t="str">
        <f t="shared" si="151"/>
        <v/>
      </c>
      <c r="K4632" s="246" t="str">
        <f t="shared" si="150"/>
        <v/>
      </c>
    </row>
    <row r="4633" spans="1:11" ht="30" customHeight="1" x14ac:dyDescent="0.2">
      <c r="A4633" s="242"/>
      <c r="F4633" s="285" t="str">
        <f t="shared" si="151"/>
        <v/>
      </c>
      <c r="K4633" s="246" t="str">
        <f t="shared" si="150"/>
        <v/>
      </c>
    </row>
    <row r="4634" spans="1:11" ht="30" customHeight="1" x14ac:dyDescent="0.2">
      <c r="A4634" s="242"/>
      <c r="F4634" s="285" t="str">
        <f t="shared" si="151"/>
        <v/>
      </c>
      <c r="K4634" s="246" t="str">
        <f t="shared" si="150"/>
        <v/>
      </c>
    </row>
    <row r="4635" spans="1:11" ht="30" customHeight="1" x14ac:dyDescent="0.2">
      <c r="A4635" s="242"/>
      <c r="F4635" s="285" t="str">
        <f t="shared" si="151"/>
        <v/>
      </c>
      <c r="K4635" s="246" t="str">
        <f t="shared" si="150"/>
        <v/>
      </c>
    </row>
    <row r="4636" spans="1:11" ht="30" customHeight="1" x14ac:dyDescent="0.2">
      <c r="A4636" s="242"/>
      <c r="F4636" s="285" t="str">
        <f t="shared" si="151"/>
        <v/>
      </c>
      <c r="K4636" s="246" t="str">
        <f t="shared" si="150"/>
        <v/>
      </c>
    </row>
    <row r="4637" spans="1:11" ht="30" customHeight="1" x14ac:dyDescent="0.2">
      <c r="A4637" s="242"/>
      <c r="F4637" s="285" t="str">
        <f t="shared" si="151"/>
        <v/>
      </c>
      <c r="K4637" s="246" t="str">
        <f t="shared" si="150"/>
        <v/>
      </c>
    </row>
    <row r="4638" spans="1:11" ht="30" customHeight="1" x14ac:dyDescent="0.2">
      <c r="A4638" s="242"/>
      <c r="F4638" s="285" t="str">
        <f t="shared" si="151"/>
        <v/>
      </c>
      <c r="K4638" s="246" t="str">
        <f t="shared" si="150"/>
        <v/>
      </c>
    </row>
    <row r="4639" spans="1:11" ht="30" customHeight="1" x14ac:dyDescent="0.2">
      <c r="A4639" s="242"/>
      <c r="F4639" s="285" t="str">
        <f t="shared" si="151"/>
        <v/>
      </c>
      <c r="K4639" s="246" t="str">
        <f t="shared" si="150"/>
        <v/>
      </c>
    </row>
    <row r="4640" spans="1:11" ht="30" customHeight="1" x14ac:dyDescent="0.2">
      <c r="A4640" s="242"/>
      <c r="F4640" s="285" t="str">
        <f t="shared" si="151"/>
        <v/>
      </c>
      <c r="K4640" s="246" t="str">
        <f t="shared" si="150"/>
        <v/>
      </c>
    </row>
    <row r="4641" spans="1:11" ht="30" customHeight="1" x14ac:dyDescent="0.2">
      <c r="A4641" s="242"/>
      <c r="F4641" s="285" t="str">
        <f t="shared" si="151"/>
        <v/>
      </c>
      <c r="K4641" s="246" t="str">
        <f t="shared" si="150"/>
        <v/>
      </c>
    </row>
    <row r="4642" spans="1:11" ht="30" customHeight="1" x14ac:dyDescent="0.2">
      <c r="A4642" s="242"/>
      <c r="F4642" s="285" t="str">
        <f t="shared" si="151"/>
        <v/>
      </c>
      <c r="K4642" s="246" t="str">
        <f t="shared" si="150"/>
        <v/>
      </c>
    </row>
    <row r="4643" spans="1:11" ht="30" customHeight="1" x14ac:dyDescent="0.2">
      <c r="A4643" s="242"/>
      <c r="F4643" s="285" t="str">
        <f t="shared" si="151"/>
        <v/>
      </c>
      <c r="K4643" s="246" t="str">
        <f t="shared" si="150"/>
        <v/>
      </c>
    </row>
    <row r="4644" spans="1:11" ht="30" customHeight="1" x14ac:dyDescent="0.2">
      <c r="A4644" s="242"/>
      <c r="F4644" s="285" t="str">
        <f t="shared" si="151"/>
        <v/>
      </c>
      <c r="K4644" s="246" t="str">
        <f t="shared" si="150"/>
        <v/>
      </c>
    </row>
    <row r="4645" spans="1:11" ht="30" customHeight="1" x14ac:dyDescent="0.2">
      <c r="A4645" s="242"/>
      <c r="F4645" s="285" t="str">
        <f t="shared" si="151"/>
        <v/>
      </c>
      <c r="K4645" s="246" t="str">
        <f t="shared" si="150"/>
        <v/>
      </c>
    </row>
    <row r="4646" spans="1:11" ht="30" customHeight="1" x14ac:dyDescent="0.2">
      <c r="A4646" s="242"/>
      <c r="F4646" s="285" t="str">
        <f t="shared" si="151"/>
        <v/>
      </c>
      <c r="K4646" s="246" t="str">
        <f t="shared" si="150"/>
        <v/>
      </c>
    </row>
    <row r="4647" spans="1:11" ht="30" customHeight="1" x14ac:dyDescent="0.2">
      <c r="A4647" s="242"/>
      <c r="F4647" s="285" t="str">
        <f t="shared" si="151"/>
        <v/>
      </c>
      <c r="K4647" s="246" t="str">
        <f t="shared" si="150"/>
        <v/>
      </c>
    </row>
    <row r="4648" spans="1:11" ht="30" customHeight="1" x14ac:dyDescent="0.2">
      <c r="A4648" s="242"/>
      <c r="F4648" s="285" t="str">
        <f t="shared" si="151"/>
        <v/>
      </c>
      <c r="K4648" s="246" t="str">
        <f t="shared" si="150"/>
        <v/>
      </c>
    </row>
    <row r="4649" spans="1:11" ht="30" customHeight="1" x14ac:dyDescent="0.2">
      <c r="A4649" s="242"/>
      <c r="F4649" s="285" t="str">
        <f t="shared" si="151"/>
        <v/>
      </c>
      <c r="K4649" s="246" t="str">
        <f t="shared" si="150"/>
        <v/>
      </c>
    </row>
    <row r="4650" spans="1:11" ht="30" customHeight="1" x14ac:dyDescent="0.2">
      <c r="A4650" s="242"/>
      <c r="F4650" s="285" t="str">
        <f t="shared" si="151"/>
        <v/>
      </c>
      <c r="K4650" s="246" t="str">
        <f t="shared" si="150"/>
        <v/>
      </c>
    </row>
    <row r="4651" spans="1:11" ht="30" customHeight="1" x14ac:dyDescent="0.2">
      <c r="A4651" s="242"/>
      <c r="F4651" s="285" t="str">
        <f t="shared" si="151"/>
        <v/>
      </c>
      <c r="K4651" s="246" t="str">
        <f t="shared" si="150"/>
        <v/>
      </c>
    </row>
    <row r="4652" spans="1:11" ht="30" customHeight="1" x14ac:dyDescent="0.2">
      <c r="A4652" s="242"/>
      <c r="F4652" s="285" t="str">
        <f t="shared" si="151"/>
        <v/>
      </c>
      <c r="K4652" s="246" t="str">
        <f t="shared" si="150"/>
        <v/>
      </c>
    </row>
    <row r="4653" spans="1:11" ht="30" customHeight="1" x14ac:dyDescent="0.2">
      <c r="A4653" s="242"/>
      <c r="F4653" s="285" t="str">
        <f t="shared" si="151"/>
        <v/>
      </c>
      <c r="K4653" s="246" t="str">
        <f t="shared" si="150"/>
        <v/>
      </c>
    </row>
    <row r="4654" spans="1:11" ht="30" customHeight="1" x14ac:dyDescent="0.2">
      <c r="A4654" s="242"/>
      <c r="F4654" s="285" t="str">
        <f t="shared" si="151"/>
        <v/>
      </c>
      <c r="K4654" s="246" t="str">
        <f t="shared" si="150"/>
        <v/>
      </c>
    </row>
    <row r="4655" spans="1:11" ht="30" customHeight="1" x14ac:dyDescent="0.2">
      <c r="A4655" s="242"/>
      <c r="F4655" s="285" t="str">
        <f t="shared" si="151"/>
        <v/>
      </c>
      <c r="K4655" s="246" t="str">
        <f t="shared" si="150"/>
        <v/>
      </c>
    </row>
    <row r="4656" spans="1:11" ht="30" customHeight="1" x14ac:dyDescent="0.2">
      <c r="A4656" s="242"/>
      <c r="F4656" s="285" t="str">
        <f t="shared" si="151"/>
        <v/>
      </c>
      <c r="K4656" s="246" t="str">
        <f t="shared" si="150"/>
        <v/>
      </c>
    </row>
    <row r="4657" spans="1:11" ht="30" customHeight="1" x14ac:dyDescent="0.2">
      <c r="A4657" s="242"/>
      <c r="F4657" s="285" t="str">
        <f t="shared" si="151"/>
        <v/>
      </c>
      <c r="K4657" s="246" t="str">
        <f t="shared" si="150"/>
        <v/>
      </c>
    </row>
    <row r="4658" spans="1:11" ht="30" customHeight="1" x14ac:dyDescent="0.2">
      <c r="A4658" s="242"/>
      <c r="F4658" s="285" t="str">
        <f t="shared" si="151"/>
        <v/>
      </c>
      <c r="K4658" s="246" t="str">
        <f t="shared" si="150"/>
        <v/>
      </c>
    </row>
    <row r="4659" spans="1:11" ht="30" customHeight="1" x14ac:dyDescent="0.2">
      <c r="A4659" s="242"/>
      <c r="F4659" s="285" t="str">
        <f t="shared" si="151"/>
        <v/>
      </c>
      <c r="K4659" s="246" t="str">
        <f t="shared" si="150"/>
        <v/>
      </c>
    </row>
    <row r="4660" spans="1:11" ht="30" customHeight="1" x14ac:dyDescent="0.2">
      <c r="A4660" s="242"/>
      <c r="F4660" s="285" t="str">
        <f t="shared" si="151"/>
        <v/>
      </c>
      <c r="K4660" s="246" t="str">
        <f t="shared" si="150"/>
        <v/>
      </c>
    </row>
    <row r="4661" spans="1:11" ht="30" customHeight="1" x14ac:dyDescent="0.2">
      <c r="A4661" s="242"/>
      <c r="F4661" s="285" t="str">
        <f t="shared" si="151"/>
        <v/>
      </c>
      <c r="K4661" s="246" t="str">
        <f t="shared" si="150"/>
        <v/>
      </c>
    </row>
    <row r="4662" spans="1:11" ht="30" customHeight="1" x14ac:dyDescent="0.2">
      <c r="A4662" s="242"/>
      <c r="F4662" s="285" t="str">
        <f t="shared" si="151"/>
        <v/>
      </c>
      <c r="K4662" s="246" t="str">
        <f t="shared" si="150"/>
        <v/>
      </c>
    </row>
    <row r="4663" spans="1:11" ht="30" customHeight="1" x14ac:dyDescent="0.2">
      <c r="A4663" s="242"/>
      <c r="F4663" s="285" t="str">
        <f t="shared" si="151"/>
        <v/>
      </c>
      <c r="K4663" s="246" t="str">
        <f t="shared" si="150"/>
        <v/>
      </c>
    </row>
    <row r="4664" spans="1:11" ht="30" customHeight="1" x14ac:dyDescent="0.2">
      <c r="A4664" s="242"/>
      <c r="F4664" s="285" t="str">
        <f t="shared" si="151"/>
        <v/>
      </c>
      <c r="K4664" s="246" t="str">
        <f t="shared" si="150"/>
        <v/>
      </c>
    </row>
    <row r="4665" spans="1:11" ht="30" customHeight="1" x14ac:dyDescent="0.2">
      <c r="A4665" s="242"/>
      <c r="F4665" s="285" t="str">
        <f t="shared" si="151"/>
        <v/>
      </c>
      <c r="K4665" s="246" t="str">
        <f t="shared" si="150"/>
        <v/>
      </c>
    </row>
    <row r="4666" spans="1:11" ht="30" customHeight="1" x14ac:dyDescent="0.2">
      <c r="A4666" s="242"/>
      <c r="F4666" s="285" t="str">
        <f t="shared" si="151"/>
        <v/>
      </c>
      <c r="K4666" s="246" t="str">
        <f t="shared" si="150"/>
        <v/>
      </c>
    </row>
    <row r="4667" spans="1:11" ht="30" customHeight="1" x14ac:dyDescent="0.2">
      <c r="A4667" s="242"/>
      <c r="F4667" s="285" t="str">
        <f t="shared" si="151"/>
        <v/>
      </c>
      <c r="K4667" s="246" t="str">
        <f t="shared" ref="K4667:K4730" si="152">IF(A4667="","",A4667)</f>
        <v/>
      </c>
    </row>
    <row r="4668" spans="1:11" ht="30" customHeight="1" x14ac:dyDescent="0.2">
      <c r="A4668" s="242"/>
      <c r="F4668" s="285" t="str">
        <f t="shared" si="151"/>
        <v/>
      </c>
      <c r="K4668" s="246" t="str">
        <f t="shared" si="152"/>
        <v/>
      </c>
    </row>
    <row r="4669" spans="1:11" ht="30" customHeight="1" x14ac:dyDescent="0.2">
      <c r="A4669" s="242"/>
      <c r="F4669" s="285" t="str">
        <f t="shared" si="151"/>
        <v/>
      </c>
      <c r="K4669" s="246" t="str">
        <f t="shared" si="152"/>
        <v/>
      </c>
    </row>
    <row r="4670" spans="1:11" ht="30" customHeight="1" x14ac:dyDescent="0.2">
      <c r="A4670" s="242"/>
      <c r="F4670" s="285" t="str">
        <f t="shared" si="151"/>
        <v/>
      </c>
      <c r="K4670" s="246" t="str">
        <f t="shared" si="152"/>
        <v/>
      </c>
    </row>
    <row r="4671" spans="1:11" ht="30" customHeight="1" x14ac:dyDescent="0.2">
      <c r="A4671" s="242"/>
      <c r="F4671" s="285" t="str">
        <f t="shared" si="151"/>
        <v/>
      </c>
      <c r="K4671" s="246" t="str">
        <f t="shared" si="152"/>
        <v/>
      </c>
    </row>
    <row r="4672" spans="1:11" ht="30" customHeight="1" x14ac:dyDescent="0.2">
      <c r="A4672" s="242"/>
      <c r="F4672" s="285" t="str">
        <f t="shared" si="151"/>
        <v/>
      </c>
      <c r="K4672" s="246" t="str">
        <f t="shared" si="152"/>
        <v/>
      </c>
    </row>
    <row r="4673" spans="1:11" ht="30" customHeight="1" x14ac:dyDescent="0.2">
      <c r="A4673" s="242"/>
      <c r="F4673" s="285" t="str">
        <f t="shared" si="151"/>
        <v/>
      </c>
      <c r="K4673" s="246" t="str">
        <f t="shared" si="152"/>
        <v/>
      </c>
    </row>
    <row r="4674" spans="1:11" ht="30" customHeight="1" x14ac:dyDescent="0.2">
      <c r="A4674" s="242"/>
      <c r="F4674" s="285" t="str">
        <f t="shared" si="151"/>
        <v/>
      </c>
      <c r="K4674" s="246" t="str">
        <f t="shared" si="152"/>
        <v/>
      </c>
    </row>
    <row r="4675" spans="1:11" ht="30" customHeight="1" x14ac:dyDescent="0.2">
      <c r="A4675" s="242"/>
      <c r="F4675" s="285" t="str">
        <f t="shared" si="151"/>
        <v/>
      </c>
      <c r="K4675" s="246" t="str">
        <f t="shared" si="152"/>
        <v/>
      </c>
    </row>
    <row r="4676" spans="1:11" ht="30" customHeight="1" x14ac:dyDescent="0.2">
      <c r="A4676" s="242"/>
      <c r="F4676" s="285" t="str">
        <f t="shared" si="151"/>
        <v/>
      </c>
      <c r="K4676" s="246" t="str">
        <f t="shared" si="152"/>
        <v/>
      </c>
    </row>
    <row r="4677" spans="1:11" ht="30" customHeight="1" x14ac:dyDescent="0.2">
      <c r="A4677" s="242"/>
      <c r="F4677" s="285" t="str">
        <f t="shared" ref="F4677:F4740" si="153">IF(A4677="","",A4677)</f>
        <v/>
      </c>
      <c r="K4677" s="246" t="str">
        <f t="shared" si="152"/>
        <v/>
      </c>
    </row>
    <row r="4678" spans="1:11" ht="30" customHeight="1" x14ac:dyDescent="0.2">
      <c r="A4678" s="242"/>
      <c r="F4678" s="285" t="str">
        <f t="shared" si="153"/>
        <v/>
      </c>
      <c r="K4678" s="246" t="str">
        <f t="shared" si="152"/>
        <v/>
      </c>
    </row>
    <row r="4679" spans="1:11" ht="30" customHeight="1" x14ac:dyDescent="0.2">
      <c r="A4679" s="242"/>
      <c r="F4679" s="285" t="str">
        <f t="shared" si="153"/>
        <v/>
      </c>
      <c r="K4679" s="246" t="str">
        <f t="shared" si="152"/>
        <v/>
      </c>
    </row>
    <row r="4680" spans="1:11" ht="30" customHeight="1" x14ac:dyDescent="0.2">
      <c r="A4680" s="242"/>
      <c r="F4680" s="285" t="str">
        <f t="shared" si="153"/>
        <v/>
      </c>
      <c r="K4680" s="246" t="str">
        <f t="shared" si="152"/>
        <v/>
      </c>
    </row>
    <row r="4681" spans="1:11" ht="30" customHeight="1" x14ac:dyDescent="0.2">
      <c r="A4681" s="242"/>
      <c r="F4681" s="285" t="str">
        <f t="shared" si="153"/>
        <v/>
      </c>
      <c r="K4681" s="246" t="str">
        <f t="shared" si="152"/>
        <v/>
      </c>
    </row>
    <row r="4682" spans="1:11" ht="30" customHeight="1" x14ac:dyDescent="0.2">
      <c r="A4682" s="242"/>
      <c r="F4682" s="285" t="str">
        <f t="shared" si="153"/>
        <v/>
      </c>
      <c r="K4682" s="246" t="str">
        <f t="shared" si="152"/>
        <v/>
      </c>
    </row>
    <row r="4683" spans="1:11" ht="30" customHeight="1" x14ac:dyDescent="0.2">
      <c r="A4683" s="242"/>
      <c r="F4683" s="285" t="str">
        <f t="shared" si="153"/>
        <v/>
      </c>
      <c r="K4683" s="246" t="str">
        <f t="shared" si="152"/>
        <v/>
      </c>
    </row>
    <row r="4684" spans="1:11" ht="30" customHeight="1" x14ac:dyDescent="0.2">
      <c r="A4684" s="242"/>
      <c r="F4684" s="285" t="str">
        <f t="shared" si="153"/>
        <v/>
      </c>
      <c r="K4684" s="246" t="str">
        <f t="shared" si="152"/>
        <v/>
      </c>
    </row>
    <row r="4685" spans="1:11" ht="30" customHeight="1" x14ac:dyDescent="0.2">
      <c r="A4685" s="242"/>
      <c r="F4685" s="285" t="str">
        <f t="shared" si="153"/>
        <v/>
      </c>
      <c r="K4685" s="246" t="str">
        <f t="shared" si="152"/>
        <v/>
      </c>
    </row>
    <row r="4686" spans="1:11" ht="30" customHeight="1" x14ac:dyDescent="0.2">
      <c r="A4686" s="242"/>
      <c r="F4686" s="285" t="str">
        <f t="shared" si="153"/>
        <v/>
      </c>
      <c r="K4686" s="246" t="str">
        <f t="shared" si="152"/>
        <v/>
      </c>
    </row>
    <row r="4687" spans="1:11" ht="30" customHeight="1" x14ac:dyDescent="0.2">
      <c r="A4687" s="242"/>
      <c r="F4687" s="285" t="str">
        <f t="shared" si="153"/>
        <v/>
      </c>
      <c r="K4687" s="246" t="str">
        <f t="shared" si="152"/>
        <v/>
      </c>
    </row>
    <row r="4688" spans="1:11" ht="30" customHeight="1" x14ac:dyDescent="0.2">
      <c r="A4688" s="242"/>
      <c r="F4688" s="285" t="str">
        <f t="shared" si="153"/>
        <v/>
      </c>
      <c r="K4688" s="246" t="str">
        <f t="shared" si="152"/>
        <v/>
      </c>
    </row>
    <row r="4689" spans="1:11" ht="30" customHeight="1" x14ac:dyDescent="0.2">
      <c r="A4689" s="242"/>
      <c r="F4689" s="285" t="str">
        <f t="shared" si="153"/>
        <v/>
      </c>
      <c r="K4689" s="246" t="str">
        <f t="shared" si="152"/>
        <v/>
      </c>
    </row>
    <row r="4690" spans="1:11" ht="30" customHeight="1" x14ac:dyDescent="0.2">
      <c r="A4690" s="242"/>
      <c r="F4690" s="285" t="str">
        <f t="shared" si="153"/>
        <v/>
      </c>
      <c r="K4690" s="246" t="str">
        <f t="shared" si="152"/>
        <v/>
      </c>
    </row>
    <row r="4691" spans="1:11" ht="30" customHeight="1" x14ac:dyDescent="0.2">
      <c r="A4691" s="242"/>
      <c r="F4691" s="285" t="str">
        <f t="shared" si="153"/>
        <v/>
      </c>
      <c r="K4691" s="246" t="str">
        <f t="shared" si="152"/>
        <v/>
      </c>
    </row>
    <row r="4692" spans="1:11" ht="30" customHeight="1" x14ac:dyDescent="0.2">
      <c r="A4692" s="242"/>
      <c r="F4692" s="285" t="str">
        <f t="shared" si="153"/>
        <v/>
      </c>
      <c r="K4692" s="246" t="str">
        <f t="shared" si="152"/>
        <v/>
      </c>
    </row>
    <row r="4693" spans="1:11" ht="30" customHeight="1" x14ac:dyDescent="0.2">
      <c r="A4693" s="242"/>
      <c r="F4693" s="285" t="str">
        <f t="shared" si="153"/>
        <v/>
      </c>
      <c r="K4693" s="246" t="str">
        <f t="shared" si="152"/>
        <v/>
      </c>
    </row>
    <row r="4694" spans="1:11" ht="30" customHeight="1" x14ac:dyDescent="0.2">
      <c r="A4694" s="242"/>
      <c r="F4694" s="285" t="str">
        <f t="shared" si="153"/>
        <v/>
      </c>
      <c r="K4694" s="246" t="str">
        <f t="shared" si="152"/>
        <v/>
      </c>
    </row>
    <row r="4695" spans="1:11" ht="30" customHeight="1" x14ac:dyDescent="0.2">
      <c r="A4695" s="242"/>
      <c r="F4695" s="285" t="str">
        <f t="shared" si="153"/>
        <v/>
      </c>
      <c r="K4695" s="246" t="str">
        <f t="shared" si="152"/>
        <v/>
      </c>
    </row>
    <row r="4696" spans="1:11" ht="30" customHeight="1" x14ac:dyDescent="0.2">
      <c r="A4696" s="242"/>
      <c r="F4696" s="285" t="str">
        <f t="shared" si="153"/>
        <v/>
      </c>
      <c r="K4696" s="246" t="str">
        <f t="shared" si="152"/>
        <v/>
      </c>
    </row>
    <row r="4697" spans="1:11" ht="30" customHeight="1" x14ac:dyDescent="0.2">
      <c r="A4697" s="242"/>
      <c r="F4697" s="285" t="str">
        <f t="shared" si="153"/>
        <v/>
      </c>
      <c r="K4697" s="246" t="str">
        <f t="shared" si="152"/>
        <v/>
      </c>
    </row>
    <row r="4698" spans="1:11" ht="30" customHeight="1" x14ac:dyDescent="0.2">
      <c r="A4698" s="242"/>
      <c r="F4698" s="285" t="str">
        <f t="shared" si="153"/>
        <v/>
      </c>
      <c r="K4698" s="246" t="str">
        <f t="shared" si="152"/>
        <v/>
      </c>
    </row>
    <row r="4699" spans="1:11" ht="30" customHeight="1" x14ac:dyDescent="0.2">
      <c r="A4699" s="242"/>
      <c r="F4699" s="285" t="str">
        <f t="shared" si="153"/>
        <v/>
      </c>
      <c r="K4699" s="246" t="str">
        <f t="shared" si="152"/>
        <v/>
      </c>
    </row>
    <row r="4700" spans="1:11" ht="30" customHeight="1" x14ac:dyDescent="0.2">
      <c r="A4700" s="242"/>
      <c r="F4700" s="285" t="str">
        <f t="shared" si="153"/>
        <v/>
      </c>
      <c r="K4700" s="246" t="str">
        <f t="shared" si="152"/>
        <v/>
      </c>
    </row>
    <row r="4701" spans="1:11" ht="30" customHeight="1" x14ac:dyDescent="0.2">
      <c r="A4701" s="242"/>
      <c r="F4701" s="285" t="str">
        <f t="shared" si="153"/>
        <v/>
      </c>
      <c r="K4701" s="246" t="str">
        <f t="shared" si="152"/>
        <v/>
      </c>
    </row>
    <row r="4702" spans="1:11" ht="30" customHeight="1" x14ac:dyDescent="0.2">
      <c r="A4702" s="242"/>
      <c r="F4702" s="285" t="str">
        <f t="shared" si="153"/>
        <v/>
      </c>
      <c r="K4702" s="246" t="str">
        <f t="shared" si="152"/>
        <v/>
      </c>
    </row>
    <row r="4703" spans="1:11" ht="30" customHeight="1" x14ac:dyDescent="0.2">
      <c r="A4703" s="242"/>
      <c r="F4703" s="285" t="str">
        <f t="shared" si="153"/>
        <v/>
      </c>
      <c r="K4703" s="246" t="str">
        <f t="shared" si="152"/>
        <v/>
      </c>
    </row>
    <row r="4704" spans="1:11" ht="30" customHeight="1" x14ac:dyDescent="0.2">
      <c r="A4704" s="242"/>
      <c r="F4704" s="285" t="str">
        <f t="shared" si="153"/>
        <v/>
      </c>
      <c r="K4704" s="246" t="str">
        <f t="shared" si="152"/>
        <v/>
      </c>
    </row>
    <row r="4705" spans="1:11" ht="30" customHeight="1" x14ac:dyDescent="0.2">
      <c r="A4705" s="242"/>
      <c r="F4705" s="285" t="str">
        <f t="shared" si="153"/>
        <v/>
      </c>
      <c r="K4705" s="246" t="str">
        <f t="shared" si="152"/>
        <v/>
      </c>
    </row>
    <row r="4706" spans="1:11" ht="30" customHeight="1" x14ac:dyDescent="0.2">
      <c r="A4706" s="242"/>
      <c r="F4706" s="285" t="str">
        <f t="shared" si="153"/>
        <v/>
      </c>
      <c r="K4706" s="246" t="str">
        <f t="shared" si="152"/>
        <v/>
      </c>
    </row>
    <row r="4707" spans="1:11" ht="30" customHeight="1" x14ac:dyDescent="0.2">
      <c r="A4707" s="242"/>
      <c r="F4707" s="285" t="str">
        <f t="shared" si="153"/>
        <v/>
      </c>
      <c r="K4707" s="246" t="str">
        <f t="shared" si="152"/>
        <v/>
      </c>
    </row>
    <row r="4708" spans="1:11" ht="30" customHeight="1" x14ac:dyDescent="0.2">
      <c r="A4708" s="242"/>
      <c r="F4708" s="285" t="str">
        <f t="shared" si="153"/>
        <v/>
      </c>
      <c r="K4708" s="246" t="str">
        <f t="shared" si="152"/>
        <v/>
      </c>
    </row>
    <row r="4709" spans="1:11" ht="30" customHeight="1" x14ac:dyDescent="0.2">
      <c r="A4709" s="242"/>
      <c r="F4709" s="285" t="str">
        <f t="shared" si="153"/>
        <v/>
      </c>
      <c r="K4709" s="246" t="str">
        <f t="shared" si="152"/>
        <v/>
      </c>
    </row>
    <row r="4710" spans="1:11" ht="30" customHeight="1" x14ac:dyDescent="0.2">
      <c r="A4710" s="242"/>
      <c r="F4710" s="285" t="str">
        <f t="shared" si="153"/>
        <v/>
      </c>
      <c r="K4710" s="246" t="str">
        <f t="shared" si="152"/>
        <v/>
      </c>
    </row>
    <row r="4711" spans="1:11" ht="30" customHeight="1" x14ac:dyDescent="0.2">
      <c r="A4711" s="242"/>
      <c r="F4711" s="285" t="str">
        <f t="shared" si="153"/>
        <v/>
      </c>
      <c r="K4711" s="246" t="str">
        <f t="shared" si="152"/>
        <v/>
      </c>
    </row>
    <row r="4712" spans="1:11" ht="30" customHeight="1" x14ac:dyDescent="0.2">
      <c r="A4712" s="242"/>
      <c r="F4712" s="285" t="str">
        <f t="shared" si="153"/>
        <v/>
      </c>
      <c r="K4712" s="246" t="str">
        <f t="shared" si="152"/>
        <v/>
      </c>
    </row>
    <row r="4713" spans="1:11" ht="30" customHeight="1" x14ac:dyDescent="0.2">
      <c r="A4713" s="242"/>
      <c r="F4713" s="285" t="str">
        <f t="shared" si="153"/>
        <v/>
      </c>
      <c r="K4713" s="246" t="str">
        <f t="shared" si="152"/>
        <v/>
      </c>
    </row>
    <row r="4714" spans="1:11" ht="30" customHeight="1" x14ac:dyDescent="0.2">
      <c r="A4714" s="242"/>
      <c r="F4714" s="285" t="str">
        <f t="shared" si="153"/>
        <v/>
      </c>
      <c r="K4714" s="246" t="str">
        <f t="shared" si="152"/>
        <v/>
      </c>
    </row>
    <row r="4715" spans="1:11" ht="30" customHeight="1" x14ac:dyDescent="0.2">
      <c r="A4715" s="242"/>
      <c r="F4715" s="285" t="str">
        <f t="shared" si="153"/>
        <v/>
      </c>
      <c r="K4715" s="246" t="str">
        <f t="shared" si="152"/>
        <v/>
      </c>
    </row>
    <row r="4716" spans="1:11" ht="30" customHeight="1" x14ac:dyDescent="0.2">
      <c r="A4716" s="242"/>
      <c r="F4716" s="285" t="str">
        <f t="shared" si="153"/>
        <v/>
      </c>
      <c r="K4716" s="246" t="str">
        <f t="shared" si="152"/>
        <v/>
      </c>
    </row>
    <row r="4717" spans="1:11" ht="30" customHeight="1" x14ac:dyDescent="0.2">
      <c r="A4717" s="242"/>
      <c r="F4717" s="285" t="str">
        <f t="shared" si="153"/>
        <v/>
      </c>
      <c r="K4717" s="246" t="str">
        <f t="shared" si="152"/>
        <v/>
      </c>
    </row>
    <row r="4718" spans="1:11" ht="30" customHeight="1" x14ac:dyDescent="0.2">
      <c r="A4718" s="242"/>
      <c r="F4718" s="285" t="str">
        <f t="shared" si="153"/>
        <v/>
      </c>
      <c r="K4718" s="246" t="str">
        <f t="shared" si="152"/>
        <v/>
      </c>
    </row>
    <row r="4719" spans="1:11" ht="30" customHeight="1" x14ac:dyDescent="0.2">
      <c r="A4719" s="242"/>
      <c r="F4719" s="285" t="str">
        <f t="shared" si="153"/>
        <v/>
      </c>
      <c r="K4719" s="246" t="str">
        <f t="shared" si="152"/>
        <v/>
      </c>
    </row>
    <row r="4720" spans="1:11" ht="30" customHeight="1" x14ac:dyDescent="0.2">
      <c r="A4720" s="242"/>
      <c r="F4720" s="285" t="str">
        <f t="shared" si="153"/>
        <v/>
      </c>
      <c r="K4720" s="246" t="str">
        <f t="shared" si="152"/>
        <v/>
      </c>
    </row>
    <row r="4721" spans="1:11" ht="30" customHeight="1" x14ac:dyDescent="0.2">
      <c r="A4721" s="242"/>
      <c r="F4721" s="285" t="str">
        <f t="shared" si="153"/>
        <v/>
      </c>
      <c r="K4721" s="246" t="str">
        <f t="shared" si="152"/>
        <v/>
      </c>
    </row>
    <row r="4722" spans="1:11" ht="30" customHeight="1" x14ac:dyDescent="0.2">
      <c r="A4722" s="242"/>
      <c r="F4722" s="285" t="str">
        <f t="shared" si="153"/>
        <v/>
      </c>
      <c r="K4722" s="246" t="str">
        <f t="shared" si="152"/>
        <v/>
      </c>
    </row>
    <row r="4723" spans="1:11" ht="30" customHeight="1" x14ac:dyDescent="0.2">
      <c r="A4723" s="242"/>
      <c r="F4723" s="285" t="str">
        <f t="shared" si="153"/>
        <v/>
      </c>
      <c r="K4723" s="246" t="str">
        <f t="shared" si="152"/>
        <v/>
      </c>
    </row>
    <row r="4724" spans="1:11" ht="30" customHeight="1" x14ac:dyDescent="0.2">
      <c r="A4724" s="242"/>
      <c r="F4724" s="285" t="str">
        <f t="shared" si="153"/>
        <v/>
      </c>
      <c r="K4724" s="246" t="str">
        <f t="shared" si="152"/>
        <v/>
      </c>
    </row>
    <row r="4725" spans="1:11" ht="30" customHeight="1" x14ac:dyDescent="0.2">
      <c r="A4725" s="242"/>
      <c r="F4725" s="285" t="str">
        <f t="shared" si="153"/>
        <v/>
      </c>
      <c r="K4725" s="246" t="str">
        <f t="shared" si="152"/>
        <v/>
      </c>
    </row>
    <row r="4726" spans="1:11" ht="30" customHeight="1" x14ac:dyDescent="0.2">
      <c r="A4726" s="242"/>
      <c r="F4726" s="285" t="str">
        <f t="shared" si="153"/>
        <v/>
      </c>
      <c r="K4726" s="246" t="str">
        <f t="shared" si="152"/>
        <v/>
      </c>
    </row>
    <row r="4727" spans="1:11" ht="30" customHeight="1" x14ac:dyDescent="0.2">
      <c r="A4727" s="242"/>
      <c r="F4727" s="285" t="str">
        <f t="shared" si="153"/>
        <v/>
      </c>
      <c r="K4727" s="246" t="str">
        <f t="shared" si="152"/>
        <v/>
      </c>
    </row>
    <row r="4728" spans="1:11" ht="30" customHeight="1" x14ac:dyDescent="0.2">
      <c r="A4728" s="242"/>
      <c r="F4728" s="285" t="str">
        <f t="shared" si="153"/>
        <v/>
      </c>
      <c r="K4728" s="246" t="str">
        <f t="shared" si="152"/>
        <v/>
      </c>
    </row>
    <row r="4729" spans="1:11" ht="30" customHeight="1" x14ac:dyDescent="0.2">
      <c r="A4729" s="242"/>
      <c r="F4729" s="285" t="str">
        <f t="shared" si="153"/>
        <v/>
      </c>
      <c r="K4729" s="246" t="str">
        <f t="shared" si="152"/>
        <v/>
      </c>
    </row>
    <row r="4730" spans="1:11" ht="30" customHeight="1" x14ac:dyDescent="0.2">
      <c r="A4730" s="242"/>
      <c r="F4730" s="285" t="str">
        <f t="shared" si="153"/>
        <v/>
      </c>
      <c r="K4730" s="246" t="str">
        <f t="shared" si="152"/>
        <v/>
      </c>
    </row>
    <row r="4731" spans="1:11" ht="30" customHeight="1" x14ac:dyDescent="0.2">
      <c r="A4731" s="242"/>
      <c r="F4731" s="285" t="str">
        <f t="shared" si="153"/>
        <v/>
      </c>
      <c r="K4731" s="246" t="str">
        <f t="shared" ref="K4731:K4794" si="154">IF(A4731="","",A4731)</f>
        <v/>
      </c>
    </row>
    <row r="4732" spans="1:11" ht="30" customHeight="1" x14ac:dyDescent="0.2">
      <c r="A4732" s="242"/>
      <c r="F4732" s="285" t="str">
        <f t="shared" si="153"/>
        <v/>
      </c>
      <c r="K4732" s="246" t="str">
        <f t="shared" si="154"/>
        <v/>
      </c>
    </row>
    <row r="4733" spans="1:11" ht="30" customHeight="1" x14ac:dyDescent="0.2">
      <c r="A4733" s="242"/>
      <c r="F4733" s="285" t="str">
        <f t="shared" si="153"/>
        <v/>
      </c>
      <c r="K4733" s="246" t="str">
        <f t="shared" si="154"/>
        <v/>
      </c>
    </row>
    <row r="4734" spans="1:11" ht="30" customHeight="1" x14ac:dyDescent="0.2">
      <c r="A4734" s="242"/>
      <c r="F4734" s="285" t="str">
        <f t="shared" si="153"/>
        <v/>
      </c>
      <c r="K4734" s="246" t="str">
        <f t="shared" si="154"/>
        <v/>
      </c>
    </row>
    <row r="4735" spans="1:11" ht="30" customHeight="1" x14ac:dyDescent="0.2">
      <c r="A4735" s="242"/>
      <c r="F4735" s="285" t="str">
        <f t="shared" si="153"/>
        <v/>
      </c>
      <c r="K4735" s="246" t="str">
        <f t="shared" si="154"/>
        <v/>
      </c>
    </row>
    <row r="4736" spans="1:11" ht="30" customHeight="1" x14ac:dyDescent="0.2">
      <c r="A4736" s="242"/>
      <c r="F4736" s="285" t="str">
        <f t="shared" si="153"/>
        <v/>
      </c>
      <c r="K4736" s="246" t="str">
        <f t="shared" si="154"/>
        <v/>
      </c>
    </row>
    <row r="4737" spans="1:11" ht="30" customHeight="1" x14ac:dyDescent="0.2">
      <c r="A4737" s="242"/>
      <c r="F4737" s="285" t="str">
        <f t="shared" si="153"/>
        <v/>
      </c>
      <c r="K4737" s="246" t="str">
        <f t="shared" si="154"/>
        <v/>
      </c>
    </row>
    <row r="4738" spans="1:11" ht="30" customHeight="1" x14ac:dyDescent="0.2">
      <c r="A4738" s="242"/>
      <c r="F4738" s="285" t="str">
        <f t="shared" si="153"/>
        <v/>
      </c>
      <c r="K4738" s="246" t="str">
        <f t="shared" si="154"/>
        <v/>
      </c>
    </row>
    <row r="4739" spans="1:11" ht="30" customHeight="1" x14ac:dyDescent="0.2">
      <c r="A4739" s="242"/>
      <c r="F4739" s="285" t="str">
        <f t="shared" si="153"/>
        <v/>
      </c>
      <c r="K4739" s="246" t="str">
        <f t="shared" si="154"/>
        <v/>
      </c>
    </row>
    <row r="4740" spans="1:11" ht="30" customHeight="1" x14ac:dyDescent="0.2">
      <c r="A4740" s="242"/>
      <c r="F4740" s="285" t="str">
        <f t="shared" si="153"/>
        <v/>
      </c>
      <c r="K4740" s="246" t="str">
        <f t="shared" si="154"/>
        <v/>
      </c>
    </row>
    <row r="4741" spans="1:11" ht="30" customHeight="1" x14ac:dyDescent="0.2">
      <c r="A4741" s="242"/>
      <c r="F4741" s="285" t="str">
        <f t="shared" ref="F4741:F4804" si="155">IF(A4741="","",A4741)</f>
        <v/>
      </c>
      <c r="K4741" s="246" t="str">
        <f t="shared" si="154"/>
        <v/>
      </c>
    </row>
    <row r="4742" spans="1:11" ht="30" customHeight="1" x14ac:dyDescent="0.2">
      <c r="A4742" s="242"/>
      <c r="F4742" s="285" t="str">
        <f t="shared" si="155"/>
        <v/>
      </c>
      <c r="K4742" s="246" t="str">
        <f t="shared" si="154"/>
        <v/>
      </c>
    </row>
    <row r="4743" spans="1:11" ht="30" customHeight="1" x14ac:dyDescent="0.2">
      <c r="A4743" s="242"/>
      <c r="F4743" s="285" t="str">
        <f t="shared" si="155"/>
        <v/>
      </c>
      <c r="K4743" s="246" t="str">
        <f t="shared" si="154"/>
        <v/>
      </c>
    </row>
    <row r="4744" spans="1:11" ht="30" customHeight="1" x14ac:dyDescent="0.2">
      <c r="A4744" s="242"/>
      <c r="F4744" s="285" t="str">
        <f t="shared" si="155"/>
        <v/>
      </c>
      <c r="K4744" s="246" t="str">
        <f t="shared" si="154"/>
        <v/>
      </c>
    </row>
    <row r="4745" spans="1:11" ht="30" customHeight="1" x14ac:dyDescent="0.2">
      <c r="A4745" s="242"/>
      <c r="F4745" s="285" t="str">
        <f t="shared" si="155"/>
        <v/>
      </c>
      <c r="K4745" s="246" t="str">
        <f t="shared" si="154"/>
        <v/>
      </c>
    </row>
    <row r="4746" spans="1:11" ht="30" customHeight="1" x14ac:dyDescent="0.2">
      <c r="A4746" s="242"/>
      <c r="F4746" s="285" t="str">
        <f t="shared" si="155"/>
        <v/>
      </c>
      <c r="K4746" s="246" t="str">
        <f t="shared" si="154"/>
        <v/>
      </c>
    </row>
    <row r="4747" spans="1:11" ht="30" customHeight="1" x14ac:dyDescent="0.2">
      <c r="A4747" s="242"/>
      <c r="F4747" s="285" t="str">
        <f t="shared" si="155"/>
        <v/>
      </c>
      <c r="K4747" s="246" t="str">
        <f t="shared" si="154"/>
        <v/>
      </c>
    </row>
    <row r="4748" spans="1:11" ht="30" customHeight="1" x14ac:dyDescent="0.2">
      <c r="A4748" s="242"/>
      <c r="F4748" s="285" t="str">
        <f t="shared" si="155"/>
        <v/>
      </c>
      <c r="K4748" s="246" t="str">
        <f t="shared" si="154"/>
        <v/>
      </c>
    </row>
    <row r="4749" spans="1:11" ht="30" customHeight="1" x14ac:dyDescent="0.2">
      <c r="A4749" s="242"/>
      <c r="F4749" s="285" t="str">
        <f t="shared" si="155"/>
        <v/>
      </c>
      <c r="K4749" s="246" t="str">
        <f t="shared" si="154"/>
        <v/>
      </c>
    </row>
    <row r="4750" spans="1:11" ht="30" customHeight="1" x14ac:dyDescent="0.2">
      <c r="A4750" s="242"/>
      <c r="F4750" s="285" t="str">
        <f t="shared" si="155"/>
        <v/>
      </c>
      <c r="K4750" s="246" t="str">
        <f t="shared" si="154"/>
        <v/>
      </c>
    </row>
    <row r="4751" spans="1:11" ht="30" customHeight="1" x14ac:dyDescent="0.2">
      <c r="A4751" s="242"/>
      <c r="F4751" s="285" t="str">
        <f t="shared" si="155"/>
        <v/>
      </c>
      <c r="K4751" s="246" t="str">
        <f t="shared" si="154"/>
        <v/>
      </c>
    </row>
    <row r="4752" spans="1:11" ht="30" customHeight="1" x14ac:dyDescent="0.2">
      <c r="A4752" s="242"/>
      <c r="F4752" s="285" t="str">
        <f t="shared" si="155"/>
        <v/>
      </c>
      <c r="K4752" s="246" t="str">
        <f t="shared" si="154"/>
        <v/>
      </c>
    </row>
    <row r="4753" spans="1:11" ht="30" customHeight="1" x14ac:dyDescent="0.2">
      <c r="A4753" s="242"/>
      <c r="F4753" s="285" t="str">
        <f t="shared" si="155"/>
        <v/>
      </c>
      <c r="K4753" s="246" t="str">
        <f t="shared" si="154"/>
        <v/>
      </c>
    </row>
    <row r="4754" spans="1:11" ht="30" customHeight="1" x14ac:dyDescent="0.2">
      <c r="A4754" s="242"/>
      <c r="F4754" s="285" t="str">
        <f t="shared" si="155"/>
        <v/>
      </c>
      <c r="K4754" s="246" t="str">
        <f t="shared" si="154"/>
        <v/>
      </c>
    </row>
    <row r="4755" spans="1:11" ht="30" customHeight="1" x14ac:dyDescent="0.2">
      <c r="A4755" s="242"/>
      <c r="F4755" s="285" t="str">
        <f t="shared" si="155"/>
        <v/>
      </c>
      <c r="K4755" s="246" t="str">
        <f t="shared" si="154"/>
        <v/>
      </c>
    </row>
    <row r="4756" spans="1:11" ht="30" customHeight="1" x14ac:dyDescent="0.2">
      <c r="A4756" s="242"/>
      <c r="F4756" s="285" t="str">
        <f t="shared" si="155"/>
        <v/>
      </c>
      <c r="K4756" s="246" t="str">
        <f t="shared" si="154"/>
        <v/>
      </c>
    </row>
    <row r="4757" spans="1:11" ht="30" customHeight="1" x14ac:dyDescent="0.2">
      <c r="A4757" s="242"/>
      <c r="F4757" s="285" t="str">
        <f t="shared" si="155"/>
        <v/>
      </c>
      <c r="K4757" s="246" t="str">
        <f t="shared" si="154"/>
        <v/>
      </c>
    </row>
    <row r="4758" spans="1:11" ht="30" customHeight="1" x14ac:dyDescent="0.2">
      <c r="A4758" s="242"/>
      <c r="F4758" s="285" t="str">
        <f t="shared" si="155"/>
        <v/>
      </c>
      <c r="K4758" s="246" t="str">
        <f t="shared" si="154"/>
        <v/>
      </c>
    </row>
    <row r="4759" spans="1:11" ht="30" customHeight="1" x14ac:dyDescent="0.2">
      <c r="A4759" s="242"/>
      <c r="F4759" s="285" t="str">
        <f t="shared" si="155"/>
        <v/>
      </c>
      <c r="K4759" s="246" t="str">
        <f t="shared" si="154"/>
        <v/>
      </c>
    </row>
    <row r="4760" spans="1:11" ht="30" customHeight="1" x14ac:dyDescent="0.2">
      <c r="A4760" s="242"/>
      <c r="F4760" s="285" t="str">
        <f t="shared" si="155"/>
        <v/>
      </c>
      <c r="K4760" s="246" t="str">
        <f t="shared" si="154"/>
        <v/>
      </c>
    </row>
    <row r="4761" spans="1:11" ht="30" customHeight="1" x14ac:dyDescent="0.2">
      <c r="A4761" s="242"/>
      <c r="F4761" s="285" t="str">
        <f t="shared" si="155"/>
        <v/>
      </c>
      <c r="K4761" s="246" t="str">
        <f t="shared" si="154"/>
        <v/>
      </c>
    </row>
    <row r="4762" spans="1:11" ht="30" customHeight="1" x14ac:dyDescent="0.2">
      <c r="A4762" s="242"/>
      <c r="F4762" s="285" t="str">
        <f t="shared" si="155"/>
        <v/>
      </c>
      <c r="K4762" s="246" t="str">
        <f t="shared" si="154"/>
        <v/>
      </c>
    </row>
    <row r="4763" spans="1:11" ht="30" customHeight="1" x14ac:dyDescent="0.2">
      <c r="A4763" s="242"/>
      <c r="F4763" s="285" t="str">
        <f t="shared" si="155"/>
        <v/>
      </c>
      <c r="K4763" s="246" t="str">
        <f t="shared" si="154"/>
        <v/>
      </c>
    </row>
    <row r="4764" spans="1:11" ht="30" customHeight="1" x14ac:dyDescent="0.2">
      <c r="A4764" s="242"/>
      <c r="F4764" s="285" t="str">
        <f t="shared" si="155"/>
        <v/>
      </c>
      <c r="K4764" s="246" t="str">
        <f t="shared" si="154"/>
        <v/>
      </c>
    </row>
    <row r="4765" spans="1:11" ht="30" customHeight="1" x14ac:dyDescent="0.2">
      <c r="A4765" s="242"/>
      <c r="F4765" s="285" t="str">
        <f t="shared" si="155"/>
        <v/>
      </c>
      <c r="K4765" s="246" t="str">
        <f t="shared" si="154"/>
        <v/>
      </c>
    </row>
    <row r="4766" spans="1:11" ht="30" customHeight="1" x14ac:dyDescent="0.2">
      <c r="A4766" s="242"/>
      <c r="F4766" s="285" t="str">
        <f t="shared" si="155"/>
        <v/>
      </c>
      <c r="K4766" s="246" t="str">
        <f t="shared" si="154"/>
        <v/>
      </c>
    </row>
    <row r="4767" spans="1:11" ht="30" customHeight="1" x14ac:dyDescent="0.2">
      <c r="A4767" s="242"/>
      <c r="F4767" s="285" t="str">
        <f t="shared" si="155"/>
        <v/>
      </c>
      <c r="K4767" s="246" t="str">
        <f t="shared" si="154"/>
        <v/>
      </c>
    </row>
    <row r="4768" spans="1:11" ht="30" customHeight="1" x14ac:dyDescent="0.2">
      <c r="A4768" s="242"/>
      <c r="F4768" s="285" t="str">
        <f t="shared" si="155"/>
        <v/>
      </c>
      <c r="K4768" s="246" t="str">
        <f t="shared" si="154"/>
        <v/>
      </c>
    </row>
    <row r="4769" spans="1:11" ht="30" customHeight="1" x14ac:dyDescent="0.2">
      <c r="A4769" s="242"/>
      <c r="F4769" s="285" t="str">
        <f t="shared" si="155"/>
        <v/>
      </c>
      <c r="K4769" s="246" t="str">
        <f t="shared" si="154"/>
        <v/>
      </c>
    </row>
    <row r="4770" spans="1:11" ht="30" customHeight="1" x14ac:dyDescent="0.2">
      <c r="A4770" s="242"/>
      <c r="F4770" s="285" t="str">
        <f t="shared" si="155"/>
        <v/>
      </c>
      <c r="K4770" s="246" t="str">
        <f t="shared" si="154"/>
        <v/>
      </c>
    </row>
    <row r="4771" spans="1:11" ht="30" customHeight="1" x14ac:dyDescent="0.2">
      <c r="A4771" s="242"/>
      <c r="F4771" s="285" t="str">
        <f t="shared" si="155"/>
        <v/>
      </c>
      <c r="K4771" s="246" t="str">
        <f t="shared" si="154"/>
        <v/>
      </c>
    </row>
    <row r="4772" spans="1:11" ht="30" customHeight="1" x14ac:dyDescent="0.2">
      <c r="A4772" s="242"/>
      <c r="F4772" s="285" t="str">
        <f t="shared" si="155"/>
        <v/>
      </c>
      <c r="K4772" s="246" t="str">
        <f t="shared" si="154"/>
        <v/>
      </c>
    </row>
    <row r="4773" spans="1:11" ht="30" customHeight="1" x14ac:dyDescent="0.2">
      <c r="A4773" s="242"/>
      <c r="F4773" s="285" t="str">
        <f t="shared" si="155"/>
        <v/>
      </c>
      <c r="K4773" s="246" t="str">
        <f t="shared" si="154"/>
        <v/>
      </c>
    </row>
    <row r="4774" spans="1:11" ht="30" customHeight="1" x14ac:dyDescent="0.2">
      <c r="A4774" s="242"/>
      <c r="F4774" s="285" t="str">
        <f t="shared" si="155"/>
        <v/>
      </c>
      <c r="K4774" s="246" t="str">
        <f t="shared" si="154"/>
        <v/>
      </c>
    </row>
    <row r="4775" spans="1:11" ht="30" customHeight="1" x14ac:dyDescent="0.2">
      <c r="A4775" s="242"/>
      <c r="F4775" s="285" t="str">
        <f t="shared" si="155"/>
        <v/>
      </c>
      <c r="K4775" s="246" t="str">
        <f t="shared" si="154"/>
        <v/>
      </c>
    </row>
    <row r="4776" spans="1:11" ht="30" customHeight="1" x14ac:dyDescent="0.2">
      <c r="A4776" s="242"/>
      <c r="F4776" s="285" t="str">
        <f t="shared" si="155"/>
        <v/>
      </c>
      <c r="K4776" s="246" t="str">
        <f t="shared" si="154"/>
        <v/>
      </c>
    </row>
    <row r="4777" spans="1:11" ht="30" customHeight="1" x14ac:dyDescent="0.2">
      <c r="A4777" s="242"/>
      <c r="F4777" s="285" t="str">
        <f t="shared" si="155"/>
        <v/>
      </c>
      <c r="K4777" s="246" t="str">
        <f t="shared" si="154"/>
        <v/>
      </c>
    </row>
    <row r="4778" spans="1:11" ht="30" customHeight="1" x14ac:dyDescent="0.2">
      <c r="A4778" s="242"/>
      <c r="F4778" s="285" t="str">
        <f t="shared" si="155"/>
        <v/>
      </c>
      <c r="K4778" s="246" t="str">
        <f t="shared" si="154"/>
        <v/>
      </c>
    </row>
    <row r="4779" spans="1:11" ht="30" customHeight="1" x14ac:dyDescent="0.2">
      <c r="A4779" s="242"/>
      <c r="F4779" s="285" t="str">
        <f t="shared" si="155"/>
        <v/>
      </c>
      <c r="K4779" s="246" t="str">
        <f t="shared" si="154"/>
        <v/>
      </c>
    </row>
    <row r="4780" spans="1:11" ht="30" customHeight="1" x14ac:dyDescent="0.2">
      <c r="A4780" s="242"/>
      <c r="F4780" s="285" t="str">
        <f t="shared" si="155"/>
        <v/>
      </c>
      <c r="K4780" s="246" t="str">
        <f t="shared" si="154"/>
        <v/>
      </c>
    </row>
    <row r="4781" spans="1:11" ht="30" customHeight="1" x14ac:dyDescent="0.2">
      <c r="A4781" s="242"/>
      <c r="F4781" s="285" t="str">
        <f t="shared" si="155"/>
        <v/>
      </c>
      <c r="K4781" s="246" t="str">
        <f t="shared" si="154"/>
        <v/>
      </c>
    </row>
    <row r="4782" spans="1:11" ht="30" customHeight="1" x14ac:dyDescent="0.2">
      <c r="A4782" s="242"/>
      <c r="F4782" s="285" t="str">
        <f t="shared" si="155"/>
        <v/>
      </c>
      <c r="K4782" s="246" t="str">
        <f t="shared" si="154"/>
        <v/>
      </c>
    </row>
    <row r="4783" spans="1:11" ht="30" customHeight="1" x14ac:dyDescent="0.2">
      <c r="A4783" s="242"/>
      <c r="F4783" s="285" t="str">
        <f t="shared" si="155"/>
        <v/>
      </c>
      <c r="K4783" s="246" t="str">
        <f t="shared" si="154"/>
        <v/>
      </c>
    </row>
    <row r="4784" spans="1:11" ht="30" customHeight="1" x14ac:dyDescent="0.2">
      <c r="A4784" s="242"/>
      <c r="F4784" s="285" t="str">
        <f t="shared" si="155"/>
        <v/>
      </c>
      <c r="K4784" s="246" t="str">
        <f t="shared" si="154"/>
        <v/>
      </c>
    </row>
    <row r="4785" spans="1:11" ht="30" customHeight="1" x14ac:dyDescent="0.2">
      <c r="A4785" s="242"/>
      <c r="F4785" s="285" t="str">
        <f t="shared" si="155"/>
        <v/>
      </c>
      <c r="K4785" s="246" t="str">
        <f t="shared" si="154"/>
        <v/>
      </c>
    </row>
    <row r="4786" spans="1:11" ht="30" customHeight="1" x14ac:dyDescent="0.2">
      <c r="A4786" s="242"/>
      <c r="F4786" s="285" t="str">
        <f t="shared" si="155"/>
        <v/>
      </c>
      <c r="K4786" s="246" t="str">
        <f t="shared" si="154"/>
        <v/>
      </c>
    </row>
    <row r="4787" spans="1:11" ht="30" customHeight="1" x14ac:dyDescent="0.2">
      <c r="A4787" s="242"/>
      <c r="F4787" s="285" t="str">
        <f t="shared" si="155"/>
        <v/>
      </c>
      <c r="K4787" s="246" t="str">
        <f t="shared" si="154"/>
        <v/>
      </c>
    </row>
    <row r="4788" spans="1:11" ht="30" customHeight="1" x14ac:dyDescent="0.2">
      <c r="A4788" s="242"/>
      <c r="F4788" s="285" t="str">
        <f t="shared" si="155"/>
        <v/>
      </c>
      <c r="K4788" s="246" t="str">
        <f t="shared" si="154"/>
        <v/>
      </c>
    </row>
    <row r="4789" spans="1:11" ht="30" customHeight="1" x14ac:dyDescent="0.2">
      <c r="A4789" s="242"/>
      <c r="F4789" s="285" t="str">
        <f t="shared" si="155"/>
        <v/>
      </c>
      <c r="K4789" s="246" t="str">
        <f t="shared" si="154"/>
        <v/>
      </c>
    </row>
    <row r="4790" spans="1:11" ht="30" customHeight="1" x14ac:dyDescent="0.2">
      <c r="A4790" s="242"/>
      <c r="F4790" s="285" t="str">
        <f t="shared" si="155"/>
        <v/>
      </c>
      <c r="K4790" s="246" t="str">
        <f t="shared" si="154"/>
        <v/>
      </c>
    </row>
    <row r="4791" spans="1:11" ht="30" customHeight="1" x14ac:dyDescent="0.2">
      <c r="A4791" s="242"/>
      <c r="F4791" s="285" t="str">
        <f t="shared" si="155"/>
        <v/>
      </c>
      <c r="K4791" s="246" t="str">
        <f t="shared" si="154"/>
        <v/>
      </c>
    </row>
    <row r="4792" spans="1:11" ht="30" customHeight="1" x14ac:dyDescent="0.2">
      <c r="A4792" s="242"/>
      <c r="F4792" s="285" t="str">
        <f t="shared" si="155"/>
        <v/>
      </c>
      <c r="K4792" s="246" t="str">
        <f t="shared" si="154"/>
        <v/>
      </c>
    </row>
    <row r="4793" spans="1:11" ht="30" customHeight="1" x14ac:dyDescent="0.2">
      <c r="A4793" s="242"/>
      <c r="F4793" s="285" t="str">
        <f t="shared" si="155"/>
        <v/>
      </c>
      <c r="K4793" s="246" t="str">
        <f t="shared" si="154"/>
        <v/>
      </c>
    </row>
    <row r="4794" spans="1:11" ht="30" customHeight="1" x14ac:dyDescent="0.2">
      <c r="A4794" s="242"/>
      <c r="F4794" s="285" t="str">
        <f t="shared" si="155"/>
        <v/>
      </c>
      <c r="K4794" s="246" t="str">
        <f t="shared" si="154"/>
        <v/>
      </c>
    </row>
    <row r="4795" spans="1:11" ht="30" customHeight="1" x14ac:dyDescent="0.2">
      <c r="A4795" s="242"/>
      <c r="F4795" s="285" t="str">
        <f t="shared" si="155"/>
        <v/>
      </c>
      <c r="K4795" s="246" t="str">
        <f t="shared" ref="K4795:K4858" si="156">IF(A4795="","",A4795)</f>
        <v/>
      </c>
    </row>
    <row r="4796" spans="1:11" ht="30" customHeight="1" x14ac:dyDescent="0.2">
      <c r="A4796" s="242"/>
      <c r="F4796" s="285" t="str">
        <f t="shared" si="155"/>
        <v/>
      </c>
      <c r="K4796" s="246" t="str">
        <f t="shared" si="156"/>
        <v/>
      </c>
    </row>
    <row r="4797" spans="1:11" ht="30" customHeight="1" x14ac:dyDescent="0.2">
      <c r="A4797" s="242"/>
      <c r="F4797" s="285" t="str">
        <f t="shared" si="155"/>
        <v/>
      </c>
      <c r="K4797" s="246" t="str">
        <f t="shared" si="156"/>
        <v/>
      </c>
    </row>
    <row r="4798" spans="1:11" ht="30" customHeight="1" x14ac:dyDescent="0.2">
      <c r="A4798" s="242"/>
      <c r="F4798" s="285" t="str">
        <f t="shared" si="155"/>
        <v/>
      </c>
      <c r="K4798" s="246" t="str">
        <f t="shared" si="156"/>
        <v/>
      </c>
    </row>
    <row r="4799" spans="1:11" ht="30" customHeight="1" x14ac:dyDescent="0.2">
      <c r="A4799" s="242"/>
      <c r="F4799" s="285" t="str">
        <f t="shared" si="155"/>
        <v/>
      </c>
      <c r="K4799" s="246" t="str">
        <f t="shared" si="156"/>
        <v/>
      </c>
    </row>
    <row r="4800" spans="1:11" ht="30" customHeight="1" x14ac:dyDescent="0.2">
      <c r="A4800" s="242"/>
      <c r="F4800" s="285" t="str">
        <f t="shared" si="155"/>
        <v/>
      </c>
      <c r="K4800" s="246" t="str">
        <f t="shared" si="156"/>
        <v/>
      </c>
    </row>
    <row r="4801" spans="1:11" ht="30" customHeight="1" x14ac:dyDescent="0.2">
      <c r="A4801" s="242"/>
      <c r="F4801" s="285" t="str">
        <f t="shared" si="155"/>
        <v/>
      </c>
      <c r="K4801" s="246" t="str">
        <f t="shared" si="156"/>
        <v/>
      </c>
    </row>
    <row r="4802" spans="1:11" ht="30" customHeight="1" x14ac:dyDescent="0.2">
      <c r="A4802" s="242"/>
      <c r="F4802" s="285" t="str">
        <f t="shared" si="155"/>
        <v/>
      </c>
      <c r="K4802" s="246" t="str">
        <f t="shared" si="156"/>
        <v/>
      </c>
    </row>
    <row r="4803" spans="1:11" ht="30" customHeight="1" x14ac:dyDescent="0.2">
      <c r="A4803" s="242"/>
      <c r="F4803" s="285" t="str">
        <f t="shared" si="155"/>
        <v/>
      </c>
      <c r="K4803" s="246" t="str">
        <f t="shared" si="156"/>
        <v/>
      </c>
    </row>
    <row r="4804" spans="1:11" ht="30" customHeight="1" x14ac:dyDescent="0.2">
      <c r="A4804" s="242"/>
      <c r="F4804" s="285" t="str">
        <f t="shared" si="155"/>
        <v/>
      </c>
      <c r="K4804" s="246" t="str">
        <f t="shared" si="156"/>
        <v/>
      </c>
    </row>
    <row r="4805" spans="1:11" ht="30" customHeight="1" x14ac:dyDescent="0.2">
      <c r="A4805" s="242"/>
      <c r="F4805" s="285" t="str">
        <f t="shared" ref="F4805:F4868" si="157">IF(A4805="","",A4805)</f>
        <v/>
      </c>
      <c r="K4805" s="246" t="str">
        <f t="shared" si="156"/>
        <v/>
      </c>
    </row>
    <row r="4806" spans="1:11" ht="30" customHeight="1" x14ac:dyDescent="0.2">
      <c r="A4806" s="242"/>
      <c r="F4806" s="285" t="str">
        <f t="shared" si="157"/>
        <v/>
      </c>
      <c r="K4806" s="246" t="str">
        <f t="shared" si="156"/>
        <v/>
      </c>
    </row>
    <row r="4807" spans="1:11" ht="30" customHeight="1" x14ac:dyDescent="0.2">
      <c r="A4807" s="242"/>
      <c r="F4807" s="285" t="str">
        <f t="shared" si="157"/>
        <v/>
      </c>
      <c r="K4807" s="246" t="str">
        <f t="shared" si="156"/>
        <v/>
      </c>
    </row>
    <row r="4808" spans="1:11" ht="30" customHeight="1" x14ac:dyDescent="0.2">
      <c r="A4808" s="242"/>
      <c r="F4808" s="285" t="str">
        <f t="shared" si="157"/>
        <v/>
      </c>
      <c r="K4808" s="246" t="str">
        <f t="shared" si="156"/>
        <v/>
      </c>
    </row>
    <row r="4809" spans="1:11" ht="30" customHeight="1" x14ac:dyDescent="0.2">
      <c r="A4809" s="242"/>
      <c r="F4809" s="285" t="str">
        <f t="shared" si="157"/>
        <v/>
      </c>
      <c r="K4809" s="246" t="str">
        <f t="shared" si="156"/>
        <v/>
      </c>
    </row>
    <row r="4810" spans="1:11" ht="30" customHeight="1" x14ac:dyDescent="0.2">
      <c r="A4810" s="242"/>
      <c r="F4810" s="285" t="str">
        <f t="shared" si="157"/>
        <v/>
      </c>
      <c r="K4810" s="246" t="str">
        <f t="shared" si="156"/>
        <v/>
      </c>
    </row>
    <row r="4811" spans="1:11" ht="30" customHeight="1" x14ac:dyDescent="0.2">
      <c r="A4811" s="242"/>
      <c r="F4811" s="285" t="str">
        <f t="shared" si="157"/>
        <v/>
      </c>
      <c r="K4811" s="246" t="str">
        <f t="shared" si="156"/>
        <v/>
      </c>
    </row>
    <row r="4812" spans="1:11" ht="30" customHeight="1" x14ac:dyDescent="0.2">
      <c r="A4812" s="242"/>
      <c r="F4812" s="285" t="str">
        <f t="shared" si="157"/>
        <v/>
      </c>
      <c r="K4812" s="246" t="str">
        <f t="shared" si="156"/>
        <v/>
      </c>
    </row>
    <row r="4813" spans="1:11" ht="30" customHeight="1" x14ac:dyDescent="0.2">
      <c r="A4813" s="242"/>
      <c r="F4813" s="285" t="str">
        <f t="shared" si="157"/>
        <v/>
      </c>
      <c r="K4813" s="246" t="str">
        <f t="shared" si="156"/>
        <v/>
      </c>
    </row>
    <row r="4814" spans="1:11" ht="30" customHeight="1" x14ac:dyDescent="0.2">
      <c r="A4814" s="242"/>
      <c r="F4814" s="285" t="str">
        <f t="shared" si="157"/>
        <v/>
      </c>
      <c r="K4814" s="246" t="str">
        <f t="shared" si="156"/>
        <v/>
      </c>
    </row>
    <row r="4815" spans="1:11" ht="30" customHeight="1" x14ac:dyDescent="0.2">
      <c r="A4815" s="242"/>
      <c r="F4815" s="285" t="str">
        <f t="shared" si="157"/>
        <v/>
      </c>
      <c r="K4815" s="246" t="str">
        <f t="shared" si="156"/>
        <v/>
      </c>
    </row>
    <row r="4816" spans="1:11" ht="30" customHeight="1" x14ac:dyDescent="0.2">
      <c r="A4816" s="242"/>
      <c r="F4816" s="285" t="str">
        <f t="shared" si="157"/>
        <v/>
      </c>
      <c r="K4816" s="246" t="str">
        <f t="shared" si="156"/>
        <v/>
      </c>
    </row>
    <row r="4817" spans="1:11" ht="30" customHeight="1" x14ac:dyDescent="0.2">
      <c r="A4817" s="242"/>
      <c r="F4817" s="285" t="str">
        <f t="shared" si="157"/>
        <v/>
      </c>
      <c r="K4817" s="246" t="str">
        <f t="shared" si="156"/>
        <v/>
      </c>
    </row>
    <row r="4818" spans="1:11" ht="30" customHeight="1" x14ac:dyDescent="0.2">
      <c r="A4818" s="242"/>
      <c r="F4818" s="285" t="str">
        <f t="shared" si="157"/>
        <v/>
      </c>
      <c r="K4818" s="246" t="str">
        <f t="shared" si="156"/>
        <v/>
      </c>
    </row>
    <row r="4819" spans="1:11" ht="30" customHeight="1" x14ac:dyDescent="0.2">
      <c r="A4819" s="242"/>
      <c r="F4819" s="285" t="str">
        <f t="shared" si="157"/>
        <v/>
      </c>
      <c r="K4819" s="246" t="str">
        <f t="shared" si="156"/>
        <v/>
      </c>
    </row>
    <row r="4820" spans="1:11" ht="30" customHeight="1" x14ac:dyDescent="0.2">
      <c r="A4820" s="242"/>
      <c r="F4820" s="285" t="str">
        <f t="shared" si="157"/>
        <v/>
      </c>
      <c r="K4820" s="246" t="str">
        <f t="shared" si="156"/>
        <v/>
      </c>
    </row>
    <row r="4821" spans="1:11" ht="30" customHeight="1" x14ac:dyDescent="0.2">
      <c r="A4821" s="242"/>
      <c r="F4821" s="285" t="str">
        <f t="shared" si="157"/>
        <v/>
      </c>
      <c r="K4821" s="246" t="str">
        <f t="shared" si="156"/>
        <v/>
      </c>
    </row>
    <row r="4822" spans="1:11" ht="30" customHeight="1" x14ac:dyDescent="0.2">
      <c r="A4822" s="242"/>
      <c r="F4822" s="285" t="str">
        <f t="shared" si="157"/>
        <v/>
      </c>
      <c r="K4822" s="246" t="str">
        <f t="shared" si="156"/>
        <v/>
      </c>
    </row>
    <row r="4823" spans="1:11" ht="30" customHeight="1" x14ac:dyDescent="0.2">
      <c r="A4823" s="242"/>
      <c r="F4823" s="285" t="str">
        <f t="shared" si="157"/>
        <v/>
      </c>
      <c r="K4823" s="246" t="str">
        <f t="shared" si="156"/>
        <v/>
      </c>
    </row>
    <row r="4824" spans="1:11" ht="30" customHeight="1" x14ac:dyDescent="0.2">
      <c r="A4824" s="242"/>
      <c r="F4824" s="285" t="str">
        <f t="shared" si="157"/>
        <v/>
      </c>
      <c r="K4824" s="246" t="str">
        <f t="shared" si="156"/>
        <v/>
      </c>
    </row>
    <row r="4825" spans="1:11" ht="30" customHeight="1" x14ac:dyDescent="0.2">
      <c r="A4825" s="242"/>
      <c r="F4825" s="285" t="str">
        <f t="shared" si="157"/>
        <v/>
      </c>
      <c r="K4825" s="246" t="str">
        <f t="shared" si="156"/>
        <v/>
      </c>
    </row>
    <row r="4826" spans="1:11" ht="30" customHeight="1" x14ac:dyDescent="0.2">
      <c r="A4826" s="242"/>
      <c r="F4826" s="285" t="str">
        <f t="shared" si="157"/>
        <v/>
      </c>
      <c r="K4826" s="246" t="str">
        <f t="shared" si="156"/>
        <v/>
      </c>
    </row>
    <row r="4827" spans="1:11" ht="30" customHeight="1" x14ac:dyDescent="0.2">
      <c r="A4827" s="242"/>
      <c r="F4827" s="285" t="str">
        <f t="shared" si="157"/>
        <v/>
      </c>
      <c r="K4827" s="246" t="str">
        <f t="shared" si="156"/>
        <v/>
      </c>
    </row>
    <row r="4828" spans="1:11" ht="30" customHeight="1" x14ac:dyDescent="0.2">
      <c r="A4828" s="242"/>
      <c r="F4828" s="285" t="str">
        <f t="shared" si="157"/>
        <v/>
      </c>
      <c r="K4828" s="246" t="str">
        <f t="shared" si="156"/>
        <v/>
      </c>
    </row>
    <row r="4829" spans="1:11" ht="30" customHeight="1" x14ac:dyDescent="0.2">
      <c r="A4829" s="242"/>
      <c r="F4829" s="285" t="str">
        <f t="shared" si="157"/>
        <v/>
      </c>
      <c r="K4829" s="246" t="str">
        <f t="shared" si="156"/>
        <v/>
      </c>
    </row>
    <row r="4830" spans="1:11" ht="30" customHeight="1" x14ac:dyDescent="0.2">
      <c r="A4830" s="242"/>
      <c r="F4830" s="285" t="str">
        <f t="shared" si="157"/>
        <v/>
      </c>
      <c r="K4830" s="246" t="str">
        <f t="shared" si="156"/>
        <v/>
      </c>
    </row>
    <row r="4831" spans="1:11" ht="30" customHeight="1" x14ac:dyDescent="0.2">
      <c r="A4831" s="242"/>
      <c r="F4831" s="285" t="str">
        <f t="shared" si="157"/>
        <v/>
      </c>
      <c r="K4831" s="246" t="str">
        <f t="shared" si="156"/>
        <v/>
      </c>
    </row>
    <row r="4832" spans="1:11" ht="30" customHeight="1" x14ac:dyDescent="0.2">
      <c r="A4832" s="242"/>
      <c r="F4832" s="285" t="str">
        <f t="shared" si="157"/>
        <v/>
      </c>
      <c r="K4832" s="246" t="str">
        <f t="shared" si="156"/>
        <v/>
      </c>
    </row>
    <row r="4833" spans="1:11" ht="30" customHeight="1" x14ac:dyDescent="0.2">
      <c r="A4833" s="242"/>
      <c r="F4833" s="285" t="str">
        <f t="shared" si="157"/>
        <v/>
      </c>
      <c r="K4833" s="246" t="str">
        <f t="shared" si="156"/>
        <v/>
      </c>
    </row>
    <row r="4834" spans="1:11" ht="30" customHeight="1" x14ac:dyDescent="0.2">
      <c r="A4834" s="242"/>
      <c r="F4834" s="285" t="str">
        <f t="shared" si="157"/>
        <v/>
      </c>
      <c r="K4834" s="246" t="str">
        <f t="shared" si="156"/>
        <v/>
      </c>
    </row>
    <row r="4835" spans="1:11" ht="30" customHeight="1" x14ac:dyDescent="0.2">
      <c r="A4835" s="242"/>
      <c r="F4835" s="285" t="str">
        <f t="shared" si="157"/>
        <v/>
      </c>
      <c r="K4835" s="246" t="str">
        <f t="shared" si="156"/>
        <v/>
      </c>
    </row>
    <row r="4836" spans="1:11" ht="30" customHeight="1" x14ac:dyDescent="0.2">
      <c r="A4836" s="242"/>
      <c r="F4836" s="285" t="str">
        <f t="shared" si="157"/>
        <v/>
      </c>
      <c r="K4836" s="246" t="str">
        <f t="shared" si="156"/>
        <v/>
      </c>
    </row>
    <row r="4837" spans="1:11" ht="30" customHeight="1" x14ac:dyDescent="0.2">
      <c r="A4837" s="242"/>
      <c r="F4837" s="285" t="str">
        <f t="shared" si="157"/>
        <v/>
      </c>
      <c r="K4837" s="246" t="str">
        <f t="shared" si="156"/>
        <v/>
      </c>
    </row>
    <row r="4838" spans="1:11" ht="30" customHeight="1" x14ac:dyDescent="0.2">
      <c r="A4838" s="242"/>
      <c r="F4838" s="285" t="str">
        <f t="shared" si="157"/>
        <v/>
      </c>
      <c r="K4838" s="246" t="str">
        <f t="shared" si="156"/>
        <v/>
      </c>
    </row>
    <row r="4839" spans="1:11" ht="30" customHeight="1" x14ac:dyDescent="0.2">
      <c r="A4839" s="242"/>
      <c r="F4839" s="285" t="str">
        <f t="shared" si="157"/>
        <v/>
      </c>
      <c r="K4839" s="246" t="str">
        <f t="shared" si="156"/>
        <v/>
      </c>
    </row>
    <row r="4840" spans="1:11" ht="30" customHeight="1" x14ac:dyDescent="0.2">
      <c r="A4840" s="242"/>
      <c r="F4840" s="285" t="str">
        <f t="shared" si="157"/>
        <v/>
      </c>
      <c r="K4840" s="246" t="str">
        <f t="shared" si="156"/>
        <v/>
      </c>
    </row>
    <row r="4841" spans="1:11" ht="30" customHeight="1" x14ac:dyDescent="0.2">
      <c r="A4841" s="242"/>
      <c r="F4841" s="285" t="str">
        <f t="shared" si="157"/>
        <v/>
      </c>
      <c r="K4841" s="246" t="str">
        <f t="shared" si="156"/>
        <v/>
      </c>
    </row>
    <row r="4842" spans="1:11" ht="30" customHeight="1" x14ac:dyDescent="0.2">
      <c r="A4842" s="242"/>
      <c r="F4842" s="285" t="str">
        <f t="shared" si="157"/>
        <v/>
      </c>
      <c r="K4842" s="246" t="str">
        <f t="shared" si="156"/>
        <v/>
      </c>
    </row>
    <row r="4843" spans="1:11" ht="30" customHeight="1" x14ac:dyDescent="0.2">
      <c r="A4843" s="242"/>
      <c r="F4843" s="285" t="str">
        <f t="shared" si="157"/>
        <v/>
      </c>
      <c r="K4843" s="246" t="str">
        <f t="shared" si="156"/>
        <v/>
      </c>
    </row>
    <row r="4844" spans="1:11" ht="30" customHeight="1" x14ac:dyDescent="0.2">
      <c r="A4844" s="242"/>
      <c r="F4844" s="285" t="str">
        <f t="shared" si="157"/>
        <v/>
      </c>
      <c r="K4844" s="246" t="str">
        <f t="shared" si="156"/>
        <v/>
      </c>
    </row>
    <row r="4845" spans="1:11" ht="30" customHeight="1" x14ac:dyDescent="0.2">
      <c r="A4845" s="242"/>
      <c r="F4845" s="285" t="str">
        <f t="shared" si="157"/>
        <v/>
      </c>
      <c r="K4845" s="246" t="str">
        <f t="shared" si="156"/>
        <v/>
      </c>
    </row>
    <row r="4846" spans="1:11" ht="30" customHeight="1" x14ac:dyDescent="0.2">
      <c r="A4846" s="242"/>
      <c r="F4846" s="285" t="str">
        <f t="shared" si="157"/>
        <v/>
      </c>
      <c r="K4846" s="246" t="str">
        <f t="shared" si="156"/>
        <v/>
      </c>
    </row>
    <row r="4847" spans="1:11" ht="30" customHeight="1" x14ac:dyDescent="0.2">
      <c r="A4847" s="242"/>
      <c r="F4847" s="285" t="str">
        <f t="shared" si="157"/>
        <v/>
      </c>
      <c r="K4847" s="246" t="str">
        <f t="shared" si="156"/>
        <v/>
      </c>
    </row>
    <row r="4848" spans="1:11" ht="30" customHeight="1" x14ac:dyDescent="0.2">
      <c r="A4848" s="242"/>
      <c r="F4848" s="285" t="str">
        <f t="shared" si="157"/>
        <v/>
      </c>
      <c r="K4848" s="246" t="str">
        <f t="shared" si="156"/>
        <v/>
      </c>
    </row>
    <row r="4849" spans="1:11" ht="30" customHeight="1" x14ac:dyDescent="0.2">
      <c r="A4849" s="242"/>
      <c r="F4849" s="285" t="str">
        <f t="shared" si="157"/>
        <v/>
      </c>
      <c r="K4849" s="246" t="str">
        <f t="shared" si="156"/>
        <v/>
      </c>
    </row>
    <row r="4850" spans="1:11" ht="30" customHeight="1" x14ac:dyDescent="0.2">
      <c r="A4850" s="242"/>
      <c r="F4850" s="285" t="str">
        <f t="shared" si="157"/>
        <v/>
      </c>
      <c r="K4850" s="246" t="str">
        <f t="shared" si="156"/>
        <v/>
      </c>
    </row>
    <row r="4851" spans="1:11" ht="30" customHeight="1" x14ac:dyDescent="0.2">
      <c r="A4851" s="242"/>
      <c r="F4851" s="285" t="str">
        <f t="shared" si="157"/>
        <v/>
      </c>
      <c r="K4851" s="246" t="str">
        <f t="shared" si="156"/>
        <v/>
      </c>
    </row>
    <row r="4852" spans="1:11" ht="30" customHeight="1" x14ac:dyDescent="0.2">
      <c r="A4852" s="242"/>
      <c r="F4852" s="285" t="str">
        <f t="shared" si="157"/>
        <v/>
      </c>
      <c r="K4852" s="246" t="str">
        <f t="shared" si="156"/>
        <v/>
      </c>
    </row>
    <row r="4853" spans="1:11" ht="30" customHeight="1" x14ac:dyDescent="0.2">
      <c r="A4853" s="242"/>
      <c r="F4853" s="285" t="str">
        <f t="shared" si="157"/>
        <v/>
      </c>
      <c r="K4853" s="246" t="str">
        <f t="shared" si="156"/>
        <v/>
      </c>
    </row>
    <row r="4854" spans="1:11" ht="30" customHeight="1" x14ac:dyDescent="0.2">
      <c r="A4854" s="242"/>
      <c r="F4854" s="285" t="str">
        <f t="shared" si="157"/>
        <v/>
      </c>
      <c r="K4854" s="246" t="str">
        <f t="shared" si="156"/>
        <v/>
      </c>
    </row>
    <row r="4855" spans="1:11" ht="30" customHeight="1" x14ac:dyDescent="0.2">
      <c r="A4855" s="242"/>
      <c r="F4855" s="285" t="str">
        <f t="shared" si="157"/>
        <v/>
      </c>
      <c r="K4855" s="246" t="str">
        <f t="shared" si="156"/>
        <v/>
      </c>
    </row>
    <row r="4856" spans="1:11" ht="30" customHeight="1" x14ac:dyDescent="0.2">
      <c r="A4856" s="242"/>
      <c r="F4856" s="285" t="str">
        <f t="shared" si="157"/>
        <v/>
      </c>
      <c r="K4856" s="246" t="str">
        <f t="shared" si="156"/>
        <v/>
      </c>
    </row>
    <row r="4857" spans="1:11" ht="30" customHeight="1" x14ac:dyDescent="0.2">
      <c r="A4857" s="242"/>
      <c r="F4857" s="285" t="str">
        <f t="shared" si="157"/>
        <v/>
      </c>
      <c r="K4857" s="246" t="str">
        <f t="shared" si="156"/>
        <v/>
      </c>
    </row>
    <row r="4858" spans="1:11" ht="30" customHeight="1" x14ac:dyDescent="0.2">
      <c r="A4858" s="242"/>
      <c r="F4858" s="285" t="str">
        <f t="shared" si="157"/>
        <v/>
      </c>
      <c r="K4858" s="246" t="str">
        <f t="shared" si="156"/>
        <v/>
      </c>
    </row>
    <row r="4859" spans="1:11" ht="30" customHeight="1" x14ac:dyDescent="0.2">
      <c r="A4859" s="242"/>
      <c r="F4859" s="285" t="str">
        <f t="shared" si="157"/>
        <v/>
      </c>
      <c r="K4859" s="246" t="str">
        <f t="shared" ref="K4859:K4922" si="158">IF(A4859="","",A4859)</f>
        <v/>
      </c>
    </row>
    <row r="4860" spans="1:11" ht="30" customHeight="1" x14ac:dyDescent="0.2">
      <c r="A4860" s="242"/>
      <c r="F4860" s="285" t="str">
        <f t="shared" si="157"/>
        <v/>
      </c>
      <c r="K4860" s="246" t="str">
        <f t="shared" si="158"/>
        <v/>
      </c>
    </row>
    <row r="4861" spans="1:11" ht="30" customHeight="1" x14ac:dyDescent="0.2">
      <c r="A4861" s="242"/>
      <c r="F4861" s="285" t="str">
        <f t="shared" si="157"/>
        <v/>
      </c>
      <c r="K4861" s="246" t="str">
        <f t="shared" si="158"/>
        <v/>
      </c>
    </row>
    <row r="4862" spans="1:11" ht="30" customHeight="1" x14ac:dyDescent="0.2">
      <c r="A4862" s="242"/>
      <c r="F4862" s="285" t="str">
        <f t="shared" si="157"/>
        <v/>
      </c>
      <c r="K4862" s="246" t="str">
        <f t="shared" si="158"/>
        <v/>
      </c>
    </row>
    <row r="4863" spans="1:11" ht="30" customHeight="1" x14ac:dyDescent="0.2">
      <c r="A4863" s="242"/>
      <c r="F4863" s="285" t="str">
        <f t="shared" si="157"/>
        <v/>
      </c>
      <c r="K4863" s="246" t="str">
        <f t="shared" si="158"/>
        <v/>
      </c>
    </row>
    <row r="4864" spans="1:11" ht="30" customHeight="1" x14ac:dyDescent="0.2">
      <c r="A4864" s="242"/>
      <c r="F4864" s="285" t="str">
        <f t="shared" si="157"/>
        <v/>
      </c>
      <c r="K4864" s="246" t="str">
        <f t="shared" si="158"/>
        <v/>
      </c>
    </row>
    <row r="4865" spans="1:11" ht="30" customHeight="1" x14ac:dyDescent="0.2">
      <c r="A4865" s="242"/>
      <c r="F4865" s="285" t="str">
        <f t="shared" si="157"/>
        <v/>
      </c>
      <c r="K4865" s="246" t="str">
        <f t="shared" si="158"/>
        <v/>
      </c>
    </row>
    <row r="4866" spans="1:11" ht="30" customHeight="1" x14ac:dyDescent="0.2">
      <c r="A4866" s="242"/>
      <c r="F4866" s="285" t="str">
        <f t="shared" si="157"/>
        <v/>
      </c>
      <c r="K4866" s="246" t="str">
        <f t="shared" si="158"/>
        <v/>
      </c>
    </row>
    <row r="4867" spans="1:11" ht="30" customHeight="1" x14ac:dyDescent="0.2">
      <c r="A4867" s="242"/>
      <c r="F4867" s="285" t="str">
        <f t="shared" si="157"/>
        <v/>
      </c>
      <c r="K4867" s="246" t="str">
        <f t="shared" si="158"/>
        <v/>
      </c>
    </row>
    <row r="4868" spans="1:11" ht="30" customHeight="1" x14ac:dyDescent="0.2">
      <c r="A4868" s="242"/>
      <c r="F4868" s="285" t="str">
        <f t="shared" si="157"/>
        <v/>
      </c>
      <c r="K4868" s="246" t="str">
        <f t="shared" si="158"/>
        <v/>
      </c>
    </row>
    <row r="4869" spans="1:11" ht="30" customHeight="1" x14ac:dyDescent="0.2">
      <c r="A4869" s="242"/>
      <c r="F4869" s="285" t="str">
        <f t="shared" ref="F4869:F4932" si="159">IF(A4869="","",A4869)</f>
        <v/>
      </c>
      <c r="K4869" s="246" t="str">
        <f t="shared" si="158"/>
        <v/>
      </c>
    </row>
    <row r="4870" spans="1:11" ht="30" customHeight="1" x14ac:dyDescent="0.2">
      <c r="A4870" s="242"/>
      <c r="F4870" s="285" t="str">
        <f t="shared" si="159"/>
        <v/>
      </c>
      <c r="K4870" s="246" t="str">
        <f t="shared" si="158"/>
        <v/>
      </c>
    </row>
    <row r="4871" spans="1:11" ht="30" customHeight="1" x14ac:dyDescent="0.2">
      <c r="A4871" s="242"/>
      <c r="F4871" s="285" t="str">
        <f t="shared" si="159"/>
        <v/>
      </c>
      <c r="K4871" s="246" t="str">
        <f t="shared" si="158"/>
        <v/>
      </c>
    </row>
    <row r="4872" spans="1:11" ht="30" customHeight="1" x14ac:dyDescent="0.2">
      <c r="A4872" s="242"/>
      <c r="F4872" s="285" t="str">
        <f t="shared" si="159"/>
        <v/>
      </c>
      <c r="K4872" s="246" t="str">
        <f t="shared" si="158"/>
        <v/>
      </c>
    </row>
    <row r="4873" spans="1:11" ht="30" customHeight="1" x14ac:dyDescent="0.2">
      <c r="A4873" s="242"/>
      <c r="F4873" s="285" t="str">
        <f t="shared" si="159"/>
        <v/>
      </c>
      <c r="K4873" s="246" t="str">
        <f t="shared" si="158"/>
        <v/>
      </c>
    </row>
    <row r="4874" spans="1:11" ht="30" customHeight="1" x14ac:dyDescent="0.2">
      <c r="A4874" s="242"/>
      <c r="F4874" s="285" t="str">
        <f t="shared" si="159"/>
        <v/>
      </c>
      <c r="K4874" s="246" t="str">
        <f t="shared" si="158"/>
        <v/>
      </c>
    </row>
    <row r="4875" spans="1:11" ht="30" customHeight="1" x14ac:dyDescent="0.2">
      <c r="A4875" s="242"/>
      <c r="F4875" s="285" t="str">
        <f t="shared" si="159"/>
        <v/>
      </c>
      <c r="K4875" s="246" t="str">
        <f t="shared" si="158"/>
        <v/>
      </c>
    </row>
    <row r="4876" spans="1:11" ht="30" customHeight="1" x14ac:dyDescent="0.2">
      <c r="A4876" s="242"/>
      <c r="F4876" s="285" t="str">
        <f t="shared" si="159"/>
        <v/>
      </c>
      <c r="K4876" s="246" t="str">
        <f t="shared" si="158"/>
        <v/>
      </c>
    </row>
    <row r="4877" spans="1:11" ht="30" customHeight="1" x14ac:dyDescent="0.2">
      <c r="A4877" s="242"/>
      <c r="F4877" s="285" t="str">
        <f t="shared" si="159"/>
        <v/>
      </c>
      <c r="K4877" s="246" t="str">
        <f t="shared" si="158"/>
        <v/>
      </c>
    </row>
    <row r="4878" spans="1:11" ht="30" customHeight="1" x14ac:dyDescent="0.2">
      <c r="A4878" s="242"/>
      <c r="F4878" s="285" t="str">
        <f t="shared" si="159"/>
        <v/>
      </c>
      <c r="K4878" s="246" t="str">
        <f t="shared" si="158"/>
        <v/>
      </c>
    </row>
    <row r="4879" spans="1:11" ht="30" customHeight="1" x14ac:dyDescent="0.2">
      <c r="A4879" s="242"/>
      <c r="F4879" s="285" t="str">
        <f t="shared" si="159"/>
        <v/>
      </c>
      <c r="K4879" s="246" t="str">
        <f t="shared" si="158"/>
        <v/>
      </c>
    </row>
    <row r="4880" spans="1:11" ht="30" customHeight="1" x14ac:dyDescent="0.2">
      <c r="A4880" s="242"/>
      <c r="F4880" s="285" t="str">
        <f t="shared" si="159"/>
        <v/>
      </c>
      <c r="K4880" s="246" t="str">
        <f t="shared" si="158"/>
        <v/>
      </c>
    </row>
    <row r="4881" spans="1:11" ht="30" customHeight="1" x14ac:dyDescent="0.2">
      <c r="A4881" s="242"/>
      <c r="F4881" s="285" t="str">
        <f t="shared" si="159"/>
        <v/>
      </c>
      <c r="K4881" s="246" t="str">
        <f t="shared" si="158"/>
        <v/>
      </c>
    </row>
    <row r="4882" spans="1:11" ht="30" customHeight="1" x14ac:dyDescent="0.2">
      <c r="A4882" s="242"/>
      <c r="F4882" s="285" t="str">
        <f t="shared" si="159"/>
        <v/>
      </c>
      <c r="K4882" s="246" t="str">
        <f t="shared" si="158"/>
        <v/>
      </c>
    </row>
    <row r="4883" spans="1:11" ht="30" customHeight="1" x14ac:dyDescent="0.2">
      <c r="A4883" s="242"/>
      <c r="F4883" s="285" t="str">
        <f t="shared" si="159"/>
        <v/>
      </c>
      <c r="K4883" s="246" t="str">
        <f t="shared" si="158"/>
        <v/>
      </c>
    </row>
    <row r="4884" spans="1:11" ht="30" customHeight="1" x14ac:dyDescent="0.2">
      <c r="A4884" s="242"/>
      <c r="F4884" s="285" t="str">
        <f t="shared" si="159"/>
        <v/>
      </c>
      <c r="K4884" s="246" t="str">
        <f t="shared" si="158"/>
        <v/>
      </c>
    </row>
    <row r="4885" spans="1:11" ht="30" customHeight="1" x14ac:dyDescent="0.2">
      <c r="A4885" s="242"/>
      <c r="F4885" s="285" t="str">
        <f t="shared" si="159"/>
        <v/>
      </c>
      <c r="K4885" s="246" t="str">
        <f t="shared" si="158"/>
        <v/>
      </c>
    </row>
    <row r="4886" spans="1:11" ht="30" customHeight="1" x14ac:dyDescent="0.2">
      <c r="A4886" s="242"/>
      <c r="F4886" s="285" t="str">
        <f t="shared" si="159"/>
        <v/>
      </c>
      <c r="K4886" s="246" t="str">
        <f t="shared" si="158"/>
        <v/>
      </c>
    </row>
    <row r="4887" spans="1:11" ht="30" customHeight="1" x14ac:dyDescent="0.2">
      <c r="A4887" s="242"/>
      <c r="F4887" s="285" t="str">
        <f t="shared" si="159"/>
        <v/>
      </c>
      <c r="K4887" s="246" t="str">
        <f t="shared" si="158"/>
        <v/>
      </c>
    </row>
    <row r="4888" spans="1:11" ht="30" customHeight="1" x14ac:dyDescent="0.2">
      <c r="A4888" s="242"/>
      <c r="F4888" s="285" t="str">
        <f t="shared" si="159"/>
        <v/>
      </c>
      <c r="K4888" s="246" t="str">
        <f t="shared" si="158"/>
        <v/>
      </c>
    </row>
    <row r="4889" spans="1:11" ht="30" customHeight="1" x14ac:dyDescent="0.2">
      <c r="A4889" s="242"/>
      <c r="F4889" s="285" t="str">
        <f t="shared" si="159"/>
        <v/>
      </c>
      <c r="K4889" s="246" t="str">
        <f t="shared" si="158"/>
        <v/>
      </c>
    </row>
    <row r="4890" spans="1:11" ht="30" customHeight="1" x14ac:dyDescent="0.2">
      <c r="A4890" s="242"/>
      <c r="F4890" s="285" t="str">
        <f t="shared" si="159"/>
        <v/>
      </c>
      <c r="K4890" s="246" t="str">
        <f t="shared" si="158"/>
        <v/>
      </c>
    </row>
    <row r="4891" spans="1:11" ht="30" customHeight="1" x14ac:dyDescent="0.2">
      <c r="A4891" s="242"/>
      <c r="F4891" s="285" t="str">
        <f t="shared" si="159"/>
        <v/>
      </c>
      <c r="K4891" s="246" t="str">
        <f t="shared" si="158"/>
        <v/>
      </c>
    </row>
    <row r="4892" spans="1:11" ht="30" customHeight="1" x14ac:dyDescent="0.2">
      <c r="A4892" s="242"/>
      <c r="F4892" s="285" t="str">
        <f t="shared" si="159"/>
        <v/>
      </c>
      <c r="K4892" s="246" t="str">
        <f t="shared" si="158"/>
        <v/>
      </c>
    </row>
    <row r="4893" spans="1:11" ht="30" customHeight="1" x14ac:dyDescent="0.2">
      <c r="A4893" s="242"/>
      <c r="F4893" s="285" t="str">
        <f t="shared" si="159"/>
        <v/>
      </c>
      <c r="K4893" s="246" t="str">
        <f t="shared" si="158"/>
        <v/>
      </c>
    </row>
    <row r="4894" spans="1:11" ht="30" customHeight="1" x14ac:dyDescent="0.2">
      <c r="A4894" s="242"/>
      <c r="F4894" s="285" t="str">
        <f t="shared" si="159"/>
        <v/>
      </c>
      <c r="K4894" s="246" t="str">
        <f t="shared" si="158"/>
        <v/>
      </c>
    </row>
    <row r="4895" spans="1:11" ht="30" customHeight="1" x14ac:dyDescent="0.2">
      <c r="A4895" s="242"/>
      <c r="F4895" s="285" t="str">
        <f t="shared" si="159"/>
        <v/>
      </c>
      <c r="K4895" s="246" t="str">
        <f t="shared" si="158"/>
        <v/>
      </c>
    </row>
    <row r="4896" spans="1:11" ht="30" customHeight="1" x14ac:dyDescent="0.2">
      <c r="A4896" s="242"/>
      <c r="F4896" s="285" t="str">
        <f t="shared" si="159"/>
        <v/>
      </c>
      <c r="K4896" s="246" t="str">
        <f t="shared" si="158"/>
        <v/>
      </c>
    </row>
    <row r="4897" spans="1:11" ht="30" customHeight="1" x14ac:dyDescent="0.2">
      <c r="A4897" s="242"/>
      <c r="F4897" s="285" t="str">
        <f t="shared" si="159"/>
        <v/>
      </c>
      <c r="K4897" s="246" t="str">
        <f t="shared" si="158"/>
        <v/>
      </c>
    </row>
    <row r="4898" spans="1:11" ht="30" customHeight="1" x14ac:dyDescent="0.2">
      <c r="A4898" s="242"/>
      <c r="F4898" s="285" t="str">
        <f t="shared" si="159"/>
        <v/>
      </c>
      <c r="K4898" s="246" t="str">
        <f t="shared" si="158"/>
        <v/>
      </c>
    </row>
    <row r="4899" spans="1:11" ht="30" customHeight="1" x14ac:dyDescent="0.2">
      <c r="A4899" s="242"/>
      <c r="F4899" s="285" t="str">
        <f t="shared" si="159"/>
        <v/>
      </c>
      <c r="K4899" s="246" t="str">
        <f t="shared" si="158"/>
        <v/>
      </c>
    </row>
    <row r="4900" spans="1:11" ht="30" customHeight="1" x14ac:dyDescent="0.2">
      <c r="A4900" s="242"/>
      <c r="F4900" s="285" t="str">
        <f t="shared" si="159"/>
        <v/>
      </c>
      <c r="K4900" s="246" t="str">
        <f t="shared" si="158"/>
        <v/>
      </c>
    </row>
    <row r="4901" spans="1:11" ht="30" customHeight="1" x14ac:dyDescent="0.2">
      <c r="A4901" s="242"/>
      <c r="F4901" s="285" t="str">
        <f t="shared" si="159"/>
        <v/>
      </c>
      <c r="K4901" s="246" t="str">
        <f t="shared" si="158"/>
        <v/>
      </c>
    </row>
    <row r="4902" spans="1:11" ht="30" customHeight="1" x14ac:dyDescent="0.2">
      <c r="A4902" s="242"/>
      <c r="F4902" s="285" t="str">
        <f t="shared" si="159"/>
        <v/>
      </c>
      <c r="K4902" s="246" t="str">
        <f t="shared" si="158"/>
        <v/>
      </c>
    </row>
    <row r="4903" spans="1:11" ht="30" customHeight="1" x14ac:dyDescent="0.2">
      <c r="A4903" s="242"/>
      <c r="F4903" s="285" t="str">
        <f t="shared" si="159"/>
        <v/>
      </c>
      <c r="K4903" s="246" t="str">
        <f t="shared" si="158"/>
        <v/>
      </c>
    </row>
    <row r="4904" spans="1:11" ht="30" customHeight="1" x14ac:dyDescent="0.2">
      <c r="A4904" s="242"/>
      <c r="F4904" s="285" t="str">
        <f t="shared" si="159"/>
        <v/>
      </c>
      <c r="K4904" s="246" t="str">
        <f t="shared" si="158"/>
        <v/>
      </c>
    </row>
    <row r="4905" spans="1:11" ht="30" customHeight="1" x14ac:dyDescent="0.2">
      <c r="A4905" s="242"/>
      <c r="F4905" s="285" t="str">
        <f t="shared" si="159"/>
        <v/>
      </c>
      <c r="K4905" s="246" t="str">
        <f t="shared" si="158"/>
        <v/>
      </c>
    </row>
    <row r="4906" spans="1:11" ht="30" customHeight="1" x14ac:dyDescent="0.2">
      <c r="A4906" s="242"/>
      <c r="F4906" s="285" t="str">
        <f t="shared" si="159"/>
        <v/>
      </c>
      <c r="K4906" s="246" t="str">
        <f t="shared" si="158"/>
        <v/>
      </c>
    </row>
    <row r="4907" spans="1:11" ht="30" customHeight="1" x14ac:dyDescent="0.2">
      <c r="A4907" s="242"/>
      <c r="F4907" s="285" t="str">
        <f t="shared" si="159"/>
        <v/>
      </c>
      <c r="K4907" s="246" t="str">
        <f t="shared" si="158"/>
        <v/>
      </c>
    </row>
    <row r="4908" spans="1:11" ht="30" customHeight="1" x14ac:dyDescent="0.2">
      <c r="A4908" s="242"/>
      <c r="F4908" s="285" t="str">
        <f t="shared" si="159"/>
        <v/>
      </c>
      <c r="K4908" s="246" t="str">
        <f t="shared" si="158"/>
        <v/>
      </c>
    </row>
    <row r="4909" spans="1:11" ht="30" customHeight="1" x14ac:dyDescent="0.2">
      <c r="A4909" s="242"/>
      <c r="F4909" s="285" t="str">
        <f t="shared" si="159"/>
        <v/>
      </c>
      <c r="K4909" s="246" t="str">
        <f t="shared" si="158"/>
        <v/>
      </c>
    </row>
    <row r="4910" spans="1:11" ht="30" customHeight="1" x14ac:dyDescent="0.2">
      <c r="A4910" s="242"/>
      <c r="F4910" s="285" t="str">
        <f t="shared" si="159"/>
        <v/>
      </c>
      <c r="K4910" s="246" t="str">
        <f t="shared" si="158"/>
        <v/>
      </c>
    </row>
    <row r="4911" spans="1:11" ht="30" customHeight="1" x14ac:dyDescent="0.2">
      <c r="A4911" s="242"/>
      <c r="F4911" s="285" t="str">
        <f t="shared" si="159"/>
        <v/>
      </c>
      <c r="K4911" s="246" t="str">
        <f t="shared" si="158"/>
        <v/>
      </c>
    </row>
    <row r="4912" spans="1:11" ht="30" customHeight="1" x14ac:dyDescent="0.2">
      <c r="A4912" s="242"/>
      <c r="F4912" s="285" t="str">
        <f t="shared" si="159"/>
        <v/>
      </c>
      <c r="K4912" s="246" t="str">
        <f t="shared" si="158"/>
        <v/>
      </c>
    </row>
    <row r="4913" spans="1:11" ht="30" customHeight="1" x14ac:dyDescent="0.2">
      <c r="A4913" s="242"/>
      <c r="F4913" s="285" t="str">
        <f t="shared" si="159"/>
        <v/>
      </c>
      <c r="K4913" s="246" t="str">
        <f t="shared" si="158"/>
        <v/>
      </c>
    </row>
    <row r="4914" spans="1:11" ht="30" customHeight="1" x14ac:dyDescent="0.2">
      <c r="A4914" s="242"/>
      <c r="F4914" s="285" t="str">
        <f t="shared" si="159"/>
        <v/>
      </c>
      <c r="K4914" s="246" t="str">
        <f t="shared" si="158"/>
        <v/>
      </c>
    </row>
    <row r="4915" spans="1:11" ht="30" customHeight="1" x14ac:dyDescent="0.2">
      <c r="A4915" s="242"/>
      <c r="F4915" s="285" t="str">
        <f t="shared" si="159"/>
        <v/>
      </c>
      <c r="K4915" s="246" t="str">
        <f t="shared" si="158"/>
        <v/>
      </c>
    </row>
    <row r="4916" spans="1:11" ht="30" customHeight="1" x14ac:dyDescent="0.2">
      <c r="A4916" s="242"/>
      <c r="F4916" s="285" t="str">
        <f t="shared" si="159"/>
        <v/>
      </c>
      <c r="K4916" s="246" t="str">
        <f t="shared" si="158"/>
        <v/>
      </c>
    </row>
    <row r="4917" spans="1:11" ht="30" customHeight="1" x14ac:dyDescent="0.2">
      <c r="A4917" s="242"/>
      <c r="F4917" s="285" t="str">
        <f t="shared" si="159"/>
        <v/>
      </c>
      <c r="K4917" s="246" t="str">
        <f t="shared" si="158"/>
        <v/>
      </c>
    </row>
    <row r="4918" spans="1:11" ht="30" customHeight="1" x14ac:dyDescent="0.2">
      <c r="A4918" s="242"/>
      <c r="F4918" s="285" t="str">
        <f t="shared" si="159"/>
        <v/>
      </c>
      <c r="K4918" s="246" t="str">
        <f t="shared" si="158"/>
        <v/>
      </c>
    </row>
    <row r="4919" spans="1:11" ht="30" customHeight="1" x14ac:dyDescent="0.2">
      <c r="A4919" s="242"/>
      <c r="F4919" s="285" t="str">
        <f t="shared" si="159"/>
        <v/>
      </c>
      <c r="K4919" s="246" t="str">
        <f t="shared" si="158"/>
        <v/>
      </c>
    </row>
    <row r="4920" spans="1:11" ht="30" customHeight="1" x14ac:dyDescent="0.2">
      <c r="A4920" s="242"/>
      <c r="F4920" s="285" t="str">
        <f t="shared" si="159"/>
        <v/>
      </c>
      <c r="K4920" s="246" t="str">
        <f t="shared" si="158"/>
        <v/>
      </c>
    </row>
    <row r="4921" spans="1:11" ht="30" customHeight="1" x14ac:dyDescent="0.2">
      <c r="A4921" s="242"/>
      <c r="F4921" s="285" t="str">
        <f t="shared" si="159"/>
        <v/>
      </c>
      <c r="K4921" s="246" t="str">
        <f t="shared" si="158"/>
        <v/>
      </c>
    </row>
    <row r="4922" spans="1:11" ht="30" customHeight="1" x14ac:dyDescent="0.2">
      <c r="A4922" s="242"/>
      <c r="F4922" s="285" t="str">
        <f t="shared" si="159"/>
        <v/>
      </c>
      <c r="K4922" s="246" t="str">
        <f t="shared" si="158"/>
        <v/>
      </c>
    </row>
    <row r="4923" spans="1:11" ht="30" customHeight="1" x14ac:dyDescent="0.2">
      <c r="A4923" s="242"/>
      <c r="F4923" s="285" t="str">
        <f t="shared" si="159"/>
        <v/>
      </c>
      <c r="K4923" s="246" t="str">
        <f t="shared" ref="K4923:K4986" si="160">IF(A4923="","",A4923)</f>
        <v/>
      </c>
    </row>
    <row r="4924" spans="1:11" ht="30" customHeight="1" x14ac:dyDescent="0.2">
      <c r="A4924" s="242"/>
      <c r="F4924" s="285" t="str">
        <f t="shared" si="159"/>
        <v/>
      </c>
      <c r="K4924" s="246" t="str">
        <f t="shared" si="160"/>
        <v/>
      </c>
    </row>
    <row r="4925" spans="1:11" ht="30" customHeight="1" x14ac:dyDescent="0.2">
      <c r="A4925" s="242"/>
      <c r="F4925" s="285" t="str">
        <f t="shared" si="159"/>
        <v/>
      </c>
      <c r="K4925" s="246" t="str">
        <f t="shared" si="160"/>
        <v/>
      </c>
    </row>
    <row r="4926" spans="1:11" ht="30" customHeight="1" x14ac:dyDescent="0.2">
      <c r="A4926" s="242"/>
      <c r="F4926" s="285" t="str">
        <f t="shared" si="159"/>
        <v/>
      </c>
      <c r="K4926" s="246" t="str">
        <f t="shared" si="160"/>
        <v/>
      </c>
    </row>
    <row r="4927" spans="1:11" ht="30" customHeight="1" x14ac:dyDescent="0.2">
      <c r="A4927" s="242"/>
      <c r="F4927" s="285" t="str">
        <f t="shared" si="159"/>
        <v/>
      </c>
      <c r="K4927" s="246" t="str">
        <f t="shared" si="160"/>
        <v/>
      </c>
    </row>
    <row r="4928" spans="1:11" ht="30" customHeight="1" x14ac:dyDescent="0.2">
      <c r="A4928" s="242"/>
      <c r="F4928" s="285" t="str">
        <f t="shared" si="159"/>
        <v/>
      </c>
      <c r="K4928" s="246" t="str">
        <f t="shared" si="160"/>
        <v/>
      </c>
    </row>
    <row r="4929" spans="1:11" ht="30" customHeight="1" x14ac:dyDescent="0.2">
      <c r="A4929" s="242"/>
      <c r="F4929" s="285" t="str">
        <f t="shared" si="159"/>
        <v/>
      </c>
      <c r="K4929" s="246" t="str">
        <f t="shared" si="160"/>
        <v/>
      </c>
    </row>
    <row r="4930" spans="1:11" ht="30" customHeight="1" x14ac:dyDescent="0.2">
      <c r="A4930" s="242"/>
      <c r="F4930" s="285" t="str">
        <f t="shared" si="159"/>
        <v/>
      </c>
      <c r="K4930" s="246" t="str">
        <f t="shared" si="160"/>
        <v/>
      </c>
    </row>
    <row r="4931" spans="1:11" ht="30" customHeight="1" x14ac:dyDescent="0.2">
      <c r="A4931" s="242"/>
      <c r="F4931" s="285" t="str">
        <f t="shared" si="159"/>
        <v/>
      </c>
      <c r="K4931" s="246" t="str">
        <f t="shared" si="160"/>
        <v/>
      </c>
    </row>
    <row r="4932" spans="1:11" ht="30" customHeight="1" x14ac:dyDescent="0.2">
      <c r="A4932" s="242"/>
      <c r="F4932" s="285" t="str">
        <f t="shared" si="159"/>
        <v/>
      </c>
      <c r="K4932" s="246" t="str">
        <f t="shared" si="160"/>
        <v/>
      </c>
    </row>
    <row r="4933" spans="1:11" ht="30" customHeight="1" x14ac:dyDescent="0.2">
      <c r="A4933" s="242"/>
      <c r="F4933" s="285" t="str">
        <f t="shared" ref="F4933:F4996" si="161">IF(A4933="","",A4933)</f>
        <v/>
      </c>
      <c r="K4933" s="246" t="str">
        <f t="shared" si="160"/>
        <v/>
      </c>
    </row>
    <row r="4934" spans="1:11" ht="30" customHeight="1" x14ac:dyDescent="0.2">
      <c r="A4934" s="242"/>
      <c r="F4934" s="285" t="str">
        <f t="shared" si="161"/>
        <v/>
      </c>
      <c r="K4934" s="246" t="str">
        <f t="shared" si="160"/>
        <v/>
      </c>
    </row>
    <row r="4935" spans="1:11" ht="30" customHeight="1" x14ac:dyDescent="0.2">
      <c r="A4935" s="242"/>
      <c r="F4935" s="285" t="str">
        <f t="shared" si="161"/>
        <v/>
      </c>
      <c r="K4935" s="246" t="str">
        <f t="shared" si="160"/>
        <v/>
      </c>
    </row>
    <row r="4936" spans="1:11" ht="30" customHeight="1" x14ac:dyDescent="0.2">
      <c r="A4936" s="242"/>
      <c r="F4936" s="285" t="str">
        <f t="shared" si="161"/>
        <v/>
      </c>
      <c r="K4936" s="246" t="str">
        <f t="shared" si="160"/>
        <v/>
      </c>
    </row>
    <row r="4937" spans="1:11" ht="30" customHeight="1" x14ac:dyDescent="0.2">
      <c r="A4937" s="242"/>
      <c r="F4937" s="285" t="str">
        <f t="shared" si="161"/>
        <v/>
      </c>
      <c r="K4937" s="246" t="str">
        <f t="shared" si="160"/>
        <v/>
      </c>
    </row>
    <row r="4938" spans="1:11" ht="30" customHeight="1" x14ac:dyDescent="0.2">
      <c r="A4938" s="242"/>
      <c r="F4938" s="285" t="str">
        <f t="shared" si="161"/>
        <v/>
      </c>
      <c r="K4938" s="246" t="str">
        <f t="shared" si="160"/>
        <v/>
      </c>
    </row>
    <row r="4939" spans="1:11" ht="30" customHeight="1" x14ac:dyDescent="0.2">
      <c r="A4939" s="242"/>
      <c r="F4939" s="285" t="str">
        <f t="shared" si="161"/>
        <v/>
      </c>
      <c r="K4939" s="246" t="str">
        <f t="shared" si="160"/>
        <v/>
      </c>
    </row>
    <row r="4940" spans="1:11" ht="30" customHeight="1" x14ac:dyDescent="0.2">
      <c r="A4940" s="242"/>
      <c r="F4940" s="285" t="str">
        <f t="shared" si="161"/>
        <v/>
      </c>
      <c r="K4940" s="246" t="str">
        <f t="shared" si="160"/>
        <v/>
      </c>
    </row>
    <row r="4941" spans="1:11" ht="30" customHeight="1" x14ac:dyDescent="0.2">
      <c r="A4941" s="242"/>
      <c r="F4941" s="285" t="str">
        <f t="shared" si="161"/>
        <v/>
      </c>
      <c r="K4941" s="246" t="str">
        <f t="shared" si="160"/>
        <v/>
      </c>
    </row>
    <row r="4942" spans="1:11" ht="30" customHeight="1" x14ac:dyDescent="0.2">
      <c r="A4942" s="242"/>
      <c r="F4942" s="285" t="str">
        <f t="shared" si="161"/>
        <v/>
      </c>
      <c r="K4942" s="246" t="str">
        <f t="shared" si="160"/>
        <v/>
      </c>
    </row>
    <row r="4943" spans="1:11" ht="30" customHeight="1" x14ac:dyDescent="0.2">
      <c r="A4943" s="242"/>
      <c r="F4943" s="285" t="str">
        <f t="shared" si="161"/>
        <v/>
      </c>
      <c r="K4943" s="246" t="str">
        <f t="shared" si="160"/>
        <v/>
      </c>
    </row>
    <row r="4944" spans="1:11" ht="30" customHeight="1" x14ac:dyDescent="0.2">
      <c r="A4944" s="242"/>
      <c r="F4944" s="285" t="str">
        <f t="shared" si="161"/>
        <v/>
      </c>
      <c r="K4944" s="246" t="str">
        <f t="shared" si="160"/>
        <v/>
      </c>
    </row>
    <row r="4945" spans="1:11" ht="30" customHeight="1" x14ac:dyDescent="0.2">
      <c r="A4945" s="242"/>
      <c r="F4945" s="285" t="str">
        <f t="shared" si="161"/>
        <v/>
      </c>
      <c r="K4945" s="246" t="str">
        <f t="shared" si="160"/>
        <v/>
      </c>
    </row>
    <row r="4946" spans="1:11" ht="30" customHeight="1" x14ac:dyDescent="0.2">
      <c r="A4946" s="242"/>
      <c r="F4946" s="285" t="str">
        <f t="shared" si="161"/>
        <v/>
      </c>
      <c r="K4946" s="246" t="str">
        <f t="shared" si="160"/>
        <v/>
      </c>
    </row>
    <row r="4947" spans="1:11" ht="30" customHeight="1" x14ac:dyDescent="0.2">
      <c r="A4947" s="242"/>
      <c r="F4947" s="285" t="str">
        <f t="shared" si="161"/>
        <v/>
      </c>
      <c r="K4947" s="246" t="str">
        <f t="shared" si="160"/>
        <v/>
      </c>
    </row>
    <row r="4948" spans="1:11" ht="30" customHeight="1" x14ac:dyDescent="0.2">
      <c r="A4948" s="242"/>
      <c r="F4948" s="285" t="str">
        <f t="shared" si="161"/>
        <v/>
      </c>
      <c r="K4948" s="246" t="str">
        <f t="shared" si="160"/>
        <v/>
      </c>
    </row>
    <row r="4949" spans="1:11" ht="30" customHeight="1" x14ac:dyDescent="0.2">
      <c r="A4949" s="242"/>
      <c r="F4949" s="285" t="str">
        <f t="shared" si="161"/>
        <v/>
      </c>
      <c r="K4949" s="246" t="str">
        <f t="shared" si="160"/>
        <v/>
      </c>
    </row>
    <row r="4950" spans="1:11" ht="30" customHeight="1" x14ac:dyDescent="0.2">
      <c r="A4950" s="242"/>
      <c r="F4950" s="285" t="str">
        <f t="shared" si="161"/>
        <v/>
      </c>
      <c r="K4950" s="246" t="str">
        <f t="shared" si="160"/>
        <v/>
      </c>
    </row>
    <row r="4951" spans="1:11" ht="30" customHeight="1" x14ac:dyDescent="0.2">
      <c r="A4951" s="242"/>
      <c r="F4951" s="285" t="str">
        <f t="shared" si="161"/>
        <v/>
      </c>
      <c r="K4951" s="246" t="str">
        <f t="shared" si="160"/>
        <v/>
      </c>
    </row>
    <row r="4952" spans="1:11" ht="30" customHeight="1" x14ac:dyDescent="0.2">
      <c r="A4952" s="242"/>
      <c r="F4952" s="285" t="str">
        <f t="shared" si="161"/>
        <v/>
      </c>
      <c r="K4952" s="246" t="str">
        <f t="shared" si="160"/>
        <v/>
      </c>
    </row>
    <row r="4953" spans="1:11" ht="30" customHeight="1" x14ac:dyDescent="0.2">
      <c r="A4953" s="242"/>
      <c r="F4953" s="285" t="str">
        <f t="shared" si="161"/>
        <v/>
      </c>
      <c r="K4953" s="246" t="str">
        <f t="shared" si="160"/>
        <v/>
      </c>
    </row>
    <row r="4954" spans="1:11" ht="30" customHeight="1" x14ac:dyDescent="0.2">
      <c r="A4954" s="242"/>
      <c r="F4954" s="285" t="str">
        <f t="shared" si="161"/>
        <v/>
      </c>
      <c r="K4954" s="246" t="str">
        <f t="shared" si="160"/>
        <v/>
      </c>
    </row>
    <row r="4955" spans="1:11" ht="30" customHeight="1" x14ac:dyDescent="0.2">
      <c r="A4955" s="242"/>
      <c r="F4955" s="285" t="str">
        <f t="shared" si="161"/>
        <v/>
      </c>
      <c r="K4955" s="246" t="str">
        <f t="shared" si="160"/>
        <v/>
      </c>
    </row>
    <row r="4956" spans="1:11" ht="30" customHeight="1" x14ac:dyDescent="0.2">
      <c r="A4956" s="242"/>
      <c r="F4956" s="285" t="str">
        <f t="shared" si="161"/>
        <v/>
      </c>
      <c r="K4956" s="246" t="str">
        <f t="shared" si="160"/>
        <v/>
      </c>
    </row>
    <row r="4957" spans="1:11" ht="30" customHeight="1" x14ac:dyDescent="0.2">
      <c r="A4957" s="242"/>
      <c r="F4957" s="285" t="str">
        <f t="shared" si="161"/>
        <v/>
      </c>
      <c r="K4957" s="246" t="str">
        <f t="shared" si="160"/>
        <v/>
      </c>
    </row>
    <row r="4958" spans="1:11" ht="30" customHeight="1" x14ac:dyDescent="0.2">
      <c r="A4958" s="242"/>
      <c r="F4958" s="285" t="str">
        <f t="shared" si="161"/>
        <v/>
      </c>
      <c r="K4958" s="246" t="str">
        <f t="shared" si="160"/>
        <v/>
      </c>
    </row>
    <row r="4959" spans="1:11" ht="30" customHeight="1" x14ac:dyDescent="0.2">
      <c r="A4959" s="242"/>
      <c r="F4959" s="285" t="str">
        <f t="shared" si="161"/>
        <v/>
      </c>
      <c r="K4959" s="246" t="str">
        <f t="shared" si="160"/>
        <v/>
      </c>
    </row>
    <row r="4960" spans="1:11" ht="30" customHeight="1" x14ac:dyDescent="0.2">
      <c r="A4960" s="242"/>
      <c r="F4960" s="285" t="str">
        <f t="shared" si="161"/>
        <v/>
      </c>
      <c r="K4960" s="246" t="str">
        <f t="shared" si="160"/>
        <v/>
      </c>
    </row>
    <row r="4961" spans="1:11" ht="30" customHeight="1" x14ac:dyDescent="0.2">
      <c r="A4961" s="242"/>
      <c r="F4961" s="285" t="str">
        <f t="shared" si="161"/>
        <v/>
      </c>
      <c r="K4961" s="246" t="str">
        <f t="shared" si="160"/>
        <v/>
      </c>
    </row>
    <row r="4962" spans="1:11" ht="30" customHeight="1" x14ac:dyDescent="0.2">
      <c r="A4962" s="242"/>
      <c r="F4962" s="285" t="str">
        <f t="shared" si="161"/>
        <v/>
      </c>
      <c r="K4962" s="246" t="str">
        <f t="shared" si="160"/>
        <v/>
      </c>
    </row>
    <row r="4963" spans="1:11" ht="30" customHeight="1" x14ac:dyDescent="0.2">
      <c r="A4963" s="242"/>
      <c r="F4963" s="285" t="str">
        <f t="shared" si="161"/>
        <v/>
      </c>
      <c r="K4963" s="246" t="str">
        <f t="shared" si="160"/>
        <v/>
      </c>
    </row>
    <row r="4964" spans="1:11" ht="30" customHeight="1" x14ac:dyDescent="0.2">
      <c r="A4964" s="242"/>
      <c r="F4964" s="285" t="str">
        <f t="shared" si="161"/>
        <v/>
      </c>
      <c r="K4964" s="246" t="str">
        <f t="shared" si="160"/>
        <v/>
      </c>
    </row>
    <row r="4965" spans="1:11" ht="30" customHeight="1" x14ac:dyDescent="0.2">
      <c r="A4965" s="242"/>
      <c r="F4965" s="285" t="str">
        <f t="shared" si="161"/>
        <v/>
      </c>
      <c r="K4965" s="246" t="str">
        <f t="shared" si="160"/>
        <v/>
      </c>
    </row>
    <row r="4966" spans="1:11" ht="30" customHeight="1" x14ac:dyDescent="0.2">
      <c r="A4966" s="242"/>
      <c r="F4966" s="285" t="str">
        <f t="shared" si="161"/>
        <v/>
      </c>
      <c r="K4966" s="246" t="str">
        <f t="shared" si="160"/>
        <v/>
      </c>
    </row>
    <row r="4967" spans="1:11" ht="30" customHeight="1" x14ac:dyDescent="0.2">
      <c r="A4967" s="242"/>
      <c r="F4967" s="285" t="str">
        <f t="shared" si="161"/>
        <v/>
      </c>
      <c r="K4967" s="246" t="str">
        <f t="shared" si="160"/>
        <v/>
      </c>
    </row>
    <row r="4968" spans="1:11" ht="30" customHeight="1" x14ac:dyDescent="0.2">
      <c r="A4968" s="242"/>
      <c r="F4968" s="285" t="str">
        <f t="shared" si="161"/>
        <v/>
      </c>
      <c r="K4968" s="246" t="str">
        <f t="shared" si="160"/>
        <v/>
      </c>
    </row>
    <row r="4969" spans="1:11" ht="30" customHeight="1" x14ac:dyDescent="0.2">
      <c r="A4969" s="242"/>
      <c r="F4969" s="285" t="str">
        <f t="shared" si="161"/>
        <v/>
      </c>
      <c r="K4969" s="246" t="str">
        <f t="shared" si="160"/>
        <v/>
      </c>
    </row>
    <row r="4970" spans="1:11" ht="30" customHeight="1" x14ac:dyDescent="0.2">
      <c r="A4970" s="242"/>
      <c r="F4970" s="285" t="str">
        <f t="shared" si="161"/>
        <v/>
      </c>
      <c r="K4970" s="246" t="str">
        <f t="shared" si="160"/>
        <v/>
      </c>
    </row>
    <row r="4971" spans="1:11" ht="30" customHeight="1" x14ac:dyDescent="0.2">
      <c r="A4971" s="242"/>
      <c r="F4971" s="285" t="str">
        <f t="shared" si="161"/>
        <v/>
      </c>
      <c r="K4971" s="246" t="str">
        <f t="shared" si="160"/>
        <v/>
      </c>
    </row>
    <row r="4972" spans="1:11" ht="30" customHeight="1" x14ac:dyDescent="0.2">
      <c r="A4972" s="242"/>
      <c r="F4972" s="285" t="str">
        <f t="shared" si="161"/>
        <v/>
      </c>
      <c r="K4972" s="246" t="str">
        <f t="shared" si="160"/>
        <v/>
      </c>
    </row>
    <row r="4973" spans="1:11" ht="30" customHeight="1" x14ac:dyDescent="0.2">
      <c r="A4973" s="242"/>
      <c r="F4973" s="285" t="str">
        <f t="shared" si="161"/>
        <v/>
      </c>
      <c r="K4973" s="246" t="str">
        <f t="shared" si="160"/>
        <v/>
      </c>
    </row>
    <row r="4974" spans="1:11" ht="30" customHeight="1" x14ac:dyDescent="0.2">
      <c r="A4974" s="242"/>
      <c r="F4974" s="285" t="str">
        <f t="shared" si="161"/>
        <v/>
      </c>
      <c r="K4974" s="246" t="str">
        <f t="shared" si="160"/>
        <v/>
      </c>
    </row>
    <row r="4975" spans="1:11" ht="30" customHeight="1" x14ac:dyDescent="0.2">
      <c r="A4975" s="242"/>
      <c r="F4975" s="285" t="str">
        <f t="shared" si="161"/>
        <v/>
      </c>
      <c r="K4975" s="246" t="str">
        <f t="shared" si="160"/>
        <v/>
      </c>
    </row>
    <row r="4976" spans="1:11" ht="30" customHeight="1" x14ac:dyDescent="0.2">
      <c r="A4976" s="242"/>
      <c r="F4976" s="285" t="str">
        <f t="shared" si="161"/>
        <v/>
      </c>
      <c r="K4976" s="246" t="str">
        <f t="shared" si="160"/>
        <v/>
      </c>
    </row>
    <row r="4977" spans="1:11" ht="30" customHeight="1" x14ac:dyDescent="0.2">
      <c r="A4977" s="242"/>
      <c r="F4977" s="285" t="str">
        <f t="shared" si="161"/>
        <v/>
      </c>
      <c r="K4977" s="246" t="str">
        <f t="shared" si="160"/>
        <v/>
      </c>
    </row>
    <row r="4978" spans="1:11" ht="30" customHeight="1" x14ac:dyDescent="0.2">
      <c r="A4978" s="242"/>
      <c r="F4978" s="285" t="str">
        <f t="shared" si="161"/>
        <v/>
      </c>
      <c r="K4978" s="246" t="str">
        <f t="shared" si="160"/>
        <v/>
      </c>
    </row>
    <row r="4979" spans="1:11" ht="30" customHeight="1" x14ac:dyDescent="0.2">
      <c r="A4979" s="242"/>
      <c r="F4979" s="285" t="str">
        <f t="shared" si="161"/>
        <v/>
      </c>
      <c r="K4979" s="246" t="str">
        <f t="shared" si="160"/>
        <v/>
      </c>
    </row>
    <row r="4980" spans="1:11" ht="30" customHeight="1" x14ac:dyDescent="0.2">
      <c r="A4980" s="242"/>
      <c r="F4980" s="285" t="str">
        <f t="shared" si="161"/>
        <v/>
      </c>
      <c r="K4980" s="246" t="str">
        <f t="shared" si="160"/>
        <v/>
      </c>
    </row>
    <row r="4981" spans="1:11" ht="30" customHeight="1" x14ac:dyDescent="0.2">
      <c r="A4981" s="242"/>
      <c r="F4981" s="285" t="str">
        <f t="shared" si="161"/>
        <v/>
      </c>
      <c r="K4981" s="246" t="str">
        <f t="shared" si="160"/>
        <v/>
      </c>
    </row>
    <row r="4982" spans="1:11" ht="30" customHeight="1" x14ac:dyDescent="0.2">
      <c r="A4982" s="242"/>
      <c r="F4982" s="285" t="str">
        <f t="shared" si="161"/>
        <v/>
      </c>
      <c r="K4982" s="246" t="str">
        <f t="shared" si="160"/>
        <v/>
      </c>
    </row>
    <row r="4983" spans="1:11" ht="30" customHeight="1" x14ac:dyDescent="0.2">
      <c r="A4983" s="242"/>
      <c r="F4983" s="285" t="str">
        <f t="shared" si="161"/>
        <v/>
      </c>
      <c r="K4983" s="246" t="str">
        <f t="shared" si="160"/>
        <v/>
      </c>
    </row>
    <row r="4984" spans="1:11" ht="30" customHeight="1" x14ac:dyDescent="0.2">
      <c r="A4984" s="242"/>
      <c r="F4984" s="285" t="str">
        <f t="shared" si="161"/>
        <v/>
      </c>
      <c r="K4984" s="246" t="str">
        <f t="shared" si="160"/>
        <v/>
      </c>
    </row>
    <row r="4985" spans="1:11" ht="30" customHeight="1" x14ac:dyDescent="0.2">
      <c r="A4985" s="242"/>
      <c r="F4985" s="285" t="str">
        <f t="shared" si="161"/>
        <v/>
      </c>
      <c r="K4985" s="246" t="str">
        <f t="shared" si="160"/>
        <v/>
      </c>
    </row>
    <row r="4986" spans="1:11" ht="30" customHeight="1" x14ac:dyDescent="0.2">
      <c r="A4986" s="242"/>
      <c r="F4986" s="285" t="str">
        <f t="shared" si="161"/>
        <v/>
      </c>
      <c r="K4986" s="246" t="str">
        <f t="shared" si="160"/>
        <v/>
      </c>
    </row>
    <row r="4987" spans="1:11" ht="30" customHeight="1" x14ac:dyDescent="0.2">
      <c r="A4987" s="242"/>
      <c r="F4987" s="285" t="str">
        <f t="shared" si="161"/>
        <v/>
      </c>
      <c r="K4987" s="246" t="str">
        <f t="shared" ref="K4987:K5050" si="162">IF(A4987="","",A4987)</f>
        <v/>
      </c>
    </row>
    <row r="4988" spans="1:11" ht="30" customHeight="1" x14ac:dyDescent="0.2">
      <c r="A4988" s="242"/>
      <c r="F4988" s="285" t="str">
        <f t="shared" si="161"/>
        <v/>
      </c>
      <c r="K4988" s="246" t="str">
        <f t="shared" si="162"/>
        <v/>
      </c>
    </row>
    <row r="4989" spans="1:11" ht="30" customHeight="1" x14ac:dyDescent="0.2">
      <c r="A4989" s="242"/>
      <c r="F4989" s="285" t="str">
        <f t="shared" si="161"/>
        <v/>
      </c>
      <c r="K4989" s="246" t="str">
        <f t="shared" si="162"/>
        <v/>
      </c>
    </row>
    <row r="4990" spans="1:11" ht="30" customHeight="1" x14ac:dyDescent="0.2">
      <c r="A4990" s="242"/>
      <c r="F4990" s="285" t="str">
        <f t="shared" si="161"/>
        <v/>
      </c>
      <c r="K4990" s="246" t="str">
        <f t="shared" si="162"/>
        <v/>
      </c>
    </row>
    <row r="4991" spans="1:11" ht="30" customHeight="1" x14ac:dyDescent="0.2">
      <c r="A4991" s="242"/>
      <c r="F4991" s="285" t="str">
        <f t="shared" si="161"/>
        <v/>
      </c>
      <c r="K4991" s="246" t="str">
        <f t="shared" si="162"/>
        <v/>
      </c>
    </row>
    <row r="4992" spans="1:11" ht="30" customHeight="1" x14ac:dyDescent="0.2">
      <c r="A4992" s="242"/>
      <c r="F4992" s="285" t="str">
        <f t="shared" si="161"/>
        <v/>
      </c>
      <c r="K4992" s="246" t="str">
        <f t="shared" si="162"/>
        <v/>
      </c>
    </row>
    <row r="4993" spans="1:11" ht="30" customHeight="1" x14ac:dyDescent="0.2">
      <c r="A4993" s="242"/>
      <c r="F4993" s="285" t="str">
        <f t="shared" si="161"/>
        <v/>
      </c>
      <c r="K4993" s="246" t="str">
        <f t="shared" si="162"/>
        <v/>
      </c>
    </row>
    <row r="4994" spans="1:11" ht="30" customHeight="1" x14ac:dyDescent="0.2">
      <c r="A4994" s="242"/>
      <c r="F4994" s="285" t="str">
        <f t="shared" si="161"/>
        <v/>
      </c>
      <c r="K4994" s="246" t="str">
        <f t="shared" si="162"/>
        <v/>
      </c>
    </row>
    <row r="4995" spans="1:11" ht="30" customHeight="1" x14ac:dyDescent="0.2">
      <c r="A4995" s="242"/>
      <c r="F4995" s="285" t="str">
        <f t="shared" si="161"/>
        <v/>
      </c>
      <c r="K4995" s="246" t="str">
        <f t="shared" si="162"/>
        <v/>
      </c>
    </row>
    <row r="4996" spans="1:11" ht="30" customHeight="1" x14ac:dyDescent="0.2">
      <c r="A4996" s="242"/>
      <c r="F4996" s="285" t="str">
        <f t="shared" si="161"/>
        <v/>
      </c>
      <c r="K4996" s="246" t="str">
        <f t="shared" si="162"/>
        <v/>
      </c>
    </row>
    <row r="4997" spans="1:11" ht="30" customHeight="1" x14ac:dyDescent="0.2">
      <c r="A4997" s="242"/>
      <c r="F4997" s="285" t="str">
        <f t="shared" ref="F4997:F5060" si="163">IF(A4997="","",A4997)</f>
        <v/>
      </c>
      <c r="K4997" s="246" t="str">
        <f t="shared" si="162"/>
        <v/>
      </c>
    </row>
    <row r="4998" spans="1:11" ht="30" customHeight="1" x14ac:dyDescent="0.2">
      <c r="A4998" s="242"/>
      <c r="F4998" s="285" t="str">
        <f t="shared" si="163"/>
        <v/>
      </c>
      <c r="K4998" s="246" t="str">
        <f t="shared" si="162"/>
        <v/>
      </c>
    </row>
    <row r="4999" spans="1:11" ht="30" customHeight="1" x14ac:dyDescent="0.2">
      <c r="A4999" s="242"/>
      <c r="F4999" s="285" t="str">
        <f t="shared" si="163"/>
        <v/>
      </c>
      <c r="K4999" s="246" t="str">
        <f t="shared" si="162"/>
        <v/>
      </c>
    </row>
    <row r="5000" spans="1:11" ht="30" customHeight="1" x14ac:dyDescent="0.2">
      <c r="A5000" s="242"/>
      <c r="F5000" s="285" t="str">
        <f t="shared" si="163"/>
        <v/>
      </c>
      <c r="K5000" s="246" t="str">
        <f t="shared" si="162"/>
        <v/>
      </c>
    </row>
    <row r="5001" spans="1:11" ht="30" customHeight="1" x14ac:dyDescent="0.2">
      <c r="A5001" s="242"/>
      <c r="F5001" s="285" t="str">
        <f t="shared" si="163"/>
        <v/>
      </c>
      <c r="K5001" s="246" t="str">
        <f t="shared" si="162"/>
        <v/>
      </c>
    </row>
    <row r="5002" spans="1:11" ht="30" customHeight="1" x14ac:dyDescent="0.2">
      <c r="A5002" s="242"/>
      <c r="F5002" s="285" t="str">
        <f t="shared" si="163"/>
        <v/>
      </c>
      <c r="K5002" s="246" t="str">
        <f t="shared" si="162"/>
        <v/>
      </c>
    </row>
    <row r="5003" spans="1:11" ht="30" customHeight="1" x14ac:dyDescent="0.2">
      <c r="A5003" s="242"/>
      <c r="F5003" s="285" t="str">
        <f t="shared" si="163"/>
        <v/>
      </c>
      <c r="K5003" s="246" t="str">
        <f t="shared" si="162"/>
        <v/>
      </c>
    </row>
    <row r="5004" spans="1:11" ht="30" customHeight="1" x14ac:dyDescent="0.2">
      <c r="A5004" s="242"/>
      <c r="F5004" s="285" t="str">
        <f t="shared" si="163"/>
        <v/>
      </c>
      <c r="K5004" s="246" t="str">
        <f t="shared" si="162"/>
        <v/>
      </c>
    </row>
    <row r="5005" spans="1:11" ht="30" customHeight="1" x14ac:dyDescent="0.2">
      <c r="A5005" s="242"/>
      <c r="F5005" s="285" t="str">
        <f t="shared" si="163"/>
        <v/>
      </c>
      <c r="K5005" s="246" t="str">
        <f t="shared" si="162"/>
        <v/>
      </c>
    </row>
    <row r="5006" spans="1:11" ht="30" customHeight="1" x14ac:dyDescent="0.2">
      <c r="A5006" s="242"/>
      <c r="F5006" s="285" t="str">
        <f t="shared" si="163"/>
        <v/>
      </c>
      <c r="K5006" s="246" t="str">
        <f t="shared" si="162"/>
        <v/>
      </c>
    </row>
    <row r="5007" spans="1:11" ht="30" customHeight="1" x14ac:dyDescent="0.2">
      <c r="A5007" s="242"/>
      <c r="F5007" s="285" t="str">
        <f t="shared" si="163"/>
        <v/>
      </c>
      <c r="K5007" s="246" t="str">
        <f t="shared" si="162"/>
        <v/>
      </c>
    </row>
    <row r="5008" spans="1:11" ht="30" customHeight="1" x14ac:dyDescent="0.2">
      <c r="A5008" s="242"/>
      <c r="F5008" s="285" t="str">
        <f t="shared" si="163"/>
        <v/>
      </c>
      <c r="K5008" s="246" t="str">
        <f t="shared" si="162"/>
        <v/>
      </c>
    </row>
    <row r="5009" spans="1:11" ht="30" customHeight="1" x14ac:dyDescent="0.2">
      <c r="A5009" s="242"/>
      <c r="F5009" s="285" t="str">
        <f t="shared" si="163"/>
        <v/>
      </c>
      <c r="K5009" s="246" t="str">
        <f t="shared" si="162"/>
        <v/>
      </c>
    </row>
    <row r="5010" spans="1:11" ht="30" customHeight="1" x14ac:dyDescent="0.2">
      <c r="A5010" s="242"/>
      <c r="F5010" s="285" t="str">
        <f t="shared" si="163"/>
        <v/>
      </c>
      <c r="K5010" s="246" t="str">
        <f t="shared" si="162"/>
        <v/>
      </c>
    </row>
    <row r="5011" spans="1:11" ht="30" customHeight="1" x14ac:dyDescent="0.2">
      <c r="A5011" s="242"/>
      <c r="F5011" s="285" t="str">
        <f t="shared" si="163"/>
        <v/>
      </c>
      <c r="K5011" s="246" t="str">
        <f t="shared" si="162"/>
        <v/>
      </c>
    </row>
    <row r="5012" spans="1:11" ht="30" customHeight="1" x14ac:dyDescent="0.2">
      <c r="A5012" s="242"/>
      <c r="F5012" s="285" t="str">
        <f t="shared" si="163"/>
        <v/>
      </c>
      <c r="K5012" s="246" t="str">
        <f t="shared" si="162"/>
        <v/>
      </c>
    </row>
    <row r="5013" spans="1:11" ht="30" customHeight="1" x14ac:dyDescent="0.2">
      <c r="A5013" s="242"/>
      <c r="F5013" s="285" t="str">
        <f t="shared" si="163"/>
        <v/>
      </c>
      <c r="K5013" s="246" t="str">
        <f t="shared" si="162"/>
        <v/>
      </c>
    </row>
    <row r="5014" spans="1:11" ht="30" customHeight="1" x14ac:dyDescent="0.2">
      <c r="A5014" s="242"/>
      <c r="F5014" s="285" t="str">
        <f t="shared" si="163"/>
        <v/>
      </c>
      <c r="K5014" s="246" t="str">
        <f t="shared" si="162"/>
        <v/>
      </c>
    </row>
    <row r="5015" spans="1:11" ht="30" customHeight="1" x14ac:dyDescent="0.2">
      <c r="A5015" s="242"/>
      <c r="F5015" s="285" t="str">
        <f t="shared" si="163"/>
        <v/>
      </c>
      <c r="K5015" s="246" t="str">
        <f t="shared" si="162"/>
        <v/>
      </c>
    </row>
    <row r="5016" spans="1:11" ht="30" customHeight="1" x14ac:dyDescent="0.2">
      <c r="A5016" s="242"/>
      <c r="F5016" s="285" t="str">
        <f t="shared" si="163"/>
        <v/>
      </c>
      <c r="K5016" s="246" t="str">
        <f t="shared" si="162"/>
        <v/>
      </c>
    </row>
    <row r="5017" spans="1:11" ht="30" customHeight="1" x14ac:dyDescent="0.2">
      <c r="A5017" s="242"/>
      <c r="F5017" s="285" t="str">
        <f t="shared" si="163"/>
        <v/>
      </c>
      <c r="K5017" s="246" t="str">
        <f t="shared" si="162"/>
        <v/>
      </c>
    </row>
    <row r="5018" spans="1:11" ht="30" customHeight="1" x14ac:dyDescent="0.2">
      <c r="A5018" s="242"/>
      <c r="F5018" s="285" t="str">
        <f t="shared" si="163"/>
        <v/>
      </c>
      <c r="K5018" s="246" t="str">
        <f t="shared" si="162"/>
        <v/>
      </c>
    </row>
    <row r="5019" spans="1:11" ht="30" customHeight="1" x14ac:dyDescent="0.2">
      <c r="A5019" s="242"/>
      <c r="F5019" s="285" t="str">
        <f t="shared" si="163"/>
        <v/>
      </c>
      <c r="K5019" s="246" t="str">
        <f t="shared" si="162"/>
        <v/>
      </c>
    </row>
    <row r="5020" spans="1:11" ht="30" customHeight="1" x14ac:dyDescent="0.2">
      <c r="A5020" s="242"/>
      <c r="F5020" s="285" t="str">
        <f t="shared" si="163"/>
        <v/>
      </c>
      <c r="K5020" s="246" t="str">
        <f t="shared" si="162"/>
        <v/>
      </c>
    </row>
    <row r="5021" spans="1:11" ht="30" customHeight="1" x14ac:dyDescent="0.2">
      <c r="A5021" s="242"/>
      <c r="F5021" s="285" t="str">
        <f t="shared" si="163"/>
        <v/>
      </c>
      <c r="K5021" s="246" t="str">
        <f t="shared" si="162"/>
        <v/>
      </c>
    </row>
    <row r="5022" spans="1:11" ht="30" customHeight="1" x14ac:dyDescent="0.2">
      <c r="A5022" s="242"/>
      <c r="F5022" s="285" t="str">
        <f t="shared" si="163"/>
        <v/>
      </c>
      <c r="K5022" s="246" t="str">
        <f t="shared" si="162"/>
        <v/>
      </c>
    </row>
    <row r="5023" spans="1:11" ht="30" customHeight="1" x14ac:dyDescent="0.2">
      <c r="A5023" s="242"/>
      <c r="F5023" s="285" t="str">
        <f t="shared" si="163"/>
        <v/>
      </c>
      <c r="K5023" s="246" t="str">
        <f t="shared" si="162"/>
        <v/>
      </c>
    </row>
    <row r="5024" spans="1:11" ht="30" customHeight="1" x14ac:dyDescent="0.2">
      <c r="A5024" s="242"/>
      <c r="F5024" s="285" t="str">
        <f t="shared" si="163"/>
        <v/>
      </c>
      <c r="K5024" s="246" t="str">
        <f t="shared" si="162"/>
        <v/>
      </c>
    </row>
    <row r="5025" spans="1:11" ht="30" customHeight="1" x14ac:dyDescent="0.2">
      <c r="A5025" s="242"/>
      <c r="F5025" s="285" t="str">
        <f t="shared" si="163"/>
        <v/>
      </c>
      <c r="K5025" s="246" t="str">
        <f t="shared" si="162"/>
        <v/>
      </c>
    </row>
    <row r="5026" spans="1:11" ht="30" customHeight="1" x14ac:dyDescent="0.2">
      <c r="A5026" s="242"/>
      <c r="F5026" s="285" t="str">
        <f t="shared" si="163"/>
        <v/>
      </c>
      <c r="K5026" s="246" t="str">
        <f t="shared" si="162"/>
        <v/>
      </c>
    </row>
    <row r="5027" spans="1:11" ht="30" customHeight="1" x14ac:dyDescent="0.2">
      <c r="A5027" s="242"/>
      <c r="F5027" s="285" t="str">
        <f t="shared" si="163"/>
        <v/>
      </c>
      <c r="K5027" s="246" t="str">
        <f t="shared" si="162"/>
        <v/>
      </c>
    </row>
    <row r="5028" spans="1:11" ht="30" customHeight="1" x14ac:dyDescent="0.2">
      <c r="A5028" s="242"/>
      <c r="F5028" s="285" t="str">
        <f t="shared" si="163"/>
        <v/>
      </c>
      <c r="K5028" s="246" t="str">
        <f t="shared" si="162"/>
        <v/>
      </c>
    </row>
    <row r="5029" spans="1:11" ht="30" customHeight="1" x14ac:dyDescent="0.2">
      <c r="A5029" s="242"/>
      <c r="F5029" s="285" t="str">
        <f t="shared" si="163"/>
        <v/>
      </c>
      <c r="K5029" s="246" t="str">
        <f t="shared" si="162"/>
        <v/>
      </c>
    </row>
    <row r="5030" spans="1:11" ht="30" customHeight="1" x14ac:dyDescent="0.2">
      <c r="A5030" s="242"/>
      <c r="F5030" s="285" t="str">
        <f t="shared" si="163"/>
        <v/>
      </c>
      <c r="K5030" s="246" t="str">
        <f t="shared" si="162"/>
        <v/>
      </c>
    </row>
    <row r="5031" spans="1:11" ht="30" customHeight="1" x14ac:dyDescent="0.2">
      <c r="A5031" s="242"/>
      <c r="F5031" s="285" t="str">
        <f t="shared" si="163"/>
        <v/>
      </c>
      <c r="K5031" s="246" t="str">
        <f t="shared" si="162"/>
        <v/>
      </c>
    </row>
    <row r="5032" spans="1:11" ht="30" customHeight="1" x14ac:dyDescent="0.2">
      <c r="A5032" s="242"/>
      <c r="F5032" s="285" t="str">
        <f t="shared" si="163"/>
        <v/>
      </c>
      <c r="K5032" s="246" t="str">
        <f t="shared" si="162"/>
        <v/>
      </c>
    </row>
    <row r="5033" spans="1:11" ht="30" customHeight="1" x14ac:dyDescent="0.2">
      <c r="A5033" s="242"/>
      <c r="F5033" s="285" t="str">
        <f t="shared" si="163"/>
        <v/>
      </c>
      <c r="K5033" s="246" t="str">
        <f t="shared" si="162"/>
        <v/>
      </c>
    </row>
    <row r="5034" spans="1:11" ht="30" customHeight="1" x14ac:dyDescent="0.2">
      <c r="A5034" s="242"/>
      <c r="F5034" s="285" t="str">
        <f t="shared" si="163"/>
        <v/>
      </c>
      <c r="K5034" s="246" t="str">
        <f t="shared" si="162"/>
        <v/>
      </c>
    </row>
    <row r="5035" spans="1:11" ht="30" customHeight="1" x14ac:dyDescent="0.2">
      <c r="A5035" s="242"/>
      <c r="F5035" s="285" t="str">
        <f t="shared" si="163"/>
        <v/>
      </c>
      <c r="K5035" s="246" t="str">
        <f t="shared" si="162"/>
        <v/>
      </c>
    </row>
    <row r="5036" spans="1:11" ht="30" customHeight="1" x14ac:dyDescent="0.2">
      <c r="A5036" s="242"/>
      <c r="F5036" s="285" t="str">
        <f t="shared" si="163"/>
        <v/>
      </c>
      <c r="K5036" s="246" t="str">
        <f t="shared" si="162"/>
        <v/>
      </c>
    </row>
    <row r="5037" spans="1:11" ht="30" customHeight="1" x14ac:dyDescent="0.2">
      <c r="A5037" s="242"/>
      <c r="F5037" s="285" t="str">
        <f t="shared" si="163"/>
        <v/>
      </c>
      <c r="K5037" s="246" t="str">
        <f t="shared" si="162"/>
        <v/>
      </c>
    </row>
    <row r="5038" spans="1:11" ht="30" customHeight="1" x14ac:dyDescent="0.2">
      <c r="A5038" s="242"/>
      <c r="F5038" s="285" t="str">
        <f t="shared" si="163"/>
        <v/>
      </c>
      <c r="K5038" s="246" t="str">
        <f t="shared" si="162"/>
        <v/>
      </c>
    </row>
    <row r="5039" spans="1:11" ht="30" customHeight="1" x14ac:dyDescent="0.2">
      <c r="A5039" s="242"/>
      <c r="F5039" s="285" t="str">
        <f t="shared" si="163"/>
        <v/>
      </c>
      <c r="K5039" s="246" t="str">
        <f t="shared" si="162"/>
        <v/>
      </c>
    </row>
    <row r="5040" spans="1:11" ht="30" customHeight="1" x14ac:dyDescent="0.2">
      <c r="A5040" s="242"/>
      <c r="F5040" s="285" t="str">
        <f t="shared" si="163"/>
        <v/>
      </c>
      <c r="K5040" s="246" t="str">
        <f t="shared" si="162"/>
        <v/>
      </c>
    </row>
    <row r="5041" spans="1:11" ht="30" customHeight="1" x14ac:dyDescent="0.2">
      <c r="A5041" s="242"/>
      <c r="F5041" s="285" t="str">
        <f t="shared" si="163"/>
        <v/>
      </c>
      <c r="K5041" s="246" t="str">
        <f t="shared" si="162"/>
        <v/>
      </c>
    </row>
    <row r="5042" spans="1:11" ht="30" customHeight="1" x14ac:dyDescent="0.2">
      <c r="A5042" s="242"/>
      <c r="F5042" s="285" t="str">
        <f t="shared" si="163"/>
        <v/>
      </c>
      <c r="K5042" s="246" t="str">
        <f t="shared" si="162"/>
        <v/>
      </c>
    </row>
    <row r="5043" spans="1:11" ht="30" customHeight="1" x14ac:dyDescent="0.2">
      <c r="A5043" s="242"/>
      <c r="F5043" s="285" t="str">
        <f t="shared" si="163"/>
        <v/>
      </c>
      <c r="K5043" s="246" t="str">
        <f t="shared" si="162"/>
        <v/>
      </c>
    </row>
    <row r="5044" spans="1:11" ht="30" customHeight="1" x14ac:dyDescent="0.2">
      <c r="A5044" s="242"/>
      <c r="F5044" s="285" t="str">
        <f t="shared" si="163"/>
        <v/>
      </c>
      <c r="K5044" s="246" t="str">
        <f t="shared" si="162"/>
        <v/>
      </c>
    </row>
    <row r="5045" spans="1:11" ht="30" customHeight="1" x14ac:dyDescent="0.2">
      <c r="A5045" s="242"/>
      <c r="F5045" s="285" t="str">
        <f t="shared" si="163"/>
        <v/>
      </c>
      <c r="K5045" s="246" t="str">
        <f t="shared" si="162"/>
        <v/>
      </c>
    </row>
    <row r="5046" spans="1:11" ht="30" customHeight="1" x14ac:dyDescent="0.2">
      <c r="A5046" s="242"/>
      <c r="F5046" s="285" t="str">
        <f t="shared" si="163"/>
        <v/>
      </c>
      <c r="K5046" s="246" t="str">
        <f t="shared" si="162"/>
        <v/>
      </c>
    </row>
    <row r="5047" spans="1:11" ht="30" customHeight="1" x14ac:dyDescent="0.2">
      <c r="A5047" s="242"/>
      <c r="F5047" s="285" t="str">
        <f t="shared" si="163"/>
        <v/>
      </c>
      <c r="K5047" s="246" t="str">
        <f t="shared" si="162"/>
        <v/>
      </c>
    </row>
    <row r="5048" spans="1:11" ht="30" customHeight="1" x14ac:dyDescent="0.2">
      <c r="A5048" s="242"/>
      <c r="F5048" s="285" t="str">
        <f t="shared" si="163"/>
        <v/>
      </c>
      <c r="K5048" s="246" t="str">
        <f t="shared" si="162"/>
        <v/>
      </c>
    </row>
    <row r="5049" spans="1:11" ht="30" customHeight="1" x14ac:dyDescent="0.2">
      <c r="A5049" s="242"/>
      <c r="F5049" s="285" t="str">
        <f t="shared" si="163"/>
        <v/>
      </c>
      <c r="K5049" s="246" t="str">
        <f t="shared" si="162"/>
        <v/>
      </c>
    </row>
    <row r="5050" spans="1:11" ht="30" customHeight="1" x14ac:dyDescent="0.2">
      <c r="A5050" s="242"/>
      <c r="F5050" s="285" t="str">
        <f t="shared" si="163"/>
        <v/>
      </c>
      <c r="K5050" s="246" t="str">
        <f t="shared" si="162"/>
        <v/>
      </c>
    </row>
    <row r="5051" spans="1:11" ht="30" customHeight="1" x14ac:dyDescent="0.2">
      <c r="A5051" s="242"/>
      <c r="F5051" s="285" t="str">
        <f t="shared" si="163"/>
        <v/>
      </c>
      <c r="K5051" s="246" t="str">
        <f t="shared" ref="K5051:K5114" si="164">IF(A5051="","",A5051)</f>
        <v/>
      </c>
    </row>
    <row r="5052" spans="1:11" ht="30" customHeight="1" x14ac:dyDescent="0.2">
      <c r="A5052" s="242"/>
      <c r="F5052" s="285" t="str">
        <f t="shared" si="163"/>
        <v/>
      </c>
      <c r="K5052" s="246" t="str">
        <f t="shared" si="164"/>
        <v/>
      </c>
    </row>
    <row r="5053" spans="1:11" ht="30" customHeight="1" x14ac:dyDescent="0.2">
      <c r="A5053" s="242"/>
      <c r="F5053" s="285" t="str">
        <f t="shared" si="163"/>
        <v/>
      </c>
      <c r="K5053" s="246" t="str">
        <f t="shared" si="164"/>
        <v/>
      </c>
    </row>
    <row r="5054" spans="1:11" ht="30" customHeight="1" x14ac:dyDescent="0.2">
      <c r="A5054" s="242"/>
      <c r="F5054" s="285" t="str">
        <f t="shared" si="163"/>
        <v/>
      </c>
      <c r="K5054" s="246" t="str">
        <f t="shared" si="164"/>
        <v/>
      </c>
    </row>
    <row r="5055" spans="1:11" ht="30" customHeight="1" x14ac:dyDescent="0.2">
      <c r="A5055" s="242"/>
      <c r="F5055" s="285" t="str">
        <f t="shared" si="163"/>
        <v/>
      </c>
      <c r="K5055" s="246" t="str">
        <f t="shared" si="164"/>
        <v/>
      </c>
    </row>
    <row r="5056" spans="1:11" ht="30" customHeight="1" x14ac:dyDescent="0.2">
      <c r="A5056" s="242"/>
      <c r="F5056" s="285" t="str">
        <f t="shared" si="163"/>
        <v/>
      </c>
      <c r="K5056" s="246" t="str">
        <f t="shared" si="164"/>
        <v/>
      </c>
    </row>
    <row r="5057" spans="1:11" ht="30" customHeight="1" x14ac:dyDescent="0.2">
      <c r="A5057" s="242"/>
      <c r="F5057" s="285" t="str">
        <f t="shared" si="163"/>
        <v/>
      </c>
      <c r="K5057" s="246" t="str">
        <f t="shared" si="164"/>
        <v/>
      </c>
    </row>
    <row r="5058" spans="1:11" ht="30" customHeight="1" x14ac:dyDescent="0.2">
      <c r="A5058" s="242"/>
      <c r="F5058" s="285" t="str">
        <f t="shared" si="163"/>
        <v/>
      </c>
      <c r="K5058" s="246" t="str">
        <f t="shared" si="164"/>
        <v/>
      </c>
    </row>
    <row r="5059" spans="1:11" ht="30" customHeight="1" x14ac:dyDescent="0.2">
      <c r="A5059" s="242"/>
      <c r="F5059" s="285" t="str">
        <f t="shared" si="163"/>
        <v/>
      </c>
      <c r="K5059" s="246" t="str">
        <f t="shared" si="164"/>
        <v/>
      </c>
    </row>
    <row r="5060" spans="1:11" ht="30" customHeight="1" x14ac:dyDescent="0.2">
      <c r="A5060" s="242"/>
      <c r="F5060" s="285" t="str">
        <f t="shared" si="163"/>
        <v/>
      </c>
      <c r="K5060" s="246" t="str">
        <f t="shared" si="164"/>
        <v/>
      </c>
    </row>
    <row r="5061" spans="1:11" ht="30" customHeight="1" x14ac:dyDescent="0.2">
      <c r="A5061" s="242"/>
      <c r="F5061" s="285" t="str">
        <f t="shared" ref="F5061:F5124" si="165">IF(A5061="","",A5061)</f>
        <v/>
      </c>
      <c r="K5061" s="246" t="str">
        <f t="shared" si="164"/>
        <v/>
      </c>
    </row>
    <row r="5062" spans="1:11" ht="30" customHeight="1" x14ac:dyDescent="0.2">
      <c r="A5062" s="242"/>
      <c r="F5062" s="285" t="str">
        <f t="shared" si="165"/>
        <v/>
      </c>
      <c r="K5062" s="246" t="str">
        <f t="shared" si="164"/>
        <v/>
      </c>
    </row>
    <row r="5063" spans="1:11" ht="30" customHeight="1" x14ac:dyDescent="0.2">
      <c r="A5063" s="242"/>
      <c r="F5063" s="285" t="str">
        <f t="shared" si="165"/>
        <v/>
      </c>
      <c r="K5063" s="246" t="str">
        <f t="shared" si="164"/>
        <v/>
      </c>
    </row>
    <row r="5064" spans="1:11" ht="30" customHeight="1" x14ac:dyDescent="0.2">
      <c r="A5064" s="242"/>
      <c r="F5064" s="285" t="str">
        <f t="shared" si="165"/>
        <v/>
      </c>
      <c r="K5064" s="246" t="str">
        <f t="shared" si="164"/>
        <v/>
      </c>
    </row>
    <row r="5065" spans="1:11" ht="30" customHeight="1" x14ac:dyDescent="0.2">
      <c r="A5065" s="242"/>
      <c r="F5065" s="285" t="str">
        <f t="shared" si="165"/>
        <v/>
      </c>
      <c r="K5065" s="246" t="str">
        <f t="shared" si="164"/>
        <v/>
      </c>
    </row>
    <row r="5066" spans="1:11" ht="30" customHeight="1" x14ac:dyDescent="0.2">
      <c r="A5066" s="242"/>
      <c r="F5066" s="285" t="str">
        <f t="shared" si="165"/>
        <v/>
      </c>
      <c r="K5066" s="246" t="str">
        <f t="shared" si="164"/>
        <v/>
      </c>
    </row>
    <row r="5067" spans="1:11" ht="30" customHeight="1" x14ac:dyDescent="0.2">
      <c r="A5067" s="242"/>
      <c r="F5067" s="285" t="str">
        <f t="shared" si="165"/>
        <v/>
      </c>
      <c r="K5067" s="246" t="str">
        <f t="shared" si="164"/>
        <v/>
      </c>
    </row>
    <row r="5068" spans="1:11" ht="30" customHeight="1" x14ac:dyDescent="0.2">
      <c r="A5068" s="242"/>
      <c r="F5068" s="285" t="str">
        <f t="shared" si="165"/>
        <v/>
      </c>
      <c r="K5068" s="246" t="str">
        <f t="shared" si="164"/>
        <v/>
      </c>
    </row>
    <row r="5069" spans="1:11" ht="30" customHeight="1" x14ac:dyDescent="0.2">
      <c r="A5069" s="242"/>
      <c r="F5069" s="285" t="str">
        <f t="shared" si="165"/>
        <v/>
      </c>
      <c r="K5069" s="246" t="str">
        <f t="shared" si="164"/>
        <v/>
      </c>
    </row>
    <row r="5070" spans="1:11" ht="30" customHeight="1" x14ac:dyDescent="0.2">
      <c r="A5070" s="242"/>
      <c r="F5070" s="285" t="str">
        <f t="shared" si="165"/>
        <v/>
      </c>
      <c r="K5070" s="246" t="str">
        <f t="shared" si="164"/>
        <v/>
      </c>
    </row>
    <row r="5071" spans="1:11" ht="30" customHeight="1" x14ac:dyDescent="0.2">
      <c r="A5071" s="242"/>
      <c r="F5071" s="285" t="str">
        <f t="shared" si="165"/>
        <v/>
      </c>
      <c r="K5071" s="246" t="str">
        <f t="shared" si="164"/>
        <v/>
      </c>
    </row>
    <row r="5072" spans="1:11" ht="30" customHeight="1" x14ac:dyDescent="0.2">
      <c r="A5072" s="242"/>
      <c r="F5072" s="285" t="str">
        <f t="shared" si="165"/>
        <v/>
      </c>
      <c r="K5072" s="246" t="str">
        <f t="shared" si="164"/>
        <v/>
      </c>
    </row>
    <row r="5073" spans="1:11" ht="30" customHeight="1" x14ac:dyDescent="0.2">
      <c r="A5073" s="242"/>
      <c r="F5073" s="285" t="str">
        <f t="shared" si="165"/>
        <v/>
      </c>
      <c r="K5073" s="246" t="str">
        <f t="shared" si="164"/>
        <v/>
      </c>
    </row>
    <row r="5074" spans="1:11" ht="30" customHeight="1" x14ac:dyDescent="0.2">
      <c r="A5074" s="242"/>
      <c r="F5074" s="285" t="str">
        <f t="shared" si="165"/>
        <v/>
      </c>
      <c r="K5074" s="246" t="str">
        <f t="shared" si="164"/>
        <v/>
      </c>
    </row>
    <row r="5075" spans="1:11" ht="30" customHeight="1" x14ac:dyDescent="0.2">
      <c r="A5075" s="242"/>
      <c r="F5075" s="285" t="str">
        <f t="shared" si="165"/>
        <v/>
      </c>
      <c r="K5075" s="246" t="str">
        <f t="shared" si="164"/>
        <v/>
      </c>
    </row>
    <row r="5076" spans="1:11" ht="30" customHeight="1" x14ac:dyDescent="0.2">
      <c r="A5076" s="242"/>
      <c r="F5076" s="285" t="str">
        <f t="shared" si="165"/>
        <v/>
      </c>
      <c r="K5076" s="246" t="str">
        <f t="shared" si="164"/>
        <v/>
      </c>
    </row>
    <row r="5077" spans="1:11" ht="30" customHeight="1" x14ac:dyDescent="0.2">
      <c r="A5077" s="242"/>
      <c r="F5077" s="285" t="str">
        <f t="shared" si="165"/>
        <v/>
      </c>
      <c r="K5077" s="246" t="str">
        <f t="shared" si="164"/>
        <v/>
      </c>
    </row>
    <row r="5078" spans="1:11" ht="30" customHeight="1" x14ac:dyDescent="0.2">
      <c r="A5078" s="242"/>
      <c r="F5078" s="285" t="str">
        <f t="shared" si="165"/>
        <v/>
      </c>
      <c r="K5078" s="246" t="str">
        <f t="shared" si="164"/>
        <v/>
      </c>
    </row>
    <row r="5079" spans="1:11" ht="30" customHeight="1" x14ac:dyDescent="0.2">
      <c r="A5079" s="242"/>
      <c r="F5079" s="285" t="str">
        <f t="shared" si="165"/>
        <v/>
      </c>
      <c r="K5079" s="246" t="str">
        <f t="shared" si="164"/>
        <v/>
      </c>
    </row>
    <row r="5080" spans="1:11" ht="30" customHeight="1" x14ac:dyDescent="0.2">
      <c r="A5080" s="242"/>
      <c r="F5080" s="285" t="str">
        <f t="shared" si="165"/>
        <v/>
      </c>
      <c r="K5080" s="246" t="str">
        <f t="shared" si="164"/>
        <v/>
      </c>
    </row>
    <row r="5081" spans="1:11" ht="30" customHeight="1" x14ac:dyDescent="0.2">
      <c r="A5081" s="242"/>
      <c r="F5081" s="285" t="str">
        <f t="shared" si="165"/>
        <v/>
      </c>
      <c r="K5081" s="246" t="str">
        <f t="shared" si="164"/>
        <v/>
      </c>
    </row>
    <row r="5082" spans="1:11" ht="30" customHeight="1" x14ac:dyDescent="0.2">
      <c r="A5082" s="242"/>
      <c r="F5082" s="285" t="str">
        <f t="shared" si="165"/>
        <v/>
      </c>
      <c r="K5082" s="246" t="str">
        <f t="shared" si="164"/>
        <v/>
      </c>
    </row>
    <row r="5083" spans="1:11" ht="30" customHeight="1" x14ac:dyDescent="0.2">
      <c r="A5083" s="242"/>
      <c r="F5083" s="285" t="str">
        <f t="shared" si="165"/>
        <v/>
      </c>
      <c r="K5083" s="246" t="str">
        <f t="shared" si="164"/>
        <v/>
      </c>
    </row>
    <row r="5084" spans="1:11" ht="30" customHeight="1" x14ac:dyDescent="0.2">
      <c r="A5084" s="242"/>
      <c r="F5084" s="285" t="str">
        <f t="shared" si="165"/>
        <v/>
      </c>
      <c r="K5084" s="246" t="str">
        <f t="shared" si="164"/>
        <v/>
      </c>
    </row>
    <row r="5085" spans="1:11" ht="30" customHeight="1" x14ac:dyDescent="0.2">
      <c r="A5085" s="242"/>
      <c r="F5085" s="285" t="str">
        <f t="shared" si="165"/>
        <v/>
      </c>
      <c r="K5085" s="246" t="str">
        <f t="shared" si="164"/>
        <v/>
      </c>
    </row>
    <row r="5086" spans="1:11" ht="30" customHeight="1" x14ac:dyDescent="0.2">
      <c r="A5086" s="242"/>
      <c r="F5086" s="285" t="str">
        <f t="shared" si="165"/>
        <v/>
      </c>
      <c r="K5086" s="246" t="str">
        <f t="shared" si="164"/>
        <v/>
      </c>
    </row>
    <row r="5087" spans="1:11" ht="30" customHeight="1" x14ac:dyDescent="0.2">
      <c r="A5087" s="242"/>
      <c r="F5087" s="285" t="str">
        <f t="shared" si="165"/>
        <v/>
      </c>
      <c r="K5087" s="246" t="str">
        <f t="shared" si="164"/>
        <v/>
      </c>
    </row>
    <row r="5088" spans="1:11" ht="30" customHeight="1" x14ac:dyDescent="0.2">
      <c r="A5088" s="242"/>
      <c r="F5088" s="285" t="str">
        <f t="shared" si="165"/>
        <v/>
      </c>
      <c r="K5088" s="246" t="str">
        <f t="shared" si="164"/>
        <v/>
      </c>
    </row>
    <row r="5089" spans="1:11" ht="30" customHeight="1" x14ac:dyDescent="0.2">
      <c r="A5089" s="242"/>
      <c r="F5089" s="285" t="str">
        <f t="shared" si="165"/>
        <v/>
      </c>
      <c r="K5089" s="246" t="str">
        <f t="shared" si="164"/>
        <v/>
      </c>
    </row>
    <row r="5090" spans="1:11" ht="30" customHeight="1" x14ac:dyDescent="0.2">
      <c r="A5090" s="242"/>
      <c r="F5090" s="285" t="str">
        <f t="shared" si="165"/>
        <v/>
      </c>
      <c r="K5090" s="246" t="str">
        <f t="shared" si="164"/>
        <v/>
      </c>
    </row>
    <row r="5091" spans="1:11" ht="30" customHeight="1" x14ac:dyDescent="0.2">
      <c r="A5091" s="242"/>
      <c r="F5091" s="285" t="str">
        <f t="shared" si="165"/>
        <v/>
      </c>
      <c r="K5091" s="246" t="str">
        <f t="shared" si="164"/>
        <v/>
      </c>
    </row>
    <row r="5092" spans="1:11" ht="30" customHeight="1" x14ac:dyDescent="0.2">
      <c r="A5092" s="242"/>
      <c r="F5092" s="285" t="str">
        <f t="shared" si="165"/>
        <v/>
      </c>
      <c r="K5092" s="246" t="str">
        <f t="shared" si="164"/>
        <v/>
      </c>
    </row>
    <row r="5093" spans="1:11" ht="30" customHeight="1" x14ac:dyDescent="0.2">
      <c r="A5093" s="242"/>
      <c r="F5093" s="285" t="str">
        <f t="shared" si="165"/>
        <v/>
      </c>
      <c r="K5093" s="246" t="str">
        <f t="shared" si="164"/>
        <v/>
      </c>
    </row>
    <row r="5094" spans="1:11" ht="30" customHeight="1" x14ac:dyDescent="0.2">
      <c r="A5094" s="242"/>
      <c r="F5094" s="285" t="str">
        <f t="shared" si="165"/>
        <v/>
      </c>
      <c r="K5094" s="246" t="str">
        <f t="shared" si="164"/>
        <v/>
      </c>
    </row>
    <row r="5095" spans="1:11" ht="30" customHeight="1" x14ac:dyDescent="0.2">
      <c r="A5095" s="242"/>
      <c r="F5095" s="285" t="str">
        <f t="shared" si="165"/>
        <v/>
      </c>
      <c r="K5095" s="246" t="str">
        <f t="shared" si="164"/>
        <v/>
      </c>
    </row>
    <row r="5096" spans="1:11" ht="30" customHeight="1" x14ac:dyDescent="0.2">
      <c r="A5096" s="242"/>
      <c r="F5096" s="285" t="str">
        <f t="shared" si="165"/>
        <v/>
      </c>
      <c r="K5096" s="246" t="str">
        <f t="shared" si="164"/>
        <v/>
      </c>
    </row>
    <row r="5097" spans="1:11" ht="30" customHeight="1" x14ac:dyDescent="0.2">
      <c r="A5097" s="242"/>
      <c r="F5097" s="285" t="str">
        <f t="shared" si="165"/>
        <v/>
      </c>
      <c r="K5097" s="246" t="str">
        <f t="shared" si="164"/>
        <v/>
      </c>
    </row>
    <row r="5098" spans="1:11" ht="30" customHeight="1" x14ac:dyDescent="0.2">
      <c r="A5098" s="242"/>
      <c r="F5098" s="285" t="str">
        <f t="shared" si="165"/>
        <v/>
      </c>
      <c r="K5098" s="246" t="str">
        <f t="shared" si="164"/>
        <v/>
      </c>
    </row>
    <row r="5099" spans="1:11" ht="30" customHeight="1" x14ac:dyDescent="0.2">
      <c r="A5099" s="242"/>
      <c r="F5099" s="285" t="str">
        <f t="shared" si="165"/>
        <v/>
      </c>
      <c r="K5099" s="246" t="str">
        <f t="shared" si="164"/>
        <v/>
      </c>
    </row>
    <row r="5100" spans="1:11" ht="30" customHeight="1" x14ac:dyDescent="0.2">
      <c r="A5100" s="242"/>
      <c r="F5100" s="285" t="str">
        <f t="shared" si="165"/>
        <v/>
      </c>
      <c r="K5100" s="246" t="str">
        <f t="shared" si="164"/>
        <v/>
      </c>
    </row>
    <row r="5101" spans="1:11" ht="30" customHeight="1" x14ac:dyDescent="0.2">
      <c r="A5101" s="242"/>
      <c r="F5101" s="285" t="str">
        <f t="shared" si="165"/>
        <v/>
      </c>
      <c r="K5101" s="246" t="str">
        <f t="shared" si="164"/>
        <v/>
      </c>
    </row>
    <row r="5102" spans="1:11" ht="30" customHeight="1" x14ac:dyDescent="0.2">
      <c r="A5102" s="242"/>
      <c r="F5102" s="285" t="str">
        <f t="shared" si="165"/>
        <v/>
      </c>
      <c r="K5102" s="246" t="str">
        <f t="shared" si="164"/>
        <v/>
      </c>
    </row>
    <row r="5103" spans="1:11" ht="30" customHeight="1" x14ac:dyDescent="0.2">
      <c r="A5103" s="242"/>
      <c r="F5103" s="285" t="str">
        <f t="shared" si="165"/>
        <v/>
      </c>
      <c r="K5103" s="246" t="str">
        <f t="shared" si="164"/>
        <v/>
      </c>
    </row>
    <row r="5104" spans="1:11" ht="30" customHeight="1" x14ac:dyDescent="0.2">
      <c r="A5104" s="242"/>
      <c r="F5104" s="285" t="str">
        <f t="shared" si="165"/>
        <v/>
      </c>
      <c r="K5104" s="246" t="str">
        <f t="shared" si="164"/>
        <v/>
      </c>
    </row>
    <row r="5105" spans="1:11" ht="30" customHeight="1" x14ac:dyDescent="0.2">
      <c r="A5105" s="242"/>
      <c r="F5105" s="285" t="str">
        <f t="shared" si="165"/>
        <v/>
      </c>
      <c r="K5105" s="246" t="str">
        <f t="shared" si="164"/>
        <v/>
      </c>
    </row>
    <row r="5106" spans="1:11" ht="30" customHeight="1" x14ac:dyDescent="0.2">
      <c r="A5106" s="242"/>
      <c r="F5106" s="285" t="str">
        <f t="shared" si="165"/>
        <v/>
      </c>
      <c r="K5106" s="246" t="str">
        <f t="shared" si="164"/>
        <v/>
      </c>
    </row>
    <row r="5107" spans="1:11" ht="30" customHeight="1" x14ac:dyDescent="0.2">
      <c r="A5107" s="242"/>
      <c r="F5107" s="285" t="str">
        <f t="shared" si="165"/>
        <v/>
      </c>
      <c r="K5107" s="246" t="str">
        <f t="shared" si="164"/>
        <v/>
      </c>
    </row>
    <row r="5108" spans="1:11" ht="30" customHeight="1" x14ac:dyDescent="0.2">
      <c r="A5108" s="242"/>
      <c r="F5108" s="285" t="str">
        <f t="shared" si="165"/>
        <v/>
      </c>
      <c r="K5108" s="246" t="str">
        <f t="shared" si="164"/>
        <v/>
      </c>
    </row>
    <row r="5109" spans="1:11" ht="30" customHeight="1" x14ac:dyDescent="0.2">
      <c r="A5109" s="242"/>
      <c r="F5109" s="285" t="str">
        <f t="shared" si="165"/>
        <v/>
      </c>
      <c r="K5109" s="246" t="str">
        <f t="shared" si="164"/>
        <v/>
      </c>
    </row>
    <row r="5110" spans="1:11" ht="30" customHeight="1" x14ac:dyDescent="0.2">
      <c r="A5110" s="242"/>
      <c r="F5110" s="285" t="str">
        <f t="shared" si="165"/>
        <v/>
      </c>
      <c r="K5110" s="246" t="str">
        <f t="shared" si="164"/>
        <v/>
      </c>
    </row>
    <row r="5111" spans="1:11" ht="30" customHeight="1" x14ac:dyDescent="0.2">
      <c r="A5111" s="242"/>
      <c r="F5111" s="285" t="str">
        <f t="shared" si="165"/>
        <v/>
      </c>
      <c r="K5111" s="246" t="str">
        <f t="shared" si="164"/>
        <v/>
      </c>
    </row>
    <row r="5112" spans="1:11" ht="30" customHeight="1" x14ac:dyDescent="0.2">
      <c r="A5112" s="242"/>
      <c r="F5112" s="285" t="str">
        <f t="shared" si="165"/>
        <v/>
      </c>
      <c r="K5112" s="246" t="str">
        <f t="shared" si="164"/>
        <v/>
      </c>
    </row>
    <row r="5113" spans="1:11" ht="30" customHeight="1" x14ac:dyDescent="0.2">
      <c r="A5113" s="242"/>
      <c r="F5113" s="285" t="str">
        <f t="shared" si="165"/>
        <v/>
      </c>
      <c r="K5113" s="246" t="str">
        <f t="shared" si="164"/>
        <v/>
      </c>
    </row>
    <row r="5114" spans="1:11" ht="30" customHeight="1" x14ac:dyDescent="0.2">
      <c r="A5114" s="242"/>
      <c r="F5114" s="285" t="str">
        <f t="shared" si="165"/>
        <v/>
      </c>
      <c r="K5114" s="246" t="str">
        <f t="shared" si="164"/>
        <v/>
      </c>
    </row>
    <row r="5115" spans="1:11" ht="30" customHeight="1" x14ac:dyDescent="0.2">
      <c r="A5115" s="242"/>
      <c r="F5115" s="285" t="str">
        <f t="shared" si="165"/>
        <v/>
      </c>
      <c r="K5115" s="246" t="str">
        <f t="shared" ref="K5115:K5178" si="166">IF(A5115="","",A5115)</f>
        <v/>
      </c>
    </row>
    <row r="5116" spans="1:11" ht="30" customHeight="1" x14ac:dyDescent="0.2">
      <c r="A5116" s="242"/>
      <c r="F5116" s="285" t="str">
        <f t="shared" si="165"/>
        <v/>
      </c>
      <c r="K5116" s="246" t="str">
        <f t="shared" si="166"/>
        <v/>
      </c>
    </row>
    <row r="5117" spans="1:11" ht="30" customHeight="1" x14ac:dyDescent="0.2">
      <c r="A5117" s="242"/>
      <c r="F5117" s="285" t="str">
        <f t="shared" si="165"/>
        <v/>
      </c>
      <c r="K5117" s="246" t="str">
        <f t="shared" si="166"/>
        <v/>
      </c>
    </row>
    <row r="5118" spans="1:11" ht="30" customHeight="1" x14ac:dyDescent="0.2">
      <c r="A5118" s="242"/>
      <c r="F5118" s="285" t="str">
        <f t="shared" si="165"/>
        <v/>
      </c>
      <c r="K5118" s="246" t="str">
        <f t="shared" si="166"/>
        <v/>
      </c>
    </row>
    <row r="5119" spans="1:11" ht="30" customHeight="1" x14ac:dyDescent="0.2">
      <c r="A5119" s="242"/>
      <c r="F5119" s="285" t="str">
        <f t="shared" si="165"/>
        <v/>
      </c>
      <c r="K5119" s="246" t="str">
        <f t="shared" si="166"/>
        <v/>
      </c>
    </row>
    <row r="5120" spans="1:11" ht="30" customHeight="1" x14ac:dyDescent="0.2">
      <c r="A5120" s="242"/>
      <c r="F5120" s="285" t="str">
        <f t="shared" si="165"/>
        <v/>
      </c>
      <c r="K5120" s="246" t="str">
        <f t="shared" si="166"/>
        <v/>
      </c>
    </row>
    <row r="5121" spans="1:11" ht="30" customHeight="1" x14ac:dyDescent="0.2">
      <c r="A5121" s="242"/>
      <c r="F5121" s="285" t="str">
        <f t="shared" si="165"/>
        <v/>
      </c>
      <c r="K5121" s="246" t="str">
        <f t="shared" si="166"/>
        <v/>
      </c>
    </row>
    <row r="5122" spans="1:11" ht="30" customHeight="1" x14ac:dyDescent="0.2">
      <c r="A5122" s="242"/>
      <c r="F5122" s="285" t="str">
        <f t="shared" si="165"/>
        <v/>
      </c>
      <c r="K5122" s="246" t="str">
        <f t="shared" si="166"/>
        <v/>
      </c>
    </row>
    <row r="5123" spans="1:11" ht="30" customHeight="1" x14ac:dyDescent="0.2">
      <c r="A5123" s="242"/>
      <c r="F5123" s="285" t="str">
        <f t="shared" si="165"/>
        <v/>
      </c>
      <c r="K5123" s="246" t="str">
        <f t="shared" si="166"/>
        <v/>
      </c>
    </row>
    <row r="5124" spans="1:11" ht="30" customHeight="1" x14ac:dyDescent="0.2">
      <c r="A5124" s="242"/>
      <c r="F5124" s="285" t="str">
        <f t="shared" si="165"/>
        <v/>
      </c>
      <c r="K5124" s="246" t="str">
        <f t="shared" si="166"/>
        <v/>
      </c>
    </row>
    <row r="5125" spans="1:11" ht="30" customHeight="1" x14ac:dyDescent="0.2">
      <c r="A5125" s="242"/>
      <c r="F5125" s="285" t="str">
        <f t="shared" ref="F5125:F5188" si="167">IF(A5125="","",A5125)</f>
        <v/>
      </c>
      <c r="K5125" s="246" t="str">
        <f t="shared" si="166"/>
        <v/>
      </c>
    </row>
    <row r="5126" spans="1:11" ht="30" customHeight="1" x14ac:dyDescent="0.2">
      <c r="A5126" s="242"/>
      <c r="F5126" s="285" t="str">
        <f t="shared" si="167"/>
        <v/>
      </c>
      <c r="K5126" s="246" t="str">
        <f t="shared" si="166"/>
        <v/>
      </c>
    </row>
    <row r="5127" spans="1:11" ht="30" customHeight="1" x14ac:dyDescent="0.2">
      <c r="A5127" s="242"/>
      <c r="F5127" s="285" t="str">
        <f t="shared" si="167"/>
        <v/>
      </c>
      <c r="K5127" s="246" t="str">
        <f t="shared" si="166"/>
        <v/>
      </c>
    </row>
    <row r="5128" spans="1:11" ht="30" customHeight="1" x14ac:dyDescent="0.2">
      <c r="A5128" s="242"/>
      <c r="F5128" s="285" t="str">
        <f t="shared" si="167"/>
        <v/>
      </c>
      <c r="K5128" s="246" t="str">
        <f t="shared" si="166"/>
        <v/>
      </c>
    </row>
    <row r="5129" spans="1:11" ht="30" customHeight="1" x14ac:dyDescent="0.2">
      <c r="A5129" s="242"/>
      <c r="F5129" s="285" t="str">
        <f t="shared" si="167"/>
        <v/>
      </c>
      <c r="K5129" s="246" t="str">
        <f t="shared" si="166"/>
        <v/>
      </c>
    </row>
    <row r="5130" spans="1:11" ht="30" customHeight="1" x14ac:dyDescent="0.2">
      <c r="A5130" s="242"/>
      <c r="F5130" s="285" t="str">
        <f t="shared" si="167"/>
        <v/>
      </c>
      <c r="K5130" s="246" t="str">
        <f t="shared" si="166"/>
        <v/>
      </c>
    </row>
    <row r="5131" spans="1:11" ht="30" customHeight="1" x14ac:dyDescent="0.2">
      <c r="A5131" s="242"/>
      <c r="F5131" s="285" t="str">
        <f t="shared" si="167"/>
        <v/>
      </c>
      <c r="K5131" s="246" t="str">
        <f t="shared" si="166"/>
        <v/>
      </c>
    </row>
    <row r="5132" spans="1:11" ht="30" customHeight="1" x14ac:dyDescent="0.2">
      <c r="A5132" s="242"/>
      <c r="F5132" s="285" t="str">
        <f t="shared" si="167"/>
        <v/>
      </c>
      <c r="K5132" s="246" t="str">
        <f t="shared" si="166"/>
        <v/>
      </c>
    </row>
    <row r="5133" spans="1:11" ht="30" customHeight="1" x14ac:dyDescent="0.2">
      <c r="A5133" s="242"/>
      <c r="F5133" s="285" t="str">
        <f t="shared" si="167"/>
        <v/>
      </c>
      <c r="K5133" s="246" t="str">
        <f t="shared" si="166"/>
        <v/>
      </c>
    </row>
    <row r="5134" spans="1:11" ht="30" customHeight="1" x14ac:dyDescent="0.2">
      <c r="A5134" s="242"/>
      <c r="F5134" s="285" t="str">
        <f t="shared" si="167"/>
        <v/>
      </c>
      <c r="K5134" s="246" t="str">
        <f t="shared" si="166"/>
        <v/>
      </c>
    </row>
    <row r="5135" spans="1:11" ht="30" customHeight="1" x14ac:dyDescent="0.2">
      <c r="A5135" s="242"/>
      <c r="F5135" s="285" t="str">
        <f t="shared" si="167"/>
        <v/>
      </c>
      <c r="K5135" s="246" t="str">
        <f t="shared" si="166"/>
        <v/>
      </c>
    </row>
    <row r="5136" spans="1:11" ht="30" customHeight="1" x14ac:dyDescent="0.2">
      <c r="A5136" s="242"/>
      <c r="F5136" s="285" t="str">
        <f t="shared" si="167"/>
        <v/>
      </c>
      <c r="K5136" s="246" t="str">
        <f t="shared" si="166"/>
        <v/>
      </c>
    </row>
    <row r="5137" spans="1:11" ht="30" customHeight="1" x14ac:dyDescent="0.2">
      <c r="A5137" s="242"/>
      <c r="F5137" s="285" t="str">
        <f t="shared" si="167"/>
        <v/>
      </c>
      <c r="K5137" s="246" t="str">
        <f t="shared" si="166"/>
        <v/>
      </c>
    </row>
    <row r="5138" spans="1:11" ht="30" customHeight="1" x14ac:dyDescent="0.2">
      <c r="A5138" s="242"/>
      <c r="F5138" s="285" t="str">
        <f t="shared" si="167"/>
        <v/>
      </c>
      <c r="K5138" s="246" t="str">
        <f t="shared" si="166"/>
        <v/>
      </c>
    </row>
    <row r="5139" spans="1:11" ht="30" customHeight="1" x14ac:dyDescent="0.2">
      <c r="A5139" s="242"/>
      <c r="F5139" s="285" t="str">
        <f t="shared" si="167"/>
        <v/>
      </c>
      <c r="K5139" s="246" t="str">
        <f t="shared" si="166"/>
        <v/>
      </c>
    </row>
    <row r="5140" spans="1:11" ht="30" customHeight="1" x14ac:dyDescent="0.2">
      <c r="A5140" s="242"/>
      <c r="F5140" s="285" t="str">
        <f t="shared" si="167"/>
        <v/>
      </c>
      <c r="K5140" s="246" t="str">
        <f t="shared" si="166"/>
        <v/>
      </c>
    </row>
    <row r="5141" spans="1:11" ht="30" customHeight="1" x14ac:dyDescent="0.2">
      <c r="A5141" s="242"/>
      <c r="F5141" s="285" t="str">
        <f t="shared" si="167"/>
        <v/>
      </c>
      <c r="K5141" s="246" t="str">
        <f t="shared" si="166"/>
        <v/>
      </c>
    </row>
    <row r="5142" spans="1:11" ht="30" customHeight="1" x14ac:dyDescent="0.2">
      <c r="A5142" s="242"/>
      <c r="F5142" s="285" t="str">
        <f t="shared" si="167"/>
        <v/>
      </c>
      <c r="K5142" s="246" t="str">
        <f t="shared" si="166"/>
        <v/>
      </c>
    </row>
    <row r="5143" spans="1:11" ht="30" customHeight="1" x14ac:dyDescent="0.2">
      <c r="A5143" s="242"/>
      <c r="F5143" s="285" t="str">
        <f t="shared" si="167"/>
        <v/>
      </c>
      <c r="K5143" s="246" t="str">
        <f t="shared" si="166"/>
        <v/>
      </c>
    </row>
    <row r="5144" spans="1:11" ht="30" customHeight="1" x14ac:dyDescent="0.2">
      <c r="A5144" s="242"/>
      <c r="F5144" s="285" t="str">
        <f t="shared" si="167"/>
        <v/>
      </c>
      <c r="K5144" s="246" t="str">
        <f t="shared" si="166"/>
        <v/>
      </c>
    </row>
    <row r="5145" spans="1:11" ht="30" customHeight="1" x14ac:dyDescent="0.2">
      <c r="A5145" s="242"/>
      <c r="F5145" s="285" t="str">
        <f t="shared" si="167"/>
        <v/>
      </c>
      <c r="K5145" s="246" t="str">
        <f t="shared" si="166"/>
        <v/>
      </c>
    </row>
    <row r="5146" spans="1:11" ht="30" customHeight="1" x14ac:dyDescent="0.2">
      <c r="A5146" s="242"/>
      <c r="F5146" s="285" t="str">
        <f t="shared" si="167"/>
        <v/>
      </c>
      <c r="K5146" s="246" t="str">
        <f t="shared" si="166"/>
        <v/>
      </c>
    </row>
    <row r="5147" spans="1:11" ht="30" customHeight="1" x14ac:dyDescent="0.2">
      <c r="A5147" s="242"/>
      <c r="F5147" s="285" t="str">
        <f t="shared" si="167"/>
        <v/>
      </c>
      <c r="K5147" s="246" t="str">
        <f t="shared" si="166"/>
        <v/>
      </c>
    </row>
    <row r="5148" spans="1:11" ht="30" customHeight="1" x14ac:dyDescent="0.2">
      <c r="A5148" s="242"/>
      <c r="F5148" s="285" t="str">
        <f t="shared" si="167"/>
        <v/>
      </c>
      <c r="K5148" s="246" t="str">
        <f t="shared" si="166"/>
        <v/>
      </c>
    </row>
    <row r="5149" spans="1:11" ht="30" customHeight="1" x14ac:dyDescent="0.2">
      <c r="A5149" s="242"/>
      <c r="F5149" s="285" t="str">
        <f t="shared" si="167"/>
        <v/>
      </c>
      <c r="K5149" s="246" t="str">
        <f t="shared" si="166"/>
        <v/>
      </c>
    </row>
    <row r="5150" spans="1:11" ht="30" customHeight="1" x14ac:dyDescent="0.2">
      <c r="A5150" s="242"/>
      <c r="F5150" s="285" t="str">
        <f t="shared" si="167"/>
        <v/>
      </c>
      <c r="K5150" s="246" t="str">
        <f t="shared" si="166"/>
        <v/>
      </c>
    </row>
    <row r="5151" spans="1:11" ht="30" customHeight="1" x14ac:dyDescent="0.2">
      <c r="A5151" s="242"/>
      <c r="F5151" s="285" t="str">
        <f t="shared" si="167"/>
        <v/>
      </c>
      <c r="K5151" s="246" t="str">
        <f t="shared" si="166"/>
        <v/>
      </c>
    </row>
    <row r="5152" spans="1:11" ht="30" customHeight="1" x14ac:dyDescent="0.2">
      <c r="A5152" s="242"/>
      <c r="F5152" s="285" t="str">
        <f t="shared" si="167"/>
        <v/>
      </c>
      <c r="K5152" s="246" t="str">
        <f t="shared" si="166"/>
        <v/>
      </c>
    </row>
    <row r="5153" spans="1:11" ht="30" customHeight="1" x14ac:dyDescent="0.2">
      <c r="A5153" s="242"/>
      <c r="F5153" s="285" t="str">
        <f t="shared" si="167"/>
        <v/>
      </c>
      <c r="K5153" s="246" t="str">
        <f t="shared" si="166"/>
        <v/>
      </c>
    </row>
    <row r="5154" spans="1:11" ht="30" customHeight="1" x14ac:dyDescent="0.2">
      <c r="A5154" s="242"/>
      <c r="F5154" s="285" t="str">
        <f t="shared" si="167"/>
        <v/>
      </c>
      <c r="K5154" s="246" t="str">
        <f t="shared" si="166"/>
        <v/>
      </c>
    </row>
    <row r="5155" spans="1:11" ht="30" customHeight="1" x14ac:dyDescent="0.2">
      <c r="A5155" s="242"/>
      <c r="F5155" s="285" t="str">
        <f t="shared" si="167"/>
        <v/>
      </c>
      <c r="K5155" s="246" t="str">
        <f t="shared" si="166"/>
        <v/>
      </c>
    </row>
    <row r="5156" spans="1:11" ht="30" customHeight="1" x14ac:dyDescent="0.2">
      <c r="A5156" s="242"/>
      <c r="F5156" s="285" t="str">
        <f t="shared" si="167"/>
        <v/>
      </c>
      <c r="K5156" s="246" t="str">
        <f t="shared" si="166"/>
        <v/>
      </c>
    </row>
    <row r="5157" spans="1:11" ht="30" customHeight="1" x14ac:dyDescent="0.2">
      <c r="A5157" s="242"/>
      <c r="F5157" s="285" t="str">
        <f t="shared" si="167"/>
        <v/>
      </c>
      <c r="K5157" s="246" t="str">
        <f t="shared" si="166"/>
        <v/>
      </c>
    </row>
    <row r="5158" spans="1:11" ht="30" customHeight="1" x14ac:dyDescent="0.2">
      <c r="A5158" s="242"/>
      <c r="F5158" s="285" t="str">
        <f t="shared" si="167"/>
        <v/>
      </c>
      <c r="K5158" s="246" t="str">
        <f t="shared" si="166"/>
        <v/>
      </c>
    </row>
    <row r="5159" spans="1:11" ht="30" customHeight="1" x14ac:dyDescent="0.2">
      <c r="A5159" s="242"/>
      <c r="F5159" s="285" t="str">
        <f t="shared" si="167"/>
        <v/>
      </c>
      <c r="K5159" s="246" t="str">
        <f t="shared" si="166"/>
        <v/>
      </c>
    </row>
    <row r="5160" spans="1:11" ht="30" customHeight="1" x14ac:dyDescent="0.2">
      <c r="A5160" s="242"/>
      <c r="F5160" s="285" t="str">
        <f t="shared" si="167"/>
        <v/>
      </c>
      <c r="K5160" s="246" t="str">
        <f t="shared" si="166"/>
        <v/>
      </c>
    </row>
    <row r="5161" spans="1:11" ht="30" customHeight="1" x14ac:dyDescent="0.2">
      <c r="A5161" s="242"/>
      <c r="F5161" s="285" t="str">
        <f t="shared" si="167"/>
        <v/>
      </c>
      <c r="K5161" s="246" t="str">
        <f t="shared" si="166"/>
        <v/>
      </c>
    </row>
    <row r="5162" spans="1:11" ht="30" customHeight="1" x14ac:dyDescent="0.2">
      <c r="A5162" s="242"/>
      <c r="F5162" s="285" t="str">
        <f t="shared" si="167"/>
        <v/>
      </c>
      <c r="K5162" s="246" t="str">
        <f t="shared" si="166"/>
        <v/>
      </c>
    </row>
    <row r="5163" spans="1:11" ht="30" customHeight="1" x14ac:dyDescent="0.2">
      <c r="A5163" s="242"/>
      <c r="F5163" s="285" t="str">
        <f t="shared" si="167"/>
        <v/>
      </c>
      <c r="K5163" s="246" t="str">
        <f t="shared" si="166"/>
        <v/>
      </c>
    </row>
    <row r="5164" spans="1:11" ht="30" customHeight="1" x14ac:dyDescent="0.2">
      <c r="A5164" s="242"/>
      <c r="F5164" s="285" t="str">
        <f t="shared" si="167"/>
        <v/>
      </c>
      <c r="K5164" s="246" t="str">
        <f t="shared" si="166"/>
        <v/>
      </c>
    </row>
    <row r="5165" spans="1:11" ht="30" customHeight="1" x14ac:dyDescent="0.2">
      <c r="A5165" s="242"/>
      <c r="F5165" s="285" t="str">
        <f t="shared" si="167"/>
        <v/>
      </c>
      <c r="K5165" s="246" t="str">
        <f t="shared" si="166"/>
        <v/>
      </c>
    </row>
    <row r="5166" spans="1:11" ht="30" customHeight="1" x14ac:dyDescent="0.2">
      <c r="A5166" s="242"/>
      <c r="F5166" s="285" t="str">
        <f t="shared" si="167"/>
        <v/>
      </c>
      <c r="K5166" s="246" t="str">
        <f t="shared" si="166"/>
        <v/>
      </c>
    </row>
    <row r="5167" spans="1:11" ht="30" customHeight="1" x14ac:dyDescent="0.2">
      <c r="A5167" s="242"/>
      <c r="F5167" s="285" t="str">
        <f t="shared" si="167"/>
        <v/>
      </c>
      <c r="K5167" s="246" t="str">
        <f t="shared" si="166"/>
        <v/>
      </c>
    </row>
    <row r="5168" spans="1:11" ht="30" customHeight="1" x14ac:dyDescent="0.2">
      <c r="A5168" s="242"/>
      <c r="F5168" s="285" t="str">
        <f t="shared" si="167"/>
        <v/>
      </c>
      <c r="K5168" s="246" t="str">
        <f t="shared" si="166"/>
        <v/>
      </c>
    </row>
    <row r="5169" spans="1:11" ht="30" customHeight="1" x14ac:dyDescent="0.2">
      <c r="A5169" s="242"/>
      <c r="F5169" s="285" t="str">
        <f t="shared" si="167"/>
        <v/>
      </c>
      <c r="K5169" s="246" t="str">
        <f t="shared" si="166"/>
        <v/>
      </c>
    </row>
    <row r="5170" spans="1:11" ht="30" customHeight="1" x14ac:dyDescent="0.2">
      <c r="A5170" s="242"/>
      <c r="F5170" s="285" t="str">
        <f t="shared" si="167"/>
        <v/>
      </c>
      <c r="K5170" s="246" t="str">
        <f t="shared" si="166"/>
        <v/>
      </c>
    </row>
    <row r="5171" spans="1:11" ht="30" customHeight="1" x14ac:dyDescent="0.2">
      <c r="A5171" s="242"/>
      <c r="F5171" s="285" t="str">
        <f t="shared" si="167"/>
        <v/>
      </c>
      <c r="K5171" s="246" t="str">
        <f t="shared" si="166"/>
        <v/>
      </c>
    </row>
    <row r="5172" spans="1:11" ht="30" customHeight="1" x14ac:dyDescent="0.2">
      <c r="A5172" s="242"/>
      <c r="F5172" s="285" t="str">
        <f t="shared" si="167"/>
        <v/>
      </c>
      <c r="K5172" s="246" t="str">
        <f t="shared" si="166"/>
        <v/>
      </c>
    </row>
    <row r="5173" spans="1:11" ht="30" customHeight="1" x14ac:dyDescent="0.2">
      <c r="A5173" s="242"/>
      <c r="F5173" s="285" t="str">
        <f t="shared" si="167"/>
        <v/>
      </c>
      <c r="K5173" s="246" t="str">
        <f t="shared" si="166"/>
        <v/>
      </c>
    </row>
    <row r="5174" spans="1:11" ht="30" customHeight="1" x14ac:dyDescent="0.2">
      <c r="A5174" s="242"/>
      <c r="F5174" s="285" t="str">
        <f t="shared" si="167"/>
        <v/>
      </c>
      <c r="K5174" s="246" t="str">
        <f t="shared" si="166"/>
        <v/>
      </c>
    </row>
    <row r="5175" spans="1:11" ht="30" customHeight="1" x14ac:dyDescent="0.2">
      <c r="A5175" s="242"/>
      <c r="F5175" s="285" t="str">
        <f t="shared" si="167"/>
        <v/>
      </c>
      <c r="K5175" s="246" t="str">
        <f t="shared" si="166"/>
        <v/>
      </c>
    </row>
    <row r="5176" spans="1:11" ht="30" customHeight="1" x14ac:dyDescent="0.2">
      <c r="A5176" s="242"/>
      <c r="F5176" s="285" t="str">
        <f t="shared" si="167"/>
        <v/>
      </c>
      <c r="K5176" s="246" t="str">
        <f t="shared" si="166"/>
        <v/>
      </c>
    </row>
    <row r="5177" spans="1:11" ht="30" customHeight="1" x14ac:dyDescent="0.2">
      <c r="A5177" s="242"/>
      <c r="F5177" s="285" t="str">
        <f t="shared" si="167"/>
        <v/>
      </c>
      <c r="K5177" s="246" t="str">
        <f t="shared" si="166"/>
        <v/>
      </c>
    </row>
    <row r="5178" spans="1:11" ht="30" customHeight="1" x14ac:dyDescent="0.2">
      <c r="A5178" s="242"/>
      <c r="F5178" s="285" t="str">
        <f t="shared" si="167"/>
        <v/>
      </c>
      <c r="K5178" s="246" t="str">
        <f t="shared" si="166"/>
        <v/>
      </c>
    </row>
    <row r="5179" spans="1:11" ht="30" customHeight="1" x14ac:dyDescent="0.2">
      <c r="A5179" s="242"/>
      <c r="F5179" s="285" t="str">
        <f t="shared" si="167"/>
        <v/>
      </c>
      <c r="K5179" s="246" t="str">
        <f t="shared" ref="K5179:K5242" si="168">IF(A5179="","",A5179)</f>
        <v/>
      </c>
    </row>
    <row r="5180" spans="1:11" ht="30" customHeight="1" x14ac:dyDescent="0.2">
      <c r="A5180" s="242"/>
      <c r="F5180" s="285" t="str">
        <f t="shared" si="167"/>
        <v/>
      </c>
      <c r="K5180" s="246" t="str">
        <f t="shared" si="168"/>
        <v/>
      </c>
    </row>
    <row r="5181" spans="1:11" ht="30" customHeight="1" x14ac:dyDescent="0.2">
      <c r="A5181" s="242"/>
      <c r="F5181" s="285" t="str">
        <f t="shared" si="167"/>
        <v/>
      </c>
      <c r="K5181" s="246" t="str">
        <f t="shared" si="168"/>
        <v/>
      </c>
    </row>
    <row r="5182" spans="1:11" ht="30" customHeight="1" x14ac:dyDescent="0.2">
      <c r="A5182" s="242"/>
      <c r="F5182" s="285" t="str">
        <f t="shared" si="167"/>
        <v/>
      </c>
      <c r="K5182" s="246" t="str">
        <f t="shared" si="168"/>
        <v/>
      </c>
    </row>
    <row r="5183" spans="1:11" ht="30" customHeight="1" x14ac:dyDescent="0.2">
      <c r="A5183" s="242"/>
      <c r="F5183" s="285" t="str">
        <f t="shared" si="167"/>
        <v/>
      </c>
      <c r="K5183" s="246" t="str">
        <f t="shared" si="168"/>
        <v/>
      </c>
    </row>
    <row r="5184" spans="1:11" ht="30" customHeight="1" x14ac:dyDescent="0.2">
      <c r="A5184" s="242"/>
      <c r="F5184" s="285" t="str">
        <f t="shared" si="167"/>
        <v/>
      </c>
      <c r="K5184" s="246" t="str">
        <f t="shared" si="168"/>
        <v/>
      </c>
    </row>
    <row r="5185" spans="1:11" ht="30" customHeight="1" x14ac:dyDescent="0.2">
      <c r="A5185" s="242"/>
      <c r="F5185" s="285" t="str">
        <f t="shared" si="167"/>
        <v/>
      </c>
      <c r="K5185" s="246" t="str">
        <f t="shared" si="168"/>
        <v/>
      </c>
    </row>
    <row r="5186" spans="1:11" ht="30" customHeight="1" x14ac:dyDescent="0.2">
      <c r="A5186" s="242"/>
      <c r="F5186" s="285" t="str">
        <f t="shared" si="167"/>
        <v/>
      </c>
      <c r="K5186" s="246" t="str">
        <f t="shared" si="168"/>
        <v/>
      </c>
    </row>
    <row r="5187" spans="1:11" ht="30" customHeight="1" x14ac:dyDescent="0.2">
      <c r="A5187" s="242"/>
      <c r="F5187" s="285" t="str">
        <f t="shared" si="167"/>
        <v/>
      </c>
      <c r="K5187" s="246" t="str">
        <f t="shared" si="168"/>
        <v/>
      </c>
    </row>
    <row r="5188" spans="1:11" ht="30" customHeight="1" x14ac:dyDescent="0.2">
      <c r="A5188" s="242"/>
      <c r="F5188" s="285" t="str">
        <f t="shared" si="167"/>
        <v/>
      </c>
      <c r="K5188" s="246" t="str">
        <f t="shared" si="168"/>
        <v/>
      </c>
    </row>
    <row r="5189" spans="1:11" ht="30" customHeight="1" x14ac:dyDescent="0.2">
      <c r="A5189" s="242"/>
      <c r="F5189" s="285" t="str">
        <f t="shared" ref="F5189:F5252" si="169">IF(A5189="","",A5189)</f>
        <v/>
      </c>
      <c r="K5189" s="246" t="str">
        <f t="shared" si="168"/>
        <v/>
      </c>
    </row>
    <row r="5190" spans="1:11" ht="30" customHeight="1" x14ac:dyDescent="0.2">
      <c r="A5190" s="242"/>
      <c r="F5190" s="285" t="str">
        <f t="shared" si="169"/>
        <v/>
      </c>
      <c r="K5190" s="246" t="str">
        <f t="shared" si="168"/>
        <v/>
      </c>
    </row>
    <row r="5191" spans="1:11" ht="30" customHeight="1" x14ac:dyDescent="0.2">
      <c r="A5191" s="242"/>
      <c r="F5191" s="285" t="str">
        <f t="shared" si="169"/>
        <v/>
      </c>
      <c r="K5191" s="246" t="str">
        <f t="shared" si="168"/>
        <v/>
      </c>
    </row>
    <row r="5192" spans="1:11" ht="30" customHeight="1" x14ac:dyDescent="0.2">
      <c r="A5192" s="242"/>
      <c r="F5192" s="285" t="str">
        <f t="shared" si="169"/>
        <v/>
      </c>
      <c r="K5192" s="246" t="str">
        <f t="shared" si="168"/>
        <v/>
      </c>
    </row>
    <row r="5193" spans="1:11" ht="30" customHeight="1" x14ac:dyDescent="0.2">
      <c r="A5193" s="242"/>
      <c r="F5193" s="285" t="str">
        <f t="shared" si="169"/>
        <v/>
      </c>
      <c r="K5193" s="246" t="str">
        <f t="shared" si="168"/>
        <v/>
      </c>
    </row>
    <row r="5194" spans="1:11" ht="30" customHeight="1" x14ac:dyDescent="0.2">
      <c r="A5194" s="242"/>
      <c r="F5194" s="285" t="str">
        <f t="shared" si="169"/>
        <v/>
      </c>
      <c r="K5194" s="246" t="str">
        <f t="shared" si="168"/>
        <v/>
      </c>
    </row>
    <row r="5195" spans="1:11" ht="30" customHeight="1" x14ac:dyDescent="0.2">
      <c r="A5195" s="242"/>
      <c r="F5195" s="285" t="str">
        <f t="shared" si="169"/>
        <v/>
      </c>
      <c r="K5195" s="246" t="str">
        <f t="shared" si="168"/>
        <v/>
      </c>
    </row>
    <row r="5196" spans="1:11" ht="30" customHeight="1" x14ac:dyDescent="0.2">
      <c r="A5196" s="242"/>
      <c r="F5196" s="285" t="str">
        <f t="shared" si="169"/>
        <v/>
      </c>
      <c r="K5196" s="246" t="str">
        <f t="shared" si="168"/>
        <v/>
      </c>
    </row>
    <row r="5197" spans="1:11" ht="30" customHeight="1" x14ac:dyDescent="0.2">
      <c r="A5197" s="242"/>
      <c r="F5197" s="285" t="str">
        <f t="shared" si="169"/>
        <v/>
      </c>
      <c r="K5197" s="246" t="str">
        <f t="shared" si="168"/>
        <v/>
      </c>
    </row>
    <row r="5198" spans="1:11" ht="30" customHeight="1" x14ac:dyDescent="0.2">
      <c r="A5198" s="242"/>
      <c r="F5198" s="285" t="str">
        <f t="shared" si="169"/>
        <v/>
      </c>
      <c r="K5198" s="246" t="str">
        <f t="shared" si="168"/>
        <v/>
      </c>
    </row>
    <row r="5199" spans="1:11" ht="30" customHeight="1" x14ac:dyDescent="0.2">
      <c r="A5199" s="242"/>
      <c r="F5199" s="285" t="str">
        <f t="shared" si="169"/>
        <v/>
      </c>
      <c r="K5199" s="246" t="str">
        <f t="shared" si="168"/>
        <v/>
      </c>
    </row>
    <row r="5200" spans="1:11" ht="30" customHeight="1" x14ac:dyDescent="0.2">
      <c r="A5200" s="242"/>
      <c r="F5200" s="285" t="str">
        <f t="shared" si="169"/>
        <v/>
      </c>
      <c r="K5200" s="246" t="str">
        <f t="shared" si="168"/>
        <v/>
      </c>
    </row>
    <row r="5201" spans="1:11" ht="30" customHeight="1" x14ac:dyDescent="0.2">
      <c r="A5201" s="242"/>
      <c r="F5201" s="285" t="str">
        <f t="shared" si="169"/>
        <v/>
      </c>
      <c r="K5201" s="246" t="str">
        <f t="shared" si="168"/>
        <v/>
      </c>
    </row>
    <row r="5202" spans="1:11" ht="30" customHeight="1" x14ac:dyDescent="0.2">
      <c r="A5202" s="242"/>
      <c r="F5202" s="285" t="str">
        <f t="shared" si="169"/>
        <v/>
      </c>
      <c r="K5202" s="246" t="str">
        <f t="shared" si="168"/>
        <v/>
      </c>
    </row>
    <row r="5203" spans="1:11" ht="30" customHeight="1" x14ac:dyDescent="0.2">
      <c r="A5203" s="242"/>
      <c r="F5203" s="285" t="str">
        <f t="shared" si="169"/>
        <v/>
      </c>
      <c r="K5203" s="246" t="str">
        <f t="shared" si="168"/>
        <v/>
      </c>
    </row>
    <row r="5204" spans="1:11" ht="30" customHeight="1" x14ac:dyDescent="0.2">
      <c r="A5204" s="242"/>
      <c r="F5204" s="285" t="str">
        <f t="shared" si="169"/>
        <v/>
      </c>
      <c r="K5204" s="246" t="str">
        <f t="shared" si="168"/>
        <v/>
      </c>
    </row>
    <row r="5205" spans="1:11" ht="30" customHeight="1" x14ac:dyDescent="0.2">
      <c r="A5205" s="242"/>
      <c r="F5205" s="285" t="str">
        <f t="shared" si="169"/>
        <v/>
      </c>
      <c r="K5205" s="246" t="str">
        <f t="shared" si="168"/>
        <v/>
      </c>
    </row>
    <row r="5206" spans="1:11" ht="30" customHeight="1" x14ac:dyDescent="0.2">
      <c r="A5206" s="242"/>
      <c r="F5206" s="285" t="str">
        <f t="shared" si="169"/>
        <v/>
      </c>
      <c r="K5206" s="246" t="str">
        <f t="shared" si="168"/>
        <v/>
      </c>
    </row>
    <row r="5207" spans="1:11" ht="30" customHeight="1" x14ac:dyDescent="0.2">
      <c r="A5207" s="242"/>
      <c r="F5207" s="285" t="str">
        <f t="shared" si="169"/>
        <v/>
      </c>
      <c r="K5207" s="246" t="str">
        <f t="shared" si="168"/>
        <v/>
      </c>
    </row>
    <row r="5208" spans="1:11" ht="30" customHeight="1" x14ac:dyDescent="0.2">
      <c r="A5208" s="242"/>
      <c r="F5208" s="285" t="str">
        <f t="shared" si="169"/>
        <v/>
      </c>
      <c r="K5208" s="246" t="str">
        <f t="shared" si="168"/>
        <v/>
      </c>
    </row>
    <row r="5209" spans="1:11" ht="30" customHeight="1" x14ac:dyDescent="0.2">
      <c r="A5209" s="242"/>
      <c r="F5209" s="285" t="str">
        <f t="shared" si="169"/>
        <v/>
      </c>
      <c r="K5209" s="246" t="str">
        <f t="shared" si="168"/>
        <v/>
      </c>
    </row>
    <row r="5210" spans="1:11" ht="30" customHeight="1" x14ac:dyDescent="0.2">
      <c r="A5210" s="242"/>
      <c r="F5210" s="285" t="str">
        <f t="shared" si="169"/>
        <v/>
      </c>
      <c r="K5210" s="246" t="str">
        <f t="shared" si="168"/>
        <v/>
      </c>
    </row>
    <row r="5211" spans="1:11" ht="30" customHeight="1" x14ac:dyDescent="0.2">
      <c r="A5211" s="242"/>
      <c r="F5211" s="285" t="str">
        <f t="shared" si="169"/>
        <v/>
      </c>
      <c r="K5211" s="246" t="str">
        <f t="shared" si="168"/>
        <v/>
      </c>
    </row>
    <row r="5212" spans="1:11" ht="30" customHeight="1" x14ac:dyDescent="0.2">
      <c r="A5212" s="242"/>
      <c r="F5212" s="285" t="str">
        <f t="shared" si="169"/>
        <v/>
      </c>
      <c r="K5212" s="246" t="str">
        <f t="shared" si="168"/>
        <v/>
      </c>
    </row>
    <row r="5213" spans="1:11" ht="30" customHeight="1" x14ac:dyDescent="0.2">
      <c r="A5213" s="242"/>
      <c r="F5213" s="285" t="str">
        <f t="shared" si="169"/>
        <v/>
      </c>
      <c r="K5213" s="246" t="str">
        <f t="shared" si="168"/>
        <v/>
      </c>
    </row>
    <row r="5214" spans="1:11" ht="30" customHeight="1" x14ac:dyDescent="0.2">
      <c r="A5214" s="242"/>
      <c r="F5214" s="285" t="str">
        <f t="shared" si="169"/>
        <v/>
      </c>
      <c r="K5214" s="246" t="str">
        <f t="shared" si="168"/>
        <v/>
      </c>
    </row>
    <row r="5215" spans="1:11" ht="30" customHeight="1" x14ac:dyDescent="0.2">
      <c r="A5215" s="242"/>
      <c r="F5215" s="285" t="str">
        <f t="shared" si="169"/>
        <v/>
      </c>
      <c r="K5215" s="246" t="str">
        <f t="shared" si="168"/>
        <v/>
      </c>
    </row>
    <row r="5216" spans="1:11" ht="30" customHeight="1" x14ac:dyDescent="0.2">
      <c r="A5216" s="242"/>
      <c r="F5216" s="285" t="str">
        <f t="shared" si="169"/>
        <v/>
      </c>
      <c r="K5216" s="246" t="str">
        <f t="shared" si="168"/>
        <v/>
      </c>
    </row>
    <row r="5217" spans="1:11" ht="30" customHeight="1" x14ac:dyDescent="0.2">
      <c r="A5217" s="242"/>
      <c r="F5217" s="285" t="str">
        <f t="shared" si="169"/>
        <v/>
      </c>
      <c r="K5217" s="246" t="str">
        <f t="shared" si="168"/>
        <v/>
      </c>
    </row>
    <row r="5218" spans="1:11" ht="30" customHeight="1" x14ac:dyDescent="0.2">
      <c r="A5218" s="242"/>
      <c r="F5218" s="285" t="str">
        <f t="shared" si="169"/>
        <v/>
      </c>
      <c r="K5218" s="246" t="str">
        <f t="shared" si="168"/>
        <v/>
      </c>
    </row>
    <row r="5219" spans="1:11" ht="30" customHeight="1" x14ac:dyDescent="0.2">
      <c r="A5219" s="242"/>
      <c r="F5219" s="285" t="str">
        <f t="shared" si="169"/>
        <v/>
      </c>
      <c r="K5219" s="246" t="str">
        <f t="shared" si="168"/>
        <v/>
      </c>
    </row>
    <row r="5220" spans="1:11" ht="30" customHeight="1" x14ac:dyDescent="0.2">
      <c r="A5220" s="242"/>
      <c r="F5220" s="285" t="str">
        <f t="shared" si="169"/>
        <v/>
      </c>
      <c r="K5220" s="246" t="str">
        <f t="shared" si="168"/>
        <v/>
      </c>
    </row>
    <row r="5221" spans="1:11" ht="30" customHeight="1" x14ac:dyDescent="0.2">
      <c r="A5221" s="242"/>
      <c r="F5221" s="285" t="str">
        <f t="shared" si="169"/>
        <v/>
      </c>
      <c r="K5221" s="246" t="str">
        <f t="shared" si="168"/>
        <v/>
      </c>
    </row>
    <row r="5222" spans="1:11" ht="30" customHeight="1" x14ac:dyDescent="0.2">
      <c r="A5222" s="242"/>
      <c r="F5222" s="285" t="str">
        <f t="shared" si="169"/>
        <v/>
      </c>
      <c r="K5222" s="246" t="str">
        <f t="shared" si="168"/>
        <v/>
      </c>
    </row>
    <row r="5223" spans="1:11" ht="30" customHeight="1" x14ac:dyDescent="0.2">
      <c r="A5223" s="242"/>
      <c r="F5223" s="285" t="str">
        <f t="shared" si="169"/>
        <v/>
      </c>
      <c r="K5223" s="246" t="str">
        <f t="shared" si="168"/>
        <v/>
      </c>
    </row>
    <row r="5224" spans="1:11" ht="30" customHeight="1" x14ac:dyDescent="0.2">
      <c r="A5224" s="242"/>
      <c r="F5224" s="285" t="str">
        <f t="shared" si="169"/>
        <v/>
      </c>
      <c r="K5224" s="246" t="str">
        <f t="shared" si="168"/>
        <v/>
      </c>
    </row>
    <row r="5225" spans="1:11" ht="30" customHeight="1" x14ac:dyDescent="0.2">
      <c r="A5225" s="242"/>
      <c r="F5225" s="285" t="str">
        <f t="shared" si="169"/>
        <v/>
      </c>
      <c r="K5225" s="246" t="str">
        <f t="shared" si="168"/>
        <v/>
      </c>
    </row>
    <row r="5226" spans="1:11" ht="30" customHeight="1" x14ac:dyDescent="0.2">
      <c r="A5226" s="242"/>
      <c r="F5226" s="285" t="str">
        <f t="shared" si="169"/>
        <v/>
      </c>
      <c r="K5226" s="246" t="str">
        <f t="shared" si="168"/>
        <v/>
      </c>
    </row>
    <row r="5227" spans="1:11" ht="30" customHeight="1" x14ac:dyDescent="0.2">
      <c r="A5227" s="242"/>
      <c r="F5227" s="285" t="str">
        <f t="shared" si="169"/>
        <v/>
      </c>
      <c r="K5227" s="246" t="str">
        <f t="shared" si="168"/>
        <v/>
      </c>
    </row>
    <row r="5228" spans="1:11" ht="30" customHeight="1" x14ac:dyDescent="0.2">
      <c r="A5228" s="242"/>
      <c r="F5228" s="285" t="str">
        <f t="shared" si="169"/>
        <v/>
      </c>
      <c r="K5228" s="246" t="str">
        <f t="shared" si="168"/>
        <v/>
      </c>
    </row>
    <row r="5229" spans="1:11" ht="30" customHeight="1" x14ac:dyDescent="0.2">
      <c r="A5229" s="242"/>
      <c r="F5229" s="285" t="str">
        <f t="shared" si="169"/>
        <v/>
      </c>
      <c r="K5229" s="246" t="str">
        <f t="shared" si="168"/>
        <v/>
      </c>
    </row>
    <row r="5230" spans="1:11" ht="30" customHeight="1" x14ac:dyDescent="0.2">
      <c r="A5230" s="242"/>
      <c r="F5230" s="285" t="str">
        <f t="shared" si="169"/>
        <v/>
      </c>
      <c r="K5230" s="246" t="str">
        <f t="shared" si="168"/>
        <v/>
      </c>
    </row>
    <row r="5231" spans="1:11" ht="30" customHeight="1" x14ac:dyDescent="0.2">
      <c r="A5231" s="242"/>
      <c r="F5231" s="285" t="str">
        <f t="shared" si="169"/>
        <v/>
      </c>
      <c r="K5231" s="246" t="str">
        <f t="shared" si="168"/>
        <v/>
      </c>
    </row>
    <row r="5232" spans="1:11" ht="30" customHeight="1" x14ac:dyDescent="0.2">
      <c r="A5232" s="242"/>
      <c r="F5232" s="285" t="str">
        <f t="shared" si="169"/>
        <v/>
      </c>
      <c r="K5232" s="246" t="str">
        <f t="shared" si="168"/>
        <v/>
      </c>
    </row>
    <row r="5233" spans="1:11" ht="30" customHeight="1" x14ac:dyDescent="0.2">
      <c r="A5233" s="242"/>
      <c r="F5233" s="285" t="str">
        <f t="shared" si="169"/>
        <v/>
      </c>
      <c r="K5233" s="246" t="str">
        <f t="shared" si="168"/>
        <v/>
      </c>
    </row>
    <row r="5234" spans="1:11" ht="30" customHeight="1" x14ac:dyDescent="0.2">
      <c r="A5234" s="242"/>
      <c r="F5234" s="285" t="str">
        <f t="shared" si="169"/>
        <v/>
      </c>
      <c r="K5234" s="246" t="str">
        <f t="shared" si="168"/>
        <v/>
      </c>
    </row>
    <row r="5235" spans="1:11" ht="30" customHeight="1" x14ac:dyDescent="0.2">
      <c r="A5235" s="242"/>
      <c r="F5235" s="285" t="str">
        <f t="shared" si="169"/>
        <v/>
      </c>
      <c r="K5235" s="246" t="str">
        <f t="shared" si="168"/>
        <v/>
      </c>
    </row>
    <row r="5236" spans="1:11" ht="30" customHeight="1" x14ac:dyDescent="0.2">
      <c r="A5236" s="242"/>
      <c r="F5236" s="285" t="str">
        <f t="shared" si="169"/>
        <v/>
      </c>
      <c r="K5236" s="246" t="str">
        <f t="shared" si="168"/>
        <v/>
      </c>
    </row>
    <row r="5237" spans="1:11" ht="30" customHeight="1" x14ac:dyDescent="0.2">
      <c r="A5237" s="242"/>
      <c r="F5237" s="285" t="str">
        <f t="shared" si="169"/>
        <v/>
      </c>
      <c r="K5237" s="246" t="str">
        <f t="shared" si="168"/>
        <v/>
      </c>
    </row>
    <row r="5238" spans="1:11" ht="30" customHeight="1" x14ac:dyDescent="0.2">
      <c r="A5238" s="242"/>
      <c r="F5238" s="285" t="str">
        <f t="shared" si="169"/>
        <v/>
      </c>
      <c r="K5238" s="246" t="str">
        <f t="shared" si="168"/>
        <v/>
      </c>
    </row>
    <row r="5239" spans="1:11" ht="30" customHeight="1" x14ac:dyDescent="0.2">
      <c r="A5239" s="242"/>
      <c r="F5239" s="285" t="str">
        <f t="shared" si="169"/>
        <v/>
      </c>
      <c r="K5239" s="246" t="str">
        <f t="shared" si="168"/>
        <v/>
      </c>
    </row>
    <row r="5240" spans="1:11" ht="30" customHeight="1" x14ac:dyDescent="0.2">
      <c r="A5240" s="242"/>
      <c r="F5240" s="285" t="str">
        <f t="shared" si="169"/>
        <v/>
      </c>
      <c r="K5240" s="246" t="str">
        <f t="shared" si="168"/>
        <v/>
      </c>
    </row>
    <row r="5241" spans="1:11" ht="30" customHeight="1" x14ac:dyDescent="0.2">
      <c r="A5241" s="242"/>
      <c r="F5241" s="285" t="str">
        <f t="shared" si="169"/>
        <v/>
      </c>
      <c r="K5241" s="246" t="str">
        <f t="shared" si="168"/>
        <v/>
      </c>
    </row>
    <row r="5242" spans="1:11" ht="30" customHeight="1" x14ac:dyDescent="0.2">
      <c r="A5242" s="242"/>
      <c r="F5242" s="285" t="str">
        <f t="shared" si="169"/>
        <v/>
      </c>
      <c r="K5242" s="246" t="str">
        <f t="shared" si="168"/>
        <v/>
      </c>
    </row>
    <row r="5243" spans="1:11" ht="30" customHeight="1" x14ac:dyDescent="0.2">
      <c r="A5243" s="242"/>
      <c r="F5243" s="285" t="str">
        <f t="shared" si="169"/>
        <v/>
      </c>
      <c r="K5243" s="246" t="str">
        <f t="shared" ref="K5243:K5306" si="170">IF(A5243="","",A5243)</f>
        <v/>
      </c>
    </row>
    <row r="5244" spans="1:11" ht="30" customHeight="1" x14ac:dyDescent="0.2">
      <c r="A5244" s="242"/>
      <c r="F5244" s="285" t="str">
        <f t="shared" si="169"/>
        <v/>
      </c>
      <c r="K5244" s="246" t="str">
        <f t="shared" si="170"/>
        <v/>
      </c>
    </row>
    <row r="5245" spans="1:11" ht="30" customHeight="1" x14ac:dyDescent="0.2">
      <c r="A5245" s="242"/>
      <c r="F5245" s="285" t="str">
        <f t="shared" si="169"/>
        <v/>
      </c>
      <c r="K5245" s="246" t="str">
        <f t="shared" si="170"/>
        <v/>
      </c>
    </row>
    <row r="5246" spans="1:11" ht="30" customHeight="1" x14ac:dyDescent="0.2">
      <c r="A5246" s="242"/>
      <c r="F5246" s="285" t="str">
        <f t="shared" si="169"/>
        <v/>
      </c>
      <c r="K5246" s="246" t="str">
        <f t="shared" si="170"/>
        <v/>
      </c>
    </row>
    <row r="5247" spans="1:11" ht="30" customHeight="1" x14ac:dyDescent="0.2">
      <c r="A5247" s="242"/>
      <c r="F5247" s="285" t="str">
        <f t="shared" si="169"/>
        <v/>
      </c>
      <c r="K5247" s="246" t="str">
        <f t="shared" si="170"/>
        <v/>
      </c>
    </row>
    <row r="5248" spans="1:11" ht="30" customHeight="1" x14ac:dyDescent="0.2">
      <c r="A5248" s="242"/>
      <c r="F5248" s="285" t="str">
        <f t="shared" si="169"/>
        <v/>
      </c>
      <c r="K5248" s="246" t="str">
        <f t="shared" si="170"/>
        <v/>
      </c>
    </row>
    <row r="5249" spans="1:11" ht="30" customHeight="1" x14ac:dyDescent="0.2">
      <c r="A5249" s="242"/>
      <c r="F5249" s="285" t="str">
        <f t="shared" si="169"/>
        <v/>
      </c>
      <c r="K5249" s="246" t="str">
        <f t="shared" si="170"/>
        <v/>
      </c>
    </row>
    <row r="5250" spans="1:11" ht="30" customHeight="1" x14ac:dyDescent="0.2">
      <c r="A5250" s="242"/>
      <c r="F5250" s="285" t="str">
        <f t="shared" si="169"/>
        <v/>
      </c>
      <c r="K5250" s="246" t="str">
        <f t="shared" si="170"/>
        <v/>
      </c>
    </row>
    <row r="5251" spans="1:11" ht="30" customHeight="1" x14ac:dyDescent="0.2">
      <c r="A5251" s="242"/>
      <c r="F5251" s="285" t="str">
        <f t="shared" si="169"/>
        <v/>
      </c>
      <c r="K5251" s="246" t="str">
        <f t="shared" si="170"/>
        <v/>
      </c>
    </row>
    <row r="5252" spans="1:11" ht="30" customHeight="1" x14ac:dyDescent="0.2">
      <c r="A5252" s="242"/>
      <c r="F5252" s="285" t="str">
        <f t="shared" si="169"/>
        <v/>
      </c>
      <c r="K5252" s="246" t="str">
        <f t="shared" si="170"/>
        <v/>
      </c>
    </row>
    <row r="5253" spans="1:11" ht="30" customHeight="1" x14ac:dyDescent="0.2">
      <c r="A5253" s="242"/>
      <c r="F5253" s="285" t="str">
        <f t="shared" ref="F5253:F5316" si="171">IF(A5253="","",A5253)</f>
        <v/>
      </c>
      <c r="K5253" s="246" t="str">
        <f t="shared" si="170"/>
        <v/>
      </c>
    </row>
    <row r="5254" spans="1:11" ht="30" customHeight="1" x14ac:dyDescent="0.2">
      <c r="A5254" s="242"/>
      <c r="F5254" s="285" t="str">
        <f t="shared" si="171"/>
        <v/>
      </c>
      <c r="K5254" s="246" t="str">
        <f t="shared" si="170"/>
        <v/>
      </c>
    </row>
    <row r="5255" spans="1:11" ht="30" customHeight="1" x14ac:dyDescent="0.2">
      <c r="A5255" s="242"/>
      <c r="F5255" s="285" t="str">
        <f t="shared" si="171"/>
        <v/>
      </c>
      <c r="K5255" s="246" t="str">
        <f t="shared" si="170"/>
        <v/>
      </c>
    </row>
    <row r="5256" spans="1:11" ht="30" customHeight="1" x14ac:dyDescent="0.2">
      <c r="A5256" s="242"/>
      <c r="F5256" s="285" t="str">
        <f t="shared" si="171"/>
        <v/>
      </c>
      <c r="K5256" s="246" t="str">
        <f t="shared" si="170"/>
        <v/>
      </c>
    </row>
    <row r="5257" spans="1:11" ht="30" customHeight="1" x14ac:dyDescent="0.2">
      <c r="A5257" s="242"/>
      <c r="F5257" s="285" t="str">
        <f t="shared" si="171"/>
        <v/>
      </c>
      <c r="K5257" s="246" t="str">
        <f t="shared" si="170"/>
        <v/>
      </c>
    </row>
    <row r="5258" spans="1:11" ht="30" customHeight="1" x14ac:dyDescent="0.2">
      <c r="A5258" s="242"/>
      <c r="F5258" s="285" t="str">
        <f t="shared" si="171"/>
        <v/>
      </c>
      <c r="K5258" s="246" t="str">
        <f t="shared" si="170"/>
        <v/>
      </c>
    </row>
    <row r="5259" spans="1:11" ht="30" customHeight="1" x14ac:dyDescent="0.2">
      <c r="A5259" s="242"/>
      <c r="F5259" s="285" t="str">
        <f t="shared" si="171"/>
        <v/>
      </c>
      <c r="K5259" s="246" t="str">
        <f t="shared" si="170"/>
        <v/>
      </c>
    </row>
    <row r="5260" spans="1:11" ht="30" customHeight="1" x14ac:dyDescent="0.2">
      <c r="A5260" s="242"/>
      <c r="F5260" s="285" t="str">
        <f t="shared" si="171"/>
        <v/>
      </c>
      <c r="K5260" s="246" t="str">
        <f t="shared" si="170"/>
        <v/>
      </c>
    </row>
    <row r="5261" spans="1:11" ht="30" customHeight="1" x14ac:dyDescent="0.2">
      <c r="A5261" s="242"/>
      <c r="F5261" s="285" t="str">
        <f t="shared" si="171"/>
        <v/>
      </c>
      <c r="K5261" s="246" t="str">
        <f t="shared" si="170"/>
        <v/>
      </c>
    </row>
    <row r="5262" spans="1:11" ht="30" customHeight="1" x14ac:dyDescent="0.2">
      <c r="A5262" s="242"/>
      <c r="F5262" s="285" t="str">
        <f t="shared" si="171"/>
        <v/>
      </c>
      <c r="K5262" s="246" t="str">
        <f t="shared" si="170"/>
        <v/>
      </c>
    </row>
    <row r="5263" spans="1:11" ht="30" customHeight="1" x14ac:dyDescent="0.2">
      <c r="A5263" s="242"/>
      <c r="F5263" s="285" t="str">
        <f t="shared" si="171"/>
        <v/>
      </c>
      <c r="K5263" s="246" t="str">
        <f t="shared" si="170"/>
        <v/>
      </c>
    </row>
    <row r="5264" spans="1:11" ht="30" customHeight="1" x14ac:dyDescent="0.2">
      <c r="A5264" s="242"/>
      <c r="F5264" s="285" t="str">
        <f t="shared" si="171"/>
        <v/>
      </c>
      <c r="K5264" s="246" t="str">
        <f t="shared" si="170"/>
        <v/>
      </c>
    </row>
    <row r="5265" spans="1:11" ht="30" customHeight="1" x14ac:dyDescent="0.2">
      <c r="A5265" s="242"/>
      <c r="F5265" s="285" t="str">
        <f t="shared" si="171"/>
        <v/>
      </c>
      <c r="K5265" s="246" t="str">
        <f t="shared" si="170"/>
        <v/>
      </c>
    </row>
    <row r="5266" spans="1:11" ht="30" customHeight="1" x14ac:dyDescent="0.2">
      <c r="A5266" s="242"/>
      <c r="F5266" s="285" t="str">
        <f t="shared" si="171"/>
        <v/>
      </c>
      <c r="K5266" s="246" t="str">
        <f t="shared" si="170"/>
        <v/>
      </c>
    </row>
    <row r="5267" spans="1:11" ht="30" customHeight="1" x14ac:dyDescent="0.2">
      <c r="A5267" s="242"/>
      <c r="F5267" s="285" t="str">
        <f t="shared" si="171"/>
        <v/>
      </c>
      <c r="K5267" s="246" t="str">
        <f t="shared" si="170"/>
        <v/>
      </c>
    </row>
    <row r="5268" spans="1:11" ht="30" customHeight="1" x14ac:dyDescent="0.2">
      <c r="A5268" s="242"/>
      <c r="F5268" s="285" t="str">
        <f t="shared" si="171"/>
        <v/>
      </c>
      <c r="K5268" s="246" t="str">
        <f t="shared" si="170"/>
        <v/>
      </c>
    </row>
    <row r="5269" spans="1:11" ht="30" customHeight="1" x14ac:dyDescent="0.2">
      <c r="A5269" s="242"/>
      <c r="F5269" s="285" t="str">
        <f t="shared" si="171"/>
        <v/>
      </c>
      <c r="K5269" s="246" t="str">
        <f t="shared" si="170"/>
        <v/>
      </c>
    </row>
    <row r="5270" spans="1:11" ht="30" customHeight="1" x14ac:dyDescent="0.2">
      <c r="A5270" s="242"/>
      <c r="F5270" s="285" t="str">
        <f t="shared" si="171"/>
        <v/>
      </c>
      <c r="K5270" s="246" t="str">
        <f t="shared" si="170"/>
        <v/>
      </c>
    </row>
    <row r="5271" spans="1:11" ht="30" customHeight="1" x14ac:dyDescent="0.2">
      <c r="A5271" s="242"/>
      <c r="F5271" s="285" t="str">
        <f t="shared" si="171"/>
        <v/>
      </c>
      <c r="K5271" s="246" t="str">
        <f t="shared" si="170"/>
        <v/>
      </c>
    </row>
    <row r="5272" spans="1:11" ht="30" customHeight="1" x14ac:dyDescent="0.2">
      <c r="A5272" s="242"/>
      <c r="F5272" s="285" t="str">
        <f t="shared" si="171"/>
        <v/>
      </c>
      <c r="K5272" s="246" t="str">
        <f t="shared" si="170"/>
        <v/>
      </c>
    </row>
    <row r="5273" spans="1:11" ht="30" customHeight="1" x14ac:dyDescent="0.2">
      <c r="A5273" s="242"/>
      <c r="F5273" s="285" t="str">
        <f t="shared" si="171"/>
        <v/>
      </c>
      <c r="K5273" s="246" t="str">
        <f t="shared" si="170"/>
        <v/>
      </c>
    </row>
    <row r="5274" spans="1:11" ht="30" customHeight="1" x14ac:dyDescent="0.2">
      <c r="A5274" s="242"/>
      <c r="F5274" s="285" t="str">
        <f t="shared" si="171"/>
        <v/>
      </c>
      <c r="K5274" s="246" t="str">
        <f t="shared" si="170"/>
        <v/>
      </c>
    </row>
    <row r="5275" spans="1:11" ht="30" customHeight="1" x14ac:dyDescent="0.2">
      <c r="A5275" s="242"/>
      <c r="F5275" s="285" t="str">
        <f t="shared" si="171"/>
        <v/>
      </c>
      <c r="K5275" s="246" t="str">
        <f t="shared" si="170"/>
        <v/>
      </c>
    </row>
    <row r="5276" spans="1:11" ht="30" customHeight="1" x14ac:dyDescent="0.2">
      <c r="A5276" s="242"/>
      <c r="F5276" s="285" t="str">
        <f t="shared" si="171"/>
        <v/>
      </c>
      <c r="K5276" s="246" t="str">
        <f t="shared" si="170"/>
        <v/>
      </c>
    </row>
    <row r="5277" spans="1:11" ht="30" customHeight="1" x14ac:dyDescent="0.2">
      <c r="A5277" s="242"/>
      <c r="F5277" s="285" t="str">
        <f t="shared" si="171"/>
        <v/>
      </c>
      <c r="K5277" s="246" t="str">
        <f t="shared" si="170"/>
        <v/>
      </c>
    </row>
    <row r="5278" spans="1:11" ht="30" customHeight="1" x14ac:dyDescent="0.2">
      <c r="A5278" s="242"/>
      <c r="F5278" s="285" t="str">
        <f t="shared" si="171"/>
        <v/>
      </c>
      <c r="K5278" s="246" t="str">
        <f t="shared" si="170"/>
        <v/>
      </c>
    </row>
    <row r="5279" spans="1:11" ht="30" customHeight="1" x14ac:dyDescent="0.2">
      <c r="A5279" s="242"/>
      <c r="F5279" s="285" t="str">
        <f t="shared" si="171"/>
        <v/>
      </c>
      <c r="K5279" s="246" t="str">
        <f t="shared" si="170"/>
        <v/>
      </c>
    </row>
    <row r="5280" spans="1:11" ht="30" customHeight="1" x14ac:dyDescent="0.2">
      <c r="A5280" s="242"/>
      <c r="F5280" s="285" t="str">
        <f t="shared" si="171"/>
        <v/>
      </c>
      <c r="K5280" s="246" t="str">
        <f t="shared" si="170"/>
        <v/>
      </c>
    </row>
    <row r="5281" spans="1:11" ht="30" customHeight="1" x14ac:dyDescent="0.2">
      <c r="A5281" s="242"/>
      <c r="F5281" s="285" t="str">
        <f t="shared" si="171"/>
        <v/>
      </c>
      <c r="K5281" s="246" t="str">
        <f t="shared" si="170"/>
        <v/>
      </c>
    </row>
    <row r="5282" spans="1:11" ht="30" customHeight="1" x14ac:dyDescent="0.2">
      <c r="A5282" s="242"/>
      <c r="F5282" s="285" t="str">
        <f t="shared" si="171"/>
        <v/>
      </c>
      <c r="K5282" s="246" t="str">
        <f t="shared" si="170"/>
        <v/>
      </c>
    </row>
    <row r="5283" spans="1:11" ht="30" customHeight="1" x14ac:dyDescent="0.2">
      <c r="A5283" s="242"/>
      <c r="F5283" s="285" t="str">
        <f t="shared" si="171"/>
        <v/>
      </c>
      <c r="K5283" s="246" t="str">
        <f t="shared" si="170"/>
        <v/>
      </c>
    </row>
    <row r="5284" spans="1:11" ht="30" customHeight="1" x14ac:dyDescent="0.2">
      <c r="A5284" s="242"/>
      <c r="F5284" s="285" t="str">
        <f t="shared" si="171"/>
        <v/>
      </c>
      <c r="K5284" s="246" t="str">
        <f t="shared" si="170"/>
        <v/>
      </c>
    </row>
    <row r="5285" spans="1:11" ht="30" customHeight="1" x14ac:dyDescent="0.2">
      <c r="A5285" s="242"/>
      <c r="F5285" s="285" t="str">
        <f t="shared" si="171"/>
        <v/>
      </c>
      <c r="K5285" s="246" t="str">
        <f t="shared" si="170"/>
        <v/>
      </c>
    </row>
    <row r="5286" spans="1:11" ht="30" customHeight="1" x14ac:dyDescent="0.2">
      <c r="A5286" s="242"/>
      <c r="F5286" s="285" t="str">
        <f t="shared" si="171"/>
        <v/>
      </c>
      <c r="K5286" s="246" t="str">
        <f t="shared" si="170"/>
        <v/>
      </c>
    </row>
    <row r="5287" spans="1:11" ht="30" customHeight="1" x14ac:dyDescent="0.2">
      <c r="A5287" s="242"/>
      <c r="F5287" s="285" t="str">
        <f t="shared" si="171"/>
        <v/>
      </c>
      <c r="K5287" s="246" t="str">
        <f t="shared" si="170"/>
        <v/>
      </c>
    </row>
    <row r="5288" spans="1:11" ht="30" customHeight="1" x14ac:dyDescent="0.2">
      <c r="A5288" s="242"/>
      <c r="F5288" s="285" t="str">
        <f t="shared" si="171"/>
        <v/>
      </c>
      <c r="K5288" s="246" t="str">
        <f t="shared" si="170"/>
        <v/>
      </c>
    </row>
    <row r="5289" spans="1:11" ht="30" customHeight="1" x14ac:dyDescent="0.2">
      <c r="A5289" s="242"/>
      <c r="F5289" s="285" t="str">
        <f t="shared" si="171"/>
        <v/>
      </c>
      <c r="K5289" s="246" t="str">
        <f t="shared" si="170"/>
        <v/>
      </c>
    </row>
    <row r="5290" spans="1:11" ht="30" customHeight="1" x14ac:dyDescent="0.2">
      <c r="A5290" s="242"/>
      <c r="F5290" s="285" t="str">
        <f t="shared" si="171"/>
        <v/>
      </c>
      <c r="K5290" s="246" t="str">
        <f t="shared" si="170"/>
        <v/>
      </c>
    </row>
    <row r="5291" spans="1:11" ht="30" customHeight="1" x14ac:dyDescent="0.2">
      <c r="A5291" s="242"/>
      <c r="F5291" s="285" t="str">
        <f t="shared" si="171"/>
        <v/>
      </c>
      <c r="K5291" s="246" t="str">
        <f t="shared" si="170"/>
        <v/>
      </c>
    </row>
    <row r="5292" spans="1:11" ht="30" customHeight="1" x14ac:dyDescent="0.2">
      <c r="A5292" s="242"/>
      <c r="F5292" s="285" t="str">
        <f t="shared" si="171"/>
        <v/>
      </c>
      <c r="K5292" s="246" t="str">
        <f t="shared" si="170"/>
        <v/>
      </c>
    </row>
    <row r="5293" spans="1:11" ht="30" customHeight="1" x14ac:dyDescent="0.2">
      <c r="A5293" s="242"/>
      <c r="F5293" s="285" t="str">
        <f t="shared" si="171"/>
        <v/>
      </c>
      <c r="K5293" s="246" t="str">
        <f t="shared" si="170"/>
        <v/>
      </c>
    </row>
    <row r="5294" spans="1:11" ht="30" customHeight="1" x14ac:dyDescent="0.2">
      <c r="A5294" s="242"/>
      <c r="F5294" s="285" t="str">
        <f t="shared" si="171"/>
        <v/>
      </c>
      <c r="K5294" s="246" t="str">
        <f t="shared" si="170"/>
        <v/>
      </c>
    </row>
    <row r="5295" spans="1:11" ht="30" customHeight="1" x14ac:dyDescent="0.2">
      <c r="A5295" s="242"/>
      <c r="F5295" s="285" t="str">
        <f t="shared" si="171"/>
        <v/>
      </c>
      <c r="K5295" s="246" t="str">
        <f t="shared" si="170"/>
        <v/>
      </c>
    </row>
    <row r="5296" spans="1:11" ht="30" customHeight="1" x14ac:dyDescent="0.2">
      <c r="A5296" s="242"/>
      <c r="F5296" s="285" t="str">
        <f t="shared" si="171"/>
        <v/>
      </c>
      <c r="K5296" s="246" t="str">
        <f t="shared" si="170"/>
        <v/>
      </c>
    </row>
    <row r="5297" spans="1:11" ht="30" customHeight="1" x14ac:dyDescent="0.2">
      <c r="A5297" s="242"/>
      <c r="F5297" s="285" t="str">
        <f t="shared" si="171"/>
        <v/>
      </c>
      <c r="K5297" s="246" t="str">
        <f t="shared" si="170"/>
        <v/>
      </c>
    </row>
    <row r="5298" spans="1:11" ht="30" customHeight="1" x14ac:dyDescent="0.2">
      <c r="A5298" s="242"/>
      <c r="F5298" s="285" t="str">
        <f t="shared" si="171"/>
        <v/>
      </c>
      <c r="K5298" s="246" t="str">
        <f t="shared" si="170"/>
        <v/>
      </c>
    </row>
    <row r="5299" spans="1:11" ht="30" customHeight="1" x14ac:dyDescent="0.2">
      <c r="A5299" s="242"/>
      <c r="F5299" s="285" t="str">
        <f t="shared" si="171"/>
        <v/>
      </c>
      <c r="K5299" s="246" t="str">
        <f t="shared" si="170"/>
        <v/>
      </c>
    </row>
    <row r="5300" spans="1:11" ht="30" customHeight="1" x14ac:dyDescent="0.2">
      <c r="A5300" s="242"/>
      <c r="F5300" s="285" t="str">
        <f t="shared" si="171"/>
        <v/>
      </c>
      <c r="K5300" s="246" t="str">
        <f t="shared" si="170"/>
        <v/>
      </c>
    </row>
    <row r="5301" spans="1:11" ht="30" customHeight="1" x14ac:dyDescent="0.2">
      <c r="A5301" s="242"/>
      <c r="F5301" s="285" t="str">
        <f t="shared" si="171"/>
        <v/>
      </c>
      <c r="K5301" s="246" t="str">
        <f t="shared" si="170"/>
        <v/>
      </c>
    </row>
    <row r="5302" spans="1:11" ht="30" customHeight="1" x14ac:dyDescent="0.2">
      <c r="A5302" s="242"/>
      <c r="F5302" s="285" t="str">
        <f t="shared" si="171"/>
        <v/>
      </c>
      <c r="K5302" s="246" t="str">
        <f t="shared" si="170"/>
        <v/>
      </c>
    </row>
    <row r="5303" spans="1:11" ht="30" customHeight="1" x14ac:dyDescent="0.2">
      <c r="A5303" s="242"/>
      <c r="F5303" s="285" t="str">
        <f t="shared" si="171"/>
        <v/>
      </c>
      <c r="K5303" s="246" t="str">
        <f t="shared" si="170"/>
        <v/>
      </c>
    </row>
    <row r="5304" spans="1:11" ht="30" customHeight="1" x14ac:dyDescent="0.2">
      <c r="A5304" s="242"/>
      <c r="F5304" s="285" t="str">
        <f t="shared" si="171"/>
        <v/>
      </c>
      <c r="K5304" s="246" t="str">
        <f t="shared" si="170"/>
        <v/>
      </c>
    </row>
    <row r="5305" spans="1:11" ht="30" customHeight="1" x14ac:dyDescent="0.2">
      <c r="A5305" s="242"/>
      <c r="F5305" s="285" t="str">
        <f t="shared" si="171"/>
        <v/>
      </c>
      <c r="K5305" s="246" t="str">
        <f t="shared" si="170"/>
        <v/>
      </c>
    </row>
    <row r="5306" spans="1:11" ht="30" customHeight="1" x14ac:dyDescent="0.2">
      <c r="A5306" s="242"/>
      <c r="F5306" s="285" t="str">
        <f t="shared" si="171"/>
        <v/>
      </c>
      <c r="K5306" s="246" t="str">
        <f t="shared" si="170"/>
        <v/>
      </c>
    </row>
    <row r="5307" spans="1:11" ht="30" customHeight="1" x14ac:dyDescent="0.2">
      <c r="A5307" s="242"/>
      <c r="F5307" s="285" t="str">
        <f t="shared" si="171"/>
        <v/>
      </c>
      <c r="K5307" s="246" t="str">
        <f t="shared" ref="K5307:K5370" si="172">IF(A5307="","",A5307)</f>
        <v/>
      </c>
    </row>
    <row r="5308" spans="1:11" ht="30" customHeight="1" x14ac:dyDescent="0.2">
      <c r="A5308" s="242"/>
      <c r="F5308" s="285" t="str">
        <f t="shared" si="171"/>
        <v/>
      </c>
      <c r="K5308" s="246" t="str">
        <f t="shared" si="172"/>
        <v/>
      </c>
    </row>
    <row r="5309" spans="1:11" ht="30" customHeight="1" x14ac:dyDescent="0.2">
      <c r="A5309" s="242"/>
      <c r="F5309" s="285" t="str">
        <f t="shared" si="171"/>
        <v/>
      </c>
      <c r="K5309" s="246" t="str">
        <f t="shared" si="172"/>
        <v/>
      </c>
    </row>
    <row r="5310" spans="1:11" ht="30" customHeight="1" x14ac:dyDescent="0.2">
      <c r="A5310" s="242"/>
      <c r="F5310" s="285" t="str">
        <f t="shared" si="171"/>
        <v/>
      </c>
      <c r="K5310" s="246" t="str">
        <f t="shared" si="172"/>
        <v/>
      </c>
    </row>
    <row r="5311" spans="1:11" ht="30" customHeight="1" x14ac:dyDescent="0.2">
      <c r="A5311" s="242"/>
      <c r="F5311" s="285" t="str">
        <f t="shared" si="171"/>
        <v/>
      </c>
      <c r="K5311" s="246" t="str">
        <f t="shared" si="172"/>
        <v/>
      </c>
    </row>
    <row r="5312" spans="1:11" ht="30" customHeight="1" x14ac:dyDescent="0.2">
      <c r="A5312" s="242"/>
      <c r="F5312" s="285" t="str">
        <f t="shared" si="171"/>
        <v/>
      </c>
      <c r="K5312" s="246" t="str">
        <f t="shared" si="172"/>
        <v/>
      </c>
    </row>
    <row r="5313" spans="1:11" ht="30" customHeight="1" x14ac:dyDescent="0.2">
      <c r="A5313" s="242"/>
      <c r="F5313" s="285" t="str">
        <f t="shared" si="171"/>
        <v/>
      </c>
      <c r="K5313" s="246" t="str">
        <f t="shared" si="172"/>
        <v/>
      </c>
    </row>
    <row r="5314" spans="1:11" ht="30" customHeight="1" x14ac:dyDescent="0.2">
      <c r="A5314" s="242"/>
      <c r="F5314" s="285" t="str">
        <f t="shared" si="171"/>
        <v/>
      </c>
      <c r="K5314" s="246" t="str">
        <f t="shared" si="172"/>
        <v/>
      </c>
    </row>
    <row r="5315" spans="1:11" ht="30" customHeight="1" x14ac:dyDescent="0.2">
      <c r="A5315" s="242"/>
      <c r="F5315" s="285" t="str">
        <f t="shared" si="171"/>
        <v/>
      </c>
      <c r="K5315" s="246" t="str">
        <f t="shared" si="172"/>
        <v/>
      </c>
    </row>
    <row r="5316" spans="1:11" ht="30" customHeight="1" x14ac:dyDescent="0.2">
      <c r="A5316" s="242"/>
      <c r="F5316" s="285" t="str">
        <f t="shared" si="171"/>
        <v/>
      </c>
      <c r="K5316" s="246" t="str">
        <f t="shared" si="172"/>
        <v/>
      </c>
    </row>
    <row r="5317" spans="1:11" ht="30" customHeight="1" x14ac:dyDescent="0.2">
      <c r="A5317" s="242"/>
      <c r="F5317" s="285" t="str">
        <f t="shared" ref="F5317:F5380" si="173">IF(A5317="","",A5317)</f>
        <v/>
      </c>
      <c r="K5317" s="246" t="str">
        <f t="shared" si="172"/>
        <v/>
      </c>
    </row>
    <row r="5318" spans="1:11" ht="30" customHeight="1" x14ac:dyDescent="0.2">
      <c r="A5318" s="242"/>
      <c r="F5318" s="285" t="str">
        <f t="shared" si="173"/>
        <v/>
      </c>
      <c r="K5318" s="246" t="str">
        <f t="shared" si="172"/>
        <v/>
      </c>
    </row>
    <row r="5319" spans="1:11" ht="30" customHeight="1" x14ac:dyDescent="0.2">
      <c r="A5319" s="242"/>
      <c r="F5319" s="285" t="str">
        <f t="shared" si="173"/>
        <v/>
      </c>
      <c r="K5319" s="246" t="str">
        <f t="shared" si="172"/>
        <v/>
      </c>
    </row>
    <row r="5320" spans="1:11" ht="30" customHeight="1" x14ac:dyDescent="0.2">
      <c r="A5320" s="242"/>
      <c r="F5320" s="285" t="str">
        <f t="shared" si="173"/>
        <v/>
      </c>
      <c r="K5320" s="246" t="str">
        <f t="shared" si="172"/>
        <v/>
      </c>
    </row>
    <row r="5321" spans="1:11" ht="30" customHeight="1" x14ac:dyDescent="0.2">
      <c r="A5321" s="242"/>
      <c r="F5321" s="285" t="str">
        <f t="shared" si="173"/>
        <v/>
      </c>
      <c r="K5321" s="246" t="str">
        <f t="shared" si="172"/>
        <v/>
      </c>
    </row>
    <row r="5322" spans="1:11" ht="30" customHeight="1" x14ac:dyDescent="0.2">
      <c r="A5322" s="242"/>
      <c r="F5322" s="285" t="str">
        <f t="shared" si="173"/>
        <v/>
      </c>
      <c r="K5322" s="246" t="str">
        <f t="shared" si="172"/>
        <v/>
      </c>
    </row>
    <row r="5323" spans="1:11" ht="30" customHeight="1" x14ac:dyDescent="0.2">
      <c r="A5323" s="242"/>
      <c r="F5323" s="285" t="str">
        <f t="shared" si="173"/>
        <v/>
      </c>
      <c r="K5323" s="246" t="str">
        <f t="shared" si="172"/>
        <v/>
      </c>
    </row>
    <row r="5324" spans="1:11" ht="30" customHeight="1" x14ac:dyDescent="0.2">
      <c r="A5324" s="242"/>
      <c r="F5324" s="285" t="str">
        <f t="shared" si="173"/>
        <v/>
      </c>
      <c r="K5324" s="246" t="str">
        <f t="shared" si="172"/>
        <v/>
      </c>
    </row>
    <row r="5325" spans="1:11" ht="30" customHeight="1" x14ac:dyDescent="0.2">
      <c r="A5325" s="242"/>
      <c r="F5325" s="285" t="str">
        <f t="shared" si="173"/>
        <v/>
      </c>
      <c r="K5325" s="246" t="str">
        <f t="shared" si="172"/>
        <v/>
      </c>
    </row>
    <row r="5326" spans="1:11" ht="30" customHeight="1" x14ac:dyDescent="0.2">
      <c r="A5326" s="242"/>
      <c r="F5326" s="285" t="str">
        <f t="shared" si="173"/>
        <v/>
      </c>
      <c r="K5326" s="246" t="str">
        <f t="shared" si="172"/>
        <v/>
      </c>
    </row>
    <row r="5327" spans="1:11" ht="30" customHeight="1" x14ac:dyDescent="0.2">
      <c r="A5327" s="242"/>
      <c r="F5327" s="285" t="str">
        <f t="shared" si="173"/>
        <v/>
      </c>
      <c r="K5327" s="246" t="str">
        <f t="shared" si="172"/>
        <v/>
      </c>
    </row>
    <row r="5328" spans="1:11" ht="30" customHeight="1" x14ac:dyDescent="0.2">
      <c r="A5328" s="242"/>
      <c r="F5328" s="285" t="str">
        <f t="shared" si="173"/>
        <v/>
      </c>
      <c r="K5328" s="246" t="str">
        <f t="shared" si="172"/>
        <v/>
      </c>
    </row>
    <row r="5329" spans="1:11" ht="30" customHeight="1" x14ac:dyDescent="0.2">
      <c r="A5329" s="242"/>
      <c r="F5329" s="285" t="str">
        <f t="shared" si="173"/>
        <v/>
      </c>
      <c r="K5329" s="246" t="str">
        <f t="shared" si="172"/>
        <v/>
      </c>
    </row>
    <row r="5330" spans="1:11" ht="30" customHeight="1" x14ac:dyDescent="0.2">
      <c r="A5330" s="242"/>
      <c r="F5330" s="285" t="str">
        <f t="shared" si="173"/>
        <v/>
      </c>
      <c r="K5330" s="246" t="str">
        <f t="shared" si="172"/>
        <v/>
      </c>
    </row>
    <row r="5331" spans="1:11" ht="30" customHeight="1" x14ac:dyDescent="0.2">
      <c r="A5331" s="242"/>
      <c r="F5331" s="285" t="str">
        <f t="shared" si="173"/>
        <v/>
      </c>
      <c r="K5331" s="246" t="str">
        <f t="shared" si="172"/>
        <v/>
      </c>
    </row>
    <row r="5332" spans="1:11" ht="30" customHeight="1" x14ac:dyDescent="0.2">
      <c r="A5332" s="242"/>
      <c r="F5332" s="285" t="str">
        <f t="shared" si="173"/>
        <v/>
      </c>
      <c r="K5332" s="246" t="str">
        <f t="shared" si="172"/>
        <v/>
      </c>
    </row>
    <row r="5333" spans="1:11" ht="30" customHeight="1" x14ac:dyDescent="0.2">
      <c r="A5333" s="242"/>
      <c r="F5333" s="285" t="str">
        <f t="shared" si="173"/>
        <v/>
      </c>
      <c r="K5333" s="246" t="str">
        <f t="shared" si="172"/>
        <v/>
      </c>
    </row>
    <row r="5334" spans="1:11" ht="30" customHeight="1" x14ac:dyDescent="0.2">
      <c r="A5334" s="242"/>
      <c r="F5334" s="285" t="str">
        <f t="shared" si="173"/>
        <v/>
      </c>
      <c r="K5334" s="246" t="str">
        <f t="shared" si="172"/>
        <v/>
      </c>
    </row>
    <row r="5335" spans="1:11" ht="30" customHeight="1" x14ac:dyDescent="0.2">
      <c r="A5335" s="242"/>
      <c r="F5335" s="285" t="str">
        <f t="shared" si="173"/>
        <v/>
      </c>
      <c r="K5335" s="246" t="str">
        <f t="shared" si="172"/>
        <v/>
      </c>
    </row>
    <row r="5336" spans="1:11" ht="30" customHeight="1" x14ac:dyDescent="0.2">
      <c r="A5336" s="242"/>
      <c r="F5336" s="285" t="str">
        <f t="shared" si="173"/>
        <v/>
      </c>
      <c r="K5336" s="246" t="str">
        <f t="shared" si="172"/>
        <v/>
      </c>
    </row>
    <row r="5337" spans="1:11" ht="30" customHeight="1" x14ac:dyDescent="0.2">
      <c r="A5337" s="242"/>
      <c r="F5337" s="285" t="str">
        <f t="shared" si="173"/>
        <v/>
      </c>
      <c r="K5337" s="246" t="str">
        <f t="shared" si="172"/>
        <v/>
      </c>
    </row>
    <row r="5338" spans="1:11" ht="30" customHeight="1" x14ac:dyDescent="0.2">
      <c r="A5338" s="242"/>
      <c r="F5338" s="285" t="str">
        <f t="shared" si="173"/>
        <v/>
      </c>
      <c r="K5338" s="246" t="str">
        <f t="shared" si="172"/>
        <v/>
      </c>
    </row>
    <row r="5339" spans="1:11" ht="30" customHeight="1" x14ac:dyDescent="0.2">
      <c r="A5339" s="242"/>
      <c r="F5339" s="285" t="str">
        <f t="shared" si="173"/>
        <v/>
      </c>
      <c r="K5339" s="246" t="str">
        <f t="shared" si="172"/>
        <v/>
      </c>
    </row>
    <row r="5340" spans="1:11" ht="30" customHeight="1" x14ac:dyDescent="0.2">
      <c r="A5340" s="242"/>
      <c r="F5340" s="285" t="str">
        <f t="shared" si="173"/>
        <v/>
      </c>
      <c r="K5340" s="246" t="str">
        <f t="shared" si="172"/>
        <v/>
      </c>
    </row>
    <row r="5341" spans="1:11" ht="30" customHeight="1" x14ac:dyDescent="0.2">
      <c r="A5341" s="242"/>
      <c r="F5341" s="285" t="str">
        <f t="shared" si="173"/>
        <v/>
      </c>
      <c r="K5341" s="246" t="str">
        <f t="shared" si="172"/>
        <v/>
      </c>
    </row>
    <row r="5342" spans="1:11" ht="30" customHeight="1" x14ac:dyDescent="0.2">
      <c r="A5342" s="242"/>
      <c r="F5342" s="285" t="str">
        <f t="shared" si="173"/>
        <v/>
      </c>
      <c r="K5342" s="246" t="str">
        <f t="shared" si="172"/>
        <v/>
      </c>
    </row>
    <row r="5343" spans="1:11" ht="30" customHeight="1" x14ac:dyDescent="0.2">
      <c r="A5343" s="242"/>
      <c r="F5343" s="285" t="str">
        <f t="shared" si="173"/>
        <v/>
      </c>
      <c r="K5343" s="246" t="str">
        <f t="shared" si="172"/>
        <v/>
      </c>
    </row>
    <row r="5344" spans="1:11" ht="30" customHeight="1" x14ac:dyDescent="0.2">
      <c r="A5344" s="242"/>
      <c r="F5344" s="285" t="str">
        <f t="shared" si="173"/>
        <v/>
      </c>
      <c r="K5344" s="246" t="str">
        <f t="shared" si="172"/>
        <v/>
      </c>
    </row>
    <row r="5345" spans="1:11" ht="30" customHeight="1" x14ac:dyDescent="0.2">
      <c r="A5345" s="242"/>
      <c r="F5345" s="285" t="str">
        <f t="shared" si="173"/>
        <v/>
      </c>
      <c r="K5345" s="246" t="str">
        <f t="shared" si="172"/>
        <v/>
      </c>
    </row>
    <row r="5346" spans="1:11" ht="30" customHeight="1" x14ac:dyDescent="0.2">
      <c r="A5346" s="242"/>
      <c r="F5346" s="285" t="str">
        <f t="shared" si="173"/>
        <v/>
      </c>
      <c r="K5346" s="246" t="str">
        <f t="shared" si="172"/>
        <v/>
      </c>
    </row>
    <row r="5347" spans="1:11" ht="30" customHeight="1" x14ac:dyDescent="0.2">
      <c r="A5347" s="242"/>
      <c r="F5347" s="285" t="str">
        <f t="shared" si="173"/>
        <v/>
      </c>
      <c r="K5347" s="246" t="str">
        <f t="shared" si="172"/>
        <v/>
      </c>
    </row>
    <row r="5348" spans="1:11" ht="30" customHeight="1" x14ac:dyDescent="0.2">
      <c r="A5348" s="242"/>
      <c r="F5348" s="285" t="str">
        <f t="shared" si="173"/>
        <v/>
      </c>
      <c r="K5348" s="246" t="str">
        <f t="shared" si="172"/>
        <v/>
      </c>
    </row>
    <row r="5349" spans="1:11" ht="30" customHeight="1" x14ac:dyDescent="0.2">
      <c r="A5349" s="242"/>
      <c r="F5349" s="285" t="str">
        <f t="shared" si="173"/>
        <v/>
      </c>
      <c r="K5349" s="246" t="str">
        <f t="shared" si="172"/>
        <v/>
      </c>
    </row>
    <row r="5350" spans="1:11" ht="30" customHeight="1" x14ac:dyDescent="0.2">
      <c r="A5350" s="242"/>
      <c r="F5350" s="285" t="str">
        <f t="shared" si="173"/>
        <v/>
      </c>
      <c r="K5350" s="246" t="str">
        <f t="shared" si="172"/>
        <v/>
      </c>
    </row>
    <row r="5351" spans="1:11" ht="30" customHeight="1" x14ac:dyDescent="0.2">
      <c r="A5351" s="242"/>
      <c r="F5351" s="285" t="str">
        <f t="shared" si="173"/>
        <v/>
      </c>
      <c r="K5351" s="246" t="str">
        <f t="shared" si="172"/>
        <v/>
      </c>
    </row>
    <row r="5352" spans="1:11" ht="30" customHeight="1" x14ac:dyDescent="0.2">
      <c r="A5352" s="242"/>
      <c r="F5352" s="285" t="str">
        <f t="shared" si="173"/>
        <v/>
      </c>
      <c r="K5352" s="246" t="str">
        <f t="shared" si="172"/>
        <v/>
      </c>
    </row>
    <row r="5353" spans="1:11" ht="30" customHeight="1" x14ac:dyDescent="0.2">
      <c r="A5353" s="242"/>
      <c r="F5353" s="285" t="str">
        <f t="shared" si="173"/>
        <v/>
      </c>
      <c r="K5353" s="246" t="str">
        <f t="shared" si="172"/>
        <v/>
      </c>
    </row>
    <row r="5354" spans="1:11" ht="30" customHeight="1" x14ac:dyDescent="0.2">
      <c r="A5354" s="242"/>
      <c r="F5354" s="285" t="str">
        <f t="shared" si="173"/>
        <v/>
      </c>
      <c r="K5354" s="246" t="str">
        <f t="shared" si="172"/>
        <v/>
      </c>
    </row>
    <row r="5355" spans="1:11" ht="30" customHeight="1" x14ac:dyDescent="0.2">
      <c r="A5355" s="242"/>
      <c r="F5355" s="285" t="str">
        <f t="shared" si="173"/>
        <v/>
      </c>
      <c r="K5355" s="246" t="str">
        <f t="shared" si="172"/>
        <v/>
      </c>
    </row>
    <row r="5356" spans="1:11" ht="30" customHeight="1" x14ac:dyDescent="0.2">
      <c r="A5356" s="242"/>
      <c r="F5356" s="285" t="str">
        <f t="shared" si="173"/>
        <v/>
      </c>
      <c r="K5356" s="246" t="str">
        <f t="shared" si="172"/>
        <v/>
      </c>
    </row>
    <row r="5357" spans="1:11" ht="30" customHeight="1" x14ac:dyDescent="0.2">
      <c r="A5357" s="242"/>
      <c r="F5357" s="285" t="str">
        <f t="shared" si="173"/>
        <v/>
      </c>
      <c r="K5357" s="246" t="str">
        <f t="shared" si="172"/>
        <v/>
      </c>
    </row>
    <row r="5358" spans="1:11" ht="30" customHeight="1" x14ac:dyDescent="0.2">
      <c r="A5358" s="242"/>
      <c r="F5358" s="285" t="str">
        <f t="shared" si="173"/>
        <v/>
      </c>
      <c r="K5358" s="246" t="str">
        <f t="shared" si="172"/>
        <v/>
      </c>
    </row>
    <row r="5359" spans="1:11" ht="30" customHeight="1" x14ac:dyDescent="0.2">
      <c r="A5359" s="242"/>
      <c r="F5359" s="285" t="str">
        <f t="shared" si="173"/>
        <v/>
      </c>
      <c r="K5359" s="246" t="str">
        <f t="shared" si="172"/>
        <v/>
      </c>
    </row>
    <row r="5360" spans="1:11" ht="30" customHeight="1" x14ac:dyDescent="0.2">
      <c r="A5360" s="242"/>
      <c r="F5360" s="285" t="str">
        <f t="shared" si="173"/>
        <v/>
      </c>
      <c r="K5360" s="246" t="str">
        <f t="shared" si="172"/>
        <v/>
      </c>
    </row>
    <row r="5361" spans="1:11" ht="30" customHeight="1" x14ac:dyDescent="0.2">
      <c r="A5361" s="242"/>
      <c r="F5361" s="285" t="str">
        <f t="shared" si="173"/>
        <v/>
      </c>
      <c r="K5361" s="246" t="str">
        <f t="shared" si="172"/>
        <v/>
      </c>
    </row>
    <row r="5362" spans="1:11" ht="30" customHeight="1" x14ac:dyDescent="0.2">
      <c r="A5362" s="242"/>
      <c r="F5362" s="285" t="str">
        <f t="shared" si="173"/>
        <v/>
      </c>
      <c r="K5362" s="246" t="str">
        <f t="shared" si="172"/>
        <v/>
      </c>
    </row>
    <row r="5363" spans="1:11" ht="30" customHeight="1" x14ac:dyDescent="0.2">
      <c r="A5363" s="242"/>
      <c r="F5363" s="285" t="str">
        <f t="shared" si="173"/>
        <v/>
      </c>
      <c r="K5363" s="246" t="str">
        <f t="shared" si="172"/>
        <v/>
      </c>
    </row>
    <row r="5364" spans="1:11" ht="30" customHeight="1" x14ac:dyDescent="0.2">
      <c r="A5364" s="242"/>
      <c r="F5364" s="285" t="str">
        <f t="shared" si="173"/>
        <v/>
      </c>
      <c r="K5364" s="246" t="str">
        <f t="shared" si="172"/>
        <v/>
      </c>
    </row>
    <row r="5365" spans="1:11" ht="30" customHeight="1" x14ac:dyDescent="0.2">
      <c r="A5365" s="242"/>
      <c r="F5365" s="285" t="str">
        <f t="shared" si="173"/>
        <v/>
      </c>
      <c r="K5365" s="246" t="str">
        <f t="shared" si="172"/>
        <v/>
      </c>
    </row>
    <row r="5366" spans="1:11" ht="30" customHeight="1" x14ac:dyDescent="0.2">
      <c r="A5366" s="242"/>
      <c r="F5366" s="285" t="str">
        <f t="shared" si="173"/>
        <v/>
      </c>
      <c r="K5366" s="246" t="str">
        <f t="shared" si="172"/>
        <v/>
      </c>
    </row>
    <row r="5367" spans="1:11" ht="30" customHeight="1" x14ac:dyDescent="0.2">
      <c r="A5367" s="242"/>
      <c r="F5367" s="285" t="str">
        <f t="shared" si="173"/>
        <v/>
      </c>
      <c r="K5367" s="246" t="str">
        <f t="shared" si="172"/>
        <v/>
      </c>
    </row>
    <row r="5368" spans="1:11" ht="30" customHeight="1" x14ac:dyDescent="0.2">
      <c r="A5368" s="242"/>
      <c r="F5368" s="285" t="str">
        <f t="shared" si="173"/>
        <v/>
      </c>
      <c r="K5368" s="246" t="str">
        <f t="shared" si="172"/>
        <v/>
      </c>
    </row>
    <row r="5369" spans="1:11" ht="30" customHeight="1" x14ac:dyDescent="0.2">
      <c r="A5369" s="242"/>
      <c r="F5369" s="285" t="str">
        <f t="shared" si="173"/>
        <v/>
      </c>
      <c r="K5369" s="246" t="str">
        <f t="shared" si="172"/>
        <v/>
      </c>
    </row>
    <row r="5370" spans="1:11" ht="30" customHeight="1" x14ac:dyDescent="0.2">
      <c r="A5370" s="242"/>
      <c r="F5370" s="285" t="str">
        <f t="shared" si="173"/>
        <v/>
      </c>
      <c r="K5370" s="246" t="str">
        <f t="shared" si="172"/>
        <v/>
      </c>
    </row>
    <row r="5371" spans="1:11" ht="30" customHeight="1" x14ac:dyDescent="0.2">
      <c r="A5371" s="242"/>
      <c r="F5371" s="285" t="str">
        <f t="shared" si="173"/>
        <v/>
      </c>
      <c r="K5371" s="246" t="str">
        <f t="shared" ref="K5371:K5434" si="174">IF(A5371="","",A5371)</f>
        <v/>
      </c>
    </row>
    <row r="5372" spans="1:11" ht="30" customHeight="1" x14ac:dyDescent="0.2">
      <c r="A5372" s="242"/>
      <c r="F5372" s="285" t="str">
        <f t="shared" si="173"/>
        <v/>
      </c>
      <c r="K5372" s="246" t="str">
        <f t="shared" si="174"/>
        <v/>
      </c>
    </row>
    <row r="5373" spans="1:11" ht="30" customHeight="1" x14ac:dyDescent="0.2">
      <c r="A5373" s="242"/>
      <c r="F5373" s="285" t="str">
        <f t="shared" si="173"/>
        <v/>
      </c>
      <c r="K5373" s="246" t="str">
        <f t="shared" si="174"/>
        <v/>
      </c>
    </row>
    <row r="5374" spans="1:11" ht="30" customHeight="1" x14ac:dyDescent="0.2">
      <c r="A5374" s="242"/>
      <c r="F5374" s="285" t="str">
        <f t="shared" si="173"/>
        <v/>
      </c>
      <c r="K5374" s="246" t="str">
        <f t="shared" si="174"/>
        <v/>
      </c>
    </row>
    <row r="5375" spans="1:11" ht="30" customHeight="1" x14ac:dyDescent="0.2">
      <c r="A5375" s="242"/>
      <c r="F5375" s="285" t="str">
        <f t="shared" si="173"/>
        <v/>
      </c>
      <c r="K5375" s="246" t="str">
        <f t="shared" si="174"/>
        <v/>
      </c>
    </row>
    <row r="5376" spans="1:11" ht="30" customHeight="1" x14ac:dyDescent="0.2">
      <c r="A5376" s="242"/>
      <c r="F5376" s="285" t="str">
        <f t="shared" si="173"/>
        <v/>
      </c>
      <c r="K5376" s="246" t="str">
        <f t="shared" si="174"/>
        <v/>
      </c>
    </row>
    <row r="5377" spans="1:11" ht="30" customHeight="1" x14ac:dyDescent="0.2">
      <c r="A5377" s="242"/>
      <c r="F5377" s="285" t="str">
        <f t="shared" si="173"/>
        <v/>
      </c>
      <c r="K5377" s="246" t="str">
        <f t="shared" si="174"/>
        <v/>
      </c>
    </row>
    <row r="5378" spans="1:11" ht="30" customHeight="1" x14ac:dyDescent="0.2">
      <c r="A5378" s="242"/>
      <c r="F5378" s="285" t="str">
        <f t="shared" si="173"/>
        <v/>
      </c>
      <c r="K5378" s="246" t="str">
        <f t="shared" si="174"/>
        <v/>
      </c>
    </row>
    <row r="5379" spans="1:11" ht="30" customHeight="1" x14ac:dyDescent="0.2">
      <c r="A5379" s="242"/>
      <c r="F5379" s="285" t="str">
        <f t="shared" si="173"/>
        <v/>
      </c>
      <c r="K5379" s="246" t="str">
        <f t="shared" si="174"/>
        <v/>
      </c>
    </row>
    <row r="5380" spans="1:11" ht="30" customHeight="1" x14ac:dyDescent="0.2">
      <c r="A5380" s="242"/>
      <c r="F5380" s="285" t="str">
        <f t="shared" si="173"/>
        <v/>
      </c>
      <c r="K5380" s="246" t="str">
        <f t="shared" si="174"/>
        <v/>
      </c>
    </row>
    <row r="5381" spans="1:11" ht="30" customHeight="1" x14ac:dyDescent="0.2">
      <c r="A5381" s="242"/>
      <c r="F5381" s="285" t="str">
        <f t="shared" ref="F5381:F5444" si="175">IF(A5381="","",A5381)</f>
        <v/>
      </c>
      <c r="K5381" s="246" t="str">
        <f t="shared" si="174"/>
        <v/>
      </c>
    </row>
    <row r="5382" spans="1:11" ht="30" customHeight="1" x14ac:dyDescent="0.2">
      <c r="A5382" s="242"/>
      <c r="F5382" s="285" t="str">
        <f t="shared" si="175"/>
        <v/>
      </c>
      <c r="K5382" s="246" t="str">
        <f t="shared" si="174"/>
        <v/>
      </c>
    </row>
    <row r="5383" spans="1:11" ht="30" customHeight="1" x14ac:dyDescent="0.2">
      <c r="A5383" s="242"/>
      <c r="F5383" s="285" t="str">
        <f t="shared" si="175"/>
        <v/>
      </c>
      <c r="K5383" s="246" t="str">
        <f t="shared" si="174"/>
        <v/>
      </c>
    </row>
    <row r="5384" spans="1:11" ht="30" customHeight="1" x14ac:dyDescent="0.2">
      <c r="A5384" s="242"/>
      <c r="F5384" s="285" t="str">
        <f t="shared" si="175"/>
        <v/>
      </c>
      <c r="K5384" s="246" t="str">
        <f t="shared" si="174"/>
        <v/>
      </c>
    </row>
    <row r="5385" spans="1:11" ht="30" customHeight="1" x14ac:dyDescent="0.2">
      <c r="A5385" s="242"/>
      <c r="F5385" s="285" t="str">
        <f t="shared" si="175"/>
        <v/>
      </c>
      <c r="K5385" s="246" t="str">
        <f t="shared" si="174"/>
        <v/>
      </c>
    </row>
    <row r="5386" spans="1:11" ht="30" customHeight="1" x14ac:dyDescent="0.2">
      <c r="A5386" s="242"/>
      <c r="F5386" s="285" t="str">
        <f t="shared" si="175"/>
        <v/>
      </c>
      <c r="K5386" s="246" t="str">
        <f t="shared" si="174"/>
        <v/>
      </c>
    </row>
    <row r="5387" spans="1:11" ht="30" customHeight="1" x14ac:dyDescent="0.2">
      <c r="A5387" s="242"/>
      <c r="F5387" s="285" t="str">
        <f t="shared" si="175"/>
        <v/>
      </c>
      <c r="K5387" s="246" t="str">
        <f t="shared" si="174"/>
        <v/>
      </c>
    </row>
    <row r="5388" spans="1:11" ht="30" customHeight="1" x14ac:dyDescent="0.2">
      <c r="A5388" s="242"/>
      <c r="F5388" s="285" t="str">
        <f t="shared" si="175"/>
        <v/>
      </c>
      <c r="K5388" s="246" t="str">
        <f t="shared" si="174"/>
        <v/>
      </c>
    </row>
    <row r="5389" spans="1:11" ht="30" customHeight="1" x14ac:dyDescent="0.2">
      <c r="A5389" s="242"/>
      <c r="F5389" s="285" t="str">
        <f t="shared" si="175"/>
        <v/>
      </c>
      <c r="K5389" s="246" t="str">
        <f t="shared" si="174"/>
        <v/>
      </c>
    </row>
    <row r="5390" spans="1:11" ht="30" customHeight="1" x14ac:dyDescent="0.2">
      <c r="A5390" s="242"/>
      <c r="F5390" s="285" t="str">
        <f t="shared" si="175"/>
        <v/>
      </c>
      <c r="K5390" s="246" t="str">
        <f t="shared" si="174"/>
        <v/>
      </c>
    </row>
    <row r="5391" spans="1:11" ht="30" customHeight="1" x14ac:dyDescent="0.2">
      <c r="A5391" s="242"/>
      <c r="F5391" s="285" t="str">
        <f t="shared" si="175"/>
        <v/>
      </c>
      <c r="K5391" s="246" t="str">
        <f t="shared" si="174"/>
        <v/>
      </c>
    </row>
    <row r="5392" spans="1:11" ht="30" customHeight="1" x14ac:dyDescent="0.2">
      <c r="A5392" s="242"/>
      <c r="F5392" s="285" t="str">
        <f t="shared" si="175"/>
        <v/>
      </c>
      <c r="K5392" s="246" t="str">
        <f t="shared" si="174"/>
        <v/>
      </c>
    </row>
    <row r="5393" spans="1:11" ht="30" customHeight="1" x14ac:dyDescent="0.2">
      <c r="A5393" s="242"/>
      <c r="F5393" s="285" t="str">
        <f t="shared" si="175"/>
        <v/>
      </c>
      <c r="K5393" s="246" t="str">
        <f t="shared" si="174"/>
        <v/>
      </c>
    </row>
    <row r="5394" spans="1:11" ht="30" customHeight="1" x14ac:dyDescent="0.2">
      <c r="A5394" s="242"/>
      <c r="F5394" s="285" t="str">
        <f t="shared" si="175"/>
        <v/>
      </c>
      <c r="K5394" s="246" t="str">
        <f t="shared" si="174"/>
        <v/>
      </c>
    </row>
    <row r="5395" spans="1:11" ht="30" customHeight="1" x14ac:dyDescent="0.2">
      <c r="A5395" s="242"/>
      <c r="F5395" s="285" t="str">
        <f t="shared" si="175"/>
        <v/>
      </c>
      <c r="K5395" s="246" t="str">
        <f t="shared" si="174"/>
        <v/>
      </c>
    </row>
    <row r="5396" spans="1:11" ht="30" customHeight="1" x14ac:dyDescent="0.2">
      <c r="A5396" s="242"/>
      <c r="F5396" s="285" t="str">
        <f t="shared" si="175"/>
        <v/>
      </c>
      <c r="K5396" s="246" t="str">
        <f t="shared" si="174"/>
        <v/>
      </c>
    </row>
    <row r="5397" spans="1:11" ht="30" customHeight="1" x14ac:dyDescent="0.2">
      <c r="A5397" s="242"/>
      <c r="F5397" s="285" t="str">
        <f t="shared" si="175"/>
        <v/>
      </c>
      <c r="K5397" s="246" t="str">
        <f t="shared" si="174"/>
        <v/>
      </c>
    </row>
    <row r="5398" spans="1:11" ht="30" customHeight="1" x14ac:dyDescent="0.2">
      <c r="A5398" s="242"/>
      <c r="F5398" s="285" t="str">
        <f t="shared" si="175"/>
        <v/>
      </c>
      <c r="K5398" s="246" t="str">
        <f t="shared" si="174"/>
        <v/>
      </c>
    </row>
    <row r="5399" spans="1:11" ht="30" customHeight="1" x14ac:dyDescent="0.2">
      <c r="A5399" s="242"/>
      <c r="F5399" s="285" t="str">
        <f t="shared" si="175"/>
        <v/>
      </c>
      <c r="K5399" s="246" t="str">
        <f t="shared" si="174"/>
        <v/>
      </c>
    </row>
    <row r="5400" spans="1:11" ht="30" customHeight="1" x14ac:dyDescent="0.2">
      <c r="A5400" s="242"/>
      <c r="F5400" s="285" t="str">
        <f t="shared" si="175"/>
        <v/>
      </c>
      <c r="K5400" s="246" t="str">
        <f t="shared" si="174"/>
        <v/>
      </c>
    </row>
    <row r="5401" spans="1:11" ht="30" customHeight="1" x14ac:dyDescent="0.2">
      <c r="A5401" s="242"/>
      <c r="F5401" s="285" t="str">
        <f t="shared" si="175"/>
        <v/>
      </c>
      <c r="K5401" s="246" t="str">
        <f t="shared" si="174"/>
        <v/>
      </c>
    </row>
    <row r="5402" spans="1:11" ht="30" customHeight="1" x14ac:dyDescent="0.2">
      <c r="A5402" s="242"/>
      <c r="F5402" s="285" t="str">
        <f t="shared" si="175"/>
        <v/>
      </c>
      <c r="K5402" s="246" t="str">
        <f t="shared" si="174"/>
        <v/>
      </c>
    </row>
    <row r="5403" spans="1:11" ht="30" customHeight="1" x14ac:dyDescent="0.2">
      <c r="A5403" s="242"/>
      <c r="F5403" s="285" t="str">
        <f t="shared" si="175"/>
        <v/>
      </c>
      <c r="K5403" s="246" t="str">
        <f t="shared" si="174"/>
        <v/>
      </c>
    </row>
    <row r="5404" spans="1:11" ht="30" customHeight="1" x14ac:dyDescent="0.2">
      <c r="A5404" s="242"/>
      <c r="F5404" s="285" t="str">
        <f t="shared" si="175"/>
        <v/>
      </c>
      <c r="K5404" s="246" t="str">
        <f t="shared" si="174"/>
        <v/>
      </c>
    </row>
    <row r="5405" spans="1:11" ht="30" customHeight="1" x14ac:dyDescent="0.2">
      <c r="A5405" s="242"/>
      <c r="F5405" s="285" t="str">
        <f t="shared" si="175"/>
        <v/>
      </c>
      <c r="K5405" s="246" t="str">
        <f t="shared" si="174"/>
        <v/>
      </c>
    </row>
    <row r="5406" spans="1:11" ht="30" customHeight="1" x14ac:dyDescent="0.2">
      <c r="A5406" s="242"/>
      <c r="F5406" s="285" t="str">
        <f t="shared" si="175"/>
        <v/>
      </c>
      <c r="K5406" s="246" t="str">
        <f t="shared" si="174"/>
        <v/>
      </c>
    </row>
    <row r="5407" spans="1:11" ht="30" customHeight="1" x14ac:dyDescent="0.2">
      <c r="A5407" s="242"/>
      <c r="F5407" s="285" t="str">
        <f t="shared" si="175"/>
        <v/>
      </c>
      <c r="K5407" s="246" t="str">
        <f t="shared" si="174"/>
        <v/>
      </c>
    </row>
    <row r="5408" spans="1:11" ht="30" customHeight="1" x14ac:dyDescent="0.2">
      <c r="A5408" s="242"/>
      <c r="F5408" s="285" t="str">
        <f t="shared" si="175"/>
        <v/>
      </c>
      <c r="K5408" s="246" t="str">
        <f t="shared" si="174"/>
        <v/>
      </c>
    </row>
    <row r="5409" spans="1:11" ht="30" customHeight="1" x14ac:dyDescent="0.2">
      <c r="A5409" s="242"/>
      <c r="F5409" s="285" t="str">
        <f t="shared" si="175"/>
        <v/>
      </c>
      <c r="K5409" s="246" t="str">
        <f t="shared" si="174"/>
        <v/>
      </c>
    </row>
    <row r="5410" spans="1:11" ht="30" customHeight="1" x14ac:dyDescent="0.2">
      <c r="A5410" s="242"/>
      <c r="F5410" s="285" t="str">
        <f t="shared" si="175"/>
        <v/>
      </c>
      <c r="K5410" s="246" t="str">
        <f t="shared" si="174"/>
        <v/>
      </c>
    </row>
    <row r="5411" spans="1:11" ht="30" customHeight="1" x14ac:dyDescent="0.2">
      <c r="A5411" s="242"/>
      <c r="F5411" s="285" t="str">
        <f t="shared" si="175"/>
        <v/>
      </c>
      <c r="K5411" s="246" t="str">
        <f t="shared" si="174"/>
        <v/>
      </c>
    </row>
    <row r="5412" spans="1:11" ht="30" customHeight="1" x14ac:dyDescent="0.2">
      <c r="A5412" s="242"/>
      <c r="F5412" s="285" t="str">
        <f t="shared" si="175"/>
        <v/>
      </c>
      <c r="K5412" s="246" t="str">
        <f t="shared" si="174"/>
        <v/>
      </c>
    </row>
    <row r="5413" spans="1:11" ht="30" customHeight="1" x14ac:dyDescent="0.2">
      <c r="A5413" s="242"/>
      <c r="F5413" s="285" t="str">
        <f t="shared" si="175"/>
        <v/>
      </c>
      <c r="K5413" s="246" t="str">
        <f t="shared" si="174"/>
        <v/>
      </c>
    </row>
    <row r="5414" spans="1:11" ht="30" customHeight="1" x14ac:dyDescent="0.2">
      <c r="A5414" s="242"/>
      <c r="F5414" s="285" t="str">
        <f t="shared" si="175"/>
        <v/>
      </c>
      <c r="K5414" s="246" t="str">
        <f t="shared" si="174"/>
        <v/>
      </c>
    </row>
    <row r="5415" spans="1:11" ht="30" customHeight="1" x14ac:dyDescent="0.2">
      <c r="A5415" s="242"/>
      <c r="F5415" s="285" t="str">
        <f t="shared" si="175"/>
        <v/>
      </c>
      <c r="K5415" s="246" t="str">
        <f t="shared" si="174"/>
        <v/>
      </c>
    </row>
    <row r="5416" spans="1:11" ht="30" customHeight="1" x14ac:dyDescent="0.2">
      <c r="A5416" s="242"/>
      <c r="F5416" s="285" t="str">
        <f t="shared" si="175"/>
        <v/>
      </c>
      <c r="K5416" s="246" t="str">
        <f t="shared" si="174"/>
        <v/>
      </c>
    </row>
    <row r="5417" spans="1:11" ht="30" customHeight="1" x14ac:dyDescent="0.2">
      <c r="A5417" s="242"/>
      <c r="F5417" s="285" t="str">
        <f t="shared" si="175"/>
        <v/>
      </c>
      <c r="K5417" s="246" t="str">
        <f t="shared" si="174"/>
        <v/>
      </c>
    </row>
    <row r="5418" spans="1:11" ht="30" customHeight="1" x14ac:dyDescent="0.2">
      <c r="A5418" s="242"/>
      <c r="F5418" s="285" t="str">
        <f t="shared" si="175"/>
        <v/>
      </c>
      <c r="K5418" s="246" t="str">
        <f t="shared" si="174"/>
        <v/>
      </c>
    </row>
    <row r="5419" spans="1:11" ht="30" customHeight="1" x14ac:dyDescent="0.2">
      <c r="A5419" s="242"/>
      <c r="F5419" s="285" t="str">
        <f t="shared" si="175"/>
        <v/>
      </c>
      <c r="K5419" s="246" t="str">
        <f t="shared" si="174"/>
        <v/>
      </c>
    </row>
    <row r="5420" spans="1:11" ht="30" customHeight="1" x14ac:dyDescent="0.2">
      <c r="A5420" s="242"/>
      <c r="F5420" s="285" t="str">
        <f t="shared" si="175"/>
        <v/>
      </c>
      <c r="K5420" s="246" t="str">
        <f t="shared" si="174"/>
        <v/>
      </c>
    </row>
    <row r="5421" spans="1:11" ht="30" customHeight="1" x14ac:dyDescent="0.2">
      <c r="A5421" s="242"/>
      <c r="F5421" s="285" t="str">
        <f t="shared" si="175"/>
        <v/>
      </c>
      <c r="K5421" s="246" t="str">
        <f t="shared" si="174"/>
        <v/>
      </c>
    </row>
    <row r="5422" spans="1:11" ht="30" customHeight="1" x14ac:dyDescent="0.2">
      <c r="A5422" s="242"/>
      <c r="F5422" s="285" t="str">
        <f t="shared" si="175"/>
        <v/>
      </c>
      <c r="K5422" s="246" t="str">
        <f t="shared" si="174"/>
        <v/>
      </c>
    </row>
    <row r="5423" spans="1:11" ht="30" customHeight="1" x14ac:dyDescent="0.2">
      <c r="A5423" s="242"/>
      <c r="F5423" s="285" t="str">
        <f t="shared" si="175"/>
        <v/>
      </c>
      <c r="K5423" s="246" t="str">
        <f t="shared" si="174"/>
        <v/>
      </c>
    </row>
    <row r="5424" spans="1:11" ht="30" customHeight="1" x14ac:dyDescent="0.2">
      <c r="A5424" s="242"/>
      <c r="F5424" s="285" t="str">
        <f t="shared" si="175"/>
        <v/>
      </c>
      <c r="K5424" s="246" t="str">
        <f t="shared" si="174"/>
        <v/>
      </c>
    </row>
    <row r="5425" spans="1:11" ht="30" customHeight="1" x14ac:dyDescent="0.2">
      <c r="A5425" s="242"/>
      <c r="F5425" s="285" t="str">
        <f t="shared" si="175"/>
        <v/>
      </c>
      <c r="K5425" s="246" t="str">
        <f t="shared" si="174"/>
        <v/>
      </c>
    </row>
    <row r="5426" spans="1:11" ht="30" customHeight="1" x14ac:dyDescent="0.2">
      <c r="A5426" s="242"/>
      <c r="F5426" s="285" t="str">
        <f t="shared" si="175"/>
        <v/>
      </c>
      <c r="K5426" s="246" t="str">
        <f t="shared" si="174"/>
        <v/>
      </c>
    </row>
    <row r="5427" spans="1:11" ht="30" customHeight="1" x14ac:dyDescent="0.2">
      <c r="A5427" s="242"/>
      <c r="F5427" s="285" t="str">
        <f t="shared" si="175"/>
        <v/>
      </c>
      <c r="K5427" s="246" t="str">
        <f t="shared" si="174"/>
        <v/>
      </c>
    </row>
    <row r="5428" spans="1:11" ht="30" customHeight="1" x14ac:dyDescent="0.2">
      <c r="A5428" s="242"/>
      <c r="F5428" s="285" t="str">
        <f t="shared" si="175"/>
        <v/>
      </c>
      <c r="K5428" s="246" t="str">
        <f t="shared" si="174"/>
        <v/>
      </c>
    </row>
    <row r="5429" spans="1:11" ht="30" customHeight="1" x14ac:dyDescent="0.2">
      <c r="A5429" s="242"/>
      <c r="F5429" s="285" t="str">
        <f t="shared" si="175"/>
        <v/>
      </c>
      <c r="K5429" s="246" t="str">
        <f t="shared" si="174"/>
        <v/>
      </c>
    </row>
    <row r="5430" spans="1:11" ht="30" customHeight="1" x14ac:dyDescent="0.2">
      <c r="A5430" s="242"/>
      <c r="F5430" s="285" t="str">
        <f t="shared" si="175"/>
        <v/>
      </c>
      <c r="K5430" s="246" t="str">
        <f t="shared" si="174"/>
        <v/>
      </c>
    </row>
    <row r="5431" spans="1:11" ht="30" customHeight="1" x14ac:dyDescent="0.2">
      <c r="A5431" s="242"/>
      <c r="F5431" s="285" t="str">
        <f t="shared" si="175"/>
        <v/>
      </c>
      <c r="K5431" s="246" t="str">
        <f t="shared" si="174"/>
        <v/>
      </c>
    </row>
    <row r="5432" spans="1:11" ht="30" customHeight="1" x14ac:dyDescent="0.2">
      <c r="A5432" s="242"/>
      <c r="F5432" s="285" t="str">
        <f t="shared" si="175"/>
        <v/>
      </c>
      <c r="K5432" s="246" t="str">
        <f t="shared" si="174"/>
        <v/>
      </c>
    </row>
    <row r="5433" spans="1:11" ht="30" customHeight="1" x14ac:dyDescent="0.2">
      <c r="A5433" s="242"/>
      <c r="F5433" s="285" t="str">
        <f t="shared" si="175"/>
        <v/>
      </c>
      <c r="K5433" s="246" t="str">
        <f t="shared" si="174"/>
        <v/>
      </c>
    </row>
    <row r="5434" spans="1:11" ht="30" customHeight="1" x14ac:dyDescent="0.2">
      <c r="A5434" s="242"/>
      <c r="F5434" s="285" t="str">
        <f t="shared" si="175"/>
        <v/>
      </c>
      <c r="K5434" s="246" t="str">
        <f t="shared" si="174"/>
        <v/>
      </c>
    </row>
    <row r="5435" spans="1:11" ht="30" customHeight="1" x14ac:dyDescent="0.2">
      <c r="A5435" s="242"/>
      <c r="F5435" s="285" t="str">
        <f t="shared" si="175"/>
        <v/>
      </c>
      <c r="K5435" s="246" t="str">
        <f t="shared" ref="K5435:K5498" si="176">IF(A5435="","",A5435)</f>
        <v/>
      </c>
    </row>
    <row r="5436" spans="1:11" ht="30" customHeight="1" x14ac:dyDescent="0.2">
      <c r="A5436" s="242"/>
      <c r="F5436" s="285" t="str">
        <f t="shared" si="175"/>
        <v/>
      </c>
      <c r="K5436" s="246" t="str">
        <f t="shared" si="176"/>
        <v/>
      </c>
    </row>
    <row r="5437" spans="1:11" ht="30" customHeight="1" x14ac:dyDescent="0.2">
      <c r="A5437" s="242"/>
      <c r="F5437" s="285" t="str">
        <f t="shared" si="175"/>
        <v/>
      </c>
      <c r="K5437" s="246" t="str">
        <f t="shared" si="176"/>
        <v/>
      </c>
    </row>
    <row r="5438" spans="1:11" ht="30" customHeight="1" x14ac:dyDescent="0.2">
      <c r="A5438" s="242"/>
      <c r="F5438" s="285" t="str">
        <f t="shared" si="175"/>
        <v/>
      </c>
      <c r="K5438" s="246" t="str">
        <f t="shared" si="176"/>
        <v/>
      </c>
    </row>
    <row r="5439" spans="1:11" ht="30" customHeight="1" x14ac:dyDescent="0.2">
      <c r="A5439" s="242"/>
      <c r="F5439" s="285" t="str">
        <f t="shared" si="175"/>
        <v/>
      </c>
      <c r="K5439" s="246" t="str">
        <f t="shared" si="176"/>
        <v/>
      </c>
    </row>
    <row r="5440" spans="1:11" ht="30" customHeight="1" x14ac:dyDescent="0.2">
      <c r="A5440" s="242"/>
      <c r="F5440" s="285" t="str">
        <f t="shared" si="175"/>
        <v/>
      </c>
      <c r="K5440" s="246" t="str">
        <f t="shared" si="176"/>
        <v/>
      </c>
    </row>
    <row r="5441" spans="1:11" ht="30" customHeight="1" x14ac:dyDescent="0.2">
      <c r="A5441" s="242"/>
      <c r="F5441" s="285" t="str">
        <f t="shared" si="175"/>
        <v/>
      </c>
      <c r="K5441" s="246" t="str">
        <f t="shared" si="176"/>
        <v/>
      </c>
    </row>
    <row r="5442" spans="1:11" ht="30" customHeight="1" x14ac:dyDescent="0.2">
      <c r="A5442" s="242"/>
      <c r="F5442" s="285" t="str">
        <f t="shared" si="175"/>
        <v/>
      </c>
      <c r="K5442" s="246" t="str">
        <f t="shared" si="176"/>
        <v/>
      </c>
    </row>
    <row r="5443" spans="1:11" ht="30" customHeight="1" x14ac:dyDescent="0.2">
      <c r="A5443" s="242"/>
      <c r="F5443" s="285" t="str">
        <f t="shared" si="175"/>
        <v/>
      </c>
      <c r="K5443" s="246" t="str">
        <f t="shared" si="176"/>
        <v/>
      </c>
    </row>
    <row r="5444" spans="1:11" ht="30" customHeight="1" x14ac:dyDescent="0.2">
      <c r="A5444" s="242"/>
      <c r="F5444" s="285" t="str">
        <f t="shared" si="175"/>
        <v/>
      </c>
      <c r="K5444" s="246" t="str">
        <f t="shared" si="176"/>
        <v/>
      </c>
    </row>
    <row r="5445" spans="1:11" ht="30" customHeight="1" x14ac:dyDescent="0.2">
      <c r="A5445" s="242"/>
      <c r="F5445" s="285" t="str">
        <f t="shared" ref="F5445:F5508" si="177">IF(A5445="","",A5445)</f>
        <v/>
      </c>
      <c r="K5445" s="246" t="str">
        <f t="shared" si="176"/>
        <v/>
      </c>
    </row>
    <row r="5446" spans="1:11" ht="30" customHeight="1" x14ac:dyDescent="0.2">
      <c r="A5446" s="242"/>
      <c r="F5446" s="285" t="str">
        <f t="shared" si="177"/>
        <v/>
      </c>
      <c r="K5446" s="246" t="str">
        <f t="shared" si="176"/>
        <v/>
      </c>
    </row>
    <row r="5447" spans="1:11" ht="30" customHeight="1" x14ac:dyDescent="0.2">
      <c r="A5447" s="242"/>
      <c r="F5447" s="285" t="str">
        <f t="shared" si="177"/>
        <v/>
      </c>
      <c r="K5447" s="246" t="str">
        <f t="shared" si="176"/>
        <v/>
      </c>
    </row>
    <row r="5448" spans="1:11" ht="30" customHeight="1" x14ac:dyDescent="0.2">
      <c r="A5448" s="242"/>
      <c r="F5448" s="285" t="str">
        <f t="shared" si="177"/>
        <v/>
      </c>
      <c r="K5448" s="246" t="str">
        <f t="shared" si="176"/>
        <v/>
      </c>
    </row>
    <row r="5449" spans="1:11" ht="30" customHeight="1" x14ac:dyDescent="0.2">
      <c r="A5449" s="242"/>
      <c r="F5449" s="285" t="str">
        <f t="shared" si="177"/>
        <v/>
      </c>
      <c r="K5449" s="246" t="str">
        <f t="shared" si="176"/>
        <v/>
      </c>
    </row>
    <row r="5450" spans="1:11" ht="30" customHeight="1" x14ac:dyDescent="0.2">
      <c r="A5450" s="242"/>
      <c r="F5450" s="285" t="str">
        <f t="shared" si="177"/>
        <v/>
      </c>
      <c r="K5450" s="246" t="str">
        <f t="shared" si="176"/>
        <v/>
      </c>
    </row>
    <row r="5451" spans="1:11" ht="30" customHeight="1" x14ac:dyDescent="0.2">
      <c r="A5451" s="242"/>
      <c r="F5451" s="285" t="str">
        <f t="shared" si="177"/>
        <v/>
      </c>
      <c r="K5451" s="246" t="str">
        <f t="shared" si="176"/>
        <v/>
      </c>
    </row>
    <row r="5452" spans="1:11" ht="30" customHeight="1" x14ac:dyDescent="0.2">
      <c r="A5452" s="242"/>
      <c r="F5452" s="285" t="str">
        <f t="shared" si="177"/>
        <v/>
      </c>
      <c r="K5452" s="246" t="str">
        <f t="shared" si="176"/>
        <v/>
      </c>
    </row>
    <row r="5453" spans="1:11" ht="30" customHeight="1" x14ac:dyDescent="0.2">
      <c r="A5453" s="242"/>
      <c r="F5453" s="285" t="str">
        <f t="shared" si="177"/>
        <v/>
      </c>
      <c r="K5453" s="246" t="str">
        <f t="shared" si="176"/>
        <v/>
      </c>
    </row>
    <row r="5454" spans="1:11" ht="30" customHeight="1" x14ac:dyDescent="0.2">
      <c r="A5454" s="242"/>
      <c r="F5454" s="285" t="str">
        <f t="shared" si="177"/>
        <v/>
      </c>
      <c r="K5454" s="246" t="str">
        <f t="shared" si="176"/>
        <v/>
      </c>
    </row>
    <row r="5455" spans="1:11" ht="30" customHeight="1" x14ac:dyDescent="0.2">
      <c r="A5455" s="242"/>
      <c r="F5455" s="285" t="str">
        <f t="shared" si="177"/>
        <v/>
      </c>
      <c r="K5455" s="246" t="str">
        <f t="shared" si="176"/>
        <v/>
      </c>
    </row>
    <row r="5456" spans="1:11" ht="30" customHeight="1" x14ac:dyDescent="0.2">
      <c r="A5456" s="242"/>
      <c r="F5456" s="285" t="str">
        <f t="shared" si="177"/>
        <v/>
      </c>
      <c r="K5456" s="246" t="str">
        <f t="shared" si="176"/>
        <v/>
      </c>
    </row>
    <row r="5457" spans="1:11" ht="30" customHeight="1" x14ac:dyDescent="0.2">
      <c r="A5457" s="242"/>
      <c r="F5457" s="285" t="str">
        <f t="shared" si="177"/>
        <v/>
      </c>
      <c r="K5457" s="246" t="str">
        <f t="shared" si="176"/>
        <v/>
      </c>
    </row>
    <row r="5458" spans="1:11" ht="30" customHeight="1" x14ac:dyDescent="0.2">
      <c r="A5458" s="242"/>
      <c r="F5458" s="285" t="str">
        <f t="shared" si="177"/>
        <v/>
      </c>
      <c r="K5458" s="246" t="str">
        <f t="shared" si="176"/>
        <v/>
      </c>
    </row>
    <row r="5459" spans="1:11" ht="30" customHeight="1" x14ac:dyDescent="0.2">
      <c r="A5459" s="242"/>
      <c r="F5459" s="285" t="str">
        <f t="shared" si="177"/>
        <v/>
      </c>
      <c r="K5459" s="246" t="str">
        <f t="shared" si="176"/>
        <v/>
      </c>
    </row>
    <row r="5460" spans="1:11" ht="30" customHeight="1" x14ac:dyDescent="0.2">
      <c r="A5460" s="242"/>
      <c r="F5460" s="285" t="str">
        <f t="shared" si="177"/>
        <v/>
      </c>
      <c r="K5460" s="246" t="str">
        <f t="shared" si="176"/>
        <v/>
      </c>
    </row>
    <row r="5461" spans="1:11" ht="30" customHeight="1" x14ac:dyDescent="0.2">
      <c r="A5461" s="242"/>
      <c r="F5461" s="285" t="str">
        <f t="shared" si="177"/>
        <v/>
      </c>
      <c r="K5461" s="246" t="str">
        <f t="shared" si="176"/>
        <v/>
      </c>
    </row>
    <row r="5462" spans="1:11" ht="30" customHeight="1" x14ac:dyDescent="0.2">
      <c r="A5462" s="242"/>
      <c r="F5462" s="285" t="str">
        <f t="shared" si="177"/>
        <v/>
      </c>
      <c r="K5462" s="246" t="str">
        <f t="shared" si="176"/>
        <v/>
      </c>
    </row>
    <row r="5463" spans="1:11" ht="30" customHeight="1" x14ac:dyDescent="0.2">
      <c r="A5463" s="242"/>
      <c r="F5463" s="285" t="str">
        <f t="shared" si="177"/>
        <v/>
      </c>
      <c r="K5463" s="246" t="str">
        <f t="shared" si="176"/>
        <v/>
      </c>
    </row>
    <row r="5464" spans="1:11" ht="30" customHeight="1" x14ac:dyDescent="0.2">
      <c r="A5464" s="242"/>
      <c r="F5464" s="285" t="str">
        <f t="shared" si="177"/>
        <v/>
      </c>
      <c r="K5464" s="246" t="str">
        <f t="shared" si="176"/>
        <v/>
      </c>
    </row>
    <row r="5465" spans="1:11" ht="30" customHeight="1" x14ac:dyDescent="0.2">
      <c r="A5465" s="242"/>
      <c r="F5465" s="285" t="str">
        <f t="shared" si="177"/>
        <v/>
      </c>
      <c r="K5465" s="246" t="str">
        <f t="shared" si="176"/>
        <v/>
      </c>
    </row>
    <row r="5466" spans="1:11" ht="30" customHeight="1" x14ac:dyDescent="0.2">
      <c r="A5466" s="242"/>
      <c r="F5466" s="285" t="str">
        <f t="shared" si="177"/>
        <v/>
      </c>
      <c r="K5466" s="246" t="str">
        <f t="shared" si="176"/>
        <v/>
      </c>
    </row>
    <row r="5467" spans="1:11" ht="30" customHeight="1" x14ac:dyDescent="0.2">
      <c r="A5467" s="242"/>
      <c r="F5467" s="285" t="str">
        <f t="shared" si="177"/>
        <v/>
      </c>
      <c r="K5467" s="246" t="str">
        <f t="shared" si="176"/>
        <v/>
      </c>
    </row>
    <row r="5468" spans="1:11" ht="30" customHeight="1" x14ac:dyDescent="0.2">
      <c r="A5468" s="242"/>
      <c r="F5468" s="285" t="str">
        <f t="shared" si="177"/>
        <v/>
      </c>
      <c r="K5468" s="246" t="str">
        <f t="shared" si="176"/>
        <v/>
      </c>
    </row>
    <row r="5469" spans="1:11" ht="30" customHeight="1" x14ac:dyDescent="0.2">
      <c r="A5469" s="242"/>
      <c r="F5469" s="285" t="str">
        <f t="shared" si="177"/>
        <v/>
      </c>
      <c r="K5469" s="246" t="str">
        <f t="shared" si="176"/>
        <v/>
      </c>
    </row>
    <row r="5470" spans="1:11" ht="30" customHeight="1" x14ac:dyDescent="0.2">
      <c r="A5470" s="242"/>
      <c r="F5470" s="285" t="str">
        <f t="shared" si="177"/>
        <v/>
      </c>
      <c r="K5470" s="246" t="str">
        <f t="shared" si="176"/>
        <v/>
      </c>
    </row>
    <row r="5471" spans="1:11" ht="30" customHeight="1" x14ac:dyDescent="0.2">
      <c r="A5471" s="242"/>
      <c r="F5471" s="285" t="str">
        <f t="shared" si="177"/>
        <v/>
      </c>
      <c r="K5471" s="246" t="str">
        <f t="shared" si="176"/>
        <v/>
      </c>
    </row>
    <row r="5472" spans="1:11" ht="30" customHeight="1" x14ac:dyDescent="0.2">
      <c r="A5472" s="242"/>
      <c r="F5472" s="285" t="str">
        <f t="shared" si="177"/>
        <v/>
      </c>
      <c r="K5472" s="246" t="str">
        <f t="shared" si="176"/>
        <v/>
      </c>
    </row>
    <row r="5473" spans="1:11" ht="30" customHeight="1" x14ac:dyDescent="0.2">
      <c r="A5473" s="242"/>
      <c r="F5473" s="285" t="str">
        <f t="shared" si="177"/>
        <v/>
      </c>
      <c r="K5473" s="246" t="str">
        <f t="shared" si="176"/>
        <v/>
      </c>
    </row>
    <row r="5474" spans="1:11" ht="30" customHeight="1" x14ac:dyDescent="0.2">
      <c r="A5474" s="242"/>
      <c r="F5474" s="285" t="str">
        <f t="shared" si="177"/>
        <v/>
      </c>
      <c r="K5474" s="246" t="str">
        <f t="shared" si="176"/>
        <v/>
      </c>
    </row>
    <row r="5475" spans="1:11" ht="30" customHeight="1" x14ac:dyDescent="0.2">
      <c r="A5475" s="242"/>
      <c r="F5475" s="285" t="str">
        <f t="shared" si="177"/>
        <v/>
      </c>
      <c r="K5475" s="246" t="str">
        <f t="shared" si="176"/>
        <v/>
      </c>
    </row>
    <row r="5476" spans="1:11" ht="30" customHeight="1" x14ac:dyDescent="0.2">
      <c r="A5476" s="242"/>
      <c r="F5476" s="285" t="str">
        <f t="shared" si="177"/>
        <v/>
      </c>
      <c r="K5476" s="246" t="str">
        <f t="shared" si="176"/>
        <v/>
      </c>
    </row>
    <row r="5477" spans="1:11" ht="30" customHeight="1" x14ac:dyDescent="0.2">
      <c r="A5477" s="242"/>
      <c r="F5477" s="285" t="str">
        <f t="shared" si="177"/>
        <v/>
      </c>
      <c r="K5477" s="246" t="str">
        <f t="shared" si="176"/>
        <v/>
      </c>
    </row>
    <row r="5478" spans="1:11" ht="30" customHeight="1" x14ac:dyDescent="0.2">
      <c r="A5478" s="242"/>
      <c r="F5478" s="285" t="str">
        <f t="shared" si="177"/>
        <v/>
      </c>
      <c r="K5478" s="246" t="str">
        <f t="shared" si="176"/>
        <v/>
      </c>
    </row>
    <row r="5479" spans="1:11" ht="30" customHeight="1" x14ac:dyDescent="0.2">
      <c r="A5479" s="242"/>
      <c r="F5479" s="285" t="str">
        <f t="shared" si="177"/>
        <v/>
      </c>
      <c r="K5479" s="246" t="str">
        <f t="shared" si="176"/>
        <v/>
      </c>
    </row>
    <row r="5480" spans="1:11" ht="30" customHeight="1" x14ac:dyDescent="0.2">
      <c r="A5480" s="242"/>
      <c r="F5480" s="285" t="str">
        <f t="shared" si="177"/>
        <v/>
      </c>
      <c r="K5480" s="246" t="str">
        <f t="shared" si="176"/>
        <v/>
      </c>
    </row>
    <row r="5481" spans="1:11" ht="30" customHeight="1" x14ac:dyDescent="0.2">
      <c r="A5481" s="242"/>
      <c r="F5481" s="285" t="str">
        <f t="shared" si="177"/>
        <v/>
      </c>
      <c r="K5481" s="246" t="str">
        <f t="shared" si="176"/>
        <v/>
      </c>
    </row>
    <row r="5482" spans="1:11" ht="30" customHeight="1" x14ac:dyDescent="0.2">
      <c r="A5482" s="242"/>
      <c r="F5482" s="285" t="str">
        <f t="shared" si="177"/>
        <v/>
      </c>
      <c r="K5482" s="246" t="str">
        <f t="shared" si="176"/>
        <v/>
      </c>
    </row>
    <row r="5483" spans="1:11" ht="30" customHeight="1" x14ac:dyDescent="0.2">
      <c r="A5483" s="242"/>
      <c r="F5483" s="285" t="str">
        <f t="shared" si="177"/>
        <v/>
      </c>
      <c r="K5483" s="246" t="str">
        <f t="shared" si="176"/>
        <v/>
      </c>
    </row>
    <row r="5484" spans="1:11" ht="30" customHeight="1" x14ac:dyDescent="0.2">
      <c r="A5484" s="242"/>
      <c r="F5484" s="285" t="str">
        <f t="shared" si="177"/>
        <v/>
      </c>
      <c r="K5484" s="246" t="str">
        <f t="shared" si="176"/>
        <v/>
      </c>
    </row>
    <row r="5485" spans="1:11" ht="30" customHeight="1" x14ac:dyDescent="0.2">
      <c r="A5485" s="242"/>
      <c r="F5485" s="285" t="str">
        <f t="shared" si="177"/>
        <v/>
      </c>
      <c r="K5485" s="246" t="str">
        <f t="shared" si="176"/>
        <v/>
      </c>
    </row>
    <row r="5486" spans="1:11" ht="30" customHeight="1" x14ac:dyDescent="0.2">
      <c r="A5486" s="242"/>
      <c r="F5486" s="285" t="str">
        <f t="shared" si="177"/>
        <v/>
      </c>
      <c r="K5486" s="246" t="str">
        <f t="shared" si="176"/>
        <v/>
      </c>
    </row>
    <row r="5487" spans="1:11" ht="30" customHeight="1" x14ac:dyDescent="0.2">
      <c r="A5487" s="242"/>
      <c r="F5487" s="285" t="str">
        <f t="shared" si="177"/>
        <v/>
      </c>
      <c r="K5487" s="246" t="str">
        <f t="shared" si="176"/>
        <v/>
      </c>
    </row>
    <row r="5488" spans="1:11" ht="30" customHeight="1" x14ac:dyDescent="0.2">
      <c r="A5488" s="242"/>
      <c r="F5488" s="285" t="str">
        <f t="shared" si="177"/>
        <v/>
      </c>
      <c r="K5488" s="246" t="str">
        <f t="shared" si="176"/>
        <v/>
      </c>
    </row>
    <row r="5489" spans="1:11" ht="30" customHeight="1" x14ac:dyDescent="0.2">
      <c r="A5489" s="242"/>
      <c r="F5489" s="285" t="str">
        <f t="shared" si="177"/>
        <v/>
      </c>
      <c r="K5489" s="246" t="str">
        <f t="shared" si="176"/>
        <v/>
      </c>
    </row>
    <row r="5490" spans="1:11" ht="30" customHeight="1" x14ac:dyDescent="0.2">
      <c r="A5490" s="242"/>
      <c r="F5490" s="285" t="str">
        <f t="shared" si="177"/>
        <v/>
      </c>
      <c r="K5490" s="246" t="str">
        <f t="shared" si="176"/>
        <v/>
      </c>
    </row>
    <row r="5491" spans="1:11" ht="30" customHeight="1" x14ac:dyDescent="0.2">
      <c r="A5491" s="242"/>
      <c r="F5491" s="285" t="str">
        <f t="shared" si="177"/>
        <v/>
      </c>
      <c r="K5491" s="246" t="str">
        <f t="shared" si="176"/>
        <v/>
      </c>
    </row>
    <row r="5492" spans="1:11" ht="30" customHeight="1" x14ac:dyDescent="0.2">
      <c r="A5492" s="242"/>
      <c r="F5492" s="285" t="str">
        <f t="shared" si="177"/>
        <v/>
      </c>
      <c r="K5492" s="246" t="str">
        <f t="shared" si="176"/>
        <v/>
      </c>
    </row>
    <row r="5493" spans="1:11" ht="30" customHeight="1" x14ac:dyDescent="0.2">
      <c r="A5493" s="242"/>
      <c r="F5493" s="285" t="str">
        <f t="shared" si="177"/>
        <v/>
      </c>
      <c r="K5493" s="246" t="str">
        <f t="shared" si="176"/>
        <v/>
      </c>
    </row>
    <row r="5494" spans="1:11" ht="30" customHeight="1" x14ac:dyDescent="0.2">
      <c r="A5494" s="242"/>
      <c r="F5494" s="285" t="str">
        <f t="shared" si="177"/>
        <v/>
      </c>
      <c r="K5494" s="246" t="str">
        <f t="shared" si="176"/>
        <v/>
      </c>
    </row>
    <row r="5495" spans="1:11" ht="30" customHeight="1" x14ac:dyDescent="0.2">
      <c r="A5495" s="242"/>
      <c r="F5495" s="285" t="str">
        <f t="shared" si="177"/>
        <v/>
      </c>
      <c r="K5495" s="246" t="str">
        <f t="shared" si="176"/>
        <v/>
      </c>
    </row>
    <row r="5496" spans="1:11" ht="30" customHeight="1" x14ac:dyDescent="0.2">
      <c r="A5496" s="242"/>
      <c r="F5496" s="285" t="str">
        <f t="shared" si="177"/>
        <v/>
      </c>
      <c r="K5496" s="246" t="str">
        <f t="shared" si="176"/>
        <v/>
      </c>
    </row>
    <row r="5497" spans="1:11" ht="30" customHeight="1" x14ac:dyDescent="0.2">
      <c r="A5497" s="242"/>
      <c r="F5497" s="285" t="str">
        <f t="shared" si="177"/>
        <v/>
      </c>
      <c r="K5497" s="246" t="str">
        <f t="shared" si="176"/>
        <v/>
      </c>
    </row>
    <row r="5498" spans="1:11" ht="30" customHeight="1" x14ac:dyDescent="0.2">
      <c r="A5498" s="242"/>
      <c r="F5498" s="285" t="str">
        <f t="shared" si="177"/>
        <v/>
      </c>
      <c r="K5498" s="246" t="str">
        <f t="shared" si="176"/>
        <v/>
      </c>
    </row>
    <row r="5499" spans="1:11" ht="30" customHeight="1" x14ac:dyDescent="0.2">
      <c r="A5499" s="242"/>
      <c r="F5499" s="285" t="str">
        <f t="shared" si="177"/>
        <v/>
      </c>
      <c r="K5499" s="246" t="str">
        <f t="shared" ref="K5499:K5562" si="178">IF(A5499="","",A5499)</f>
        <v/>
      </c>
    </row>
    <row r="5500" spans="1:11" ht="30" customHeight="1" x14ac:dyDescent="0.2">
      <c r="A5500" s="242"/>
      <c r="F5500" s="285" t="str">
        <f t="shared" si="177"/>
        <v/>
      </c>
      <c r="K5500" s="246" t="str">
        <f t="shared" si="178"/>
        <v/>
      </c>
    </row>
    <row r="5501" spans="1:11" ht="30" customHeight="1" x14ac:dyDescent="0.2">
      <c r="A5501" s="242"/>
      <c r="F5501" s="285" t="str">
        <f t="shared" si="177"/>
        <v/>
      </c>
      <c r="K5501" s="246" t="str">
        <f t="shared" si="178"/>
        <v/>
      </c>
    </row>
    <row r="5502" spans="1:11" ht="30" customHeight="1" x14ac:dyDescent="0.2">
      <c r="A5502" s="242"/>
      <c r="F5502" s="285" t="str">
        <f t="shared" si="177"/>
        <v/>
      </c>
      <c r="K5502" s="246" t="str">
        <f t="shared" si="178"/>
        <v/>
      </c>
    </row>
    <row r="5503" spans="1:11" ht="30" customHeight="1" x14ac:dyDescent="0.2">
      <c r="A5503" s="242"/>
      <c r="F5503" s="285" t="str">
        <f t="shared" si="177"/>
        <v/>
      </c>
      <c r="K5503" s="246" t="str">
        <f t="shared" si="178"/>
        <v/>
      </c>
    </row>
    <row r="5504" spans="1:11" ht="30" customHeight="1" x14ac:dyDescent="0.2">
      <c r="A5504" s="242"/>
      <c r="F5504" s="285" t="str">
        <f t="shared" si="177"/>
        <v/>
      </c>
      <c r="K5504" s="246" t="str">
        <f t="shared" si="178"/>
        <v/>
      </c>
    </row>
    <row r="5505" spans="1:11" ht="30" customHeight="1" x14ac:dyDescent="0.2">
      <c r="A5505" s="242"/>
      <c r="F5505" s="285" t="str">
        <f t="shared" si="177"/>
        <v/>
      </c>
      <c r="K5505" s="246" t="str">
        <f t="shared" si="178"/>
        <v/>
      </c>
    </row>
    <row r="5506" spans="1:11" ht="30" customHeight="1" x14ac:dyDescent="0.2">
      <c r="A5506" s="242"/>
      <c r="F5506" s="285" t="str">
        <f t="shared" si="177"/>
        <v/>
      </c>
      <c r="K5506" s="246" t="str">
        <f t="shared" si="178"/>
        <v/>
      </c>
    </row>
    <row r="5507" spans="1:11" ht="30" customHeight="1" x14ac:dyDescent="0.2">
      <c r="A5507" s="242"/>
      <c r="F5507" s="285" t="str">
        <f t="shared" si="177"/>
        <v/>
      </c>
      <c r="K5507" s="246" t="str">
        <f t="shared" si="178"/>
        <v/>
      </c>
    </row>
    <row r="5508" spans="1:11" ht="30" customHeight="1" x14ac:dyDescent="0.2">
      <c r="A5508" s="242"/>
      <c r="F5508" s="285" t="str">
        <f t="shared" si="177"/>
        <v/>
      </c>
      <c r="K5508" s="246" t="str">
        <f t="shared" si="178"/>
        <v/>
      </c>
    </row>
    <row r="5509" spans="1:11" ht="30" customHeight="1" x14ac:dyDescent="0.2">
      <c r="A5509" s="242"/>
      <c r="F5509" s="285" t="str">
        <f t="shared" ref="F5509:F5572" si="179">IF(A5509="","",A5509)</f>
        <v/>
      </c>
      <c r="K5509" s="246" t="str">
        <f t="shared" si="178"/>
        <v/>
      </c>
    </row>
    <row r="5510" spans="1:11" ht="30" customHeight="1" x14ac:dyDescent="0.2">
      <c r="A5510" s="242"/>
      <c r="F5510" s="285" t="str">
        <f t="shared" si="179"/>
        <v/>
      </c>
      <c r="K5510" s="246" t="str">
        <f t="shared" si="178"/>
        <v/>
      </c>
    </row>
    <row r="5511" spans="1:11" ht="30" customHeight="1" x14ac:dyDescent="0.2">
      <c r="A5511" s="242"/>
      <c r="F5511" s="285" t="str">
        <f t="shared" si="179"/>
        <v/>
      </c>
      <c r="K5511" s="246" t="str">
        <f t="shared" si="178"/>
        <v/>
      </c>
    </row>
    <row r="5512" spans="1:11" ht="30" customHeight="1" x14ac:dyDescent="0.2">
      <c r="A5512" s="242"/>
      <c r="F5512" s="285" t="str">
        <f t="shared" si="179"/>
        <v/>
      </c>
      <c r="K5512" s="246" t="str">
        <f t="shared" si="178"/>
        <v/>
      </c>
    </row>
    <row r="5513" spans="1:11" ht="30" customHeight="1" x14ac:dyDescent="0.2">
      <c r="A5513" s="242"/>
      <c r="F5513" s="285" t="str">
        <f t="shared" si="179"/>
        <v/>
      </c>
      <c r="K5513" s="246" t="str">
        <f t="shared" si="178"/>
        <v/>
      </c>
    </row>
    <row r="5514" spans="1:11" ht="30" customHeight="1" x14ac:dyDescent="0.2">
      <c r="A5514" s="242"/>
      <c r="F5514" s="285" t="str">
        <f t="shared" si="179"/>
        <v/>
      </c>
      <c r="K5514" s="246" t="str">
        <f t="shared" si="178"/>
        <v/>
      </c>
    </row>
    <row r="5515" spans="1:11" ht="30" customHeight="1" x14ac:dyDescent="0.2">
      <c r="A5515" s="242"/>
      <c r="F5515" s="285" t="str">
        <f t="shared" si="179"/>
        <v/>
      </c>
      <c r="K5515" s="246" t="str">
        <f t="shared" si="178"/>
        <v/>
      </c>
    </row>
    <row r="5516" spans="1:11" ht="30" customHeight="1" x14ac:dyDescent="0.2">
      <c r="A5516" s="242"/>
      <c r="F5516" s="285" t="str">
        <f t="shared" si="179"/>
        <v/>
      </c>
      <c r="K5516" s="246" t="str">
        <f t="shared" si="178"/>
        <v/>
      </c>
    </row>
    <row r="5517" spans="1:11" ht="30" customHeight="1" x14ac:dyDescent="0.2">
      <c r="A5517" s="242"/>
      <c r="F5517" s="285" t="str">
        <f t="shared" si="179"/>
        <v/>
      </c>
      <c r="K5517" s="246" t="str">
        <f t="shared" si="178"/>
        <v/>
      </c>
    </row>
    <row r="5518" spans="1:11" ht="30" customHeight="1" x14ac:dyDescent="0.2">
      <c r="A5518" s="242"/>
      <c r="F5518" s="285" t="str">
        <f t="shared" si="179"/>
        <v/>
      </c>
      <c r="K5518" s="246" t="str">
        <f t="shared" si="178"/>
        <v/>
      </c>
    </row>
    <row r="5519" spans="1:11" ht="30" customHeight="1" x14ac:dyDescent="0.2">
      <c r="A5519" s="242"/>
      <c r="F5519" s="285" t="str">
        <f t="shared" si="179"/>
        <v/>
      </c>
      <c r="K5519" s="246" t="str">
        <f t="shared" si="178"/>
        <v/>
      </c>
    </row>
    <row r="5520" spans="1:11" ht="30" customHeight="1" x14ac:dyDescent="0.2">
      <c r="A5520" s="242"/>
      <c r="F5520" s="285" t="str">
        <f t="shared" si="179"/>
        <v/>
      </c>
      <c r="K5520" s="246" t="str">
        <f t="shared" si="178"/>
        <v/>
      </c>
    </row>
    <row r="5521" spans="1:11" ht="30" customHeight="1" x14ac:dyDescent="0.2">
      <c r="A5521" s="242"/>
      <c r="F5521" s="285" t="str">
        <f t="shared" si="179"/>
        <v/>
      </c>
      <c r="K5521" s="246" t="str">
        <f t="shared" si="178"/>
        <v/>
      </c>
    </row>
    <row r="5522" spans="1:11" ht="30" customHeight="1" x14ac:dyDescent="0.2">
      <c r="A5522" s="242"/>
      <c r="F5522" s="285" t="str">
        <f t="shared" si="179"/>
        <v/>
      </c>
      <c r="K5522" s="246" t="str">
        <f t="shared" si="178"/>
        <v/>
      </c>
    </row>
    <row r="5523" spans="1:11" ht="30" customHeight="1" x14ac:dyDescent="0.2">
      <c r="A5523" s="242"/>
      <c r="F5523" s="285" t="str">
        <f t="shared" si="179"/>
        <v/>
      </c>
      <c r="K5523" s="246" t="str">
        <f t="shared" si="178"/>
        <v/>
      </c>
    </row>
    <row r="5524" spans="1:11" ht="30" customHeight="1" x14ac:dyDescent="0.2">
      <c r="A5524" s="242"/>
      <c r="F5524" s="285" t="str">
        <f t="shared" si="179"/>
        <v/>
      </c>
      <c r="K5524" s="246" t="str">
        <f t="shared" si="178"/>
        <v/>
      </c>
    </row>
    <row r="5525" spans="1:11" ht="30" customHeight="1" x14ac:dyDescent="0.2">
      <c r="A5525" s="242"/>
      <c r="F5525" s="285" t="str">
        <f t="shared" si="179"/>
        <v/>
      </c>
      <c r="K5525" s="246" t="str">
        <f t="shared" si="178"/>
        <v/>
      </c>
    </row>
    <row r="5526" spans="1:11" ht="30" customHeight="1" x14ac:dyDescent="0.2">
      <c r="A5526" s="242"/>
      <c r="F5526" s="285" t="str">
        <f t="shared" si="179"/>
        <v/>
      </c>
      <c r="K5526" s="246" t="str">
        <f t="shared" si="178"/>
        <v/>
      </c>
    </row>
    <row r="5527" spans="1:11" ht="30" customHeight="1" x14ac:dyDescent="0.2">
      <c r="A5527" s="242"/>
      <c r="F5527" s="285" t="str">
        <f t="shared" si="179"/>
        <v/>
      </c>
      <c r="K5527" s="246" t="str">
        <f t="shared" si="178"/>
        <v/>
      </c>
    </row>
    <row r="5528" spans="1:11" ht="30" customHeight="1" x14ac:dyDescent="0.2">
      <c r="A5528" s="242"/>
      <c r="F5528" s="285" t="str">
        <f t="shared" si="179"/>
        <v/>
      </c>
      <c r="K5528" s="246" t="str">
        <f t="shared" si="178"/>
        <v/>
      </c>
    </row>
    <row r="5529" spans="1:11" ht="30" customHeight="1" x14ac:dyDescent="0.2">
      <c r="A5529" s="242"/>
      <c r="F5529" s="285" t="str">
        <f t="shared" si="179"/>
        <v/>
      </c>
      <c r="K5529" s="246" t="str">
        <f t="shared" si="178"/>
        <v/>
      </c>
    </row>
    <row r="5530" spans="1:11" ht="30" customHeight="1" x14ac:dyDescent="0.2">
      <c r="A5530" s="242"/>
      <c r="F5530" s="285" t="str">
        <f t="shared" si="179"/>
        <v/>
      </c>
      <c r="K5530" s="246" t="str">
        <f t="shared" si="178"/>
        <v/>
      </c>
    </row>
    <row r="5531" spans="1:11" ht="30" customHeight="1" x14ac:dyDescent="0.2">
      <c r="A5531" s="242"/>
      <c r="F5531" s="285" t="str">
        <f t="shared" si="179"/>
        <v/>
      </c>
      <c r="K5531" s="246" t="str">
        <f t="shared" si="178"/>
        <v/>
      </c>
    </row>
    <row r="5532" spans="1:11" ht="30" customHeight="1" x14ac:dyDescent="0.2">
      <c r="A5532" s="242"/>
      <c r="F5532" s="285" t="str">
        <f t="shared" si="179"/>
        <v/>
      </c>
      <c r="K5532" s="246" t="str">
        <f t="shared" si="178"/>
        <v/>
      </c>
    </row>
    <row r="5533" spans="1:11" ht="30" customHeight="1" x14ac:dyDescent="0.2">
      <c r="A5533" s="242"/>
      <c r="F5533" s="285" t="str">
        <f t="shared" si="179"/>
        <v/>
      </c>
      <c r="K5533" s="246" t="str">
        <f t="shared" si="178"/>
        <v/>
      </c>
    </row>
    <row r="5534" spans="1:11" ht="30" customHeight="1" x14ac:dyDescent="0.2">
      <c r="A5534" s="242"/>
      <c r="F5534" s="285" t="str">
        <f t="shared" si="179"/>
        <v/>
      </c>
      <c r="K5534" s="246" t="str">
        <f t="shared" si="178"/>
        <v/>
      </c>
    </row>
    <row r="5535" spans="1:11" ht="30" customHeight="1" x14ac:dyDescent="0.2">
      <c r="A5535" s="242"/>
      <c r="F5535" s="285" t="str">
        <f t="shared" si="179"/>
        <v/>
      </c>
      <c r="K5535" s="246" t="str">
        <f t="shared" si="178"/>
        <v/>
      </c>
    </row>
    <row r="5536" spans="1:11" ht="30" customHeight="1" x14ac:dyDescent="0.2">
      <c r="A5536" s="242"/>
      <c r="F5536" s="285" t="str">
        <f t="shared" si="179"/>
        <v/>
      </c>
      <c r="K5536" s="246" t="str">
        <f t="shared" si="178"/>
        <v/>
      </c>
    </row>
    <row r="5537" spans="1:11" ht="30" customHeight="1" x14ac:dyDescent="0.2">
      <c r="A5537" s="242"/>
      <c r="F5537" s="285" t="str">
        <f t="shared" si="179"/>
        <v/>
      </c>
      <c r="K5537" s="246" t="str">
        <f t="shared" si="178"/>
        <v/>
      </c>
    </row>
    <row r="5538" spans="1:11" ht="30" customHeight="1" x14ac:dyDescent="0.2">
      <c r="A5538" s="242"/>
      <c r="F5538" s="285" t="str">
        <f t="shared" si="179"/>
        <v/>
      </c>
      <c r="K5538" s="246" t="str">
        <f t="shared" si="178"/>
        <v/>
      </c>
    </row>
    <row r="5539" spans="1:11" ht="30" customHeight="1" x14ac:dyDescent="0.2">
      <c r="A5539" s="242"/>
      <c r="F5539" s="285" t="str">
        <f t="shared" si="179"/>
        <v/>
      </c>
      <c r="K5539" s="246" t="str">
        <f t="shared" si="178"/>
        <v/>
      </c>
    </row>
    <row r="5540" spans="1:11" ht="30" customHeight="1" x14ac:dyDescent="0.2">
      <c r="A5540" s="242"/>
      <c r="F5540" s="285" t="str">
        <f t="shared" si="179"/>
        <v/>
      </c>
      <c r="K5540" s="246" t="str">
        <f t="shared" si="178"/>
        <v/>
      </c>
    </row>
    <row r="5541" spans="1:11" ht="30" customHeight="1" x14ac:dyDescent="0.2">
      <c r="A5541" s="242"/>
      <c r="F5541" s="285" t="str">
        <f t="shared" si="179"/>
        <v/>
      </c>
      <c r="K5541" s="246" t="str">
        <f t="shared" si="178"/>
        <v/>
      </c>
    </row>
    <row r="5542" spans="1:11" ht="30" customHeight="1" x14ac:dyDescent="0.2">
      <c r="A5542" s="242"/>
      <c r="F5542" s="285" t="str">
        <f t="shared" si="179"/>
        <v/>
      </c>
      <c r="K5542" s="246" t="str">
        <f t="shared" si="178"/>
        <v/>
      </c>
    </row>
    <row r="5543" spans="1:11" ht="30" customHeight="1" x14ac:dyDescent="0.2">
      <c r="A5543" s="242"/>
      <c r="F5543" s="285" t="str">
        <f t="shared" si="179"/>
        <v/>
      </c>
      <c r="K5543" s="246" t="str">
        <f t="shared" si="178"/>
        <v/>
      </c>
    </row>
    <row r="5544" spans="1:11" ht="30" customHeight="1" x14ac:dyDescent="0.2">
      <c r="A5544" s="242"/>
      <c r="F5544" s="285" t="str">
        <f t="shared" si="179"/>
        <v/>
      </c>
      <c r="K5544" s="246" t="str">
        <f t="shared" si="178"/>
        <v/>
      </c>
    </row>
    <row r="5545" spans="1:11" ht="30" customHeight="1" x14ac:dyDescent="0.2">
      <c r="A5545" s="242"/>
      <c r="F5545" s="285" t="str">
        <f t="shared" si="179"/>
        <v/>
      </c>
      <c r="K5545" s="246" t="str">
        <f t="shared" si="178"/>
        <v/>
      </c>
    </row>
    <row r="5546" spans="1:11" ht="30" customHeight="1" x14ac:dyDescent="0.2">
      <c r="A5546" s="242"/>
      <c r="F5546" s="285" t="str">
        <f t="shared" si="179"/>
        <v/>
      </c>
      <c r="K5546" s="246" t="str">
        <f t="shared" si="178"/>
        <v/>
      </c>
    </row>
    <row r="5547" spans="1:11" ht="30" customHeight="1" x14ac:dyDescent="0.2">
      <c r="A5547" s="242"/>
      <c r="F5547" s="285" t="str">
        <f t="shared" si="179"/>
        <v/>
      </c>
      <c r="K5547" s="246" t="str">
        <f t="shared" si="178"/>
        <v/>
      </c>
    </row>
    <row r="5548" spans="1:11" ht="30" customHeight="1" x14ac:dyDescent="0.2">
      <c r="A5548" s="242"/>
      <c r="F5548" s="285" t="str">
        <f t="shared" si="179"/>
        <v/>
      </c>
      <c r="K5548" s="246" t="str">
        <f t="shared" si="178"/>
        <v/>
      </c>
    </row>
    <row r="5549" spans="1:11" ht="30" customHeight="1" x14ac:dyDescent="0.2">
      <c r="A5549" s="242"/>
      <c r="F5549" s="285" t="str">
        <f t="shared" si="179"/>
        <v/>
      </c>
      <c r="K5549" s="246" t="str">
        <f t="shared" si="178"/>
        <v/>
      </c>
    </row>
    <row r="5550" spans="1:11" ht="30" customHeight="1" x14ac:dyDescent="0.2">
      <c r="A5550" s="242"/>
      <c r="F5550" s="285" t="str">
        <f t="shared" si="179"/>
        <v/>
      </c>
      <c r="K5550" s="246" t="str">
        <f t="shared" si="178"/>
        <v/>
      </c>
    </row>
    <row r="5551" spans="1:11" ht="30" customHeight="1" x14ac:dyDescent="0.2">
      <c r="A5551" s="242"/>
      <c r="F5551" s="285" t="str">
        <f t="shared" si="179"/>
        <v/>
      </c>
      <c r="K5551" s="246" t="str">
        <f t="shared" si="178"/>
        <v/>
      </c>
    </row>
    <row r="5552" spans="1:11" ht="30" customHeight="1" x14ac:dyDescent="0.2">
      <c r="A5552" s="242"/>
      <c r="F5552" s="285" t="str">
        <f t="shared" si="179"/>
        <v/>
      </c>
      <c r="K5552" s="246" t="str">
        <f t="shared" si="178"/>
        <v/>
      </c>
    </row>
    <row r="5553" spans="1:11" ht="30" customHeight="1" x14ac:dyDescent="0.2">
      <c r="A5553" s="242"/>
      <c r="F5553" s="285" t="str">
        <f t="shared" si="179"/>
        <v/>
      </c>
      <c r="K5553" s="246" t="str">
        <f t="shared" si="178"/>
        <v/>
      </c>
    </row>
    <row r="5554" spans="1:11" ht="30" customHeight="1" x14ac:dyDescent="0.2">
      <c r="A5554" s="242"/>
      <c r="F5554" s="285" t="str">
        <f t="shared" si="179"/>
        <v/>
      </c>
      <c r="K5554" s="246" t="str">
        <f t="shared" si="178"/>
        <v/>
      </c>
    </row>
    <row r="5555" spans="1:11" ht="30" customHeight="1" x14ac:dyDescent="0.2">
      <c r="A5555" s="242"/>
      <c r="F5555" s="285" t="str">
        <f t="shared" si="179"/>
        <v/>
      </c>
      <c r="K5555" s="246" t="str">
        <f t="shared" si="178"/>
        <v/>
      </c>
    </row>
    <row r="5556" spans="1:11" ht="30" customHeight="1" x14ac:dyDescent="0.2">
      <c r="A5556" s="242"/>
      <c r="F5556" s="285" t="str">
        <f t="shared" si="179"/>
        <v/>
      </c>
      <c r="K5556" s="246" t="str">
        <f t="shared" si="178"/>
        <v/>
      </c>
    </row>
    <row r="5557" spans="1:11" ht="30" customHeight="1" x14ac:dyDescent="0.2">
      <c r="A5557" s="242"/>
      <c r="F5557" s="285" t="str">
        <f t="shared" si="179"/>
        <v/>
      </c>
      <c r="K5557" s="246" t="str">
        <f t="shared" si="178"/>
        <v/>
      </c>
    </row>
    <row r="5558" spans="1:11" ht="30" customHeight="1" x14ac:dyDescent="0.2">
      <c r="A5558" s="242"/>
      <c r="F5558" s="285" t="str">
        <f t="shared" si="179"/>
        <v/>
      </c>
      <c r="K5558" s="246" t="str">
        <f t="shared" si="178"/>
        <v/>
      </c>
    </row>
    <row r="5559" spans="1:11" ht="30" customHeight="1" x14ac:dyDescent="0.2">
      <c r="A5559" s="242"/>
      <c r="F5559" s="285" t="str">
        <f t="shared" si="179"/>
        <v/>
      </c>
      <c r="K5559" s="246" t="str">
        <f t="shared" si="178"/>
        <v/>
      </c>
    </row>
    <row r="5560" spans="1:11" ht="30" customHeight="1" x14ac:dyDescent="0.2">
      <c r="A5560" s="242"/>
      <c r="F5560" s="285" t="str">
        <f t="shared" si="179"/>
        <v/>
      </c>
      <c r="K5560" s="246" t="str">
        <f t="shared" si="178"/>
        <v/>
      </c>
    </row>
    <row r="5561" spans="1:11" ht="30" customHeight="1" x14ac:dyDescent="0.2">
      <c r="A5561" s="242"/>
      <c r="F5561" s="285" t="str">
        <f t="shared" si="179"/>
        <v/>
      </c>
      <c r="K5561" s="246" t="str">
        <f t="shared" si="178"/>
        <v/>
      </c>
    </row>
    <row r="5562" spans="1:11" ht="30" customHeight="1" x14ac:dyDescent="0.2">
      <c r="A5562" s="242"/>
      <c r="F5562" s="285" t="str">
        <f t="shared" si="179"/>
        <v/>
      </c>
      <c r="K5562" s="246" t="str">
        <f t="shared" si="178"/>
        <v/>
      </c>
    </row>
    <row r="5563" spans="1:11" ht="30" customHeight="1" x14ac:dyDescent="0.2">
      <c r="A5563" s="242"/>
      <c r="F5563" s="285" t="str">
        <f t="shared" si="179"/>
        <v/>
      </c>
      <c r="K5563" s="246" t="str">
        <f t="shared" ref="K5563:K5626" si="180">IF(A5563="","",A5563)</f>
        <v/>
      </c>
    </row>
    <row r="5564" spans="1:11" ht="30" customHeight="1" x14ac:dyDescent="0.2">
      <c r="A5564" s="242"/>
      <c r="F5564" s="285" t="str">
        <f t="shared" si="179"/>
        <v/>
      </c>
      <c r="K5564" s="246" t="str">
        <f t="shared" si="180"/>
        <v/>
      </c>
    </row>
    <row r="5565" spans="1:11" ht="30" customHeight="1" x14ac:dyDescent="0.2">
      <c r="A5565" s="242"/>
      <c r="F5565" s="285" t="str">
        <f t="shared" si="179"/>
        <v/>
      </c>
      <c r="K5565" s="246" t="str">
        <f t="shared" si="180"/>
        <v/>
      </c>
    </row>
    <row r="5566" spans="1:11" ht="30" customHeight="1" x14ac:dyDescent="0.2">
      <c r="A5566" s="242"/>
      <c r="F5566" s="285" t="str">
        <f t="shared" si="179"/>
        <v/>
      </c>
      <c r="K5566" s="246" t="str">
        <f t="shared" si="180"/>
        <v/>
      </c>
    </row>
    <row r="5567" spans="1:11" ht="30" customHeight="1" x14ac:dyDescent="0.2">
      <c r="A5567" s="242"/>
      <c r="F5567" s="285" t="str">
        <f t="shared" si="179"/>
        <v/>
      </c>
      <c r="K5567" s="246" t="str">
        <f t="shared" si="180"/>
        <v/>
      </c>
    </row>
    <row r="5568" spans="1:11" ht="30" customHeight="1" x14ac:dyDescent="0.2">
      <c r="A5568" s="242"/>
      <c r="F5568" s="285" t="str">
        <f t="shared" si="179"/>
        <v/>
      </c>
      <c r="K5568" s="246" t="str">
        <f t="shared" si="180"/>
        <v/>
      </c>
    </row>
    <row r="5569" spans="1:11" ht="30" customHeight="1" x14ac:dyDescent="0.2">
      <c r="A5569" s="242"/>
      <c r="F5569" s="285" t="str">
        <f t="shared" si="179"/>
        <v/>
      </c>
      <c r="K5569" s="246" t="str">
        <f t="shared" si="180"/>
        <v/>
      </c>
    </row>
    <row r="5570" spans="1:11" ht="30" customHeight="1" x14ac:dyDescent="0.2">
      <c r="A5570" s="242"/>
      <c r="F5570" s="285" t="str">
        <f t="shared" si="179"/>
        <v/>
      </c>
      <c r="K5570" s="246" t="str">
        <f t="shared" si="180"/>
        <v/>
      </c>
    </row>
    <row r="5571" spans="1:11" ht="30" customHeight="1" x14ac:dyDescent="0.2">
      <c r="A5571" s="242"/>
      <c r="F5571" s="285" t="str">
        <f t="shared" si="179"/>
        <v/>
      </c>
      <c r="K5571" s="246" t="str">
        <f t="shared" si="180"/>
        <v/>
      </c>
    </row>
    <row r="5572" spans="1:11" ht="30" customHeight="1" x14ac:dyDescent="0.2">
      <c r="A5572" s="242"/>
      <c r="F5572" s="285" t="str">
        <f t="shared" si="179"/>
        <v/>
      </c>
      <c r="K5572" s="246" t="str">
        <f t="shared" si="180"/>
        <v/>
      </c>
    </row>
    <row r="5573" spans="1:11" ht="30" customHeight="1" x14ac:dyDescent="0.2">
      <c r="A5573" s="242"/>
      <c r="F5573" s="285" t="str">
        <f t="shared" ref="F5573:F5636" si="181">IF(A5573="","",A5573)</f>
        <v/>
      </c>
      <c r="K5573" s="246" t="str">
        <f t="shared" si="180"/>
        <v/>
      </c>
    </row>
    <row r="5574" spans="1:11" ht="30" customHeight="1" x14ac:dyDescent="0.2">
      <c r="A5574" s="242"/>
      <c r="F5574" s="285" t="str">
        <f t="shared" si="181"/>
        <v/>
      </c>
      <c r="K5574" s="246" t="str">
        <f t="shared" si="180"/>
        <v/>
      </c>
    </row>
    <row r="5575" spans="1:11" ht="30" customHeight="1" x14ac:dyDescent="0.2">
      <c r="A5575" s="242"/>
      <c r="F5575" s="285" t="str">
        <f t="shared" si="181"/>
        <v/>
      </c>
      <c r="K5575" s="246" t="str">
        <f t="shared" si="180"/>
        <v/>
      </c>
    </row>
    <row r="5576" spans="1:11" ht="30" customHeight="1" x14ac:dyDescent="0.2">
      <c r="A5576" s="242"/>
      <c r="F5576" s="285" t="str">
        <f t="shared" si="181"/>
        <v/>
      </c>
      <c r="K5576" s="246" t="str">
        <f t="shared" si="180"/>
        <v/>
      </c>
    </row>
    <row r="5577" spans="1:11" ht="30" customHeight="1" x14ac:dyDescent="0.2">
      <c r="A5577" s="242"/>
      <c r="F5577" s="285" t="str">
        <f t="shared" si="181"/>
        <v/>
      </c>
      <c r="K5577" s="246" t="str">
        <f t="shared" si="180"/>
        <v/>
      </c>
    </row>
    <row r="5578" spans="1:11" ht="30" customHeight="1" x14ac:dyDescent="0.2">
      <c r="A5578" s="242"/>
      <c r="F5578" s="285" t="str">
        <f t="shared" si="181"/>
        <v/>
      </c>
      <c r="K5578" s="246" t="str">
        <f t="shared" si="180"/>
        <v/>
      </c>
    </row>
    <row r="5579" spans="1:11" ht="30" customHeight="1" x14ac:dyDescent="0.2">
      <c r="A5579" s="242"/>
      <c r="F5579" s="285" t="str">
        <f t="shared" si="181"/>
        <v/>
      </c>
      <c r="K5579" s="246" t="str">
        <f t="shared" si="180"/>
        <v/>
      </c>
    </row>
    <row r="5580" spans="1:11" ht="30" customHeight="1" x14ac:dyDescent="0.2">
      <c r="A5580" s="242"/>
      <c r="F5580" s="285" t="str">
        <f t="shared" si="181"/>
        <v/>
      </c>
      <c r="K5580" s="246" t="str">
        <f t="shared" si="180"/>
        <v/>
      </c>
    </row>
    <row r="5581" spans="1:11" ht="30" customHeight="1" x14ac:dyDescent="0.2">
      <c r="A5581" s="242"/>
      <c r="F5581" s="285" t="str">
        <f t="shared" si="181"/>
        <v/>
      </c>
      <c r="K5581" s="246" t="str">
        <f t="shared" si="180"/>
        <v/>
      </c>
    </row>
    <row r="5582" spans="1:11" ht="30" customHeight="1" x14ac:dyDescent="0.2">
      <c r="A5582" s="242"/>
      <c r="F5582" s="285" t="str">
        <f t="shared" si="181"/>
        <v/>
      </c>
      <c r="K5582" s="246" t="str">
        <f t="shared" si="180"/>
        <v/>
      </c>
    </row>
    <row r="5583" spans="1:11" ht="30" customHeight="1" x14ac:dyDescent="0.2">
      <c r="A5583" s="242"/>
      <c r="F5583" s="285" t="str">
        <f t="shared" si="181"/>
        <v/>
      </c>
      <c r="K5583" s="246" t="str">
        <f t="shared" si="180"/>
        <v/>
      </c>
    </row>
    <row r="5584" spans="1:11" ht="30" customHeight="1" x14ac:dyDescent="0.2">
      <c r="A5584" s="242"/>
      <c r="F5584" s="285" t="str">
        <f t="shared" si="181"/>
        <v/>
      </c>
      <c r="K5584" s="246" t="str">
        <f t="shared" si="180"/>
        <v/>
      </c>
    </row>
    <row r="5585" spans="1:11" ht="30" customHeight="1" x14ac:dyDescent="0.2">
      <c r="A5585" s="242"/>
      <c r="F5585" s="285" t="str">
        <f t="shared" si="181"/>
        <v/>
      </c>
      <c r="K5585" s="246" t="str">
        <f t="shared" si="180"/>
        <v/>
      </c>
    </row>
    <row r="5586" spans="1:11" ht="30" customHeight="1" x14ac:dyDescent="0.2">
      <c r="A5586" s="242"/>
      <c r="F5586" s="285" t="str">
        <f t="shared" si="181"/>
        <v/>
      </c>
      <c r="K5586" s="246" t="str">
        <f t="shared" si="180"/>
        <v/>
      </c>
    </row>
    <row r="5587" spans="1:11" ht="30" customHeight="1" x14ac:dyDescent="0.2">
      <c r="A5587" s="242"/>
      <c r="F5587" s="285" t="str">
        <f t="shared" si="181"/>
        <v/>
      </c>
      <c r="K5587" s="246" t="str">
        <f t="shared" si="180"/>
        <v/>
      </c>
    </row>
    <row r="5588" spans="1:11" ht="30" customHeight="1" x14ac:dyDescent="0.2">
      <c r="A5588" s="242"/>
      <c r="F5588" s="285" t="str">
        <f t="shared" si="181"/>
        <v/>
      </c>
      <c r="K5588" s="246" t="str">
        <f t="shared" si="180"/>
        <v/>
      </c>
    </row>
    <row r="5589" spans="1:11" ht="30" customHeight="1" x14ac:dyDescent="0.2">
      <c r="A5589" s="242"/>
      <c r="F5589" s="285" t="str">
        <f t="shared" si="181"/>
        <v/>
      </c>
      <c r="K5589" s="246" t="str">
        <f t="shared" si="180"/>
        <v/>
      </c>
    </row>
    <row r="5590" spans="1:11" ht="30" customHeight="1" x14ac:dyDescent="0.2">
      <c r="A5590" s="242"/>
      <c r="F5590" s="285" t="str">
        <f t="shared" si="181"/>
        <v/>
      </c>
      <c r="K5590" s="246" t="str">
        <f t="shared" si="180"/>
        <v/>
      </c>
    </row>
    <row r="5591" spans="1:11" ht="30" customHeight="1" x14ac:dyDescent="0.2">
      <c r="A5591" s="242"/>
      <c r="F5591" s="285" t="str">
        <f t="shared" si="181"/>
        <v/>
      </c>
      <c r="K5591" s="246" t="str">
        <f t="shared" si="180"/>
        <v/>
      </c>
    </row>
    <row r="5592" spans="1:11" ht="30" customHeight="1" x14ac:dyDescent="0.2">
      <c r="A5592" s="242"/>
      <c r="F5592" s="285" t="str">
        <f t="shared" si="181"/>
        <v/>
      </c>
      <c r="K5592" s="246" t="str">
        <f t="shared" si="180"/>
        <v/>
      </c>
    </row>
    <row r="5593" spans="1:11" ht="30" customHeight="1" x14ac:dyDescent="0.2">
      <c r="A5593" s="242"/>
      <c r="F5593" s="285" t="str">
        <f t="shared" si="181"/>
        <v/>
      </c>
      <c r="K5593" s="246" t="str">
        <f t="shared" si="180"/>
        <v/>
      </c>
    </row>
    <row r="5594" spans="1:11" ht="30" customHeight="1" x14ac:dyDescent="0.2">
      <c r="A5594" s="242"/>
      <c r="F5594" s="285" t="str">
        <f t="shared" si="181"/>
        <v/>
      </c>
      <c r="K5594" s="246" t="str">
        <f t="shared" si="180"/>
        <v/>
      </c>
    </row>
    <row r="5595" spans="1:11" ht="30" customHeight="1" x14ac:dyDescent="0.2">
      <c r="A5595" s="242"/>
      <c r="F5595" s="285" t="str">
        <f t="shared" si="181"/>
        <v/>
      </c>
      <c r="K5595" s="246" t="str">
        <f t="shared" si="180"/>
        <v/>
      </c>
    </row>
    <row r="5596" spans="1:11" ht="30" customHeight="1" x14ac:dyDescent="0.2">
      <c r="A5596" s="242"/>
      <c r="F5596" s="285" t="str">
        <f t="shared" si="181"/>
        <v/>
      </c>
      <c r="K5596" s="246" t="str">
        <f t="shared" si="180"/>
        <v/>
      </c>
    </row>
    <row r="5597" spans="1:11" ht="30" customHeight="1" x14ac:dyDescent="0.2">
      <c r="A5597" s="242"/>
      <c r="F5597" s="285" t="str">
        <f t="shared" si="181"/>
        <v/>
      </c>
      <c r="K5597" s="246" t="str">
        <f t="shared" si="180"/>
        <v/>
      </c>
    </row>
    <row r="5598" spans="1:11" ht="30" customHeight="1" x14ac:dyDescent="0.2">
      <c r="A5598" s="242"/>
      <c r="F5598" s="285" t="str">
        <f t="shared" si="181"/>
        <v/>
      </c>
      <c r="K5598" s="246" t="str">
        <f t="shared" si="180"/>
        <v/>
      </c>
    </row>
    <row r="5599" spans="1:11" ht="30" customHeight="1" x14ac:dyDescent="0.2">
      <c r="A5599" s="242"/>
      <c r="F5599" s="285" t="str">
        <f t="shared" si="181"/>
        <v/>
      </c>
      <c r="K5599" s="246" t="str">
        <f t="shared" si="180"/>
        <v/>
      </c>
    </row>
    <row r="5600" spans="1:11" ht="30" customHeight="1" x14ac:dyDescent="0.2">
      <c r="A5600" s="242"/>
      <c r="F5600" s="285" t="str">
        <f t="shared" si="181"/>
        <v/>
      </c>
      <c r="K5600" s="246" t="str">
        <f t="shared" si="180"/>
        <v/>
      </c>
    </row>
    <row r="5601" spans="1:11" ht="30" customHeight="1" x14ac:dyDescent="0.2">
      <c r="A5601" s="242"/>
      <c r="F5601" s="285" t="str">
        <f t="shared" si="181"/>
        <v/>
      </c>
      <c r="K5601" s="246" t="str">
        <f t="shared" si="180"/>
        <v/>
      </c>
    </row>
    <row r="5602" spans="1:11" ht="30" customHeight="1" x14ac:dyDescent="0.2">
      <c r="A5602" s="242"/>
      <c r="F5602" s="285" t="str">
        <f t="shared" si="181"/>
        <v/>
      </c>
      <c r="K5602" s="246" t="str">
        <f t="shared" si="180"/>
        <v/>
      </c>
    </row>
    <row r="5603" spans="1:11" ht="30" customHeight="1" x14ac:dyDescent="0.2">
      <c r="A5603" s="242"/>
      <c r="F5603" s="285" t="str">
        <f t="shared" si="181"/>
        <v/>
      </c>
      <c r="K5603" s="246" t="str">
        <f t="shared" si="180"/>
        <v/>
      </c>
    </row>
    <row r="5604" spans="1:11" ht="30" customHeight="1" x14ac:dyDescent="0.2">
      <c r="A5604" s="242"/>
      <c r="F5604" s="285" t="str">
        <f t="shared" si="181"/>
        <v/>
      </c>
      <c r="K5604" s="246" t="str">
        <f t="shared" si="180"/>
        <v/>
      </c>
    </row>
    <row r="5605" spans="1:11" ht="30" customHeight="1" x14ac:dyDescent="0.2">
      <c r="A5605" s="242"/>
      <c r="F5605" s="285" t="str">
        <f t="shared" si="181"/>
        <v/>
      </c>
      <c r="K5605" s="246" t="str">
        <f t="shared" si="180"/>
        <v/>
      </c>
    </row>
    <row r="5606" spans="1:11" ht="30" customHeight="1" x14ac:dyDescent="0.2">
      <c r="A5606" s="242"/>
      <c r="F5606" s="285" t="str">
        <f t="shared" si="181"/>
        <v/>
      </c>
      <c r="K5606" s="246" t="str">
        <f t="shared" si="180"/>
        <v/>
      </c>
    </row>
    <row r="5607" spans="1:11" ht="30" customHeight="1" x14ac:dyDescent="0.2">
      <c r="A5607" s="242"/>
      <c r="F5607" s="285" t="str">
        <f t="shared" si="181"/>
        <v/>
      </c>
      <c r="K5607" s="246" t="str">
        <f t="shared" si="180"/>
        <v/>
      </c>
    </row>
    <row r="5608" spans="1:11" ht="30" customHeight="1" x14ac:dyDescent="0.2">
      <c r="A5608" s="242"/>
      <c r="F5608" s="285" t="str">
        <f t="shared" si="181"/>
        <v/>
      </c>
      <c r="K5608" s="246" t="str">
        <f t="shared" si="180"/>
        <v/>
      </c>
    </row>
    <row r="5609" spans="1:11" ht="30" customHeight="1" x14ac:dyDescent="0.2">
      <c r="A5609" s="242"/>
      <c r="F5609" s="285" t="str">
        <f t="shared" si="181"/>
        <v/>
      </c>
      <c r="K5609" s="246" t="str">
        <f t="shared" si="180"/>
        <v/>
      </c>
    </row>
    <row r="5610" spans="1:11" ht="30" customHeight="1" x14ac:dyDescent="0.2">
      <c r="A5610" s="242"/>
      <c r="F5610" s="285" t="str">
        <f t="shared" si="181"/>
        <v/>
      </c>
      <c r="K5610" s="246" t="str">
        <f t="shared" si="180"/>
        <v/>
      </c>
    </row>
    <row r="5611" spans="1:11" ht="30" customHeight="1" x14ac:dyDescent="0.2">
      <c r="A5611" s="242"/>
      <c r="F5611" s="285" t="str">
        <f t="shared" si="181"/>
        <v/>
      </c>
      <c r="K5611" s="246" t="str">
        <f t="shared" si="180"/>
        <v/>
      </c>
    </row>
    <row r="5612" spans="1:11" ht="30" customHeight="1" x14ac:dyDescent="0.2">
      <c r="A5612" s="242"/>
      <c r="F5612" s="285" t="str">
        <f t="shared" si="181"/>
        <v/>
      </c>
      <c r="K5612" s="246" t="str">
        <f t="shared" si="180"/>
        <v/>
      </c>
    </row>
    <row r="5613" spans="1:11" ht="30" customHeight="1" x14ac:dyDescent="0.2">
      <c r="A5613" s="242"/>
      <c r="F5613" s="285" t="str">
        <f t="shared" si="181"/>
        <v/>
      </c>
      <c r="K5613" s="246" t="str">
        <f t="shared" si="180"/>
        <v/>
      </c>
    </row>
    <row r="5614" spans="1:11" ht="30" customHeight="1" x14ac:dyDescent="0.2">
      <c r="A5614" s="242"/>
      <c r="F5614" s="285" t="str">
        <f t="shared" si="181"/>
        <v/>
      </c>
      <c r="K5614" s="246" t="str">
        <f t="shared" si="180"/>
        <v/>
      </c>
    </row>
    <row r="5615" spans="1:11" ht="30" customHeight="1" x14ac:dyDescent="0.2">
      <c r="A5615" s="242"/>
      <c r="F5615" s="285" t="str">
        <f t="shared" si="181"/>
        <v/>
      </c>
      <c r="K5615" s="246" t="str">
        <f t="shared" si="180"/>
        <v/>
      </c>
    </row>
    <row r="5616" spans="1:11" ht="30" customHeight="1" x14ac:dyDescent="0.2">
      <c r="A5616" s="242"/>
      <c r="F5616" s="285" t="str">
        <f t="shared" si="181"/>
        <v/>
      </c>
      <c r="K5616" s="246" t="str">
        <f t="shared" si="180"/>
        <v/>
      </c>
    </row>
    <row r="5617" spans="1:11" ht="30" customHeight="1" x14ac:dyDescent="0.2">
      <c r="A5617" s="242"/>
      <c r="F5617" s="285" t="str">
        <f t="shared" si="181"/>
        <v/>
      </c>
      <c r="K5617" s="246" t="str">
        <f t="shared" si="180"/>
        <v/>
      </c>
    </row>
    <row r="5618" spans="1:11" ht="30" customHeight="1" x14ac:dyDescent="0.2">
      <c r="A5618" s="242"/>
      <c r="F5618" s="285" t="str">
        <f t="shared" si="181"/>
        <v/>
      </c>
      <c r="K5618" s="246" t="str">
        <f t="shared" si="180"/>
        <v/>
      </c>
    </row>
    <row r="5619" spans="1:11" ht="30" customHeight="1" x14ac:dyDescent="0.2">
      <c r="A5619" s="242"/>
      <c r="F5619" s="285" t="str">
        <f t="shared" si="181"/>
        <v/>
      </c>
      <c r="K5619" s="246" t="str">
        <f t="shared" si="180"/>
        <v/>
      </c>
    </row>
    <row r="5620" spans="1:11" ht="30" customHeight="1" x14ac:dyDescent="0.2">
      <c r="A5620" s="242"/>
      <c r="F5620" s="285" t="str">
        <f t="shared" si="181"/>
        <v/>
      </c>
      <c r="K5620" s="246" t="str">
        <f t="shared" si="180"/>
        <v/>
      </c>
    </row>
    <row r="5621" spans="1:11" ht="30" customHeight="1" x14ac:dyDescent="0.2">
      <c r="A5621" s="242"/>
      <c r="F5621" s="285" t="str">
        <f t="shared" si="181"/>
        <v/>
      </c>
      <c r="K5621" s="246" t="str">
        <f t="shared" si="180"/>
        <v/>
      </c>
    </row>
    <row r="5622" spans="1:11" ht="30" customHeight="1" x14ac:dyDescent="0.2">
      <c r="A5622" s="242"/>
      <c r="F5622" s="285" t="str">
        <f t="shared" si="181"/>
        <v/>
      </c>
      <c r="K5622" s="246" t="str">
        <f t="shared" si="180"/>
        <v/>
      </c>
    </row>
    <row r="5623" spans="1:11" ht="30" customHeight="1" x14ac:dyDescent="0.2">
      <c r="A5623" s="242"/>
      <c r="F5623" s="285" t="str">
        <f t="shared" si="181"/>
        <v/>
      </c>
      <c r="K5623" s="246" t="str">
        <f t="shared" si="180"/>
        <v/>
      </c>
    </row>
    <row r="5624" spans="1:11" ht="30" customHeight="1" x14ac:dyDescent="0.2">
      <c r="A5624" s="242"/>
      <c r="F5624" s="285" t="str">
        <f t="shared" si="181"/>
        <v/>
      </c>
      <c r="K5624" s="246" t="str">
        <f t="shared" si="180"/>
        <v/>
      </c>
    </row>
    <row r="5625" spans="1:11" ht="30" customHeight="1" x14ac:dyDescent="0.2">
      <c r="A5625" s="242"/>
      <c r="F5625" s="285" t="str">
        <f t="shared" si="181"/>
        <v/>
      </c>
      <c r="K5625" s="246" t="str">
        <f t="shared" si="180"/>
        <v/>
      </c>
    </row>
    <row r="5626" spans="1:11" ht="30" customHeight="1" x14ac:dyDescent="0.2">
      <c r="A5626" s="242"/>
      <c r="F5626" s="285" t="str">
        <f t="shared" si="181"/>
        <v/>
      </c>
      <c r="K5626" s="246" t="str">
        <f t="shared" si="180"/>
        <v/>
      </c>
    </row>
    <row r="5627" spans="1:11" ht="30" customHeight="1" x14ac:dyDescent="0.2">
      <c r="A5627" s="242"/>
      <c r="F5627" s="285" t="str">
        <f t="shared" si="181"/>
        <v/>
      </c>
      <c r="K5627" s="246" t="str">
        <f t="shared" ref="K5627:K5690" si="182">IF(A5627="","",A5627)</f>
        <v/>
      </c>
    </row>
    <row r="5628" spans="1:11" ht="30" customHeight="1" x14ac:dyDescent="0.2">
      <c r="A5628" s="242"/>
      <c r="F5628" s="285" t="str">
        <f t="shared" si="181"/>
        <v/>
      </c>
      <c r="K5628" s="246" t="str">
        <f t="shared" si="182"/>
        <v/>
      </c>
    </row>
    <row r="5629" spans="1:11" ht="30" customHeight="1" x14ac:dyDescent="0.2">
      <c r="A5629" s="242"/>
      <c r="F5629" s="285" t="str">
        <f t="shared" si="181"/>
        <v/>
      </c>
      <c r="K5629" s="246" t="str">
        <f t="shared" si="182"/>
        <v/>
      </c>
    </row>
    <row r="5630" spans="1:11" ht="30" customHeight="1" x14ac:dyDescent="0.2">
      <c r="A5630" s="242"/>
      <c r="F5630" s="285" t="str">
        <f t="shared" si="181"/>
        <v/>
      </c>
      <c r="K5630" s="246" t="str">
        <f t="shared" si="182"/>
        <v/>
      </c>
    </row>
    <row r="5631" spans="1:11" ht="30" customHeight="1" x14ac:dyDescent="0.2">
      <c r="A5631" s="242"/>
      <c r="F5631" s="285" t="str">
        <f t="shared" si="181"/>
        <v/>
      </c>
      <c r="K5631" s="246" t="str">
        <f t="shared" si="182"/>
        <v/>
      </c>
    </row>
    <row r="5632" spans="1:11" ht="30" customHeight="1" x14ac:dyDescent="0.2">
      <c r="A5632" s="242"/>
      <c r="F5632" s="285" t="str">
        <f t="shared" si="181"/>
        <v/>
      </c>
      <c r="K5632" s="246" t="str">
        <f t="shared" si="182"/>
        <v/>
      </c>
    </row>
    <row r="5633" spans="1:11" ht="30" customHeight="1" x14ac:dyDescent="0.2">
      <c r="A5633" s="242"/>
      <c r="F5633" s="285" t="str">
        <f t="shared" si="181"/>
        <v/>
      </c>
      <c r="K5633" s="246" t="str">
        <f t="shared" si="182"/>
        <v/>
      </c>
    </row>
    <row r="5634" spans="1:11" ht="30" customHeight="1" x14ac:dyDescent="0.2">
      <c r="A5634" s="242"/>
      <c r="F5634" s="285" t="str">
        <f t="shared" si="181"/>
        <v/>
      </c>
      <c r="K5634" s="246" t="str">
        <f t="shared" si="182"/>
        <v/>
      </c>
    </row>
    <row r="5635" spans="1:11" ht="30" customHeight="1" x14ac:dyDescent="0.2">
      <c r="A5635" s="242"/>
      <c r="F5635" s="285" t="str">
        <f t="shared" si="181"/>
        <v/>
      </c>
      <c r="K5635" s="246" t="str">
        <f t="shared" si="182"/>
        <v/>
      </c>
    </row>
    <row r="5636" spans="1:11" ht="30" customHeight="1" x14ac:dyDescent="0.2">
      <c r="A5636" s="242"/>
      <c r="F5636" s="285" t="str">
        <f t="shared" si="181"/>
        <v/>
      </c>
      <c r="K5636" s="246" t="str">
        <f t="shared" si="182"/>
        <v/>
      </c>
    </row>
    <row r="5637" spans="1:11" ht="30" customHeight="1" x14ac:dyDescent="0.2">
      <c r="A5637" s="242"/>
      <c r="F5637" s="285" t="str">
        <f t="shared" ref="F5637:F5700" si="183">IF(A5637="","",A5637)</f>
        <v/>
      </c>
      <c r="K5637" s="246" t="str">
        <f t="shared" si="182"/>
        <v/>
      </c>
    </row>
    <row r="5638" spans="1:11" ht="30" customHeight="1" x14ac:dyDescent="0.2">
      <c r="A5638" s="242"/>
      <c r="F5638" s="285" t="str">
        <f t="shared" si="183"/>
        <v/>
      </c>
      <c r="K5638" s="246" t="str">
        <f t="shared" si="182"/>
        <v/>
      </c>
    </row>
    <row r="5639" spans="1:11" ht="30" customHeight="1" x14ac:dyDescent="0.2">
      <c r="A5639" s="242"/>
      <c r="F5639" s="285" t="str">
        <f t="shared" si="183"/>
        <v/>
      </c>
      <c r="K5639" s="246" t="str">
        <f t="shared" si="182"/>
        <v/>
      </c>
    </row>
    <row r="5640" spans="1:11" ht="30" customHeight="1" x14ac:dyDescent="0.2">
      <c r="A5640" s="242"/>
      <c r="F5640" s="285" t="str">
        <f t="shared" si="183"/>
        <v/>
      </c>
      <c r="K5640" s="246" t="str">
        <f t="shared" si="182"/>
        <v/>
      </c>
    </row>
    <row r="5641" spans="1:11" ht="30" customHeight="1" x14ac:dyDescent="0.2">
      <c r="A5641" s="242"/>
      <c r="F5641" s="285" t="str">
        <f t="shared" si="183"/>
        <v/>
      </c>
      <c r="K5641" s="246" t="str">
        <f t="shared" si="182"/>
        <v/>
      </c>
    </row>
    <row r="5642" spans="1:11" ht="30" customHeight="1" x14ac:dyDescent="0.2">
      <c r="A5642" s="242"/>
      <c r="F5642" s="285" t="str">
        <f t="shared" si="183"/>
        <v/>
      </c>
      <c r="K5642" s="246" t="str">
        <f t="shared" si="182"/>
        <v/>
      </c>
    </row>
    <row r="5643" spans="1:11" ht="30" customHeight="1" x14ac:dyDescent="0.2">
      <c r="A5643" s="242"/>
      <c r="F5643" s="285" t="str">
        <f t="shared" si="183"/>
        <v/>
      </c>
      <c r="K5643" s="246" t="str">
        <f t="shared" si="182"/>
        <v/>
      </c>
    </row>
    <row r="5644" spans="1:11" ht="30" customHeight="1" x14ac:dyDescent="0.2">
      <c r="A5644" s="242"/>
      <c r="F5644" s="285" t="str">
        <f t="shared" si="183"/>
        <v/>
      </c>
      <c r="K5644" s="246" t="str">
        <f t="shared" si="182"/>
        <v/>
      </c>
    </row>
    <row r="5645" spans="1:11" ht="30" customHeight="1" x14ac:dyDescent="0.2">
      <c r="A5645" s="242"/>
      <c r="F5645" s="285" t="str">
        <f t="shared" si="183"/>
        <v/>
      </c>
      <c r="K5645" s="246" t="str">
        <f t="shared" si="182"/>
        <v/>
      </c>
    </row>
    <row r="5646" spans="1:11" ht="30" customHeight="1" x14ac:dyDescent="0.2">
      <c r="A5646" s="242"/>
      <c r="F5646" s="285" t="str">
        <f t="shared" si="183"/>
        <v/>
      </c>
      <c r="K5646" s="246" t="str">
        <f t="shared" si="182"/>
        <v/>
      </c>
    </row>
    <row r="5647" spans="1:11" ht="30" customHeight="1" x14ac:dyDescent="0.2">
      <c r="A5647" s="242"/>
      <c r="F5647" s="285" t="str">
        <f t="shared" si="183"/>
        <v/>
      </c>
      <c r="K5647" s="246" t="str">
        <f t="shared" si="182"/>
        <v/>
      </c>
    </row>
    <row r="5648" spans="1:11" ht="30" customHeight="1" x14ac:dyDescent="0.2">
      <c r="A5648" s="242"/>
      <c r="F5648" s="285" t="str">
        <f t="shared" si="183"/>
        <v/>
      </c>
      <c r="K5648" s="246" t="str">
        <f t="shared" si="182"/>
        <v/>
      </c>
    </row>
    <row r="5649" spans="1:11" ht="30" customHeight="1" x14ac:dyDescent="0.2">
      <c r="A5649" s="242"/>
      <c r="F5649" s="285" t="str">
        <f t="shared" si="183"/>
        <v/>
      </c>
      <c r="K5649" s="246" t="str">
        <f t="shared" si="182"/>
        <v/>
      </c>
    </row>
    <row r="5650" spans="1:11" ht="30" customHeight="1" x14ac:dyDescent="0.2">
      <c r="A5650" s="242"/>
      <c r="F5650" s="285" t="str">
        <f t="shared" si="183"/>
        <v/>
      </c>
      <c r="K5650" s="246" t="str">
        <f t="shared" si="182"/>
        <v/>
      </c>
    </row>
    <row r="5651" spans="1:11" ht="30" customHeight="1" x14ac:dyDescent="0.2">
      <c r="A5651" s="242"/>
      <c r="F5651" s="285" t="str">
        <f t="shared" si="183"/>
        <v/>
      </c>
      <c r="K5651" s="246" t="str">
        <f t="shared" si="182"/>
        <v/>
      </c>
    </row>
    <row r="5652" spans="1:11" ht="30" customHeight="1" x14ac:dyDescent="0.2">
      <c r="A5652" s="242"/>
      <c r="F5652" s="285" t="str">
        <f t="shared" si="183"/>
        <v/>
      </c>
      <c r="K5652" s="246" t="str">
        <f t="shared" si="182"/>
        <v/>
      </c>
    </row>
    <row r="5653" spans="1:11" ht="30" customHeight="1" x14ac:dyDescent="0.2">
      <c r="A5653" s="242"/>
      <c r="F5653" s="285" t="str">
        <f t="shared" si="183"/>
        <v/>
      </c>
      <c r="K5653" s="246" t="str">
        <f t="shared" si="182"/>
        <v/>
      </c>
    </row>
    <row r="5654" spans="1:11" ht="30" customHeight="1" x14ac:dyDescent="0.2">
      <c r="A5654" s="242"/>
      <c r="F5654" s="285" t="str">
        <f t="shared" si="183"/>
        <v/>
      </c>
      <c r="K5654" s="246" t="str">
        <f t="shared" si="182"/>
        <v/>
      </c>
    </row>
    <row r="5655" spans="1:11" ht="30" customHeight="1" x14ac:dyDescent="0.2">
      <c r="A5655" s="242"/>
      <c r="F5655" s="285" t="str">
        <f t="shared" si="183"/>
        <v/>
      </c>
      <c r="K5655" s="246" t="str">
        <f t="shared" si="182"/>
        <v/>
      </c>
    </row>
    <row r="5656" spans="1:11" ht="30" customHeight="1" x14ac:dyDescent="0.2">
      <c r="A5656" s="242"/>
      <c r="F5656" s="285" t="str">
        <f t="shared" si="183"/>
        <v/>
      </c>
      <c r="K5656" s="246" t="str">
        <f t="shared" si="182"/>
        <v/>
      </c>
    </row>
    <row r="5657" spans="1:11" ht="30" customHeight="1" x14ac:dyDescent="0.2">
      <c r="A5657" s="242"/>
      <c r="F5657" s="285" t="str">
        <f t="shared" si="183"/>
        <v/>
      </c>
      <c r="K5657" s="246" t="str">
        <f t="shared" si="182"/>
        <v/>
      </c>
    </row>
    <row r="5658" spans="1:11" ht="30" customHeight="1" x14ac:dyDescent="0.2">
      <c r="A5658" s="242"/>
      <c r="F5658" s="285" t="str">
        <f t="shared" si="183"/>
        <v/>
      </c>
      <c r="K5658" s="246" t="str">
        <f t="shared" si="182"/>
        <v/>
      </c>
    </row>
    <row r="5659" spans="1:11" ht="30" customHeight="1" x14ac:dyDescent="0.2">
      <c r="A5659" s="242"/>
      <c r="F5659" s="285" t="str">
        <f t="shared" si="183"/>
        <v/>
      </c>
      <c r="K5659" s="246" t="str">
        <f t="shared" si="182"/>
        <v/>
      </c>
    </row>
    <row r="5660" spans="1:11" ht="30" customHeight="1" x14ac:dyDescent="0.2">
      <c r="A5660" s="242"/>
      <c r="F5660" s="285" t="str">
        <f t="shared" si="183"/>
        <v/>
      </c>
      <c r="K5660" s="246" t="str">
        <f t="shared" si="182"/>
        <v/>
      </c>
    </row>
    <row r="5661" spans="1:11" ht="30" customHeight="1" x14ac:dyDescent="0.2">
      <c r="A5661" s="242"/>
      <c r="F5661" s="285" t="str">
        <f t="shared" si="183"/>
        <v/>
      </c>
      <c r="K5661" s="246" t="str">
        <f t="shared" si="182"/>
        <v/>
      </c>
    </row>
    <row r="5662" spans="1:11" ht="30" customHeight="1" x14ac:dyDescent="0.2">
      <c r="A5662" s="242"/>
      <c r="F5662" s="285" t="str">
        <f t="shared" si="183"/>
        <v/>
      </c>
      <c r="K5662" s="246" t="str">
        <f t="shared" si="182"/>
        <v/>
      </c>
    </row>
    <row r="5663" spans="1:11" ht="30" customHeight="1" x14ac:dyDescent="0.2">
      <c r="A5663" s="242"/>
      <c r="F5663" s="285" t="str">
        <f t="shared" si="183"/>
        <v/>
      </c>
      <c r="K5663" s="246" t="str">
        <f t="shared" si="182"/>
        <v/>
      </c>
    </row>
    <row r="5664" spans="1:11" ht="30" customHeight="1" x14ac:dyDescent="0.2">
      <c r="A5664" s="242"/>
      <c r="F5664" s="285" t="str">
        <f t="shared" si="183"/>
        <v/>
      </c>
      <c r="K5664" s="246" t="str">
        <f t="shared" si="182"/>
        <v/>
      </c>
    </row>
    <row r="5665" spans="1:11" ht="30" customHeight="1" x14ac:dyDescent="0.2">
      <c r="A5665" s="242"/>
      <c r="F5665" s="285" t="str">
        <f t="shared" si="183"/>
        <v/>
      </c>
      <c r="K5665" s="246" t="str">
        <f t="shared" si="182"/>
        <v/>
      </c>
    </row>
    <row r="5666" spans="1:11" ht="30" customHeight="1" x14ac:dyDescent="0.2">
      <c r="A5666" s="242"/>
      <c r="F5666" s="285" t="str">
        <f t="shared" si="183"/>
        <v/>
      </c>
      <c r="K5666" s="246" t="str">
        <f t="shared" si="182"/>
        <v/>
      </c>
    </row>
    <row r="5667" spans="1:11" ht="30" customHeight="1" x14ac:dyDescent="0.2">
      <c r="A5667" s="242"/>
      <c r="F5667" s="285" t="str">
        <f t="shared" si="183"/>
        <v/>
      </c>
      <c r="K5667" s="246" t="str">
        <f t="shared" si="182"/>
        <v/>
      </c>
    </row>
    <row r="5668" spans="1:11" ht="30" customHeight="1" x14ac:dyDescent="0.2">
      <c r="A5668" s="242"/>
      <c r="F5668" s="285" t="str">
        <f t="shared" si="183"/>
        <v/>
      </c>
      <c r="K5668" s="246" t="str">
        <f t="shared" si="182"/>
        <v/>
      </c>
    </row>
    <row r="5669" spans="1:11" ht="30" customHeight="1" x14ac:dyDescent="0.2">
      <c r="A5669" s="242"/>
      <c r="F5669" s="285" t="str">
        <f t="shared" si="183"/>
        <v/>
      </c>
      <c r="K5669" s="246" t="str">
        <f t="shared" si="182"/>
        <v/>
      </c>
    </row>
    <row r="5670" spans="1:11" ht="30" customHeight="1" x14ac:dyDescent="0.2">
      <c r="A5670" s="242"/>
      <c r="F5670" s="285" t="str">
        <f t="shared" si="183"/>
        <v/>
      </c>
      <c r="K5670" s="246" t="str">
        <f t="shared" si="182"/>
        <v/>
      </c>
    </row>
    <row r="5671" spans="1:11" ht="30" customHeight="1" x14ac:dyDescent="0.2">
      <c r="A5671" s="242"/>
      <c r="F5671" s="285" t="str">
        <f t="shared" si="183"/>
        <v/>
      </c>
      <c r="K5671" s="246" t="str">
        <f t="shared" si="182"/>
        <v/>
      </c>
    </row>
    <row r="5672" spans="1:11" ht="30" customHeight="1" x14ac:dyDescent="0.2">
      <c r="A5672" s="242"/>
      <c r="F5672" s="285" t="str">
        <f t="shared" si="183"/>
        <v/>
      </c>
      <c r="K5672" s="246" t="str">
        <f t="shared" si="182"/>
        <v/>
      </c>
    </row>
    <row r="5673" spans="1:11" ht="30" customHeight="1" x14ac:dyDescent="0.2">
      <c r="A5673" s="242"/>
      <c r="F5673" s="285" t="str">
        <f t="shared" si="183"/>
        <v/>
      </c>
      <c r="K5673" s="246" t="str">
        <f t="shared" si="182"/>
        <v/>
      </c>
    </row>
    <row r="5674" spans="1:11" ht="30" customHeight="1" x14ac:dyDescent="0.2">
      <c r="A5674" s="242"/>
      <c r="F5674" s="285" t="str">
        <f t="shared" si="183"/>
        <v/>
      </c>
      <c r="K5674" s="246" t="str">
        <f t="shared" si="182"/>
        <v/>
      </c>
    </row>
    <row r="5675" spans="1:11" ht="30" customHeight="1" x14ac:dyDescent="0.2">
      <c r="A5675" s="242"/>
      <c r="F5675" s="285" t="str">
        <f t="shared" si="183"/>
        <v/>
      </c>
      <c r="K5675" s="246" t="str">
        <f t="shared" si="182"/>
        <v/>
      </c>
    </row>
    <row r="5676" spans="1:11" ht="30" customHeight="1" x14ac:dyDescent="0.2">
      <c r="A5676" s="242"/>
      <c r="F5676" s="285" t="str">
        <f t="shared" si="183"/>
        <v/>
      </c>
      <c r="K5676" s="246" t="str">
        <f t="shared" si="182"/>
        <v/>
      </c>
    </row>
    <row r="5677" spans="1:11" ht="30" customHeight="1" x14ac:dyDescent="0.2">
      <c r="A5677" s="242"/>
      <c r="F5677" s="285" t="str">
        <f t="shared" si="183"/>
        <v/>
      </c>
      <c r="K5677" s="246" t="str">
        <f t="shared" si="182"/>
        <v/>
      </c>
    </row>
    <row r="5678" spans="1:11" ht="30" customHeight="1" x14ac:dyDescent="0.2">
      <c r="A5678" s="242"/>
      <c r="F5678" s="285" t="str">
        <f t="shared" si="183"/>
        <v/>
      </c>
      <c r="K5678" s="246" t="str">
        <f t="shared" si="182"/>
        <v/>
      </c>
    </row>
    <row r="5679" spans="1:11" ht="30" customHeight="1" x14ac:dyDescent="0.2">
      <c r="A5679" s="242"/>
      <c r="F5679" s="285" t="str">
        <f t="shared" si="183"/>
        <v/>
      </c>
      <c r="K5679" s="246" t="str">
        <f t="shared" si="182"/>
        <v/>
      </c>
    </row>
    <row r="5680" spans="1:11" ht="30" customHeight="1" x14ac:dyDescent="0.2">
      <c r="A5680" s="242"/>
      <c r="F5680" s="285" t="str">
        <f t="shared" si="183"/>
        <v/>
      </c>
      <c r="K5680" s="246" t="str">
        <f t="shared" si="182"/>
        <v/>
      </c>
    </row>
    <row r="5681" spans="1:11" ht="30" customHeight="1" x14ac:dyDescent="0.2">
      <c r="A5681" s="242"/>
      <c r="F5681" s="285" t="str">
        <f t="shared" si="183"/>
        <v/>
      </c>
      <c r="K5681" s="246" t="str">
        <f t="shared" si="182"/>
        <v/>
      </c>
    </row>
    <row r="5682" spans="1:11" ht="30" customHeight="1" x14ac:dyDescent="0.2">
      <c r="A5682" s="242"/>
      <c r="F5682" s="285" t="str">
        <f t="shared" si="183"/>
        <v/>
      </c>
      <c r="K5682" s="246" t="str">
        <f t="shared" si="182"/>
        <v/>
      </c>
    </row>
    <row r="5683" spans="1:11" ht="30" customHeight="1" x14ac:dyDescent="0.2">
      <c r="A5683" s="242"/>
      <c r="F5683" s="285" t="str">
        <f t="shared" si="183"/>
        <v/>
      </c>
      <c r="K5683" s="246" t="str">
        <f t="shared" si="182"/>
        <v/>
      </c>
    </row>
    <row r="5684" spans="1:11" ht="30" customHeight="1" x14ac:dyDescent="0.2">
      <c r="A5684" s="242"/>
      <c r="F5684" s="285" t="str">
        <f t="shared" si="183"/>
        <v/>
      </c>
      <c r="K5684" s="246" t="str">
        <f t="shared" si="182"/>
        <v/>
      </c>
    </row>
    <row r="5685" spans="1:11" ht="30" customHeight="1" x14ac:dyDescent="0.2">
      <c r="A5685" s="242"/>
      <c r="F5685" s="285" t="str">
        <f t="shared" si="183"/>
        <v/>
      </c>
      <c r="K5685" s="246" t="str">
        <f t="shared" si="182"/>
        <v/>
      </c>
    </row>
    <row r="5686" spans="1:11" ht="30" customHeight="1" x14ac:dyDescent="0.2">
      <c r="A5686" s="242"/>
      <c r="F5686" s="285" t="str">
        <f t="shared" si="183"/>
        <v/>
      </c>
      <c r="K5686" s="246" t="str">
        <f t="shared" si="182"/>
        <v/>
      </c>
    </row>
    <row r="5687" spans="1:11" ht="30" customHeight="1" x14ac:dyDescent="0.2">
      <c r="A5687" s="242"/>
      <c r="F5687" s="285" t="str">
        <f t="shared" si="183"/>
        <v/>
      </c>
      <c r="K5687" s="246" t="str">
        <f t="shared" si="182"/>
        <v/>
      </c>
    </row>
    <row r="5688" spans="1:11" ht="30" customHeight="1" x14ac:dyDescent="0.2">
      <c r="A5688" s="242"/>
      <c r="F5688" s="285" t="str">
        <f t="shared" si="183"/>
        <v/>
      </c>
      <c r="K5688" s="246" t="str">
        <f t="shared" si="182"/>
        <v/>
      </c>
    </row>
    <row r="5689" spans="1:11" ht="30" customHeight="1" x14ac:dyDescent="0.2">
      <c r="A5689" s="242"/>
      <c r="F5689" s="285" t="str">
        <f t="shared" si="183"/>
        <v/>
      </c>
      <c r="K5689" s="246" t="str">
        <f t="shared" si="182"/>
        <v/>
      </c>
    </row>
    <row r="5690" spans="1:11" ht="30" customHeight="1" x14ac:dyDescent="0.2">
      <c r="A5690" s="242"/>
      <c r="F5690" s="285" t="str">
        <f t="shared" si="183"/>
        <v/>
      </c>
      <c r="K5690" s="246" t="str">
        <f t="shared" si="182"/>
        <v/>
      </c>
    </row>
    <row r="5691" spans="1:11" ht="30" customHeight="1" x14ac:dyDescent="0.2">
      <c r="A5691" s="242"/>
      <c r="F5691" s="285" t="str">
        <f t="shared" si="183"/>
        <v/>
      </c>
      <c r="K5691" s="246" t="str">
        <f t="shared" ref="K5691:K5754" si="184">IF(A5691="","",A5691)</f>
        <v/>
      </c>
    </row>
    <row r="5692" spans="1:11" ht="30" customHeight="1" x14ac:dyDescent="0.2">
      <c r="A5692" s="242"/>
      <c r="F5692" s="285" t="str">
        <f t="shared" si="183"/>
        <v/>
      </c>
      <c r="K5692" s="246" t="str">
        <f t="shared" si="184"/>
        <v/>
      </c>
    </row>
    <row r="5693" spans="1:11" ht="30" customHeight="1" x14ac:dyDescent="0.2">
      <c r="A5693" s="242"/>
      <c r="F5693" s="285" t="str">
        <f t="shared" si="183"/>
        <v/>
      </c>
      <c r="K5693" s="246" t="str">
        <f t="shared" si="184"/>
        <v/>
      </c>
    </row>
    <row r="5694" spans="1:11" ht="30" customHeight="1" x14ac:dyDescent="0.2">
      <c r="A5694" s="242"/>
      <c r="F5694" s="285" t="str">
        <f t="shared" si="183"/>
        <v/>
      </c>
      <c r="K5694" s="246" t="str">
        <f t="shared" si="184"/>
        <v/>
      </c>
    </row>
    <row r="5695" spans="1:11" ht="30" customHeight="1" x14ac:dyDescent="0.2">
      <c r="A5695" s="242"/>
      <c r="F5695" s="285" t="str">
        <f t="shared" si="183"/>
        <v/>
      </c>
      <c r="K5695" s="246" t="str">
        <f t="shared" si="184"/>
        <v/>
      </c>
    </row>
    <row r="5696" spans="1:11" ht="30" customHeight="1" x14ac:dyDescent="0.2">
      <c r="A5696" s="242"/>
      <c r="F5696" s="285" t="str">
        <f t="shared" si="183"/>
        <v/>
      </c>
      <c r="K5696" s="246" t="str">
        <f t="shared" si="184"/>
        <v/>
      </c>
    </row>
    <row r="5697" spans="1:11" ht="30" customHeight="1" x14ac:dyDescent="0.2">
      <c r="A5697" s="242"/>
      <c r="F5697" s="285" t="str">
        <f t="shared" si="183"/>
        <v/>
      </c>
      <c r="K5697" s="246" t="str">
        <f t="shared" si="184"/>
        <v/>
      </c>
    </row>
    <row r="5698" spans="1:11" ht="30" customHeight="1" x14ac:dyDescent="0.2">
      <c r="A5698" s="242"/>
      <c r="F5698" s="285" t="str">
        <f t="shared" si="183"/>
        <v/>
      </c>
      <c r="K5698" s="246" t="str">
        <f t="shared" si="184"/>
        <v/>
      </c>
    </row>
    <row r="5699" spans="1:11" ht="30" customHeight="1" x14ac:dyDescent="0.2">
      <c r="A5699" s="242"/>
      <c r="F5699" s="285" t="str">
        <f t="shared" si="183"/>
        <v/>
      </c>
      <c r="K5699" s="246" t="str">
        <f t="shared" si="184"/>
        <v/>
      </c>
    </row>
    <row r="5700" spans="1:11" ht="30" customHeight="1" x14ac:dyDescent="0.2">
      <c r="A5700" s="242"/>
      <c r="F5700" s="285" t="str">
        <f t="shared" si="183"/>
        <v/>
      </c>
      <c r="K5700" s="246" t="str">
        <f t="shared" si="184"/>
        <v/>
      </c>
    </row>
    <row r="5701" spans="1:11" ht="30" customHeight="1" x14ac:dyDescent="0.2">
      <c r="A5701" s="242"/>
      <c r="F5701" s="285" t="str">
        <f t="shared" ref="F5701:F5764" si="185">IF(A5701="","",A5701)</f>
        <v/>
      </c>
      <c r="K5701" s="246" t="str">
        <f t="shared" si="184"/>
        <v/>
      </c>
    </row>
    <row r="5702" spans="1:11" ht="30" customHeight="1" x14ac:dyDescent="0.2">
      <c r="A5702" s="242"/>
      <c r="F5702" s="285" t="str">
        <f t="shared" si="185"/>
        <v/>
      </c>
      <c r="K5702" s="246" t="str">
        <f t="shared" si="184"/>
        <v/>
      </c>
    </row>
    <row r="5703" spans="1:11" ht="30" customHeight="1" x14ac:dyDescent="0.2">
      <c r="A5703" s="242"/>
      <c r="F5703" s="285" t="str">
        <f t="shared" si="185"/>
        <v/>
      </c>
      <c r="K5703" s="246" t="str">
        <f t="shared" si="184"/>
        <v/>
      </c>
    </row>
    <row r="5704" spans="1:11" ht="30" customHeight="1" x14ac:dyDescent="0.2">
      <c r="A5704" s="242"/>
      <c r="F5704" s="285" t="str">
        <f t="shared" si="185"/>
        <v/>
      </c>
      <c r="K5704" s="246" t="str">
        <f t="shared" si="184"/>
        <v/>
      </c>
    </row>
    <row r="5705" spans="1:11" ht="30" customHeight="1" x14ac:dyDescent="0.2">
      <c r="A5705" s="242"/>
      <c r="F5705" s="285" t="str">
        <f t="shared" si="185"/>
        <v/>
      </c>
      <c r="K5705" s="246" t="str">
        <f t="shared" si="184"/>
        <v/>
      </c>
    </row>
    <row r="5706" spans="1:11" ht="30" customHeight="1" x14ac:dyDescent="0.2">
      <c r="A5706" s="242"/>
      <c r="F5706" s="285" t="str">
        <f t="shared" si="185"/>
        <v/>
      </c>
      <c r="K5706" s="246" t="str">
        <f t="shared" si="184"/>
        <v/>
      </c>
    </row>
    <row r="5707" spans="1:11" ht="30" customHeight="1" x14ac:dyDescent="0.2">
      <c r="A5707" s="242"/>
      <c r="F5707" s="285" t="str">
        <f t="shared" si="185"/>
        <v/>
      </c>
      <c r="K5707" s="246" t="str">
        <f t="shared" si="184"/>
        <v/>
      </c>
    </row>
    <row r="5708" spans="1:11" ht="30" customHeight="1" x14ac:dyDescent="0.2">
      <c r="A5708" s="242"/>
      <c r="F5708" s="285" t="str">
        <f t="shared" si="185"/>
        <v/>
      </c>
      <c r="K5708" s="246" t="str">
        <f t="shared" si="184"/>
        <v/>
      </c>
    </row>
    <row r="5709" spans="1:11" ht="30" customHeight="1" x14ac:dyDescent="0.2">
      <c r="A5709" s="242"/>
      <c r="F5709" s="285" t="str">
        <f t="shared" si="185"/>
        <v/>
      </c>
      <c r="K5709" s="246" t="str">
        <f t="shared" si="184"/>
        <v/>
      </c>
    </row>
    <row r="5710" spans="1:11" ht="30" customHeight="1" x14ac:dyDescent="0.2">
      <c r="A5710" s="242"/>
      <c r="F5710" s="285" t="str">
        <f t="shared" si="185"/>
        <v/>
      </c>
      <c r="K5710" s="246" t="str">
        <f t="shared" si="184"/>
        <v/>
      </c>
    </row>
    <row r="5711" spans="1:11" ht="30" customHeight="1" x14ac:dyDescent="0.2">
      <c r="A5711" s="242"/>
      <c r="F5711" s="285" t="str">
        <f t="shared" si="185"/>
        <v/>
      </c>
      <c r="K5711" s="246" t="str">
        <f t="shared" si="184"/>
        <v/>
      </c>
    </row>
    <row r="5712" spans="1:11" ht="30" customHeight="1" x14ac:dyDescent="0.2">
      <c r="A5712" s="242"/>
      <c r="F5712" s="285" t="str">
        <f t="shared" si="185"/>
        <v/>
      </c>
      <c r="K5712" s="246" t="str">
        <f t="shared" si="184"/>
        <v/>
      </c>
    </row>
    <row r="5713" spans="1:11" ht="30" customHeight="1" x14ac:dyDescent="0.2">
      <c r="A5713" s="242"/>
      <c r="F5713" s="285" t="str">
        <f t="shared" si="185"/>
        <v/>
      </c>
      <c r="K5713" s="246" t="str">
        <f t="shared" si="184"/>
        <v/>
      </c>
    </row>
    <row r="5714" spans="1:11" ht="30" customHeight="1" x14ac:dyDescent="0.2">
      <c r="A5714" s="242"/>
      <c r="F5714" s="285" t="str">
        <f t="shared" si="185"/>
        <v/>
      </c>
      <c r="K5714" s="246" t="str">
        <f t="shared" si="184"/>
        <v/>
      </c>
    </row>
    <row r="5715" spans="1:11" ht="30" customHeight="1" x14ac:dyDescent="0.2">
      <c r="A5715" s="242"/>
      <c r="F5715" s="285" t="str">
        <f t="shared" si="185"/>
        <v/>
      </c>
      <c r="K5715" s="246" t="str">
        <f t="shared" si="184"/>
        <v/>
      </c>
    </row>
    <row r="5716" spans="1:11" ht="30" customHeight="1" x14ac:dyDescent="0.2">
      <c r="A5716" s="242"/>
      <c r="F5716" s="285" t="str">
        <f t="shared" si="185"/>
        <v/>
      </c>
      <c r="K5716" s="246" t="str">
        <f t="shared" si="184"/>
        <v/>
      </c>
    </row>
    <row r="5717" spans="1:11" ht="30" customHeight="1" x14ac:dyDescent="0.2">
      <c r="A5717" s="242"/>
      <c r="F5717" s="285" t="str">
        <f t="shared" si="185"/>
        <v/>
      </c>
      <c r="K5717" s="246" t="str">
        <f t="shared" si="184"/>
        <v/>
      </c>
    </row>
    <row r="5718" spans="1:11" ht="30" customHeight="1" x14ac:dyDescent="0.2">
      <c r="A5718" s="242"/>
      <c r="F5718" s="285" t="str">
        <f t="shared" si="185"/>
        <v/>
      </c>
      <c r="K5718" s="246" t="str">
        <f t="shared" si="184"/>
        <v/>
      </c>
    </row>
    <row r="5719" spans="1:11" ht="30" customHeight="1" x14ac:dyDescent="0.2">
      <c r="A5719" s="242"/>
      <c r="F5719" s="285" t="str">
        <f t="shared" si="185"/>
        <v/>
      </c>
      <c r="K5719" s="246" t="str">
        <f t="shared" si="184"/>
        <v/>
      </c>
    </row>
    <row r="5720" spans="1:11" ht="30" customHeight="1" x14ac:dyDescent="0.2">
      <c r="A5720" s="242"/>
      <c r="F5720" s="285" t="str">
        <f t="shared" si="185"/>
        <v/>
      </c>
      <c r="K5720" s="246" t="str">
        <f t="shared" si="184"/>
        <v/>
      </c>
    </row>
    <row r="5721" spans="1:11" ht="30" customHeight="1" x14ac:dyDescent="0.2">
      <c r="A5721" s="242"/>
      <c r="F5721" s="285" t="str">
        <f t="shared" si="185"/>
        <v/>
      </c>
      <c r="K5721" s="246" t="str">
        <f t="shared" si="184"/>
        <v/>
      </c>
    </row>
    <row r="5722" spans="1:11" ht="30" customHeight="1" x14ac:dyDescent="0.2">
      <c r="A5722" s="242"/>
      <c r="F5722" s="285" t="str">
        <f t="shared" si="185"/>
        <v/>
      </c>
      <c r="K5722" s="246" t="str">
        <f t="shared" si="184"/>
        <v/>
      </c>
    </row>
    <row r="5723" spans="1:11" ht="30" customHeight="1" x14ac:dyDescent="0.2">
      <c r="A5723" s="242"/>
      <c r="F5723" s="285" t="str">
        <f t="shared" si="185"/>
        <v/>
      </c>
      <c r="K5723" s="246" t="str">
        <f t="shared" si="184"/>
        <v/>
      </c>
    </row>
    <row r="5724" spans="1:11" ht="30" customHeight="1" x14ac:dyDescent="0.2">
      <c r="A5724" s="242"/>
      <c r="F5724" s="285" t="str">
        <f t="shared" si="185"/>
        <v/>
      </c>
      <c r="K5724" s="246" t="str">
        <f t="shared" si="184"/>
        <v/>
      </c>
    </row>
    <row r="5725" spans="1:11" ht="30" customHeight="1" x14ac:dyDescent="0.2">
      <c r="A5725" s="242"/>
      <c r="F5725" s="285" t="str">
        <f t="shared" si="185"/>
        <v/>
      </c>
      <c r="K5725" s="246" t="str">
        <f t="shared" si="184"/>
        <v/>
      </c>
    </row>
    <row r="5726" spans="1:11" ht="30" customHeight="1" x14ac:dyDescent="0.2">
      <c r="A5726" s="242"/>
      <c r="F5726" s="285" t="str">
        <f t="shared" si="185"/>
        <v/>
      </c>
      <c r="K5726" s="246" t="str">
        <f t="shared" si="184"/>
        <v/>
      </c>
    </row>
    <row r="5727" spans="1:11" ht="30" customHeight="1" x14ac:dyDescent="0.2">
      <c r="A5727" s="242"/>
      <c r="F5727" s="285" t="str">
        <f t="shared" si="185"/>
        <v/>
      </c>
      <c r="K5727" s="246" t="str">
        <f t="shared" si="184"/>
        <v/>
      </c>
    </row>
    <row r="5728" spans="1:11" ht="30" customHeight="1" x14ac:dyDescent="0.2">
      <c r="A5728" s="242"/>
      <c r="F5728" s="285" t="str">
        <f t="shared" si="185"/>
        <v/>
      </c>
      <c r="K5728" s="246" t="str">
        <f t="shared" si="184"/>
        <v/>
      </c>
    </row>
    <row r="5729" spans="1:11" ht="30" customHeight="1" x14ac:dyDescent="0.2">
      <c r="A5729" s="242"/>
      <c r="F5729" s="285" t="str">
        <f t="shared" si="185"/>
        <v/>
      </c>
      <c r="K5729" s="246" t="str">
        <f t="shared" si="184"/>
        <v/>
      </c>
    </row>
    <row r="5730" spans="1:11" ht="30" customHeight="1" x14ac:dyDescent="0.2">
      <c r="A5730" s="242"/>
      <c r="F5730" s="285" t="str">
        <f t="shared" si="185"/>
        <v/>
      </c>
      <c r="K5730" s="246" t="str">
        <f t="shared" si="184"/>
        <v/>
      </c>
    </row>
    <row r="5731" spans="1:11" ht="30" customHeight="1" x14ac:dyDescent="0.2">
      <c r="A5731" s="242"/>
      <c r="F5731" s="285" t="str">
        <f t="shared" si="185"/>
        <v/>
      </c>
      <c r="K5731" s="246" t="str">
        <f t="shared" si="184"/>
        <v/>
      </c>
    </row>
    <row r="5732" spans="1:11" ht="30" customHeight="1" x14ac:dyDescent="0.2">
      <c r="A5732" s="242"/>
      <c r="F5732" s="285" t="str">
        <f t="shared" si="185"/>
        <v/>
      </c>
      <c r="K5732" s="246" t="str">
        <f t="shared" si="184"/>
        <v/>
      </c>
    </row>
    <row r="5733" spans="1:11" ht="30" customHeight="1" x14ac:dyDescent="0.2">
      <c r="A5733" s="242"/>
      <c r="F5733" s="285" t="str">
        <f t="shared" si="185"/>
        <v/>
      </c>
      <c r="K5733" s="246" t="str">
        <f t="shared" si="184"/>
        <v/>
      </c>
    </row>
    <row r="5734" spans="1:11" ht="30" customHeight="1" x14ac:dyDescent="0.2">
      <c r="A5734" s="242"/>
      <c r="F5734" s="285" t="str">
        <f t="shared" si="185"/>
        <v/>
      </c>
      <c r="K5734" s="246" t="str">
        <f t="shared" si="184"/>
        <v/>
      </c>
    </row>
    <row r="5735" spans="1:11" ht="30" customHeight="1" x14ac:dyDescent="0.2">
      <c r="A5735" s="242"/>
      <c r="F5735" s="285" t="str">
        <f t="shared" si="185"/>
        <v/>
      </c>
      <c r="K5735" s="246" t="str">
        <f t="shared" si="184"/>
        <v/>
      </c>
    </row>
    <row r="5736" spans="1:11" ht="30" customHeight="1" x14ac:dyDescent="0.2">
      <c r="A5736" s="242"/>
      <c r="F5736" s="285" t="str">
        <f t="shared" si="185"/>
        <v/>
      </c>
      <c r="K5736" s="246" t="str">
        <f t="shared" si="184"/>
        <v/>
      </c>
    </row>
    <row r="5737" spans="1:11" ht="30" customHeight="1" x14ac:dyDescent="0.2">
      <c r="A5737" s="242"/>
      <c r="F5737" s="285" t="str">
        <f t="shared" si="185"/>
        <v/>
      </c>
      <c r="K5737" s="246" t="str">
        <f t="shared" si="184"/>
        <v/>
      </c>
    </row>
    <row r="5738" spans="1:11" ht="30" customHeight="1" x14ac:dyDescent="0.2">
      <c r="A5738" s="242"/>
      <c r="F5738" s="285" t="str">
        <f t="shared" si="185"/>
        <v/>
      </c>
      <c r="K5738" s="246" t="str">
        <f t="shared" si="184"/>
        <v/>
      </c>
    </row>
    <row r="5739" spans="1:11" ht="30" customHeight="1" x14ac:dyDescent="0.2">
      <c r="A5739" s="242"/>
      <c r="F5739" s="285" t="str">
        <f t="shared" si="185"/>
        <v/>
      </c>
      <c r="K5739" s="246" t="str">
        <f t="shared" si="184"/>
        <v/>
      </c>
    </row>
    <row r="5740" spans="1:11" ht="30" customHeight="1" x14ac:dyDescent="0.2">
      <c r="A5740" s="242"/>
      <c r="F5740" s="285" t="str">
        <f t="shared" si="185"/>
        <v/>
      </c>
      <c r="K5740" s="246" t="str">
        <f t="shared" si="184"/>
        <v/>
      </c>
    </row>
    <row r="5741" spans="1:11" ht="30" customHeight="1" x14ac:dyDescent="0.2">
      <c r="A5741" s="242"/>
      <c r="F5741" s="285" t="str">
        <f t="shared" si="185"/>
        <v/>
      </c>
      <c r="K5741" s="246" t="str">
        <f t="shared" si="184"/>
        <v/>
      </c>
    </row>
    <row r="5742" spans="1:11" ht="30" customHeight="1" x14ac:dyDescent="0.2">
      <c r="A5742" s="242"/>
      <c r="F5742" s="285" t="str">
        <f t="shared" si="185"/>
        <v/>
      </c>
      <c r="K5742" s="246" t="str">
        <f t="shared" si="184"/>
        <v/>
      </c>
    </row>
    <row r="5743" spans="1:11" ht="30" customHeight="1" x14ac:dyDescent="0.2">
      <c r="A5743" s="242"/>
      <c r="F5743" s="285" t="str">
        <f t="shared" si="185"/>
        <v/>
      </c>
      <c r="K5743" s="246" t="str">
        <f t="shared" si="184"/>
        <v/>
      </c>
    </row>
    <row r="5744" spans="1:11" ht="30" customHeight="1" x14ac:dyDescent="0.2">
      <c r="A5744" s="242"/>
      <c r="F5744" s="285" t="str">
        <f t="shared" si="185"/>
        <v/>
      </c>
      <c r="K5744" s="246" t="str">
        <f t="shared" si="184"/>
        <v/>
      </c>
    </row>
    <row r="5745" spans="1:11" ht="30" customHeight="1" x14ac:dyDescent="0.2">
      <c r="A5745" s="242"/>
      <c r="F5745" s="285" t="str">
        <f t="shared" si="185"/>
        <v/>
      </c>
      <c r="K5745" s="246" t="str">
        <f t="shared" si="184"/>
        <v/>
      </c>
    </row>
    <row r="5746" spans="1:11" ht="30" customHeight="1" x14ac:dyDescent="0.2">
      <c r="A5746" s="242"/>
      <c r="F5746" s="285" t="str">
        <f t="shared" si="185"/>
        <v/>
      </c>
      <c r="K5746" s="246" t="str">
        <f t="shared" si="184"/>
        <v/>
      </c>
    </row>
    <row r="5747" spans="1:11" ht="30" customHeight="1" x14ac:dyDescent="0.2">
      <c r="A5747" s="242"/>
      <c r="F5747" s="285" t="str">
        <f t="shared" si="185"/>
        <v/>
      </c>
      <c r="K5747" s="246" t="str">
        <f t="shared" si="184"/>
        <v/>
      </c>
    </row>
    <row r="5748" spans="1:11" ht="30" customHeight="1" x14ac:dyDescent="0.2">
      <c r="A5748" s="242"/>
      <c r="F5748" s="285" t="str">
        <f t="shared" si="185"/>
        <v/>
      </c>
      <c r="K5748" s="246" t="str">
        <f t="shared" si="184"/>
        <v/>
      </c>
    </row>
    <row r="5749" spans="1:11" ht="30" customHeight="1" x14ac:dyDescent="0.2">
      <c r="A5749" s="242"/>
      <c r="F5749" s="285" t="str">
        <f t="shared" si="185"/>
        <v/>
      </c>
      <c r="K5749" s="246" t="str">
        <f t="shared" si="184"/>
        <v/>
      </c>
    </row>
    <row r="5750" spans="1:11" ht="30" customHeight="1" x14ac:dyDescent="0.2">
      <c r="A5750" s="242"/>
      <c r="F5750" s="285" t="str">
        <f t="shared" si="185"/>
        <v/>
      </c>
      <c r="K5750" s="246" t="str">
        <f t="shared" si="184"/>
        <v/>
      </c>
    </row>
    <row r="5751" spans="1:11" ht="30" customHeight="1" x14ac:dyDescent="0.2">
      <c r="A5751" s="242"/>
      <c r="F5751" s="285" t="str">
        <f t="shared" si="185"/>
        <v/>
      </c>
      <c r="K5751" s="246" t="str">
        <f t="shared" si="184"/>
        <v/>
      </c>
    </row>
    <row r="5752" spans="1:11" ht="30" customHeight="1" x14ac:dyDescent="0.2">
      <c r="A5752" s="242"/>
      <c r="F5752" s="285" t="str">
        <f t="shared" si="185"/>
        <v/>
      </c>
      <c r="K5752" s="246" t="str">
        <f t="shared" si="184"/>
        <v/>
      </c>
    </row>
    <row r="5753" spans="1:11" ht="30" customHeight="1" x14ac:dyDescent="0.2">
      <c r="A5753" s="242"/>
      <c r="F5753" s="285" t="str">
        <f t="shared" si="185"/>
        <v/>
      </c>
      <c r="K5753" s="246" t="str">
        <f t="shared" si="184"/>
        <v/>
      </c>
    </row>
    <row r="5754" spans="1:11" ht="30" customHeight="1" x14ac:dyDescent="0.2">
      <c r="A5754" s="242"/>
      <c r="F5754" s="285" t="str">
        <f t="shared" si="185"/>
        <v/>
      </c>
      <c r="K5754" s="246" t="str">
        <f t="shared" si="184"/>
        <v/>
      </c>
    </row>
    <row r="5755" spans="1:11" ht="30" customHeight="1" x14ac:dyDescent="0.2">
      <c r="A5755" s="242"/>
      <c r="F5755" s="285" t="str">
        <f t="shared" si="185"/>
        <v/>
      </c>
      <c r="K5755" s="246" t="str">
        <f t="shared" ref="K5755:K5818" si="186">IF(A5755="","",A5755)</f>
        <v/>
      </c>
    </row>
    <row r="5756" spans="1:11" ht="30" customHeight="1" x14ac:dyDescent="0.2">
      <c r="A5756" s="242"/>
      <c r="F5756" s="285" t="str">
        <f t="shared" si="185"/>
        <v/>
      </c>
      <c r="K5756" s="246" t="str">
        <f t="shared" si="186"/>
        <v/>
      </c>
    </row>
    <row r="5757" spans="1:11" ht="30" customHeight="1" x14ac:dyDescent="0.2">
      <c r="A5757" s="242"/>
      <c r="F5757" s="285" t="str">
        <f t="shared" si="185"/>
        <v/>
      </c>
      <c r="K5757" s="246" t="str">
        <f t="shared" si="186"/>
        <v/>
      </c>
    </row>
    <row r="5758" spans="1:11" ht="30" customHeight="1" x14ac:dyDescent="0.2">
      <c r="A5758" s="242"/>
      <c r="F5758" s="285" t="str">
        <f t="shared" si="185"/>
        <v/>
      </c>
      <c r="K5758" s="246" t="str">
        <f t="shared" si="186"/>
        <v/>
      </c>
    </row>
    <row r="5759" spans="1:11" ht="30" customHeight="1" x14ac:dyDescent="0.2">
      <c r="A5759" s="242"/>
      <c r="F5759" s="285" t="str">
        <f t="shared" si="185"/>
        <v/>
      </c>
      <c r="K5759" s="246" t="str">
        <f t="shared" si="186"/>
        <v/>
      </c>
    </row>
    <row r="5760" spans="1:11" ht="30" customHeight="1" x14ac:dyDescent="0.2">
      <c r="A5760" s="242"/>
      <c r="F5760" s="285" t="str">
        <f t="shared" si="185"/>
        <v/>
      </c>
      <c r="K5760" s="246" t="str">
        <f t="shared" si="186"/>
        <v/>
      </c>
    </row>
    <row r="5761" spans="1:11" ht="30" customHeight="1" x14ac:dyDescent="0.2">
      <c r="A5761" s="242"/>
      <c r="F5761" s="285" t="str">
        <f t="shared" si="185"/>
        <v/>
      </c>
      <c r="K5761" s="246" t="str">
        <f t="shared" si="186"/>
        <v/>
      </c>
    </row>
    <row r="5762" spans="1:11" ht="30" customHeight="1" x14ac:dyDescent="0.2">
      <c r="A5762" s="242"/>
      <c r="F5762" s="285" t="str">
        <f t="shared" si="185"/>
        <v/>
      </c>
      <c r="K5762" s="246" t="str">
        <f t="shared" si="186"/>
        <v/>
      </c>
    </row>
    <row r="5763" spans="1:11" ht="30" customHeight="1" x14ac:dyDescent="0.2">
      <c r="A5763" s="242"/>
      <c r="F5763" s="285" t="str">
        <f t="shared" si="185"/>
        <v/>
      </c>
      <c r="K5763" s="246" t="str">
        <f t="shared" si="186"/>
        <v/>
      </c>
    </row>
    <row r="5764" spans="1:11" ht="30" customHeight="1" x14ac:dyDescent="0.2">
      <c r="A5764" s="242"/>
      <c r="F5764" s="285" t="str">
        <f t="shared" si="185"/>
        <v/>
      </c>
      <c r="K5764" s="246" t="str">
        <f t="shared" si="186"/>
        <v/>
      </c>
    </row>
    <row r="5765" spans="1:11" ht="30" customHeight="1" x14ac:dyDescent="0.2">
      <c r="A5765" s="242"/>
      <c r="F5765" s="285" t="str">
        <f t="shared" ref="F5765:F5828" si="187">IF(A5765="","",A5765)</f>
        <v/>
      </c>
      <c r="K5765" s="246" t="str">
        <f t="shared" si="186"/>
        <v/>
      </c>
    </row>
    <row r="5766" spans="1:11" ht="30" customHeight="1" x14ac:dyDescent="0.2">
      <c r="A5766" s="242"/>
      <c r="F5766" s="285" t="str">
        <f t="shared" si="187"/>
        <v/>
      </c>
      <c r="K5766" s="246" t="str">
        <f t="shared" si="186"/>
        <v/>
      </c>
    </row>
    <row r="5767" spans="1:11" ht="30" customHeight="1" x14ac:dyDescent="0.2">
      <c r="A5767" s="242"/>
      <c r="F5767" s="285" t="str">
        <f t="shared" si="187"/>
        <v/>
      </c>
      <c r="K5767" s="246" t="str">
        <f t="shared" si="186"/>
        <v/>
      </c>
    </row>
    <row r="5768" spans="1:11" ht="30" customHeight="1" x14ac:dyDescent="0.2">
      <c r="A5768" s="242"/>
      <c r="F5768" s="285" t="str">
        <f t="shared" si="187"/>
        <v/>
      </c>
      <c r="K5768" s="246" t="str">
        <f t="shared" si="186"/>
        <v/>
      </c>
    </row>
    <row r="5769" spans="1:11" ht="30" customHeight="1" x14ac:dyDescent="0.2">
      <c r="A5769" s="242"/>
      <c r="F5769" s="285" t="str">
        <f t="shared" si="187"/>
        <v/>
      </c>
      <c r="K5769" s="246" t="str">
        <f t="shared" si="186"/>
        <v/>
      </c>
    </row>
    <row r="5770" spans="1:11" ht="30" customHeight="1" x14ac:dyDescent="0.2">
      <c r="A5770" s="242"/>
      <c r="F5770" s="285" t="str">
        <f t="shared" si="187"/>
        <v/>
      </c>
      <c r="K5770" s="246" t="str">
        <f t="shared" si="186"/>
        <v/>
      </c>
    </row>
    <row r="5771" spans="1:11" ht="30" customHeight="1" x14ac:dyDescent="0.2">
      <c r="A5771" s="242"/>
      <c r="F5771" s="285" t="str">
        <f t="shared" si="187"/>
        <v/>
      </c>
      <c r="K5771" s="246" t="str">
        <f t="shared" si="186"/>
        <v/>
      </c>
    </row>
    <row r="5772" spans="1:11" ht="30" customHeight="1" x14ac:dyDescent="0.2">
      <c r="A5772" s="242"/>
      <c r="F5772" s="285" t="str">
        <f t="shared" si="187"/>
        <v/>
      </c>
      <c r="K5772" s="246" t="str">
        <f t="shared" si="186"/>
        <v/>
      </c>
    </row>
    <row r="5773" spans="1:11" ht="30" customHeight="1" x14ac:dyDescent="0.2">
      <c r="A5773" s="242"/>
      <c r="F5773" s="285" t="str">
        <f t="shared" si="187"/>
        <v/>
      </c>
      <c r="K5773" s="246" t="str">
        <f t="shared" si="186"/>
        <v/>
      </c>
    </row>
    <row r="5774" spans="1:11" ht="30" customHeight="1" x14ac:dyDescent="0.2">
      <c r="A5774" s="242"/>
      <c r="F5774" s="285" t="str">
        <f t="shared" si="187"/>
        <v/>
      </c>
      <c r="K5774" s="246" t="str">
        <f t="shared" si="186"/>
        <v/>
      </c>
    </row>
    <row r="5775" spans="1:11" ht="30" customHeight="1" x14ac:dyDescent="0.2">
      <c r="A5775" s="242"/>
      <c r="F5775" s="285" t="str">
        <f t="shared" si="187"/>
        <v/>
      </c>
      <c r="K5775" s="246" t="str">
        <f t="shared" si="186"/>
        <v/>
      </c>
    </row>
    <row r="5776" spans="1:11" ht="30" customHeight="1" x14ac:dyDescent="0.2">
      <c r="A5776" s="242"/>
      <c r="F5776" s="285" t="str">
        <f t="shared" si="187"/>
        <v/>
      </c>
      <c r="K5776" s="246" t="str">
        <f t="shared" si="186"/>
        <v/>
      </c>
    </row>
    <row r="5777" spans="1:11" ht="30" customHeight="1" x14ac:dyDescent="0.2">
      <c r="A5777" s="242"/>
      <c r="F5777" s="285" t="str">
        <f t="shared" si="187"/>
        <v/>
      </c>
      <c r="K5777" s="246" t="str">
        <f t="shared" si="186"/>
        <v/>
      </c>
    </row>
    <row r="5778" spans="1:11" ht="30" customHeight="1" x14ac:dyDescent="0.2">
      <c r="A5778" s="242"/>
      <c r="F5778" s="285" t="str">
        <f t="shared" si="187"/>
        <v/>
      </c>
      <c r="K5778" s="246" t="str">
        <f t="shared" si="186"/>
        <v/>
      </c>
    </row>
    <row r="5779" spans="1:11" ht="30" customHeight="1" x14ac:dyDescent="0.2">
      <c r="A5779" s="242"/>
      <c r="F5779" s="285" t="str">
        <f t="shared" si="187"/>
        <v/>
      </c>
      <c r="K5779" s="246" t="str">
        <f t="shared" si="186"/>
        <v/>
      </c>
    </row>
    <row r="5780" spans="1:11" ht="30" customHeight="1" x14ac:dyDescent="0.2">
      <c r="A5780" s="242"/>
      <c r="F5780" s="285" t="str">
        <f t="shared" si="187"/>
        <v/>
      </c>
      <c r="K5780" s="246" t="str">
        <f t="shared" si="186"/>
        <v/>
      </c>
    </row>
    <row r="5781" spans="1:11" ht="30" customHeight="1" x14ac:dyDescent="0.2">
      <c r="A5781" s="242"/>
      <c r="F5781" s="285" t="str">
        <f t="shared" si="187"/>
        <v/>
      </c>
      <c r="K5781" s="246" t="str">
        <f t="shared" si="186"/>
        <v/>
      </c>
    </row>
    <row r="5782" spans="1:11" ht="30" customHeight="1" x14ac:dyDescent="0.2">
      <c r="A5782" s="242"/>
      <c r="F5782" s="285" t="str">
        <f t="shared" si="187"/>
        <v/>
      </c>
      <c r="K5782" s="246" t="str">
        <f t="shared" si="186"/>
        <v/>
      </c>
    </row>
    <row r="5783" spans="1:11" ht="30" customHeight="1" x14ac:dyDescent="0.2">
      <c r="A5783" s="242"/>
      <c r="F5783" s="285" t="str">
        <f t="shared" si="187"/>
        <v/>
      </c>
      <c r="K5783" s="246" t="str">
        <f t="shared" si="186"/>
        <v/>
      </c>
    </row>
    <row r="5784" spans="1:11" ht="30" customHeight="1" x14ac:dyDescent="0.2">
      <c r="A5784" s="242"/>
      <c r="F5784" s="285" t="str">
        <f t="shared" si="187"/>
        <v/>
      </c>
      <c r="K5784" s="246" t="str">
        <f t="shared" si="186"/>
        <v/>
      </c>
    </row>
    <row r="5785" spans="1:11" ht="30" customHeight="1" x14ac:dyDescent="0.2">
      <c r="A5785" s="242"/>
      <c r="F5785" s="285" t="str">
        <f t="shared" si="187"/>
        <v/>
      </c>
      <c r="K5785" s="246" t="str">
        <f t="shared" si="186"/>
        <v/>
      </c>
    </row>
    <row r="5786" spans="1:11" ht="30" customHeight="1" x14ac:dyDescent="0.2">
      <c r="A5786" s="242"/>
      <c r="F5786" s="285" t="str">
        <f t="shared" si="187"/>
        <v/>
      </c>
      <c r="K5786" s="246" t="str">
        <f t="shared" si="186"/>
        <v/>
      </c>
    </row>
    <row r="5787" spans="1:11" ht="30" customHeight="1" x14ac:dyDescent="0.2">
      <c r="A5787" s="242"/>
      <c r="F5787" s="285" t="str">
        <f t="shared" si="187"/>
        <v/>
      </c>
      <c r="K5787" s="246" t="str">
        <f t="shared" si="186"/>
        <v/>
      </c>
    </row>
    <row r="5788" spans="1:11" ht="30" customHeight="1" x14ac:dyDescent="0.2">
      <c r="A5788" s="242"/>
      <c r="F5788" s="285" t="str">
        <f t="shared" si="187"/>
        <v/>
      </c>
      <c r="K5788" s="246" t="str">
        <f t="shared" si="186"/>
        <v/>
      </c>
    </row>
    <row r="5789" spans="1:11" ht="30" customHeight="1" x14ac:dyDescent="0.2">
      <c r="A5789" s="242"/>
      <c r="F5789" s="285" t="str">
        <f t="shared" si="187"/>
        <v/>
      </c>
      <c r="K5789" s="246" t="str">
        <f t="shared" si="186"/>
        <v/>
      </c>
    </row>
    <row r="5790" spans="1:11" ht="30" customHeight="1" x14ac:dyDescent="0.2">
      <c r="A5790" s="242"/>
      <c r="F5790" s="285" t="str">
        <f t="shared" si="187"/>
        <v/>
      </c>
      <c r="K5790" s="246" t="str">
        <f t="shared" si="186"/>
        <v/>
      </c>
    </row>
    <row r="5791" spans="1:11" ht="30" customHeight="1" x14ac:dyDescent="0.2">
      <c r="A5791" s="242"/>
      <c r="F5791" s="285" t="str">
        <f t="shared" si="187"/>
        <v/>
      </c>
      <c r="K5791" s="246" t="str">
        <f t="shared" si="186"/>
        <v/>
      </c>
    </row>
    <row r="5792" spans="1:11" ht="30" customHeight="1" x14ac:dyDescent="0.2">
      <c r="A5792" s="242"/>
      <c r="F5792" s="285" t="str">
        <f t="shared" si="187"/>
        <v/>
      </c>
      <c r="K5792" s="246" t="str">
        <f t="shared" si="186"/>
        <v/>
      </c>
    </row>
    <row r="5793" spans="1:11" ht="30" customHeight="1" x14ac:dyDescent="0.2">
      <c r="A5793" s="242"/>
      <c r="F5793" s="285" t="str">
        <f t="shared" si="187"/>
        <v/>
      </c>
      <c r="K5793" s="246" t="str">
        <f t="shared" si="186"/>
        <v/>
      </c>
    </row>
    <row r="5794" spans="1:11" ht="30" customHeight="1" x14ac:dyDescent="0.2">
      <c r="A5794" s="242"/>
      <c r="F5794" s="285" t="str">
        <f t="shared" si="187"/>
        <v/>
      </c>
      <c r="K5794" s="246" t="str">
        <f t="shared" si="186"/>
        <v/>
      </c>
    </row>
    <row r="5795" spans="1:11" ht="30" customHeight="1" x14ac:dyDescent="0.2">
      <c r="A5795" s="242"/>
      <c r="F5795" s="285" t="str">
        <f t="shared" si="187"/>
        <v/>
      </c>
      <c r="K5795" s="246" t="str">
        <f t="shared" si="186"/>
        <v/>
      </c>
    </row>
    <row r="5796" spans="1:11" ht="30" customHeight="1" x14ac:dyDescent="0.2">
      <c r="A5796" s="242"/>
      <c r="F5796" s="285" t="str">
        <f t="shared" si="187"/>
        <v/>
      </c>
      <c r="K5796" s="246" t="str">
        <f t="shared" si="186"/>
        <v/>
      </c>
    </row>
    <row r="5797" spans="1:11" ht="30" customHeight="1" x14ac:dyDescent="0.2">
      <c r="A5797" s="242"/>
      <c r="F5797" s="285" t="str">
        <f t="shared" si="187"/>
        <v/>
      </c>
      <c r="K5797" s="246" t="str">
        <f t="shared" si="186"/>
        <v/>
      </c>
    </row>
    <row r="5798" spans="1:11" ht="30" customHeight="1" x14ac:dyDescent="0.2">
      <c r="A5798" s="242"/>
      <c r="F5798" s="285" t="str">
        <f t="shared" si="187"/>
        <v/>
      </c>
      <c r="K5798" s="246" t="str">
        <f t="shared" si="186"/>
        <v/>
      </c>
    </row>
    <row r="5799" spans="1:11" ht="30" customHeight="1" x14ac:dyDescent="0.2">
      <c r="A5799" s="242"/>
      <c r="F5799" s="285" t="str">
        <f t="shared" si="187"/>
        <v/>
      </c>
      <c r="K5799" s="246" t="str">
        <f t="shared" si="186"/>
        <v/>
      </c>
    </row>
    <row r="5800" spans="1:11" ht="30" customHeight="1" x14ac:dyDescent="0.2">
      <c r="A5800" s="242"/>
      <c r="F5800" s="285" t="str">
        <f t="shared" si="187"/>
        <v/>
      </c>
      <c r="K5800" s="246" t="str">
        <f t="shared" si="186"/>
        <v/>
      </c>
    </row>
    <row r="5801" spans="1:11" ht="30" customHeight="1" x14ac:dyDescent="0.2">
      <c r="A5801" s="242"/>
      <c r="F5801" s="285" t="str">
        <f t="shared" si="187"/>
        <v/>
      </c>
      <c r="K5801" s="246" t="str">
        <f t="shared" si="186"/>
        <v/>
      </c>
    </row>
    <row r="5802" spans="1:11" ht="30" customHeight="1" x14ac:dyDescent="0.2">
      <c r="A5802" s="242"/>
      <c r="F5802" s="285" t="str">
        <f t="shared" si="187"/>
        <v/>
      </c>
      <c r="K5802" s="246" t="str">
        <f t="shared" si="186"/>
        <v/>
      </c>
    </row>
    <row r="5803" spans="1:11" ht="30" customHeight="1" x14ac:dyDescent="0.2">
      <c r="A5803" s="242"/>
      <c r="F5803" s="285" t="str">
        <f t="shared" si="187"/>
        <v/>
      </c>
      <c r="K5803" s="246" t="str">
        <f t="shared" si="186"/>
        <v/>
      </c>
    </row>
    <row r="5804" spans="1:11" ht="30" customHeight="1" x14ac:dyDescent="0.2">
      <c r="A5804" s="242"/>
      <c r="F5804" s="285" t="str">
        <f t="shared" si="187"/>
        <v/>
      </c>
      <c r="K5804" s="246" t="str">
        <f t="shared" si="186"/>
        <v/>
      </c>
    </row>
    <row r="5805" spans="1:11" ht="30" customHeight="1" x14ac:dyDescent="0.2">
      <c r="A5805" s="242"/>
      <c r="F5805" s="285" t="str">
        <f t="shared" si="187"/>
        <v/>
      </c>
      <c r="K5805" s="246" t="str">
        <f t="shared" si="186"/>
        <v/>
      </c>
    </row>
    <row r="5806" spans="1:11" ht="30" customHeight="1" x14ac:dyDescent="0.2">
      <c r="A5806" s="242"/>
      <c r="F5806" s="285" t="str">
        <f t="shared" si="187"/>
        <v/>
      </c>
      <c r="K5806" s="246" t="str">
        <f t="shared" si="186"/>
        <v/>
      </c>
    </row>
    <row r="5807" spans="1:11" ht="30" customHeight="1" x14ac:dyDescent="0.2">
      <c r="A5807" s="242"/>
      <c r="F5807" s="285" t="str">
        <f t="shared" si="187"/>
        <v/>
      </c>
      <c r="K5807" s="246" t="str">
        <f t="shared" si="186"/>
        <v/>
      </c>
    </row>
    <row r="5808" spans="1:11" ht="30" customHeight="1" x14ac:dyDescent="0.2">
      <c r="A5808" s="242"/>
      <c r="F5808" s="285" t="str">
        <f t="shared" si="187"/>
        <v/>
      </c>
      <c r="K5808" s="246" t="str">
        <f t="shared" si="186"/>
        <v/>
      </c>
    </row>
    <row r="5809" spans="1:11" ht="30" customHeight="1" x14ac:dyDescent="0.2">
      <c r="A5809" s="242"/>
      <c r="F5809" s="285" t="str">
        <f t="shared" si="187"/>
        <v/>
      </c>
      <c r="K5809" s="246" t="str">
        <f t="shared" si="186"/>
        <v/>
      </c>
    </row>
    <row r="5810" spans="1:11" ht="30" customHeight="1" x14ac:dyDescent="0.2">
      <c r="A5810" s="242"/>
      <c r="F5810" s="285" t="str">
        <f t="shared" si="187"/>
        <v/>
      </c>
      <c r="K5810" s="246" t="str">
        <f t="shared" si="186"/>
        <v/>
      </c>
    </row>
    <row r="5811" spans="1:11" ht="30" customHeight="1" x14ac:dyDescent="0.2">
      <c r="A5811" s="242"/>
      <c r="F5811" s="285" t="str">
        <f t="shared" si="187"/>
        <v/>
      </c>
      <c r="K5811" s="246" t="str">
        <f t="shared" si="186"/>
        <v/>
      </c>
    </row>
    <row r="5812" spans="1:11" ht="30" customHeight="1" x14ac:dyDescent="0.2">
      <c r="A5812" s="242"/>
      <c r="F5812" s="285" t="str">
        <f t="shared" si="187"/>
        <v/>
      </c>
      <c r="K5812" s="246" t="str">
        <f t="shared" si="186"/>
        <v/>
      </c>
    </row>
    <row r="5813" spans="1:11" ht="30" customHeight="1" x14ac:dyDescent="0.2">
      <c r="A5813" s="242"/>
      <c r="F5813" s="285" t="str">
        <f t="shared" si="187"/>
        <v/>
      </c>
      <c r="K5813" s="246" t="str">
        <f t="shared" si="186"/>
        <v/>
      </c>
    </row>
    <row r="5814" spans="1:11" ht="30" customHeight="1" x14ac:dyDescent="0.2">
      <c r="A5814" s="242"/>
      <c r="F5814" s="285" t="str">
        <f t="shared" si="187"/>
        <v/>
      </c>
      <c r="K5814" s="246" t="str">
        <f t="shared" si="186"/>
        <v/>
      </c>
    </row>
    <row r="5815" spans="1:11" ht="30" customHeight="1" x14ac:dyDescent="0.2">
      <c r="A5815" s="242"/>
      <c r="F5815" s="285" t="str">
        <f t="shared" si="187"/>
        <v/>
      </c>
      <c r="K5815" s="246" t="str">
        <f t="shared" si="186"/>
        <v/>
      </c>
    </row>
    <row r="5816" spans="1:11" ht="30" customHeight="1" x14ac:dyDescent="0.2">
      <c r="A5816" s="242"/>
      <c r="F5816" s="285" t="str">
        <f t="shared" si="187"/>
        <v/>
      </c>
      <c r="K5816" s="246" t="str">
        <f t="shared" si="186"/>
        <v/>
      </c>
    </row>
    <row r="5817" spans="1:11" ht="30" customHeight="1" x14ac:dyDescent="0.2">
      <c r="A5817" s="242"/>
      <c r="F5817" s="285" t="str">
        <f t="shared" si="187"/>
        <v/>
      </c>
      <c r="K5817" s="246" t="str">
        <f t="shared" si="186"/>
        <v/>
      </c>
    </row>
    <row r="5818" spans="1:11" ht="30" customHeight="1" x14ac:dyDescent="0.2">
      <c r="A5818" s="242"/>
      <c r="F5818" s="285" t="str">
        <f t="shared" si="187"/>
        <v/>
      </c>
      <c r="K5818" s="246" t="str">
        <f t="shared" si="186"/>
        <v/>
      </c>
    </row>
    <row r="5819" spans="1:11" ht="30" customHeight="1" x14ac:dyDescent="0.2">
      <c r="A5819" s="242"/>
      <c r="F5819" s="285" t="str">
        <f t="shared" si="187"/>
        <v/>
      </c>
      <c r="K5819" s="246" t="str">
        <f t="shared" ref="K5819:K5882" si="188">IF(A5819="","",A5819)</f>
        <v/>
      </c>
    </row>
    <row r="5820" spans="1:11" ht="30" customHeight="1" x14ac:dyDescent="0.2">
      <c r="A5820" s="242"/>
      <c r="F5820" s="285" t="str">
        <f t="shared" si="187"/>
        <v/>
      </c>
      <c r="K5820" s="246" t="str">
        <f t="shared" si="188"/>
        <v/>
      </c>
    </row>
    <row r="5821" spans="1:11" ht="30" customHeight="1" x14ac:dyDescent="0.2">
      <c r="A5821" s="242"/>
      <c r="F5821" s="285" t="str">
        <f t="shared" si="187"/>
        <v/>
      </c>
      <c r="K5821" s="246" t="str">
        <f t="shared" si="188"/>
        <v/>
      </c>
    </row>
    <row r="5822" spans="1:11" ht="30" customHeight="1" x14ac:dyDescent="0.2">
      <c r="A5822" s="242"/>
      <c r="F5822" s="285" t="str">
        <f t="shared" si="187"/>
        <v/>
      </c>
      <c r="K5822" s="246" t="str">
        <f t="shared" si="188"/>
        <v/>
      </c>
    </row>
    <row r="5823" spans="1:11" ht="30" customHeight="1" x14ac:dyDescent="0.2">
      <c r="A5823" s="242"/>
      <c r="F5823" s="285" t="str">
        <f t="shared" si="187"/>
        <v/>
      </c>
      <c r="K5823" s="246" t="str">
        <f t="shared" si="188"/>
        <v/>
      </c>
    </row>
    <row r="5824" spans="1:11" ht="30" customHeight="1" x14ac:dyDescent="0.2">
      <c r="A5824" s="242"/>
      <c r="F5824" s="285" t="str">
        <f t="shared" si="187"/>
        <v/>
      </c>
      <c r="K5824" s="246" t="str">
        <f t="shared" si="188"/>
        <v/>
      </c>
    </row>
    <row r="5825" spans="1:11" ht="30" customHeight="1" x14ac:dyDescent="0.2">
      <c r="A5825" s="242"/>
      <c r="F5825" s="285" t="str">
        <f t="shared" si="187"/>
        <v/>
      </c>
      <c r="K5825" s="246" t="str">
        <f t="shared" si="188"/>
        <v/>
      </c>
    </row>
    <row r="5826" spans="1:11" ht="30" customHeight="1" x14ac:dyDescent="0.2">
      <c r="A5826" s="242"/>
      <c r="F5826" s="285" t="str">
        <f t="shared" si="187"/>
        <v/>
      </c>
      <c r="K5826" s="246" t="str">
        <f t="shared" si="188"/>
        <v/>
      </c>
    </row>
    <row r="5827" spans="1:11" ht="30" customHeight="1" x14ac:dyDescent="0.2">
      <c r="A5827" s="242"/>
      <c r="F5827" s="285" t="str">
        <f t="shared" si="187"/>
        <v/>
      </c>
      <c r="K5827" s="246" t="str">
        <f t="shared" si="188"/>
        <v/>
      </c>
    </row>
    <row r="5828" spans="1:11" ht="30" customHeight="1" x14ac:dyDescent="0.2">
      <c r="A5828" s="242"/>
      <c r="F5828" s="285" t="str">
        <f t="shared" si="187"/>
        <v/>
      </c>
      <c r="K5828" s="246" t="str">
        <f t="shared" si="188"/>
        <v/>
      </c>
    </row>
    <row r="5829" spans="1:11" ht="30" customHeight="1" x14ac:dyDescent="0.2">
      <c r="A5829" s="242"/>
      <c r="F5829" s="285" t="str">
        <f t="shared" ref="F5829:F5892" si="189">IF(A5829="","",A5829)</f>
        <v/>
      </c>
      <c r="K5829" s="246" t="str">
        <f t="shared" si="188"/>
        <v/>
      </c>
    </row>
    <row r="5830" spans="1:11" ht="30" customHeight="1" x14ac:dyDescent="0.2">
      <c r="A5830" s="242"/>
      <c r="F5830" s="285" t="str">
        <f t="shared" si="189"/>
        <v/>
      </c>
      <c r="K5830" s="246" t="str">
        <f t="shared" si="188"/>
        <v/>
      </c>
    </row>
    <row r="5831" spans="1:11" ht="30" customHeight="1" x14ac:dyDescent="0.2">
      <c r="A5831" s="242"/>
      <c r="F5831" s="285" t="str">
        <f t="shared" si="189"/>
        <v/>
      </c>
      <c r="K5831" s="246" t="str">
        <f t="shared" si="188"/>
        <v/>
      </c>
    </row>
    <row r="5832" spans="1:11" ht="30" customHeight="1" x14ac:dyDescent="0.2">
      <c r="A5832" s="242"/>
      <c r="F5832" s="285" t="str">
        <f t="shared" si="189"/>
        <v/>
      </c>
      <c r="K5832" s="246" t="str">
        <f t="shared" si="188"/>
        <v/>
      </c>
    </row>
    <row r="5833" spans="1:11" ht="30" customHeight="1" x14ac:dyDescent="0.2">
      <c r="A5833" s="242"/>
      <c r="F5833" s="285" t="str">
        <f t="shared" si="189"/>
        <v/>
      </c>
      <c r="K5833" s="246" t="str">
        <f t="shared" si="188"/>
        <v/>
      </c>
    </row>
    <row r="5834" spans="1:11" ht="30" customHeight="1" x14ac:dyDescent="0.2">
      <c r="A5834" s="242"/>
      <c r="F5834" s="285" t="str">
        <f t="shared" si="189"/>
        <v/>
      </c>
      <c r="K5834" s="246" t="str">
        <f t="shared" si="188"/>
        <v/>
      </c>
    </row>
    <row r="5835" spans="1:11" ht="30" customHeight="1" x14ac:dyDescent="0.2">
      <c r="A5835" s="242"/>
      <c r="F5835" s="285" t="str">
        <f t="shared" si="189"/>
        <v/>
      </c>
      <c r="K5835" s="246" t="str">
        <f t="shared" si="188"/>
        <v/>
      </c>
    </row>
    <row r="5836" spans="1:11" ht="30" customHeight="1" x14ac:dyDescent="0.2">
      <c r="A5836" s="242"/>
      <c r="F5836" s="285" t="str">
        <f t="shared" si="189"/>
        <v/>
      </c>
      <c r="K5836" s="246" t="str">
        <f t="shared" si="188"/>
        <v/>
      </c>
    </row>
    <row r="5837" spans="1:11" ht="30" customHeight="1" x14ac:dyDescent="0.2">
      <c r="A5837" s="242"/>
      <c r="F5837" s="285" t="str">
        <f t="shared" si="189"/>
        <v/>
      </c>
      <c r="K5837" s="246" t="str">
        <f t="shared" si="188"/>
        <v/>
      </c>
    </row>
    <row r="5838" spans="1:11" ht="30" customHeight="1" x14ac:dyDescent="0.2">
      <c r="A5838" s="242"/>
      <c r="F5838" s="285" t="str">
        <f t="shared" si="189"/>
        <v/>
      </c>
      <c r="K5838" s="246" t="str">
        <f t="shared" si="188"/>
        <v/>
      </c>
    </row>
    <row r="5839" spans="1:11" ht="30" customHeight="1" x14ac:dyDescent="0.2">
      <c r="A5839" s="242"/>
      <c r="F5839" s="285" t="str">
        <f t="shared" si="189"/>
        <v/>
      </c>
      <c r="K5839" s="246" t="str">
        <f t="shared" si="188"/>
        <v/>
      </c>
    </row>
    <row r="5840" spans="1:11" ht="30" customHeight="1" x14ac:dyDescent="0.2">
      <c r="A5840" s="242"/>
      <c r="F5840" s="285" t="str">
        <f t="shared" si="189"/>
        <v/>
      </c>
      <c r="K5840" s="246" t="str">
        <f t="shared" si="188"/>
        <v/>
      </c>
    </row>
    <row r="5841" spans="1:11" ht="30" customHeight="1" x14ac:dyDescent="0.2">
      <c r="A5841" s="242"/>
      <c r="F5841" s="285" t="str">
        <f t="shared" si="189"/>
        <v/>
      </c>
      <c r="K5841" s="246" t="str">
        <f t="shared" si="188"/>
        <v/>
      </c>
    </row>
    <row r="5842" spans="1:11" ht="30" customHeight="1" x14ac:dyDescent="0.2">
      <c r="A5842" s="242"/>
      <c r="F5842" s="285" t="str">
        <f t="shared" si="189"/>
        <v/>
      </c>
      <c r="K5842" s="246" t="str">
        <f t="shared" si="188"/>
        <v/>
      </c>
    </row>
    <row r="5843" spans="1:11" ht="30" customHeight="1" x14ac:dyDescent="0.2">
      <c r="A5843" s="242"/>
      <c r="F5843" s="285" t="str">
        <f t="shared" si="189"/>
        <v/>
      </c>
      <c r="K5843" s="246" t="str">
        <f t="shared" si="188"/>
        <v/>
      </c>
    </row>
    <row r="5844" spans="1:11" ht="30" customHeight="1" x14ac:dyDescent="0.2">
      <c r="A5844" s="242"/>
      <c r="F5844" s="285" t="str">
        <f t="shared" si="189"/>
        <v/>
      </c>
      <c r="K5844" s="246" t="str">
        <f t="shared" si="188"/>
        <v/>
      </c>
    </row>
    <row r="5845" spans="1:11" ht="30" customHeight="1" x14ac:dyDescent="0.2">
      <c r="A5845" s="242"/>
      <c r="F5845" s="285" t="str">
        <f t="shared" si="189"/>
        <v/>
      </c>
      <c r="K5845" s="246" t="str">
        <f t="shared" si="188"/>
        <v/>
      </c>
    </row>
    <row r="5846" spans="1:11" ht="30" customHeight="1" x14ac:dyDescent="0.2">
      <c r="A5846" s="242"/>
      <c r="F5846" s="285" t="str">
        <f t="shared" si="189"/>
        <v/>
      </c>
      <c r="K5846" s="246" t="str">
        <f t="shared" si="188"/>
        <v/>
      </c>
    </row>
    <row r="5847" spans="1:11" ht="30" customHeight="1" x14ac:dyDescent="0.2">
      <c r="A5847" s="242"/>
      <c r="F5847" s="285" t="str">
        <f t="shared" si="189"/>
        <v/>
      </c>
      <c r="K5847" s="246" t="str">
        <f t="shared" si="188"/>
        <v/>
      </c>
    </row>
    <row r="5848" spans="1:11" ht="30" customHeight="1" x14ac:dyDescent="0.2">
      <c r="A5848" s="242"/>
      <c r="F5848" s="285" t="str">
        <f t="shared" si="189"/>
        <v/>
      </c>
      <c r="K5848" s="246" t="str">
        <f t="shared" si="188"/>
        <v/>
      </c>
    </row>
    <row r="5849" spans="1:11" ht="30" customHeight="1" x14ac:dyDescent="0.2">
      <c r="A5849" s="242"/>
      <c r="F5849" s="285" t="str">
        <f t="shared" si="189"/>
        <v/>
      </c>
      <c r="K5849" s="246" t="str">
        <f t="shared" si="188"/>
        <v/>
      </c>
    </row>
    <row r="5850" spans="1:11" ht="30" customHeight="1" x14ac:dyDescent="0.2">
      <c r="A5850" s="242"/>
      <c r="F5850" s="285" t="str">
        <f t="shared" si="189"/>
        <v/>
      </c>
      <c r="K5850" s="246" t="str">
        <f t="shared" si="188"/>
        <v/>
      </c>
    </row>
    <row r="5851" spans="1:11" ht="30" customHeight="1" x14ac:dyDescent="0.2">
      <c r="A5851" s="242"/>
      <c r="F5851" s="285" t="str">
        <f t="shared" si="189"/>
        <v/>
      </c>
      <c r="K5851" s="246" t="str">
        <f t="shared" si="188"/>
        <v/>
      </c>
    </row>
    <row r="5852" spans="1:11" ht="30" customHeight="1" x14ac:dyDescent="0.2">
      <c r="A5852" s="242"/>
      <c r="F5852" s="285" t="str">
        <f t="shared" si="189"/>
        <v/>
      </c>
      <c r="K5852" s="246" t="str">
        <f t="shared" si="188"/>
        <v/>
      </c>
    </row>
    <row r="5853" spans="1:11" ht="30" customHeight="1" x14ac:dyDescent="0.2">
      <c r="A5853" s="242"/>
      <c r="F5853" s="285" t="str">
        <f t="shared" si="189"/>
        <v/>
      </c>
      <c r="K5853" s="246" t="str">
        <f t="shared" si="188"/>
        <v/>
      </c>
    </row>
    <row r="5854" spans="1:11" ht="30" customHeight="1" x14ac:dyDescent="0.2">
      <c r="A5854" s="242"/>
      <c r="F5854" s="285" t="str">
        <f t="shared" si="189"/>
        <v/>
      </c>
      <c r="K5854" s="246" t="str">
        <f t="shared" si="188"/>
        <v/>
      </c>
    </row>
    <row r="5855" spans="1:11" ht="30" customHeight="1" x14ac:dyDescent="0.2">
      <c r="A5855" s="242"/>
      <c r="F5855" s="285" t="str">
        <f t="shared" si="189"/>
        <v/>
      </c>
      <c r="K5855" s="246" t="str">
        <f t="shared" si="188"/>
        <v/>
      </c>
    </row>
    <row r="5856" spans="1:11" ht="30" customHeight="1" x14ac:dyDescent="0.2">
      <c r="A5856" s="242"/>
      <c r="F5856" s="285" t="str">
        <f t="shared" si="189"/>
        <v/>
      </c>
      <c r="K5856" s="246" t="str">
        <f t="shared" si="188"/>
        <v/>
      </c>
    </row>
    <row r="5857" spans="1:11" ht="30" customHeight="1" x14ac:dyDescent="0.2">
      <c r="A5857" s="242"/>
      <c r="F5857" s="285" t="str">
        <f t="shared" si="189"/>
        <v/>
      </c>
      <c r="K5857" s="246" t="str">
        <f t="shared" si="188"/>
        <v/>
      </c>
    </row>
    <row r="5858" spans="1:11" ht="30" customHeight="1" x14ac:dyDescent="0.2">
      <c r="A5858" s="242"/>
      <c r="F5858" s="285" t="str">
        <f t="shared" si="189"/>
        <v/>
      </c>
      <c r="K5858" s="246" t="str">
        <f t="shared" si="188"/>
        <v/>
      </c>
    </row>
    <row r="5859" spans="1:11" ht="30" customHeight="1" x14ac:dyDescent="0.2">
      <c r="A5859" s="242"/>
      <c r="F5859" s="285" t="str">
        <f t="shared" si="189"/>
        <v/>
      </c>
      <c r="K5859" s="246" t="str">
        <f t="shared" si="188"/>
        <v/>
      </c>
    </row>
    <row r="5860" spans="1:11" ht="30" customHeight="1" x14ac:dyDescent="0.2">
      <c r="A5860" s="242"/>
      <c r="F5860" s="285" t="str">
        <f t="shared" si="189"/>
        <v/>
      </c>
      <c r="K5860" s="246" t="str">
        <f t="shared" si="188"/>
        <v/>
      </c>
    </row>
    <row r="5861" spans="1:11" ht="30" customHeight="1" x14ac:dyDescent="0.2">
      <c r="A5861" s="242"/>
      <c r="F5861" s="285" t="str">
        <f t="shared" si="189"/>
        <v/>
      </c>
      <c r="K5861" s="246" t="str">
        <f t="shared" si="188"/>
        <v/>
      </c>
    </row>
    <row r="5862" spans="1:11" ht="30" customHeight="1" x14ac:dyDescent="0.2">
      <c r="A5862" s="242"/>
      <c r="F5862" s="285" t="str">
        <f t="shared" si="189"/>
        <v/>
      </c>
      <c r="K5862" s="246" t="str">
        <f t="shared" si="188"/>
        <v/>
      </c>
    </row>
    <row r="5863" spans="1:11" ht="30" customHeight="1" x14ac:dyDescent="0.2">
      <c r="A5863" s="242"/>
      <c r="F5863" s="285" t="str">
        <f t="shared" si="189"/>
        <v/>
      </c>
      <c r="K5863" s="246" t="str">
        <f t="shared" si="188"/>
        <v/>
      </c>
    </row>
    <row r="5864" spans="1:11" ht="30" customHeight="1" x14ac:dyDescent="0.2">
      <c r="A5864" s="242"/>
      <c r="F5864" s="285" t="str">
        <f t="shared" si="189"/>
        <v/>
      </c>
      <c r="K5864" s="246" t="str">
        <f t="shared" si="188"/>
        <v/>
      </c>
    </row>
    <row r="5865" spans="1:11" ht="30" customHeight="1" x14ac:dyDescent="0.2">
      <c r="A5865" s="242"/>
      <c r="F5865" s="285" t="str">
        <f t="shared" si="189"/>
        <v/>
      </c>
      <c r="K5865" s="246" t="str">
        <f t="shared" si="188"/>
        <v/>
      </c>
    </row>
    <row r="5866" spans="1:11" ht="30" customHeight="1" x14ac:dyDescent="0.2">
      <c r="A5866" s="242"/>
      <c r="F5866" s="285" t="str">
        <f t="shared" si="189"/>
        <v/>
      </c>
      <c r="K5866" s="246" t="str">
        <f t="shared" si="188"/>
        <v/>
      </c>
    </row>
    <row r="5867" spans="1:11" ht="30" customHeight="1" x14ac:dyDescent="0.2">
      <c r="A5867" s="242"/>
      <c r="F5867" s="285" t="str">
        <f t="shared" si="189"/>
        <v/>
      </c>
      <c r="K5867" s="246" t="str">
        <f t="shared" si="188"/>
        <v/>
      </c>
    </row>
    <row r="5868" spans="1:11" ht="30" customHeight="1" x14ac:dyDescent="0.2">
      <c r="A5868" s="242"/>
      <c r="F5868" s="285" t="str">
        <f t="shared" si="189"/>
        <v/>
      </c>
      <c r="K5868" s="246" t="str">
        <f t="shared" si="188"/>
        <v/>
      </c>
    </row>
    <row r="5869" spans="1:11" ht="30" customHeight="1" x14ac:dyDescent="0.2">
      <c r="A5869" s="242"/>
      <c r="F5869" s="285" t="str">
        <f t="shared" si="189"/>
        <v/>
      </c>
      <c r="K5869" s="246" t="str">
        <f t="shared" si="188"/>
        <v/>
      </c>
    </row>
    <row r="5870" spans="1:11" ht="30" customHeight="1" x14ac:dyDescent="0.2">
      <c r="A5870" s="242"/>
      <c r="F5870" s="285" t="str">
        <f t="shared" si="189"/>
        <v/>
      </c>
      <c r="K5870" s="246" t="str">
        <f t="shared" si="188"/>
        <v/>
      </c>
    </row>
    <row r="5871" spans="1:11" ht="30" customHeight="1" x14ac:dyDescent="0.2">
      <c r="A5871" s="242"/>
      <c r="F5871" s="285" t="str">
        <f t="shared" si="189"/>
        <v/>
      </c>
      <c r="K5871" s="246" t="str">
        <f t="shared" si="188"/>
        <v/>
      </c>
    </row>
    <row r="5872" spans="1:11" ht="30" customHeight="1" x14ac:dyDescent="0.2">
      <c r="A5872" s="242"/>
      <c r="F5872" s="285" t="str">
        <f t="shared" si="189"/>
        <v/>
      </c>
      <c r="K5872" s="246" t="str">
        <f t="shared" si="188"/>
        <v/>
      </c>
    </row>
    <row r="5873" spans="1:11" ht="30" customHeight="1" x14ac:dyDescent="0.2">
      <c r="A5873" s="242"/>
      <c r="F5873" s="285" t="str">
        <f t="shared" si="189"/>
        <v/>
      </c>
      <c r="K5873" s="246" t="str">
        <f t="shared" si="188"/>
        <v/>
      </c>
    </row>
    <row r="5874" spans="1:11" ht="30" customHeight="1" x14ac:dyDescent="0.2">
      <c r="A5874" s="242"/>
      <c r="F5874" s="285" t="str">
        <f t="shared" si="189"/>
        <v/>
      </c>
      <c r="K5874" s="246" t="str">
        <f t="shared" si="188"/>
        <v/>
      </c>
    </row>
    <row r="5875" spans="1:11" ht="30" customHeight="1" x14ac:dyDescent="0.2">
      <c r="A5875" s="242"/>
      <c r="F5875" s="285" t="str">
        <f t="shared" si="189"/>
        <v/>
      </c>
      <c r="K5875" s="246" t="str">
        <f t="shared" si="188"/>
        <v/>
      </c>
    </row>
    <row r="5876" spans="1:11" ht="30" customHeight="1" x14ac:dyDescent="0.2">
      <c r="A5876" s="242"/>
      <c r="F5876" s="285" t="str">
        <f t="shared" si="189"/>
        <v/>
      </c>
      <c r="K5876" s="246" t="str">
        <f t="shared" si="188"/>
        <v/>
      </c>
    </row>
    <row r="5877" spans="1:11" ht="30" customHeight="1" x14ac:dyDescent="0.2">
      <c r="A5877" s="242"/>
      <c r="F5877" s="285" t="str">
        <f t="shared" si="189"/>
        <v/>
      </c>
      <c r="K5877" s="246" t="str">
        <f t="shared" si="188"/>
        <v/>
      </c>
    </row>
    <row r="5878" spans="1:11" ht="30" customHeight="1" x14ac:dyDescent="0.2">
      <c r="A5878" s="242"/>
      <c r="F5878" s="285" t="str">
        <f t="shared" si="189"/>
        <v/>
      </c>
      <c r="K5878" s="246" t="str">
        <f t="shared" si="188"/>
        <v/>
      </c>
    </row>
    <row r="5879" spans="1:11" ht="30" customHeight="1" x14ac:dyDescent="0.2">
      <c r="A5879" s="242"/>
      <c r="F5879" s="285" t="str">
        <f t="shared" si="189"/>
        <v/>
      </c>
      <c r="K5879" s="246" t="str">
        <f t="shared" si="188"/>
        <v/>
      </c>
    </row>
    <row r="5880" spans="1:11" ht="30" customHeight="1" x14ac:dyDescent="0.2">
      <c r="A5880" s="242"/>
      <c r="F5880" s="285" t="str">
        <f t="shared" si="189"/>
        <v/>
      </c>
      <c r="K5880" s="246" t="str">
        <f t="shared" si="188"/>
        <v/>
      </c>
    </row>
    <row r="5881" spans="1:11" ht="30" customHeight="1" x14ac:dyDescent="0.2">
      <c r="A5881" s="242"/>
      <c r="F5881" s="285" t="str">
        <f t="shared" si="189"/>
        <v/>
      </c>
      <c r="K5881" s="246" t="str">
        <f t="shared" si="188"/>
        <v/>
      </c>
    </row>
    <row r="5882" spans="1:11" ht="30" customHeight="1" x14ac:dyDescent="0.2">
      <c r="A5882" s="242"/>
      <c r="F5882" s="285" t="str">
        <f t="shared" si="189"/>
        <v/>
      </c>
      <c r="K5882" s="246" t="str">
        <f t="shared" si="188"/>
        <v/>
      </c>
    </row>
    <row r="5883" spans="1:11" ht="30" customHeight="1" x14ac:dyDescent="0.2">
      <c r="A5883" s="242"/>
      <c r="F5883" s="285" t="str">
        <f t="shared" si="189"/>
        <v/>
      </c>
      <c r="K5883" s="246" t="str">
        <f t="shared" ref="K5883:K5946" si="190">IF(A5883="","",A5883)</f>
        <v/>
      </c>
    </row>
    <row r="5884" spans="1:11" ht="30" customHeight="1" x14ac:dyDescent="0.2">
      <c r="A5884" s="242"/>
      <c r="F5884" s="285" t="str">
        <f t="shared" si="189"/>
        <v/>
      </c>
      <c r="K5884" s="246" t="str">
        <f t="shared" si="190"/>
        <v/>
      </c>
    </row>
    <row r="5885" spans="1:11" ht="30" customHeight="1" x14ac:dyDescent="0.2">
      <c r="A5885" s="242"/>
      <c r="F5885" s="285" t="str">
        <f t="shared" si="189"/>
        <v/>
      </c>
      <c r="K5885" s="246" t="str">
        <f t="shared" si="190"/>
        <v/>
      </c>
    </row>
    <row r="5886" spans="1:11" ht="30" customHeight="1" x14ac:dyDescent="0.2">
      <c r="A5886" s="242"/>
      <c r="F5886" s="285" t="str">
        <f t="shared" si="189"/>
        <v/>
      </c>
      <c r="K5886" s="246" t="str">
        <f t="shared" si="190"/>
        <v/>
      </c>
    </row>
    <row r="5887" spans="1:11" ht="30" customHeight="1" x14ac:dyDescent="0.2">
      <c r="A5887" s="242"/>
      <c r="F5887" s="285" t="str">
        <f t="shared" si="189"/>
        <v/>
      </c>
      <c r="K5887" s="246" t="str">
        <f t="shared" si="190"/>
        <v/>
      </c>
    </row>
    <row r="5888" spans="1:11" ht="30" customHeight="1" x14ac:dyDescent="0.2">
      <c r="A5888" s="242"/>
      <c r="F5888" s="285" t="str">
        <f t="shared" si="189"/>
        <v/>
      </c>
      <c r="K5888" s="246" t="str">
        <f t="shared" si="190"/>
        <v/>
      </c>
    </row>
    <row r="5889" spans="1:11" ht="30" customHeight="1" x14ac:dyDescent="0.2">
      <c r="A5889" s="242"/>
      <c r="F5889" s="285" t="str">
        <f t="shared" si="189"/>
        <v/>
      </c>
      <c r="K5889" s="246" t="str">
        <f t="shared" si="190"/>
        <v/>
      </c>
    </row>
    <row r="5890" spans="1:11" ht="30" customHeight="1" x14ac:dyDescent="0.2">
      <c r="A5890" s="242"/>
      <c r="F5890" s="285" t="str">
        <f t="shared" si="189"/>
        <v/>
      </c>
      <c r="K5890" s="246" t="str">
        <f t="shared" si="190"/>
        <v/>
      </c>
    </row>
    <row r="5891" spans="1:11" ht="30" customHeight="1" x14ac:dyDescent="0.2">
      <c r="A5891" s="242"/>
      <c r="F5891" s="285" t="str">
        <f t="shared" si="189"/>
        <v/>
      </c>
      <c r="K5891" s="246" t="str">
        <f t="shared" si="190"/>
        <v/>
      </c>
    </row>
    <row r="5892" spans="1:11" ht="30" customHeight="1" x14ac:dyDescent="0.2">
      <c r="A5892" s="242"/>
      <c r="F5892" s="285" t="str">
        <f t="shared" si="189"/>
        <v/>
      </c>
      <c r="K5892" s="246" t="str">
        <f t="shared" si="190"/>
        <v/>
      </c>
    </row>
    <row r="5893" spans="1:11" ht="30" customHeight="1" x14ac:dyDescent="0.2">
      <c r="A5893" s="242"/>
      <c r="F5893" s="285" t="str">
        <f t="shared" ref="F5893:F5956" si="191">IF(A5893="","",A5893)</f>
        <v/>
      </c>
      <c r="K5893" s="246" t="str">
        <f t="shared" si="190"/>
        <v/>
      </c>
    </row>
    <row r="5894" spans="1:11" ht="30" customHeight="1" x14ac:dyDescent="0.2">
      <c r="A5894" s="242"/>
      <c r="F5894" s="285" t="str">
        <f t="shared" si="191"/>
        <v/>
      </c>
      <c r="K5894" s="246" t="str">
        <f t="shared" si="190"/>
        <v/>
      </c>
    </row>
    <row r="5895" spans="1:11" ht="30" customHeight="1" x14ac:dyDescent="0.2">
      <c r="A5895" s="242"/>
      <c r="F5895" s="285" t="str">
        <f t="shared" si="191"/>
        <v/>
      </c>
      <c r="K5895" s="246" t="str">
        <f t="shared" si="190"/>
        <v/>
      </c>
    </row>
    <row r="5896" spans="1:11" ht="30" customHeight="1" x14ac:dyDescent="0.2">
      <c r="A5896" s="242"/>
      <c r="F5896" s="285" t="str">
        <f t="shared" si="191"/>
        <v/>
      </c>
      <c r="K5896" s="246" t="str">
        <f t="shared" si="190"/>
        <v/>
      </c>
    </row>
    <row r="5897" spans="1:11" ht="30" customHeight="1" x14ac:dyDescent="0.2">
      <c r="A5897" s="242"/>
      <c r="F5897" s="285" t="str">
        <f t="shared" si="191"/>
        <v/>
      </c>
      <c r="K5897" s="246" t="str">
        <f t="shared" si="190"/>
        <v/>
      </c>
    </row>
    <row r="5898" spans="1:11" ht="30" customHeight="1" x14ac:dyDescent="0.2">
      <c r="A5898" s="242"/>
      <c r="F5898" s="285" t="str">
        <f t="shared" si="191"/>
        <v/>
      </c>
      <c r="K5898" s="246" t="str">
        <f t="shared" si="190"/>
        <v/>
      </c>
    </row>
    <row r="5899" spans="1:11" ht="30" customHeight="1" x14ac:dyDescent="0.2">
      <c r="A5899" s="242"/>
      <c r="F5899" s="285" t="str">
        <f t="shared" si="191"/>
        <v/>
      </c>
      <c r="K5899" s="246" t="str">
        <f t="shared" si="190"/>
        <v/>
      </c>
    </row>
    <row r="5900" spans="1:11" ht="30" customHeight="1" x14ac:dyDescent="0.2">
      <c r="A5900" s="242"/>
      <c r="F5900" s="285" t="str">
        <f t="shared" si="191"/>
        <v/>
      </c>
      <c r="K5900" s="246" t="str">
        <f t="shared" si="190"/>
        <v/>
      </c>
    </row>
    <row r="5901" spans="1:11" ht="30" customHeight="1" x14ac:dyDescent="0.2">
      <c r="A5901" s="242"/>
      <c r="F5901" s="285" t="str">
        <f t="shared" si="191"/>
        <v/>
      </c>
      <c r="K5901" s="246" t="str">
        <f t="shared" si="190"/>
        <v/>
      </c>
    </row>
    <row r="5902" spans="1:11" ht="30" customHeight="1" x14ac:dyDescent="0.2">
      <c r="A5902" s="242"/>
      <c r="F5902" s="285" t="str">
        <f t="shared" si="191"/>
        <v/>
      </c>
      <c r="K5902" s="246" t="str">
        <f t="shared" si="190"/>
        <v/>
      </c>
    </row>
    <row r="5903" spans="1:11" ht="30" customHeight="1" x14ac:dyDescent="0.2">
      <c r="A5903" s="242"/>
      <c r="F5903" s="285" t="str">
        <f t="shared" si="191"/>
        <v/>
      </c>
      <c r="K5903" s="246" t="str">
        <f t="shared" si="190"/>
        <v/>
      </c>
    </row>
    <row r="5904" spans="1:11" ht="30" customHeight="1" x14ac:dyDescent="0.2">
      <c r="A5904" s="242"/>
      <c r="F5904" s="285" t="str">
        <f t="shared" si="191"/>
        <v/>
      </c>
      <c r="K5904" s="246" t="str">
        <f t="shared" si="190"/>
        <v/>
      </c>
    </row>
    <row r="5905" spans="1:11" ht="30" customHeight="1" x14ac:dyDescent="0.2">
      <c r="A5905" s="242"/>
      <c r="F5905" s="285" t="str">
        <f t="shared" si="191"/>
        <v/>
      </c>
      <c r="K5905" s="246" t="str">
        <f t="shared" si="190"/>
        <v/>
      </c>
    </row>
    <row r="5906" spans="1:11" ht="30" customHeight="1" x14ac:dyDescent="0.2">
      <c r="A5906" s="242"/>
      <c r="F5906" s="285" t="str">
        <f t="shared" si="191"/>
        <v/>
      </c>
      <c r="K5906" s="246" t="str">
        <f t="shared" si="190"/>
        <v/>
      </c>
    </row>
    <row r="5907" spans="1:11" ht="30" customHeight="1" x14ac:dyDescent="0.2">
      <c r="A5907" s="242"/>
      <c r="F5907" s="285" t="str">
        <f t="shared" si="191"/>
        <v/>
      </c>
      <c r="K5907" s="246" t="str">
        <f t="shared" si="190"/>
        <v/>
      </c>
    </row>
    <row r="5908" spans="1:11" ht="30" customHeight="1" x14ac:dyDescent="0.2">
      <c r="A5908" s="242"/>
      <c r="F5908" s="285" t="str">
        <f t="shared" si="191"/>
        <v/>
      </c>
      <c r="K5908" s="246" t="str">
        <f t="shared" si="190"/>
        <v/>
      </c>
    </row>
    <row r="5909" spans="1:11" ht="30" customHeight="1" x14ac:dyDescent="0.2">
      <c r="A5909" s="242"/>
      <c r="F5909" s="285" t="str">
        <f t="shared" si="191"/>
        <v/>
      </c>
      <c r="K5909" s="246" t="str">
        <f t="shared" si="190"/>
        <v/>
      </c>
    </row>
    <row r="5910" spans="1:11" ht="30" customHeight="1" x14ac:dyDescent="0.2">
      <c r="A5910" s="242"/>
      <c r="F5910" s="285" t="str">
        <f t="shared" si="191"/>
        <v/>
      </c>
      <c r="K5910" s="246" t="str">
        <f t="shared" si="190"/>
        <v/>
      </c>
    </row>
    <row r="5911" spans="1:11" ht="30" customHeight="1" x14ac:dyDescent="0.2">
      <c r="A5911" s="242"/>
      <c r="F5911" s="285" t="str">
        <f t="shared" si="191"/>
        <v/>
      </c>
      <c r="K5911" s="246" t="str">
        <f t="shared" si="190"/>
        <v/>
      </c>
    </row>
    <row r="5912" spans="1:11" ht="30" customHeight="1" x14ac:dyDescent="0.2">
      <c r="A5912" s="242"/>
      <c r="F5912" s="285" t="str">
        <f t="shared" si="191"/>
        <v/>
      </c>
      <c r="K5912" s="246" t="str">
        <f t="shared" si="190"/>
        <v/>
      </c>
    </row>
    <row r="5913" spans="1:11" ht="30" customHeight="1" x14ac:dyDescent="0.2">
      <c r="A5913" s="242"/>
      <c r="F5913" s="285" t="str">
        <f t="shared" si="191"/>
        <v/>
      </c>
      <c r="K5913" s="246" t="str">
        <f t="shared" si="190"/>
        <v/>
      </c>
    </row>
    <row r="5914" spans="1:11" ht="30" customHeight="1" x14ac:dyDescent="0.2">
      <c r="A5914" s="242"/>
      <c r="F5914" s="285" t="str">
        <f t="shared" si="191"/>
        <v/>
      </c>
      <c r="K5914" s="246" t="str">
        <f t="shared" si="190"/>
        <v/>
      </c>
    </row>
    <row r="5915" spans="1:11" ht="30" customHeight="1" x14ac:dyDescent="0.2">
      <c r="A5915" s="242"/>
      <c r="F5915" s="285" t="str">
        <f t="shared" si="191"/>
        <v/>
      </c>
      <c r="K5915" s="246" t="str">
        <f t="shared" si="190"/>
        <v/>
      </c>
    </row>
    <row r="5916" spans="1:11" ht="30" customHeight="1" x14ac:dyDescent="0.2">
      <c r="A5916" s="242"/>
      <c r="F5916" s="285" t="str">
        <f t="shared" si="191"/>
        <v/>
      </c>
      <c r="K5916" s="246" t="str">
        <f t="shared" si="190"/>
        <v/>
      </c>
    </row>
    <row r="5917" spans="1:11" ht="30" customHeight="1" x14ac:dyDescent="0.2">
      <c r="A5917" s="242"/>
      <c r="F5917" s="285" t="str">
        <f t="shared" si="191"/>
        <v/>
      </c>
      <c r="K5917" s="246" t="str">
        <f t="shared" si="190"/>
        <v/>
      </c>
    </row>
    <row r="5918" spans="1:11" ht="30" customHeight="1" x14ac:dyDescent="0.2">
      <c r="A5918" s="242"/>
      <c r="F5918" s="285" t="str">
        <f t="shared" si="191"/>
        <v/>
      </c>
      <c r="K5918" s="246" t="str">
        <f t="shared" si="190"/>
        <v/>
      </c>
    </row>
    <row r="5919" spans="1:11" ht="30" customHeight="1" x14ac:dyDescent="0.2">
      <c r="A5919" s="242"/>
      <c r="F5919" s="285" t="str">
        <f t="shared" si="191"/>
        <v/>
      </c>
      <c r="K5919" s="246" t="str">
        <f t="shared" si="190"/>
        <v/>
      </c>
    </row>
    <row r="5920" spans="1:11" ht="30" customHeight="1" x14ac:dyDescent="0.2">
      <c r="A5920" s="242"/>
      <c r="F5920" s="285" t="str">
        <f t="shared" si="191"/>
        <v/>
      </c>
      <c r="K5920" s="246" t="str">
        <f t="shared" si="190"/>
        <v/>
      </c>
    </row>
    <row r="5921" spans="1:11" ht="30" customHeight="1" x14ac:dyDescent="0.2">
      <c r="A5921" s="242"/>
      <c r="F5921" s="285" t="str">
        <f t="shared" si="191"/>
        <v/>
      </c>
      <c r="K5921" s="246" t="str">
        <f t="shared" si="190"/>
        <v/>
      </c>
    </row>
    <row r="5922" spans="1:11" ht="30" customHeight="1" x14ac:dyDescent="0.2">
      <c r="A5922" s="242"/>
      <c r="F5922" s="285" t="str">
        <f t="shared" si="191"/>
        <v/>
      </c>
      <c r="K5922" s="246" t="str">
        <f t="shared" si="190"/>
        <v/>
      </c>
    </row>
    <row r="5923" spans="1:11" ht="30" customHeight="1" x14ac:dyDescent="0.2">
      <c r="A5923" s="242"/>
      <c r="F5923" s="285" t="str">
        <f t="shared" si="191"/>
        <v/>
      </c>
      <c r="K5923" s="246" t="str">
        <f t="shared" si="190"/>
        <v/>
      </c>
    </row>
    <row r="5924" spans="1:11" ht="30" customHeight="1" x14ac:dyDescent="0.2">
      <c r="A5924" s="242"/>
      <c r="F5924" s="285" t="str">
        <f t="shared" si="191"/>
        <v/>
      </c>
      <c r="K5924" s="246" t="str">
        <f t="shared" si="190"/>
        <v/>
      </c>
    </row>
    <row r="5925" spans="1:11" ht="30" customHeight="1" x14ac:dyDescent="0.2">
      <c r="A5925" s="242"/>
      <c r="F5925" s="285" t="str">
        <f t="shared" si="191"/>
        <v/>
      </c>
      <c r="K5925" s="246" t="str">
        <f t="shared" si="190"/>
        <v/>
      </c>
    </row>
    <row r="5926" spans="1:11" ht="30" customHeight="1" x14ac:dyDescent="0.2">
      <c r="A5926" s="242"/>
      <c r="F5926" s="285" t="str">
        <f t="shared" si="191"/>
        <v/>
      </c>
      <c r="K5926" s="246" t="str">
        <f t="shared" si="190"/>
        <v/>
      </c>
    </row>
    <row r="5927" spans="1:11" ht="30" customHeight="1" x14ac:dyDescent="0.2">
      <c r="A5927" s="242"/>
      <c r="F5927" s="285" t="str">
        <f t="shared" si="191"/>
        <v/>
      </c>
      <c r="K5927" s="246" t="str">
        <f t="shared" si="190"/>
        <v/>
      </c>
    </row>
    <row r="5928" spans="1:11" ht="30" customHeight="1" x14ac:dyDescent="0.2">
      <c r="A5928" s="242"/>
      <c r="F5928" s="285" t="str">
        <f t="shared" si="191"/>
        <v/>
      </c>
      <c r="K5928" s="246" t="str">
        <f t="shared" si="190"/>
        <v/>
      </c>
    </row>
    <row r="5929" spans="1:11" ht="30" customHeight="1" x14ac:dyDescent="0.2">
      <c r="A5929" s="242"/>
      <c r="F5929" s="285" t="str">
        <f t="shared" si="191"/>
        <v/>
      </c>
      <c r="K5929" s="246" t="str">
        <f t="shared" si="190"/>
        <v/>
      </c>
    </row>
    <row r="5930" spans="1:11" ht="30" customHeight="1" x14ac:dyDescent="0.2">
      <c r="A5930" s="242"/>
      <c r="F5930" s="285" t="str">
        <f t="shared" si="191"/>
        <v/>
      </c>
      <c r="K5930" s="246" t="str">
        <f t="shared" si="190"/>
        <v/>
      </c>
    </row>
    <row r="5931" spans="1:11" ht="30" customHeight="1" x14ac:dyDescent="0.2">
      <c r="A5931" s="242"/>
      <c r="F5931" s="285" t="str">
        <f t="shared" si="191"/>
        <v/>
      </c>
      <c r="K5931" s="246" t="str">
        <f t="shared" si="190"/>
        <v/>
      </c>
    </row>
    <row r="5932" spans="1:11" ht="30" customHeight="1" x14ac:dyDescent="0.2">
      <c r="A5932" s="242"/>
      <c r="F5932" s="285" t="str">
        <f t="shared" si="191"/>
        <v/>
      </c>
      <c r="K5932" s="246" t="str">
        <f t="shared" si="190"/>
        <v/>
      </c>
    </row>
    <row r="5933" spans="1:11" ht="30" customHeight="1" x14ac:dyDescent="0.2">
      <c r="A5933" s="242"/>
      <c r="F5933" s="285" t="str">
        <f t="shared" si="191"/>
        <v/>
      </c>
      <c r="K5933" s="246" t="str">
        <f t="shared" si="190"/>
        <v/>
      </c>
    </row>
    <row r="5934" spans="1:11" ht="30" customHeight="1" x14ac:dyDescent="0.2">
      <c r="A5934" s="242"/>
      <c r="F5934" s="285" t="str">
        <f t="shared" si="191"/>
        <v/>
      </c>
      <c r="K5934" s="246" t="str">
        <f t="shared" si="190"/>
        <v/>
      </c>
    </row>
    <row r="5935" spans="1:11" ht="30" customHeight="1" x14ac:dyDescent="0.2">
      <c r="A5935" s="242"/>
      <c r="F5935" s="285" t="str">
        <f t="shared" si="191"/>
        <v/>
      </c>
      <c r="K5935" s="246" t="str">
        <f t="shared" si="190"/>
        <v/>
      </c>
    </row>
    <row r="5936" spans="1:11" ht="30" customHeight="1" x14ac:dyDescent="0.2">
      <c r="A5936" s="242"/>
      <c r="F5936" s="285" t="str">
        <f t="shared" si="191"/>
        <v/>
      </c>
      <c r="K5936" s="246" t="str">
        <f t="shared" si="190"/>
        <v/>
      </c>
    </row>
    <row r="5937" spans="1:11" ht="30" customHeight="1" x14ac:dyDescent="0.2">
      <c r="A5937" s="242"/>
      <c r="F5937" s="285" t="str">
        <f t="shared" si="191"/>
        <v/>
      </c>
      <c r="K5937" s="246" t="str">
        <f t="shared" si="190"/>
        <v/>
      </c>
    </row>
    <row r="5938" spans="1:11" ht="30" customHeight="1" x14ac:dyDescent="0.2">
      <c r="A5938" s="242"/>
      <c r="F5938" s="285" t="str">
        <f t="shared" si="191"/>
        <v/>
      </c>
      <c r="K5938" s="246" t="str">
        <f t="shared" si="190"/>
        <v/>
      </c>
    </row>
    <row r="5939" spans="1:11" ht="30" customHeight="1" x14ac:dyDescent="0.2">
      <c r="A5939" s="242"/>
      <c r="F5939" s="285" t="str">
        <f t="shared" si="191"/>
        <v/>
      </c>
      <c r="K5939" s="246" t="str">
        <f t="shared" si="190"/>
        <v/>
      </c>
    </row>
    <row r="5940" spans="1:11" ht="30" customHeight="1" x14ac:dyDescent="0.2">
      <c r="A5940" s="242"/>
      <c r="F5940" s="285" t="str">
        <f t="shared" si="191"/>
        <v/>
      </c>
      <c r="K5940" s="246" t="str">
        <f t="shared" si="190"/>
        <v/>
      </c>
    </row>
    <row r="5941" spans="1:11" ht="30" customHeight="1" x14ac:dyDescent="0.2">
      <c r="A5941" s="242"/>
      <c r="F5941" s="285" t="str">
        <f t="shared" si="191"/>
        <v/>
      </c>
      <c r="K5941" s="246" t="str">
        <f t="shared" si="190"/>
        <v/>
      </c>
    </row>
    <row r="5942" spans="1:11" ht="30" customHeight="1" x14ac:dyDescent="0.2">
      <c r="A5942" s="242"/>
      <c r="F5942" s="285" t="str">
        <f t="shared" si="191"/>
        <v/>
      </c>
      <c r="K5942" s="246" t="str">
        <f t="shared" si="190"/>
        <v/>
      </c>
    </row>
    <row r="5943" spans="1:11" ht="30" customHeight="1" x14ac:dyDescent="0.2">
      <c r="A5943" s="242"/>
      <c r="F5943" s="285" t="str">
        <f t="shared" si="191"/>
        <v/>
      </c>
      <c r="K5943" s="246" t="str">
        <f t="shared" si="190"/>
        <v/>
      </c>
    </row>
    <row r="5944" spans="1:11" ht="30" customHeight="1" x14ac:dyDescent="0.2">
      <c r="A5944" s="242"/>
      <c r="F5944" s="285" t="str">
        <f t="shared" si="191"/>
        <v/>
      </c>
      <c r="K5944" s="246" t="str">
        <f t="shared" si="190"/>
        <v/>
      </c>
    </row>
    <row r="5945" spans="1:11" ht="30" customHeight="1" x14ac:dyDescent="0.2">
      <c r="A5945" s="242"/>
      <c r="F5945" s="285" t="str">
        <f t="shared" si="191"/>
        <v/>
      </c>
      <c r="K5945" s="246" t="str">
        <f t="shared" si="190"/>
        <v/>
      </c>
    </row>
    <row r="5946" spans="1:11" ht="30" customHeight="1" x14ac:dyDescent="0.2">
      <c r="A5946" s="242"/>
      <c r="F5946" s="285" t="str">
        <f t="shared" si="191"/>
        <v/>
      </c>
      <c r="K5946" s="246" t="str">
        <f t="shared" si="190"/>
        <v/>
      </c>
    </row>
    <row r="5947" spans="1:11" ht="30" customHeight="1" x14ac:dyDescent="0.2">
      <c r="A5947" s="242"/>
      <c r="F5947" s="285" t="str">
        <f t="shared" si="191"/>
        <v/>
      </c>
      <c r="K5947" s="246" t="str">
        <f t="shared" ref="K5947:K6010" si="192">IF(A5947="","",A5947)</f>
        <v/>
      </c>
    </row>
    <row r="5948" spans="1:11" ht="30" customHeight="1" x14ac:dyDescent="0.2">
      <c r="A5948" s="242"/>
      <c r="F5948" s="285" t="str">
        <f t="shared" si="191"/>
        <v/>
      </c>
      <c r="K5948" s="246" t="str">
        <f t="shared" si="192"/>
        <v/>
      </c>
    </row>
    <row r="5949" spans="1:11" ht="30" customHeight="1" x14ac:dyDescent="0.2">
      <c r="A5949" s="242"/>
      <c r="F5949" s="285" t="str">
        <f t="shared" si="191"/>
        <v/>
      </c>
      <c r="K5949" s="246" t="str">
        <f t="shared" si="192"/>
        <v/>
      </c>
    </row>
    <row r="5950" spans="1:11" ht="30" customHeight="1" x14ac:dyDescent="0.2">
      <c r="A5950" s="242"/>
      <c r="F5950" s="285" t="str">
        <f t="shared" si="191"/>
        <v/>
      </c>
      <c r="K5950" s="246" t="str">
        <f t="shared" si="192"/>
        <v/>
      </c>
    </row>
    <row r="5951" spans="1:11" ht="30" customHeight="1" x14ac:dyDescent="0.2">
      <c r="A5951" s="242"/>
      <c r="F5951" s="285" t="str">
        <f t="shared" si="191"/>
        <v/>
      </c>
      <c r="K5951" s="246" t="str">
        <f t="shared" si="192"/>
        <v/>
      </c>
    </row>
    <row r="5952" spans="1:11" ht="30" customHeight="1" x14ac:dyDescent="0.2">
      <c r="A5952" s="242"/>
      <c r="F5952" s="285" t="str">
        <f t="shared" si="191"/>
        <v/>
      </c>
      <c r="K5952" s="246" t="str">
        <f t="shared" si="192"/>
        <v/>
      </c>
    </row>
    <row r="5953" spans="1:11" ht="30" customHeight="1" x14ac:dyDescent="0.2">
      <c r="A5953" s="242"/>
      <c r="F5953" s="285" t="str">
        <f t="shared" si="191"/>
        <v/>
      </c>
      <c r="K5953" s="246" t="str">
        <f t="shared" si="192"/>
        <v/>
      </c>
    </row>
    <row r="5954" spans="1:11" ht="30" customHeight="1" x14ac:dyDescent="0.2">
      <c r="A5954" s="242"/>
      <c r="F5954" s="285" t="str">
        <f t="shared" si="191"/>
        <v/>
      </c>
      <c r="K5954" s="246" t="str">
        <f t="shared" si="192"/>
        <v/>
      </c>
    </row>
    <row r="5955" spans="1:11" ht="30" customHeight="1" x14ac:dyDescent="0.2">
      <c r="A5955" s="242"/>
      <c r="F5955" s="285" t="str">
        <f t="shared" si="191"/>
        <v/>
      </c>
      <c r="K5955" s="246" t="str">
        <f t="shared" si="192"/>
        <v/>
      </c>
    </row>
    <row r="5956" spans="1:11" ht="30" customHeight="1" x14ac:dyDescent="0.2">
      <c r="A5956" s="242"/>
      <c r="F5956" s="285" t="str">
        <f t="shared" si="191"/>
        <v/>
      </c>
      <c r="K5956" s="246" t="str">
        <f t="shared" si="192"/>
        <v/>
      </c>
    </row>
    <row r="5957" spans="1:11" ht="30" customHeight="1" x14ac:dyDescent="0.2">
      <c r="A5957" s="242"/>
      <c r="F5957" s="285" t="str">
        <f t="shared" ref="F5957:F6020" si="193">IF(A5957="","",A5957)</f>
        <v/>
      </c>
      <c r="K5957" s="246" t="str">
        <f t="shared" si="192"/>
        <v/>
      </c>
    </row>
    <row r="5958" spans="1:11" ht="30" customHeight="1" x14ac:dyDescent="0.2">
      <c r="A5958" s="242"/>
      <c r="F5958" s="285" t="str">
        <f t="shared" si="193"/>
        <v/>
      </c>
      <c r="K5958" s="246" t="str">
        <f t="shared" si="192"/>
        <v/>
      </c>
    </row>
    <row r="5959" spans="1:11" ht="30" customHeight="1" x14ac:dyDescent="0.2">
      <c r="A5959" s="242"/>
      <c r="F5959" s="285" t="str">
        <f t="shared" si="193"/>
        <v/>
      </c>
      <c r="K5959" s="246" t="str">
        <f t="shared" si="192"/>
        <v/>
      </c>
    </row>
    <row r="5960" spans="1:11" ht="30" customHeight="1" x14ac:dyDescent="0.2">
      <c r="A5960" s="242"/>
      <c r="F5960" s="285" t="str">
        <f t="shared" si="193"/>
        <v/>
      </c>
      <c r="K5960" s="246" t="str">
        <f t="shared" si="192"/>
        <v/>
      </c>
    </row>
    <row r="5961" spans="1:11" ht="30" customHeight="1" x14ac:dyDescent="0.2">
      <c r="A5961" s="242"/>
      <c r="F5961" s="285" t="str">
        <f t="shared" si="193"/>
        <v/>
      </c>
      <c r="K5961" s="246" t="str">
        <f t="shared" si="192"/>
        <v/>
      </c>
    </row>
    <row r="5962" spans="1:11" ht="30" customHeight="1" x14ac:dyDescent="0.2">
      <c r="A5962" s="242"/>
      <c r="F5962" s="285" t="str">
        <f t="shared" si="193"/>
        <v/>
      </c>
      <c r="K5962" s="246" t="str">
        <f t="shared" si="192"/>
        <v/>
      </c>
    </row>
    <row r="5963" spans="1:11" ht="30" customHeight="1" x14ac:dyDescent="0.2">
      <c r="A5963" s="242"/>
      <c r="F5963" s="285" t="str">
        <f t="shared" si="193"/>
        <v/>
      </c>
      <c r="K5963" s="246" t="str">
        <f t="shared" si="192"/>
        <v/>
      </c>
    </row>
    <row r="5964" spans="1:11" ht="30" customHeight="1" x14ac:dyDescent="0.2">
      <c r="A5964" s="242"/>
      <c r="F5964" s="285" t="str">
        <f t="shared" si="193"/>
        <v/>
      </c>
      <c r="K5964" s="246" t="str">
        <f t="shared" si="192"/>
        <v/>
      </c>
    </row>
    <row r="5965" spans="1:11" ht="30" customHeight="1" x14ac:dyDescent="0.2">
      <c r="A5965" s="242"/>
      <c r="F5965" s="285" t="str">
        <f t="shared" si="193"/>
        <v/>
      </c>
      <c r="K5965" s="246" t="str">
        <f t="shared" si="192"/>
        <v/>
      </c>
    </row>
    <row r="5966" spans="1:11" ht="30" customHeight="1" x14ac:dyDescent="0.2">
      <c r="A5966" s="242"/>
      <c r="F5966" s="285" t="str">
        <f t="shared" si="193"/>
        <v/>
      </c>
      <c r="K5966" s="246" t="str">
        <f t="shared" si="192"/>
        <v/>
      </c>
    </row>
    <row r="5967" spans="1:11" ht="30" customHeight="1" x14ac:dyDescent="0.2">
      <c r="A5967" s="242"/>
      <c r="F5967" s="285" t="str">
        <f t="shared" si="193"/>
        <v/>
      </c>
      <c r="K5967" s="246" t="str">
        <f t="shared" si="192"/>
        <v/>
      </c>
    </row>
    <row r="5968" spans="1:11" ht="30" customHeight="1" x14ac:dyDescent="0.2">
      <c r="A5968" s="242"/>
      <c r="F5968" s="285" t="str">
        <f t="shared" si="193"/>
        <v/>
      </c>
      <c r="K5968" s="246" t="str">
        <f t="shared" si="192"/>
        <v/>
      </c>
    </row>
    <row r="5969" spans="1:11" ht="30" customHeight="1" x14ac:dyDescent="0.2">
      <c r="A5969" s="242"/>
      <c r="F5969" s="285" t="str">
        <f t="shared" si="193"/>
        <v/>
      </c>
      <c r="K5969" s="246" t="str">
        <f t="shared" si="192"/>
        <v/>
      </c>
    </row>
    <row r="5970" spans="1:11" ht="30" customHeight="1" x14ac:dyDescent="0.2">
      <c r="A5970" s="242"/>
      <c r="F5970" s="285" t="str">
        <f t="shared" si="193"/>
        <v/>
      </c>
      <c r="K5970" s="246" t="str">
        <f t="shared" si="192"/>
        <v/>
      </c>
    </row>
    <row r="5971" spans="1:11" ht="30" customHeight="1" x14ac:dyDescent="0.2">
      <c r="A5971" s="242"/>
      <c r="F5971" s="285" t="str">
        <f t="shared" si="193"/>
        <v/>
      </c>
      <c r="K5971" s="246" t="str">
        <f t="shared" si="192"/>
        <v/>
      </c>
    </row>
    <row r="5972" spans="1:11" ht="30" customHeight="1" x14ac:dyDescent="0.2">
      <c r="A5972" s="242"/>
      <c r="F5972" s="285" t="str">
        <f t="shared" si="193"/>
        <v/>
      </c>
      <c r="K5972" s="246" t="str">
        <f t="shared" si="192"/>
        <v/>
      </c>
    </row>
    <row r="5973" spans="1:11" ht="30" customHeight="1" x14ac:dyDescent="0.2">
      <c r="A5973" s="242"/>
      <c r="F5973" s="285" t="str">
        <f t="shared" si="193"/>
        <v/>
      </c>
      <c r="K5973" s="246" t="str">
        <f t="shared" si="192"/>
        <v/>
      </c>
    </row>
    <row r="5974" spans="1:11" ht="30" customHeight="1" x14ac:dyDescent="0.2">
      <c r="A5974" s="242"/>
      <c r="F5974" s="285" t="str">
        <f t="shared" si="193"/>
        <v/>
      </c>
      <c r="K5974" s="246" t="str">
        <f t="shared" si="192"/>
        <v/>
      </c>
    </row>
    <row r="5975" spans="1:11" ht="30" customHeight="1" x14ac:dyDescent="0.2">
      <c r="A5975" s="242"/>
      <c r="F5975" s="285" t="str">
        <f t="shared" si="193"/>
        <v/>
      </c>
      <c r="K5975" s="246" t="str">
        <f t="shared" si="192"/>
        <v/>
      </c>
    </row>
    <row r="5976" spans="1:11" ht="30" customHeight="1" x14ac:dyDescent="0.2">
      <c r="A5976" s="242"/>
      <c r="F5976" s="285" t="str">
        <f t="shared" si="193"/>
        <v/>
      </c>
      <c r="K5976" s="246" t="str">
        <f t="shared" si="192"/>
        <v/>
      </c>
    </row>
    <row r="5977" spans="1:11" ht="30" customHeight="1" x14ac:dyDescent="0.2">
      <c r="A5977" s="242"/>
      <c r="F5977" s="285" t="str">
        <f t="shared" si="193"/>
        <v/>
      </c>
      <c r="K5977" s="246" t="str">
        <f t="shared" si="192"/>
        <v/>
      </c>
    </row>
    <row r="5978" spans="1:11" ht="30" customHeight="1" x14ac:dyDescent="0.2">
      <c r="A5978" s="242"/>
      <c r="F5978" s="285" t="str">
        <f t="shared" si="193"/>
        <v/>
      </c>
      <c r="K5978" s="246" t="str">
        <f t="shared" si="192"/>
        <v/>
      </c>
    </row>
    <row r="5979" spans="1:11" ht="30" customHeight="1" x14ac:dyDescent="0.2">
      <c r="A5979" s="242"/>
      <c r="F5979" s="285" t="str">
        <f t="shared" si="193"/>
        <v/>
      </c>
      <c r="K5979" s="246" t="str">
        <f t="shared" si="192"/>
        <v/>
      </c>
    </row>
    <row r="5980" spans="1:11" ht="30" customHeight="1" x14ac:dyDescent="0.2">
      <c r="A5980" s="242"/>
      <c r="F5980" s="285" t="str">
        <f t="shared" si="193"/>
        <v/>
      </c>
      <c r="K5980" s="246" t="str">
        <f t="shared" si="192"/>
        <v/>
      </c>
    </row>
    <row r="5981" spans="1:11" ht="30" customHeight="1" x14ac:dyDescent="0.2">
      <c r="A5981" s="242"/>
      <c r="F5981" s="285" t="str">
        <f t="shared" si="193"/>
        <v/>
      </c>
      <c r="K5981" s="246" t="str">
        <f t="shared" si="192"/>
        <v/>
      </c>
    </row>
    <row r="5982" spans="1:11" ht="30" customHeight="1" x14ac:dyDescent="0.2">
      <c r="A5982" s="242"/>
      <c r="F5982" s="285" t="str">
        <f t="shared" si="193"/>
        <v/>
      </c>
      <c r="K5982" s="246" t="str">
        <f t="shared" si="192"/>
        <v/>
      </c>
    </row>
    <row r="5983" spans="1:11" ht="30" customHeight="1" x14ac:dyDescent="0.2">
      <c r="A5983" s="242"/>
      <c r="F5983" s="285" t="str">
        <f t="shared" si="193"/>
        <v/>
      </c>
      <c r="K5983" s="246" t="str">
        <f t="shared" si="192"/>
        <v/>
      </c>
    </row>
    <row r="5984" spans="1:11" ht="30" customHeight="1" x14ac:dyDescent="0.2">
      <c r="A5984" s="242"/>
      <c r="F5984" s="285" t="str">
        <f t="shared" si="193"/>
        <v/>
      </c>
      <c r="K5984" s="246" t="str">
        <f t="shared" si="192"/>
        <v/>
      </c>
    </row>
    <row r="5985" spans="1:11" ht="30" customHeight="1" x14ac:dyDescent="0.2">
      <c r="A5985" s="242"/>
      <c r="F5985" s="285" t="str">
        <f t="shared" si="193"/>
        <v/>
      </c>
      <c r="K5985" s="246" t="str">
        <f t="shared" si="192"/>
        <v/>
      </c>
    </row>
    <row r="5986" spans="1:11" ht="30" customHeight="1" x14ac:dyDescent="0.2">
      <c r="A5986" s="242"/>
      <c r="F5986" s="285" t="str">
        <f t="shared" si="193"/>
        <v/>
      </c>
      <c r="K5986" s="246" t="str">
        <f t="shared" si="192"/>
        <v/>
      </c>
    </row>
    <row r="5987" spans="1:11" ht="30" customHeight="1" x14ac:dyDescent="0.2">
      <c r="A5987" s="242"/>
      <c r="F5987" s="285" t="str">
        <f t="shared" si="193"/>
        <v/>
      </c>
      <c r="K5987" s="246" t="str">
        <f t="shared" si="192"/>
        <v/>
      </c>
    </row>
    <row r="5988" spans="1:11" ht="30" customHeight="1" x14ac:dyDescent="0.2">
      <c r="A5988" s="242"/>
      <c r="F5988" s="285" t="str">
        <f t="shared" si="193"/>
        <v/>
      </c>
      <c r="K5988" s="246" t="str">
        <f t="shared" si="192"/>
        <v/>
      </c>
    </row>
    <row r="5989" spans="1:11" ht="30" customHeight="1" x14ac:dyDescent="0.2">
      <c r="A5989" s="242"/>
      <c r="F5989" s="285" t="str">
        <f t="shared" si="193"/>
        <v/>
      </c>
      <c r="K5989" s="246" t="str">
        <f t="shared" si="192"/>
        <v/>
      </c>
    </row>
    <row r="5990" spans="1:11" ht="30" customHeight="1" x14ac:dyDescent="0.2">
      <c r="A5990" s="242"/>
      <c r="F5990" s="285" t="str">
        <f t="shared" si="193"/>
        <v/>
      </c>
      <c r="K5990" s="246" t="str">
        <f t="shared" si="192"/>
        <v/>
      </c>
    </row>
    <row r="5991" spans="1:11" ht="30" customHeight="1" x14ac:dyDescent="0.2">
      <c r="A5991" s="242"/>
      <c r="F5991" s="285" t="str">
        <f t="shared" si="193"/>
        <v/>
      </c>
      <c r="K5991" s="246" t="str">
        <f t="shared" si="192"/>
        <v/>
      </c>
    </row>
    <row r="5992" spans="1:11" ht="30" customHeight="1" x14ac:dyDescent="0.2">
      <c r="A5992" s="242"/>
      <c r="F5992" s="285" t="str">
        <f t="shared" si="193"/>
        <v/>
      </c>
      <c r="K5992" s="246" t="str">
        <f t="shared" si="192"/>
        <v/>
      </c>
    </row>
    <row r="5993" spans="1:11" ht="30" customHeight="1" x14ac:dyDescent="0.2">
      <c r="A5993" s="242"/>
      <c r="F5993" s="285" t="str">
        <f t="shared" si="193"/>
        <v/>
      </c>
      <c r="K5993" s="246" t="str">
        <f t="shared" si="192"/>
        <v/>
      </c>
    </row>
    <row r="5994" spans="1:11" ht="30" customHeight="1" x14ac:dyDescent="0.2">
      <c r="A5994" s="242"/>
      <c r="F5994" s="285" t="str">
        <f t="shared" si="193"/>
        <v/>
      </c>
      <c r="K5994" s="246" t="str">
        <f t="shared" si="192"/>
        <v/>
      </c>
    </row>
    <row r="5995" spans="1:11" ht="30" customHeight="1" x14ac:dyDescent="0.2">
      <c r="A5995" s="242"/>
      <c r="F5995" s="285" t="str">
        <f t="shared" si="193"/>
        <v/>
      </c>
      <c r="K5995" s="246" t="str">
        <f t="shared" si="192"/>
        <v/>
      </c>
    </row>
    <row r="5996" spans="1:11" ht="30" customHeight="1" x14ac:dyDescent="0.2">
      <c r="A5996" s="242"/>
      <c r="F5996" s="285" t="str">
        <f t="shared" si="193"/>
        <v/>
      </c>
      <c r="K5996" s="246" t="str">
        <f t="shared" si="192"/>
        <v/>
      </c>
    </row>
    <row r="5997" spans="1:11" ht="30" customHeight="1" x14ac:dyDescent="0.2">
      <c r="A5997" s="242"/>
      <c r="F5997" s="285" t="str">
        <f t="shared" si="193"/>
        <v/>
      </c>
      <c r="K5997" s="246" t="str">
        <f t="shared" si="192"/>
        <v/>
      </c>
    </row>
    <row r="5998" spans="1:11" ht="30" customHeight="1" x14ac:dyDescent="0.2">
      <c r="A5998" s="242"/>
      <c r="F5998" s="285" t="str">
        <f t="shared" si="193"/>
        <v/>
      </c>
      <c r="K5998" s="246" t="str">
        <f t="shared" si="192"/>
        <v/>
      </c>
    </row>
    <row r="5999" spans="1:11" ht="30" customHeight="1" x14ac:dyDescent="0.2">
      <c r="A5999" s="242"/>
      <c r="F5999" s="285" t="str">
        <f t="shared" si="193"/>
        <v/>
      </c>
      <c r="K5999" s="246" t="str">
        <f t="shared" si="192"/>
        <v/>
      </c>
    </row>
    <row r="6000" spans="1:11" ht="30" customHeight="1" x14ac:dyDescent="0.2">
      <c r="A6000" s="242"/>
      <c r="F6000" s="285" t="str">
        <f t="shared" si="193"/>
        <v/>
      </c>
      <c r="K6000" s="246" t="str">
        <f t="shared" si="192"/>
        <v/>
      </c>
    </row>
    <row r="6001" spans="1:11" ht="30" customHeight="1" x14ac:dyDescent="0.2">
      <c r="A6001" s="242"/>
      <c r="F6001" s="285" t="str">
        <f t="shared" si="193"/>
        <v/>
      </c>
      <c r="K6001" s="246" t="str">
        <f t="shared" si="192"/>
        <v/>
      </c>
    </row>
    <row r="6002" spans="1:11" ht="30" customHeight="1" x14ac:dyDescent="0.2">
      <c r="A6002" s="242"/>
      <c r="F6002" s="285" t="str">
        <f t="shared" si="193"/>
        <v/>
      </c>
      <c r="K6002" s="246" t="str">
        <f t="shared" si="192"/>
        <v/>
      </c>
    </row>
    <row r="6003" spans="1:11" ht="30" customHeight="1" x14ac:dyDescent="0.2">
      <c r="A6003" s="242"/>
      <c r="F6003" s="285" t="str">
        <f t="shared" si="193"/>
        <v/>
      </c>
      <c r="K6003" s="246" t="str">
        <f t="shared" si="192"/>
        <v/>
      </c>
    </row>
    <row r="6004" spans="1:11" ht="30" customHeight="1" x14ac:dyDescent="0.2">
      <c r="A6004" s="242"/>
      <c r="F6004" s="285" t="str">
        <f t="shared" si="193"/>
        <v/>
      </c>
      <c r="K6004" s="246" t="str">
        <f t="shared" si="192"/>
        <v/>
      </c>
    </row>
    <row r="6005" spans="1:11" ht="30" customHeight="1" x14ac:dyDescent="0.2">
      <c r="A6005" s="242"/>
      <c r="F6005" s="285" t="str">
        <f t="shared" si="193"/>
        <v/>
      </c>
      <c r="K6005" s="246" t="str">
        <f t="shared" si="192"/>
        <v/>
      </c>
    </row>
    <row r="6006" spans="1:11" ht="30" customHeight="1" x14ac:dyDescent="0.2">
      <c r="A6006" s="242"/>
      <c r="F6006" s="285" t="str">
        <f t="shared" si="193"/>
        <v/>
      </c>
      <c r="K6006" s="246" t="str">
        <f t="shared" si="192"/>
        <v/>
      </c>
    </row>
    <row r="6007" spans="1:11" ht="30" customHeight="1" x14ac:dyDescent="0.2">
      <c r="A6007" s="242"/>
      <c r="F6007" s="285" t="str">
        <f t="shared" si="193"/>
        <v/>
      </c>
      <c r="K6007" s="246" t="str">
        <f t="shared" si="192"/>
        <v/>
      </c>
    </row>
    <row r="6008" spans="1:11" ht="30" customHeight="1" x14ac:dyDescent="0.2">
      <c r="A6008" s="242"/>
      <c r="F6008" s="285" t="str">
        <f t="shared" si="193"/>
        <v/>
      </c>
      <c r="K6008" s="246" t="str">
        <f t="shared" si="192"/>
        <v/>
      </c>
    </row>
    <row r="6009" spans="1:11" ht="30" customHeight="1" x14ac:dyDescent="0.2">
      <c r="A6009" s="242"/>
      <c r="F6009" s="285" t="str">
        <f t="shared" si="193"/>
        <v/>
      </c>
      <c r="K6009" s="246" t="str">
        <f t="shared" si="192"/>
        <v/>
      </c>
    </row>
    <row r="6010" spans="1:11" ht="30" customHeight="1" x14ac:dyDescent="0.2">
      <c r="A6010" s="242"/>
      <c r="F6010" s="285" t="str">
        <f t="shared" si="193"/>
        <v/>
      </c>
      <c r="K6010" s="246" t="str">
        <f t="shared" si="192"/>
        <v/>
      </c>
    </row>
    <row r="6011" spans="1:11" ht="30" customHeight="1" x14ac:dyDescent="0.2">
      <c r="A6011" s="242"/>
      <c r="F6011" s="285" t="str">
        <f t="shared" si="193"/>
        <v/>
      </c>
      <c r="K6011" s="246" t="str">
        <f t="shared" ref="K6011:K6074" si="194">IF(A6011="","",A6011)</f>
        <v/>
      </c>
    </row>
    <row r="6012" spans="1:11" ht="30" customHeight="1" x14ac:dyDescent="0.2">
      <c r="A6012" s="242"/>
      <c r="F6012" s="285" t="str">
        <f t="shared" si="193"/>
        <v/>
      </c>
      <c r="K6012" s="246" t="str">
        <f t="shared" si="194"/>
        <v/>
      </c>
    </row>
    <row r="6013" spans="1:11" ht="30" customHeight="1" x14ac:dyDescent="0.2">
      <c r="A6013" s="242"/>
      <c r="F6013" s="285" t="str">
        <f t="shared" si="193"/>
        <v/>
      </c>
      <c r="K6013" s="246" t="str">
        <f t="shared" si="194"/>
        <v/>
      </c>
    </row>
    <row r="6014" spans="1:11" ht="30" customHeight="1" x14ac:dyDescent="0.2">
      <c r="A6014" s="242"/>
      <c r="F6014" s="285" t="str">
        <f t="shared" si="193"/>
        <v/>
      </c>
      <c r="K6014" s="246" t="str">
        <f t="shared" si="194"/>
        <v/>
      </c>
    </row>
    <row r="6015" spans="1:11" ht="30" customHeight="1" x14ac:dyDescent="0.2">
      <c r="A6015" s="242"/>
      <c r="F6015" s="285" t="str">
        <f t="shared" si="193"/>
        <v/>
      </c>
      <c r="K6015" s="246" t="str">
        <f t="shared" si="194"/>
        <v/>
      </c>
    </row>
    <row r="6016" spans="1:11" ht="30" customHeight="1" x14ac:dyDescent="0.2">
      <c r="A6016" s="242"/>
      <c r="F6016" s="285" t="str">
        <f t="shared" si="193"/>
        <v/>
      </c>
      <c r="K6016" s="246" t="str">
        <f t="shared" si="194"/>
        <v/>
      </c>
    </row>
    <row r="6017" spans="1:11" ht="30" customHeight="1" x14ac:dyDescent="0.2">
      <c r="A6017" s="242"/>
      <c r="F6017" s="285" t="str">
        <f t="shared" si="193"/>
        <v/>
      </c>
      <c r="K6017" s="246" t="str">
        <f t="shared" si="194"/>
        <v/>
      </c>
    </row>
    <row r="6018" spans="1:11" ht="30" customHeight="1" x14ac:dyDescent="0.2">
      <c r="A6018" s="242"/>
      <c r="F6018" s="285" t="str">
        <f t="shared" si="193"/>
        <v/>
      </c>
      <c r="K6018" s="246" t="str">
        <f t="shared" si="194"/>
        <v/>
      </c>
    </row>
    <row r="6019" spans="1:11" ht="30" customHeight="1" x14ac:dyDescent="0.2">
      <c r="A6019" s="242"/>
      <c r="F6019" s="285" t="str">
        <f t="shared" si="193"/>
        <v/>
      </c>
      <c r="K6019" s="246" t="str">
        <f t="shared" si="194"/>
        <v/>
      </c>
    </row>
    <row r="6020" spans="1:11" ht="30" customHeight="1" x14ac:dyDescent="0.2">
      <c r="A6020" s="242"/>
      <c r="F6020" s="285" t="str">
        <f t="shared" si="193"/>
        <v/>
      </c>
      <c r="K6020" s="246" t="str">
        <f t="shared" si="194"/>
        <v/>
      </c>
    </row>
    <row r="6021" spans="1:11" ht="30" customHeight="1" x14ac:dyDescent="0.2">
      <c r="A6021" s="242"/>
      <c r="F6021" s="285" t="str">
        <f t="shared" ref="F6021:F6084" si="195">IF(A6021="","",A6021)</f>
        <v/>
      </c>
      <c r="K6021" s="246" t="str">
        <f t="shared" si="194"/>
        <v/>
      </c>
    </row>
    <row r="6022" spans="1:11" ht="30" customHeight="1" x14ac:dyDescent="0.2">
      <c r="A6022" s="242"/>
      <c r="F6022" s="285" t="str">
        <f t="shared" si="195"/>
        <v/>
      </c>
      <c r="K6022" s="246" t="str">
        <f t="shared" si="194"/>
        <v/>
      </c>
    </row>
    <row r="6023" spans="1:11" ht="30" customHeight="1" x14ac:dyDescent="0.2">
      <c r="A6023" s="242"/>
      <c r="F6023" s="285" t="str">
        <f t="shared" si="195"/>
        <v/>
      </c>
      <c r="K6023" s="246" t="str">
        <f t="shared" si="194"/>
        <v/>
      </c>
    </row>
    <row r="6024" spans="1:11" ht="30" customHeight="1" x14ac:dyDescent="0.2">
      <c r="A6024" s="242"/>
      <c r="F6024" s="285" t="str">
        <f t="shared" si="195"/>
        <v/>
      </c>
      <c r="K6024" s="246" t="str">
        <f t="shared" si="194"/>
        <v/>
      </c>
    </row>
    <row r="6025" spans="1:11" ht="30" customHeight="1" x14ac:dyDescent="0.2">
      <c r="A6025" s="242"/>
      <c r="F6025" s="285" t="str">
        <f t="shared" si="195"/>
        <v/>
      </c>
      <c r="K6025" s="246" t="str">
        <f t="shared" si="194"/>
        <v/>
      </c>
    </row>
    <row r="6026" spans="1:11" ht="30" customHeight="1" x14ac:dyDescent="0.2">
      <c r="A6026" s="242"/>
      <c r="F6026" s="285" t="str">
        <f t="shared" si="195"/>
        <v/>
      </c>
      <c r="K6026" s="246" t="str">
        <f t="shared" si="194"/>
        <v/>
      </c>
    </row>
    <row r="6027" spans="1:11" ht="30" customHeight="1" x14ac:dyDescent="0.2">
      <c r="A6027" s="242"/>
      <c r="F6027" s="285" t="str">
        <f t="shared" si="195"/>
        <v/>
      </c>
      <c r="K6027" s="246" t="str">
        <f t="shared" si="194"/>
        <v/>
      </c>
    </row>
    <row r="6028" spans="1:11" ht="30" customHeight="1" x14ac:dyDescent="0.2">
      <c r="A6028" s="242"/>
      <c r="F6028" s="285" t="str">
        <f t="shared" si="195"/>
        <v/>
      </c>
      <c r="K6028" s="246" t="str">
        <f t="shared" si="194"/>
        <v/>
      </c>
    </row>
    <row r="6029" spans="1:11" ht="30" customHeight="1" x14ac:dyDescent="0.2">
      <c r="A6029" s="242"/>
      <c r="F6029" s="285" t="str">
        <f t="shared" si="195"/>
        <v/>
      </c>
      <c r="K6029" s="246" t="str">
        <f t="shared" si="194"/>
        <v/>
      </c>
    </row>
    <row r="6030" spans="1:11" ht="30" customHeight="1" x14ac:dyDescent="0.2">
      <c r="A6030" s="242"/>
      <c r="F6030" s="285" t="str">
        <f t="shared" si="195"/>
        <v/>
      </c>
      <c r="K6030" s="246" t="str">
        <f t="shared" si="194"/>
        <v/>
      </c>
    </row>
    <row r="6031" spans="1:11" ht="30" customHeight="1" x14ac:dyDescent="0.2">
      <c r="A6031" s="242"/>
      <c r="F6031" s="285" t="str">
        <f t="shared" si="195"/>
        <v/>
      </c>
      <c r="K6031" s="246" t="str">
        <f t="shared" si="194"/>
        <v/>
      </c>
    </row>
    <row r="6032" spans="1:11" ht="30" customHeight="1" x14ac:dyDescent="0.2">
      <c r="A6032" s="242"/>
      <c r="F6032" s="285" t="str">
        <f t="shared" si="195"/>
        <v/>
      </c>
      <c r="K6032" s="246" t="str">
        <f t="shared" si="194"/>
        <v/>
      </c>
    </row>
    <row r="6033" spans="1:11" ht="30" customHeight="1" x14ac:dyDescent="0.2">
      <c r="A6033" s="242"/>
      <c r="F6033" s="285" t="str">
        <f t="shared" si="195"/>
        <v/>
      </c>
      <c r="K6033" s="246" t="str">
        <f t="shared" si="194"/>
        <v/>
      </c>
    </row>
    <row r="6034" spans="1:11" ht="30" customHeight="1" x14ac:dyDescent="0.2">
      <c r="A6034" s="242"/>
      <c r="F6034" s="285" t="str">
        <f t="shared" si="195"/>
        <v/>
      </c>
      <c r="K6034" s="246" t="str">
        <f t="shared" si="194"/>
        <v/>
      </c>
    </row>
    <row r="6035" spans="1:11" ht="30" customHeight="1" x14ac:dyDescent="0.2">
      <c r="A6035" s="242"/>
      <c r="F6035" s="285" t="str">
        <f t="shared" si="195"/>
        <v/>
      </c>
      <c r="K6035" s="246" t="str">
        <f t="shared" si="194"/>
        <v/>
      </c>
    </row>
    <row r="6036" spans="1:11" ht="30" customHeight="1" x14ac:dyDescent="0.2">
      <c r="A6036" s="242"/>
      <c r="F6036" s="285" t="str">
        <f t="shared" si="195"/>
        <v/>
      </c>
      <c r="K6036" s="246" t="str">
        <f t="shared" si="194"/>
        <v/>
      </c>
    </row>
    <row r="6037" spans="1:11" ht="30" customHeight="1" x14ac:dyDescent="0.2">
      <c r="A6037" s="242"/>
      <c r="F6037" s="285" t="str">
        <f t="shared" si="195"/>
        <v/>
      </c>
      <c r="K6037" s="246" t="str">
        <f t="shared" si="194"/>
        <v/>
      </c>
    </row>
    <row r="6038" spans="1:11" ht="30" customHeight="1" x14ac:dyDescent="0.2">
      <c r="A6038" s="242"/>
      <c r="F6038" s="285" t="str">
        <f t="shared" si="195"/>
        <v/>
      </c>
      <c r="K6038" s="246" t="str">
        <f t="shared" si="194"/>
        <v/>
      </c>
    </row>
    <row r="6039" spans="1:11" ht="30" customHeight="1" x14ac:dyDescent="0.2">
      <c r="A6039" s="242"/>
      <c r="F6039" s="285" t="str">
        <f t="shared" si="195"/>
        <v/>
      </c>
      <c r="K6039" s="246" t="str">
        <f t="shared" si="194"/>
        <v/>
      </c>
    </row>
    <row r="6040" spans="1:11" ht="30" customHeight="1" x14ac:dyDescent="0.2">
      <c r="A6040" s="242"/>
      <c r="F6040" s="285" t="str">
        <f t="shared" si="195"/>
        <v/>
      </c>
      <c r="K6040" s="246" t="str">
        <f t="shared" si="194"/>
        <v/>
      </c>
    </row>
    <row r="6041" spans="1:11" ht="30" customHeight="1" x14ac:dyDescent="0.2">
      <c r="A6041" s="242"/>
      <c r="F6041" s="285" t="str">
        <f t="shared" si="195"/>
        <v/>
      </c>
      <c r="K6041" s="246" t="str">
        <f t="shared" si="194"/>
        <v/>
      </c>
    </row>
    <row r="6042" spans="1:11" ht="30" customHeight="1" x14ac:dyDescent="0.2">
      <c r="A6042" s="242"/>
      <c r="F6042" s="285" t="str">
        <f t="shared" si="195"/>
        <v/>
      </c>
      <c r="K6042" s="246" t="str">
        <f t="shared" si="194"/>
        <v/>
      </c>
    </row>
    <row r="6043" spans="1:11" ht="30" customHeight="1" x14ac:dyDescent="0.2">
      <c r="A6043" s="242"/>
      <c r="F6043" s="285" t="str">
        <f t="shared" si="195"/>
        <v/>
      </c>
      <c r="K6043" s="246" t="str">
        <f t="shared" si="194"/>
        <v/>
      </c>
    </row>
    <row r="6044" spans="1:11" ht="30" customHeight="1" x14ac:dyDescent="0.2">
      <c r="A6044" s="242"/>
      <c r="F6044" s="285" t="str">
        <f t="shared" si="195"/>
        <v/>
      </c>
      <c r="K6044" s="246" t="str">
        <f t="shared" si="194"/>
        <v/>
      </c>
    </row>
    <row r="6045" spans="1:11" ht="30" customHeight="1" x14ac:dyDescent="0.2">
      <c r="A6045" s="242"/>
      <c r="F6045" s="285" t="str">
        <f t="shared" si="195"/>
        <v/>
      </c>
      <c r="K6045" s="246" t="str">
        <f t="shared" si="194"/>
        <v/>
      </c>
    </row>
    <row r="6046" spans="1:11" ht="30" customHeight="1" x14ac:dyDescent="0.2">
      <c r="A6046" s="242"/>
      <c r="F6046" s="285" t="str">
        <f t="shared" si="195"/>
        <v/>
      </c>
      <c r="K6046" s="246" t="str">
        <f t="shared" si="194"/>
        <v/>
      </c>
    </row>
    <row r="6047" spans="1:11" ht="30" customHeight="1" x14ac:dyDescent="0.2">
      <c r="A6047" s="242"/>
      <c r="F6047" s="285" t="str">
        <f t="shared" si="195"/>
        <v/>
      </c>
      <c r="K6047" s="246" t="str">
        <f t="shared" si="194"/>
        <v/>
      </c>
    </row>
    <row r="6048" spans="1:11" ht="30" customHeight="1" x14ac:dyDescent="0.2">
      <c r="A6048" s="242"/>
      <c r="F6048" s="285" t="str">
        <f t="shared" si="195"/>
        <v/>
      </c>
      <c r="K6048" s="246" t="str">
        <f t="shared" si="194"/>
        <v/>
      </c>
    </row>
    <row r="6049" spans="1:11" ht="30" customHeight="1" x14ac:dyDescent="0.2">
      <c r="A6049" s="242"/>
      <c r="F6049" s="285" t="str">
        <f t="shared" si="195"/>
        <v/>
      </c>
      <c r="K6049" s="246" t="str">
        <f t="shared" si="194"/>
        <v/>
      </c>
    </row>
    <row r="6050" spans="1:11" ht="30" customHeight="1" x14ac:dyDescent="0.2">
      <c r="A6050" s="242"/>
      <c r="F6050" s="285" t="str">
        <f t="shared" si="195"/>
        <v/>
      </c>
      <c r="K6050" s="246" t="str">
        <f t="shared" si="194"/>
        <v/>
      </c>
    </row>
    <row r="6051" spans="1:11" ht="30" customHeight="1" x14ac:dyDescent="0.2">
      <c r="A6051" s="242"/>
      <c r="F6051" s="285" t="str">
        <f t="shared" si="195"/>
        <v/>
      </c>
      <c r="K6051" s="246" t="str">
        <f t="shared" si="194"/>
        <v/>
      </c>
    </row>
    <row r="6052" spans="1:11" ht="30" customHeight="1" x14ac:dyDescent="0.2">
      <c r="A6052" s="242"/>
      <c r="F6052" s="285" t="str">
        <f t="shared" si="195"/>
        <v/>
      </c>
      <c r="K6052" s="246" t="str">
        <f t="shared" si="194"/>
        <v/>
      </c>
    </row>
    <row r="6053" spans="1:11" ht="30" customHeight="1" x14ac:dyDescent="0.2">
      <c r="A6053" s="242"/>
      <c r="F6053" s="285" t="str">
        <f t="shared" si="195"/>
        <v/>
      </c>
      <c r="K6053" s="246" t="str">
        <f t="shared" si="194"/>
        <v/>
      </c>
    </row>
    <row r="6054" spans="1:11" ht="30" customHeight="1" x14ac:dyDescent="0.2">
      <c r="A6054" s="242"/>
      <c r="F6054" s="285" t="str">
        <f t="shared" si="195"/>
        <v/>
      </c>
      <c r="K6054" s="246" t="str">
        <f t="shared" si="194"/>
        <v/>
      </c>
    </row>
    <row r="6055" spans="1:11" ht="30" customHeight="1" x14ac:dyDescent="0.2">
      <c r="A6055" s="242"/>
      <c r="F6055" s="285" t="str">
        <f t="shared" si="195"/>
        <v/>
      </c>
      <c r="K6055" s="246" t="str">
        <f t="shared" si="194"/>
        <v/>
      </c>
    </row>
    <row r="6056" spans="1:11" ht="30" customHeight="1" x14ac:dyDescent="0.2">
      <c r="A6056" s="242"/>
      <c r="F6056" s="285" t="str">
        <f t="shared" si="195"/>
        <v/>
      </c>
      <c r="K6056" s="246" t="str">
        <f t="shared" si="194"/>
        <v/>
      </c>
    </row>
    <row r="6057" spans="1:11" ht="30" customHeight="1" x14ac:dyDescent="0.2">
      <c r="A6057" s="242"/>
      <c r="F6057" s="285" t="str">
        <f t="shared" si="195"/>
        <v/>
      </c>
      <c r="K6057" s="246" t="str">
        <f t="shared" si="194"/>
        <v/>
      </c>
    </row>
    <row r="6058" spans="1:11" ht="30" customHeight="1" x14ac:dyDescent="0.2">
      <c r="A6058" s="242"/>
      <c r="F6058" s="285" t="str">
        <f t="shared" si="195"/>
        <v/>
      </c>
      <c r="K6058" s="246" t="str">
        <f t="shared" si="194"/>
        <v/>
      </c>
    </row>
    <row r="6059" spans="1:11" ht="30" customHeight="1" x14ac:dyDescent="0.2">
      <c r="A6059" s="242"/>
      <c r="F6059" s="285" t="str">
        <f t="shared" si="195"/>
        <v/>
      </c>
      <c r="K6059" s="246" t="str">
        <f t="shared" si="194"/>
        <v/>
      </c>
    </row>
    <row r="6060" spans="1:11" ht="30" customHeight="1" x14ac:dyDescent="0.2">
      <c r="A6060" s="242"/>
      <c r="F6060" s="285" t="str">
        <f t="shared" si="195"/>
        <v/>
      </c>
      <c r="K6060" s="246" t="str">
        <f t="shared" si="194"/>
        <v/>
      </c>
    </row>
    <row r="6061" spans="1:11" ht="30" customHeight="1" x14ac:dyDescent="0.2">
      <c r="A6061" s="242"/>
      <c r="F6061" s="285" t="str">
        <f t="shared" si="195"/>
        <v/>
      </c>
      <c r="K6061" s="246" t="str">
        <f t="shared" si="194"/>
        <v/>
      </c>
    </row>
    <row r="6062" spans="1:11" ht="30" customHeight="1" x14ac:dyDescent="0.2">
      <c r="A6062" s="242"/>
      <c r="F6062" s="285" t="str">
        <f t="shared" si="195"/>
        <v/>
      </c>
      <c r="K6062" s="246" t="str">
        <f t="shared" si="194"/>
        <v/>
      </c>
    </row>
    <row r="6063" spans="1:11" ht="30" customHeight="1" x14ac:dyDescent="0.2">
      <c r="A6063" s="242"/>
      <c r="F6063" s="285" t="str">
        <f t="shared" si="195"/>
        <v/>
      </c>
      <c r="K6063" s="246" t="str">
        <f t="shared" si="194"/>
        <v/>
      </c>
    </row>
    <row r="6064" spans="1:11" ht="30" customHeight="1" x14ac:dyDescent="0.2">
      <c r="A6064" s="242"/>
      <c r="F6064" s="285" t="str">
        <f t="shared" si="195"/>
        <v/>
      </c>
      <c r="K6064" s="246" t="str">
        <f t="shared" si="194"/>
        <v/>
      </c>
    </row>
    <row r="6065" spans="1:11" ht="30" customHeight="1" x14ac:dyDescent="0.2">
      <c r="A6065" s="242"/>
      <c r="F6065" s="285" t="str">
        <f t="shared" si="195"/>
        <v/>
      </c>
      <c r="K6065" s="246" t="str">
        <f t="shared" si="194"/>
        <v/>
      </c>
    </row>
    <row r="6066" spans="1:11" ht="30" customHeight="1" x14ac:dyDescent="0.2">
      <c r="A6066" s="242"/>
      <c r="F6066" s="285" t="str">
        <f t="shared" si="195"/>
        <v/>
      </c>
      <c r="K6066" s="246" t="str">
        <f t="shared" si="194"/>
        <v/>
      </c>
    </row>
    <row r="6067" spans="1:11" ht="30" customHeight="1" x14ac:dyDescent="0.2">
      <c r="A6067" s="242"/>
      <c r="F6067" s="285" t="str">
        <f t="shared" si="195"/>
        <v/>
      </c>
      <c r="K6067" s="246" t="str">
        <f t="shared" si="194"/>
        <v/>
      </c>
    </row>
    <row r="6068" spans="1:11" ht="30" customHeight="1" x14ac:dyDescent="0.2">
      <c r="A6068" s="242"/>
      <c r="F6068" s="285" t="str">
        <f t="shared" si="195"/>
        <v/>
      </c>
      <c r="K6068" s="246" t="str">
        <f t="shared" si="194"/>
        <v/>
      </c>
    </row>
    <row r="6069" spans="1:11" ht="30" customHeight="1" x14ac:dyDescent="0.2">
      <c r="A6069" s="242"/>
      <c r="F6069" s="285" t="str">
        <f t="shared" si="195"/>
        <v/>
      </c>
      <c r="K6069" s="246" t="str">
        <f t="shared" si="194"/>
        <v/>
      </c>
    </row>
    <row r="6070" spans="1:11" ht="30" customHeight="1" x14ac:dyDescent="0.2">
      <c r="A6070" s="242"/>
      <c r="F6070" s="285" t="str">
        <f t="shared" si="195"/>
        <v/>
      </c>
      <c r="K6070" s="246" t="str">
        <f t="shared" si="194"/>
        <v/>
      </c>
    </row>
    <row r="6071" spans="1:11" ht="30" customHeight="1" x14ac:dyDescent="0.2">
      <c r="A6071" s="242"/>
      <c r="F6071" s="285" t="str">
        <f t="shared" si="195"/>
        <v/>
      </c>
      <c r="K6071" s="246" t="str">
        <f t="shared" si="194"/>
        <v/>
      </c>
    </row>
    <row r="6072" spans="1:11" ht="30" customHeight="1" x14ac:dyDescent="0.2">
      <c r="A6072" s="242"/>
      <c r="F6072" s="285" t="str">
        <f t="shared" si="195"/>
        <v/>
      </c>
      <c r="K6072" s="246" t="str">
        <f t="shared" si="194"/>
        <v/>
      </c>
    </row>
    <row r="6073" spans="1:11" ht="30" customHeight="1" x14ac:dyDescent="0.2">
      <c r="A6073" s="242"/>
      <c r="F6073" s="285" t="str">
        <f t="shared" si="195"/>
        <v/>
      </c>
      <c r="K6073" s="246" t="str">
        <f t="shared" si="194"/>
        <v/>
      </c>
    </row>
    <row r="6074" spans="1:11" ht="30" customHeight="1" x14ac:dyDescent="0.2">
      <c r="A6074" s="242"/>
      <c r="F6074" s="285" t="str">
        <f t="shared" si="195"/>
        <v/>
      </c>
      <c r="K6074" s="246" t="str">
        <f t="shared" si="194"/>
        <v/>
      </c>
    </row>
    <row r="6075" spans="1:11" ht="30" customHeight="1" x14ac:dyDescent="0.2">
      <c r="A6075" s="242"/>
      <c r="F6075" s="285" t="str">
        <f t="shared" si="195"/>
        <v/>
      </c>
      <c r="K6075" s="246" t="str">
        <f t="shared" ref="K6075:K6138" si="196">IF(A6075="","",A6075)</f>
        <v/>
      </c>
    </row>
    <row r="6076" spans="1:11" ht="30" customHeight="1" x14ac:dyDescent="0.2">
      <c r="A6076" s="242"/>
      <c r="F6076" s="285" t="str">
        <f t="shared" si="195"/>
        <v/>
      </c>
      <c r="K6076" s="246" t="str">
        <f t="shared" si="196"/>
        <v/>
      </c>
    </row>
    <row r="6077" spans="1:11" ht="30" customHeight="1" x14ac:dyDescent="0.2">
      <c r="A6077" s="242"/>
      <c r="F6077" s="285" t="str">
        <f t="shared" si="195"/>
        <v/>
      </c>
      <c r="K6077" s="246" t="str">
        <f t="shared" si="196"/>
        <v/>
      </c>
    </row>
    <row r="6078" spans="1:11" ht="30" customHeight="1" x14ac:dyDescent="0.2">
      <c r="A6078" s="242"/>
      <c r="F6078" s="285" t="str">
        <f t="shared" si="195"/>
        <v/>
      </c>
      <c r="K6078" s="246" t="str">
        <f t="shared" si="196"/>
        <v/>
      </c>
    </row>
    <row r="6079" spans="1:11" ht="30" customHeight="1" x14ac:dyDescent="0.2">
      <c r="A6079" s="242"/>
      <c r="F6079" s="285" t="str">
        <f t="shared" si="195"/>
        <v/>
      </c>
      <c r="K6079" s="246" t="str">
        <f t="shared" si="196"/>
        <v/>
      </c>
    </row>
    <row r="6080" spans="1:11" ht="30" customHeight="1" x14ac:dyDescent="0.2">
      <c r="A6080" s="242"/>
      <c r="F6080" s="285" t="str">
        <f t="shared" si="195"/>
        <v/>
      </c>
      <c r="K6080" s="246" t="str">
        <f t="shared" si="196"/>
        <v/>
      </c>
    </row>
    <row r="6081" spans="1:11" ht="30" customHeight="1" x14ac:dyDescent="0.2">
      <c r="A6081" s="242"/>
      <c r="F6081" s="285" t="str">
        <f t="shared" si="195"/>
        <v/>
      </c>
      <c r="K6081" s="246" t="str">
        <f t="shared" si="196"/>
        <v/>
      </c>
    </row>
    <row r="6082" spans="1:11" ht="30" customHeight="1" x14ac:dyDescent="0.2">
      <c r="A6082" s="242"/>
      <c r="F6082" s="285" t="str">
        <f t="shared" si="195"/>
        <v/>
      </c>
      <c r="K6082" s="246" t="str">
        <f t="shared" si="196"/>
        <v/>
      </c>
    </row>
    <row r="6083" spans="1:11" ht="30" customHeight="1" x14ac:dyDescent="0.2">
      <c r="A6083" s="242"/>
      <c r="F6083" s="285" t="str">
        <f t="shared" si="195"/>
        <v/>
      </c>
      <c r="K6083" s="246" t="str">
        <f t="shared" si="196"/>
        <v/>
      </c>
    </row>
    <row r="6084" spans="1:11" ht="30" customHeight="1" x14ac:dyDescent="0.2">
      <c r="A6084" s="242"/>
      <c r="F6084" s="285" t="str">
        <f t="shared" si="195"/>
        <v/>
      </c>
      <c r="K6084" s="246" t="str">
        <f t="shared" si="196"/>
        <v/>
      </c>
    </row>
    <row r="6085" spans="1:11" ht="30" customHeight="1" x14ac:dyDescent="0.2">
      <c r="A6085" s="242"/>
      <c r="F6085" s="285" t="str">
        <f t="shared" ref="F6085:F6148" si="197">IF(A6085="","",A6085)</f>
        <v/>
      </c>
      <c r="K6085" s="246" t="str">
        <f t="shared" si="196"/>
        <v/>
      </c>
    </row>
    <row r="6086" spans="1:11" ht="30" customHeight="1" x14ac:dyDescent="0.2">
      <c r="A6086" s="242"/>
      <c r="F6086" s="285" t="str">
        <f t="shared" si="197"/>
        <v/>
      </c>
      <c r="K6086" s="246" t="str">
        <f t="shared" si="196"/>
        <v/>
      </c>
    </row>
    <row r="6087" spans="1:11" ht="30" customHeight="1" x14ac:dyDescent="0.2">
      <c r="A6087" s="242"/>
      <c r="F6087" s="285" t="str">
        <f t="shared" si="197"/>
        <v/>
      </c>
      <c r="K6087" s="246" t="str">
        <f t="shared" si="196"/>
        <v/>
      </c>
    </row>
    <row r="6088" spans="1:11" ht="30" customHeight="1" x14ac:dyDescent="0.2">
      <c r="A6088" s="242"/>
      <c r="F6088" s="285" t="str">
        <f t="shared" si="197"/>
        <v/>
      </c>
      <c r="K6088" s="246" t="str">
        <f t="shared" si="196"/>
        <v/>
      </c>
    </row>
    <row r="6089" spans="1:11" ht="30" customHeight="1" x14ac:dyDescent="0.2">
      <c r="A6089" s="242"/>
      <c r="F6089" s="285" t="str">
        <f t="shared" si="197"/>
        <v/>
      </c>
      <c r="K6089" s="246" t="str">
        <f t="shared" si="196"/>
        <v/>
      </c>
    </row>
    <row r="6090" spans="1:11" ht="30" customHeight="1" x14ac:dyDescent="0.2">
      <c r="A6090" s="242"/>
      <c r="F6090" s="285" t="str">
        <f t="shared" si="197"/>
        <v/>
      </c>
      <c r="K6090" s="246" t="str">
        <f t="shared" si="196"/>
        <v/>
      </c>
    </row>
    <row r="6091" spans="1:11" ht="30" customHeight="1" x14ac:dyDescent="0.2">
      <c r="A6091" s="242"/>
      <c r="F6091" s="285" t="str">
        <f t="shared" si="197"/>
        <v/>
      </c>
      <c r="K6091" s="246" t="str">
        <f t="shared" si="196"/>
        <v/>
      </c>
    </row>
    <row r="6092" spans="1:11" ht="30" customHeight="1" x14ac:dyDescent="0.2">
      <c r="A6092" s="242"/>
      <c r="F6092" s="285" t="str">
        <f t="shared" si="197"/>
        <v/>
      </c>
      <c r="K6092" s="246" t="str">
        <f t="shared" si="196"/>
        <v/>
      </c>
    </row>
    <row r="6093" spans="1:11" ht="30" customHeight="1" x14ac:dyDescent="0.2">
      <c r="A6093" s="242"/>
      <c r="F6093" s="285" t="str">
        <f t="shared" si="197"/>
        <v/>
      </c>
      <c r="K6093" s="246" t="str">
        <f t="shared" si="196"/>
        <v/>
      </c>
    </row>
    <row r="6094" spans="1:11" ht="30" customHeight="1" x14ac:dyDescent="0.2">
      <c r="A6094" s="242"/>
      <c r="F6094" s="285" t="str">
        <f t="shared" si="197"/>
        <v/>
      </c>
      <c r="K6094" s="246" t="str">
        <f t="shared" si="196"/>
        <v/>
      </c>
    </row>
    <row r="6095" spans="1:11" ht="30" customHeight="1" x14ac:dyDescent="0.2">
      <c r="A6095" s="242"/>
      <c r="F6095" s="285" t="str">
        <f t="shared" si="197"/>
        <v/>
      </c>
      <c r="K6095" s="246" t="str">
        <f t="shared" si="196"/>
        <v/>
      </c>
    </row>
    <row r="6096" spans="1:11" ht="30" customHeight="1" x14ac:dyDescent="0.2">
      <c r="A6096" s="242"/>
      <c r="F6096" s="285" t="str">
        <f t="shared" si="197"/>
        <v/>
      </c>
      <c r="K6096" s="246" t="str">
        <f t="shared" si="196"/>
        <v/>
      </c>
    </row>
    <row r="6097" spans="1:11" ht="30" customHeight="1" x14ac:dyDescent="0.2">
      <c r="A6097" s="242"/>
      <c r="F6097" s="285" t="str">
        <f t="shared" si="197"/>
        <v/>
      </c>
      <c r="K6097" s="246" t="str">
        <f t="shared" si="196"/>
        <v/>
      </c>
    </row>
    <row r="6098" spans="1:11" ht="30" customHeight="1" x14ac:dyDescent="0.2">
      <c r="A6098" s="242"/>
      <c r="F6098" s="285" t="str">
        <f t="shared" si="197"/>
        <v/>
      </c>
      <c r="K6098" s="246" t="str">
        <f t="shared" si="196"/>
        <v/>
      </c>
    </row>
    <row r="6099" spans="1:11" ht="30" customHeight="1" x14ac:dyDescent="0.2">
      <c r="A6099" s="242"/>
      <c r="F6099" s="285" t="str">
        <f t="shared" si="197"/>
        <v/>
      </c>
      <c r="K6099" s="246" t="str">
        <f t="shared" si="196"/>
        <v/>
      </c>
    </row>
    <row r="6100" spans="1:11" ht="30" customHeight="1" x14ac:dyDescent="0.2">
      <c r="A6100" s="242"/>
      <c r="F6100" s="285" t="str">
        <f t="shared" si="197"/>
        <v/>
      </c>
      <c r="K6100" s="246" t="str">
        <f t="shared" si="196"/>
        <v/>
      </c>
    </row>
    <row r="6101" spans="1:11" ht="30" customHeight="1" x14ac:dyDescent="0.2">
      <c r="A6101" s="242"/>
      <c r="F6101" s="285" t="str">
        <f t="shared" si="197"/>
        <v/>
      </c>
      <c r="K6101" s="246" t="str">
        <f t="shared" si="196"/>
        <v/>
      </c>
    </row>
    <row r="6102" spans="1:11" ht="30" customHeight="1" x14ac:dyDescent="0.2">
      <c r="A6102" s="242"/>
      <c r="F6102" s="285" t="str">
        <f t="shared" si="197"/>
        <v/>
      </c>
      <c r="K6102" s="246" t="str">
        <f t="shared" si="196"/>
        <v/>
      </c>
    </row>
    <row r="6103" spans="1:11" ht="30" customHeight="1" x14ac:dyDescent="0.2">
      <c r="A6103" s="242"/>
      <c r="F6103" s="285" t="str">
        <f t="shared" si="197"/>
        <v/>
      </c>
      <c r="K6103" s="246" t="str">
        <f t="shared" si="196"/>
        <v/>
      </c>
    </row>
    <row r="6104" spans="1:11" ht="30" customHeight="1" x14ac:dyDescent="0.2">
      <c r="A6104" s="242"/>
      <c r="F6104" s="285" t="str">
        <f t="shared" si="197"/>
        <v/>
      </c>
      <c r="K6104" s="246" t="str">
        <f t="shared" si="196"/>
        <v/>
      </c>
    </row>
    <row r="6105" spans="1:11" ht="30" customHeight="1" x14ac:dyDescent="0.2">
      <c r="A6105" s="242"/>
      <c r="F6105" s="285" t="str">
        <f t="shared" si="197"/>
        <v/>
      </c>
      <c r="K6105" s="246" t="str">
        <f t="shared" si="196"/>
        <v/>
      </c>
    </row>
    <row r="6106" spans="1:11" ht="30" customHeight="1" x14ac:dyDescent="0.2">
      <c r="A6106" s="242"/>
      <c r="F6106" s="285" t="str">
        <f t="shared" si="197"/>
        <v/>
      </c>
      <c r="K6106" s="246" t="str">
        <f t="shared" si="196"/>
        <v/>
      </c>
    </row>
    <row r="6107" spans="1:11" ht="30" customHeight="1" x14ac:dyDescent="0.2">
      <c r="A6107" s="242"/>
      <c r="F6107" s="285" t="str">
        <f t="shared" si="197"/>
        <v/>
      </c>
      <c r="K6107" s="246" t="str">
        <f t="shared" si="196"/>
        <v/>
      </c>
    </row>
    <row r="6108" spans="1:11" ht="30" customHeight="1" x14ac:dyDescent="0.2">
      <c r="A6108" s="242"/>
      <c r="F6108" s="285" t="str">
        <f t="shared" si="197"/>
        <v/>
      </c>
      <c r="K6108" s="246" t="str">
        <f t="shared" si="196"/>
        <v/>
      </c>
    </row>
    <row r="6109" spans="1:11" ht="30" customHeight="1" x14ac:dyDescent="0.2">
      <c r="A6109" s="242"/>
      <c r="F6109" s="285" t="str">
        <f t="shared" si="197"/>
        <v/>
      </c>
      <c r="K6109" s="246" t="str">
        <f t="shared" si="196"/>
        <v/>
      </c>
    </row>
    <row r="6110" spans="1:11" ht="30" customHeight="1" x14ac:dyDescent="0.2">
      <c r="A6110" s="242"/>
      <c r="F6110" s="285" t="str">
        <f t="shared" si="197"/>
        <v/>
      </c>
      <c r="K6110" s="246" t="str">
        <f t="shared" si="196"/>
        <v/>
      </c>
    </row>
    <row r="6111" spans="1:11" ht="30" customHeight="1" x14ac:dyDescent="0.2">
      <c r="A6111" s="242"/>
      <c r="F6111" s="285" t="str">
        <f t="shared" si="197"/>
        <v/>
      </c>
      <c r="K6111" s="246" t="str">
        <f t="shared" si="196"/>
        <v/>
      </c>
    </row>
    <row r="6112" spans="1:11" ht="30" customHeight="1" x14ac:dyDescent="0.2">
      <c r="A6112" s="242"/>
      <c r="F6112" s="285" t="str">
        <f t="shared" si="197"/>
        <v/>
      </c>
      <c r="K6112" s="246" t="str">
        <f t="shared" si="196"/>
        <v/>
      </c>
    </row>
    <row r="6113" spans="1:11" ht="30" customHeight="1" x14ac:dyDescent="0.2">
      <c r="A6113" s="242"/>
      <c r="F6113" s="285" t="str">
        <f t="shared" si="197"/>
        <v/>
      </c>
      <c r="K6113" s="246" t="str">
        <f t="shared" si="196"/>
        <v/>
      </c>
    </row>
    <row r="6114" spans="1:11" ht="30" customHeight="1" x14ac:dyDescent="0.2">
      <c r="A6114" s="242"/>
      <c r="F6114" s="285" t="str">
        <f t="shared" si="197"/>
        <v/>
      </c>
      <c r="K6114" s="246" t="str">
        <f t="shared" si="196"/>
        <v/>
      </c>
    </row>
    <row r="6115" spans="1:11" ht="30" customHeight="1" x14ac:dyDescent="0.2">
      <c r="A6115" s="242"/>
      <c r="F6115" s="285" t="str">
        <f t="shared" si="197"/>
        <v/>
      </c>
      <c r="K6115" s="246" t="str">
        <f t="shared" si="196"/>
        <v/>
      </c>
    </row>
    <row r="6116" spans="1:11" ht="30" customHeight="1" x14ac:dyDescent="0.2">
      <c r="A6116" s="242"/>
      <c r="F6116" s="285" t="str">
        <f t="shared" si="197"/>
        <v/>
      </c>
      <c r="K6116" s="246" t="str">
        <f t="shared" si="196"/>
        <v/>
      </c>
    </row>
    <row r="6117" spans="1:11" ht="30" customHeight="1" x14ac:dyDescent="0.2">
      <c r="A6117" s="242"/>
      <c r="F6117" s="285" t="str">
        <f t="shared" si="197"/>
        <v/>
      </c>
      <c r="K6117" s="246" t="str">
        <f t="shared" si="196"/>
        <v/>
      </c>
    </row>
    <row r="6118" spans="1:11" ht="30" customHeight="1" x14ac:dyDescent="0.2">
      <c r="A6118" s="242"/>
      <c r="F6118" s="285" t="str">
        <f t="shared" si="197"/>
        <v/>
      </c>
      <c r="K6118" s="246" t="str">
        <f t="shared" si="196"/>
        <v/>
      </c>
    </row>
    <row r="6119" spans="1:11" ht="30" customHeight="1" x14ac:dyDescent="0.2">
      <c r="A6119" s="242"/>
      <c r="F6119" s="285" t="str">
        <f t="shared" si="197"/>
        <v/>
      </c>
      <c r="K6119" s="246" t="str">
        <f t="shared" si="196"/>
        <v/>
      </c>
    </row>
    <row r="6120" spans="1:11" ht="30" customHeight="1" x14ac:dyDescent="0.2">
      <c r="A6120" s="242"/>
      <c r="F6120" s="285" t="str">
        <f t="shared" si="197"/>
        <v/>
      </c>
      <c r="K6120" s="246" t="str">
        <f t="shared" si="196"/>
        <v/>
      </c>
    </row>
    <row r="6121" spans="1:11" ht="30" customHeight="1" x14ac:dyDescent="0.2">
      <c r="A6121" s="242"/>
      <c r="F6121" s="285" t="str">
        <f t="shared" si="197"/>
        <v/>
      </c>
      <c r="K6121" s="246" t="str">
        <f t="shared" si="196"/>
        <v/>
      </c>
    </row>
    <row r="6122" spans="1:11" ht="30" customHeight="1" x14ac:dyDescent="0.2">
      <c r="A6122" s="242"/>
      <c r="F6122" s="285" t="str">
        <f t="shared" si="197"/>
        <v/>
      </c>
      <c r="K6122" s="246" t="str">
        <f t="shared" si="196"/>
        <v/>
      </c>
    </row>
    <row r="6123" spans="1:11" ht="30" customHeight="1" x14ac:dyDescent="0.2">
      <c r="A6123" s="242"/>
      <c r="F6123" s="285" t="str">
        <f t="shared" si="197"/>
        <v/>
      </c>
      <c r="K6123" s="246" t="str">
        <f t="shared" si="196"/>
        <v/>
      </c>
    </row>
    <row r="6124" spans="1:11" ht="30" customHeight="1" x14ac:dyDescent="0.2">
      <c r="A6124" s="242"/>
      <c r="F6124" s="285" t="str">
        <f t="shared" si="197"/>
        <v/>
      </c>
      <c r="K6124" s="246" t="str">
        <f t="shared" si="196"/>
        <v/>
      </c>
    </row>
    <row r="6125" spans="1:11" ht="30" customHeight="1" x14ac:dyDescent="0.2">
      <c r="A6125" s="242"/>
      <c r="F6125" s="285" t="str">
        <f t="shared" si="197"/>
        <v/>
      </c>
      <c r="K6125" s="246" t="str">
        <f t="shared" si="196"/>
        <v/>
      </c>
    </row>
    <row r="6126" spans="1:11" ht="30" customHeight="1" x14ac:dyDescent="0.2">
      <c r="A6126" s="242"/>
      <c r="F6126" s="285" t="str">
        <f t="shared" si="197"/>
        <v/>
      </c>
      <c r="K6126" s="246" t="str">
        <f t="shared" si="196"/>
        <v/>
      </c>
    </row>
    <row r="6127" spans="1:11" ht="30" customHeight="1" x14ac:dyDescent="0.2">
      <c r="A6127" s="242"/>
      <c r="F6127" s="285" t="str">
        <f t="shared" si="197"/>
        <v/>
      </c>
      <c r="K6127" s="246" t="str">
        <f t="shared" si="196"/>
        <v/>
      </c>
    </row>
    <row r="6128" spans="1:11" ht="30" customHeight="1" x14ac:dyDescent="0.2">
      <c r="A6128" s="242"/>
      <c r="F6128" s="285" t="str">
        <f t="shared" si="197"/>
        <v/>
      </c>
      <c r="K6128" s="246" t="str">
        <f t="shared" si="196"/>
        <v/>
      </c>
    </row>
    <row r="6129" spans="1:11" ht="30" customHeight="1" x14ac:dyDescent="0.2">
      <c r="A6129" s="242"/>
      <c r="F6129" s="285" t="str">
        <f t="shared" si="197"/>
        <v/>
      </c>
      <c r="K6129" s="246" t="str">
        <f t="shared" si="196"/>
        <v/>
      </c>
    </row>
    <row r="6130" spans="1:11" ht="30" customHeight="1" x14ac:dyDescent="0.2">
      <c r="A6130" s="242"/>
      <c r="F6130" s="285" t="str">
        <f t="shared" si="197"/>
        <v/>
      </c>
      <c r="K6130" s="246" t="str">
        <f t="shared" si="196"/>
        <v/>
      </c>
    </row>
    <row r="6131" spans="1:11" ht="30" customHeight="1" x14ac:dyDescent="0.2">
      <c r="A6131" s="242"/>
      <c r="F6131" s="285" t="str">
        <f t="shared" si="197"/>
        <v/>
      </c>
      <c r="K6131" s="246" t="str">
        <f t="shared" si="196"/>
        <v/>
      </c>
    </row>
    <row r="6132" spans="1:11" ht="30" customHeight="1" x14ac:dyDescent="0.2">
      <c r="A6132" s="242"/>
      <c r="F6132" s="285" t="str">
        <f t="shared" si="197"/>
        <v/>
      </c>
      <c r="K6132" s="246" t="str">
        <f t="shared" si="196"/>
        <v/>
      </c>
    </row>
    <row r="6133" spans="1:11" ht="30" customHeight="1" x14ac:dyDescent="0.2">
      <c r="A6133" s="242"/>
      <c r="F6133" s="285" t="str">
        <f t="shared" si="197"/>
        <v/>
      </c>
      <c r="K6133" s="246" t="str">
        <f t="shared" si="196"/>
        <v/>
      </c>
    </row>
    <row r="6134" spans="1:11" ht="30" customHeight="1" x14ac:dyDescent="0.2">
      <c r="A6134" s="242"/>
      <c r="F6134" s="285" t="str">
        <f t="shared" si="197"/>
        <v/>
      </c>
      <c r="K6134" s="246" t="str">
        <f t="shared" si="196"/>
        <v/>
      </c>
    </row>
    <row r="6135" spans="1:11" ht="30" customHeight="1" x14ac:dyDescent="0.2">
      <c r="A6135" s="242"/>
      <c r="F6135" s="285" t="str">
        <f t="shared" si="197"/>
        <v/>
      </c>
      <c r="K6135" s="246" t="str">
        <f t="shared" si="196"/>
        <v/>
      </c>
    </row>
    <row r="6136" spans="1:11" ht="30" customHeight="1" x14ac:dyDescent="0.2">
      <c r="A6136" s="242"/>
      <c r="F6136" s="285" t="str">
        <f t="shared" si="197"/>
        <v/>
      </c>
      <c r="K6136" s="246" t="str">
        <f t="shared" si="196"/>
        <v/>
      </c>
    </row>
    <row r="6137" spans="1:11" ht="30" customHeight="1" x14ac:dyDescent="0.2">
      <c r="A6137" s="242"/>
      <c r="F6137" s="285" t="str">
        <f t="shared" si="197"/>
        <v/>
      </c>
      <c r="K6137" s="246" t="str">
        <f t="shared" si="196"/>
        <v/>
      </c>
    </row>
    <row r="6138" spans="1:11" ht="30" customHeight="1" x14ac:dyDescent="0.2">
      <c r="A6138" s="242"/>
      <c r="F6138" s="285" t="str">
        <f t="shared" si="197"/>
        <v/>
      </c>
      <c r="K6138" s="246" t="str">
        <f t="shared" si="196"/>
        <v/>
      </c>
    </row>
    <row r="6139" spans="1:11" ht="30" customHeight="1" x14ac:dyDescent="0.2">
      <c r="A6139" s="242"/>
      <c r="F6139" s="285" t="str">
        <f t="shared" si="197"/>
        <v/>
      </c>
      <c r="K6139" s="246" t="str">
        <f t="shared" ref="K6139:K6202" si="198">IF(A6139="","",A6139)</f>
        <v/>
      </c>
    </row>
    <row r="6140" spans="1:11" ht="30" customHeight="1" x14ac:dyDescent="0.2">
      <c r="A6140" s="242"/>
      <c r="F6140" s="285" t="str">
        <f t="shared" si="197"/>
        <v/>
      </c>
      <c r="K6140" s="246" t="str">
        <f t="shared" si="198"/>
        <v/>
      </c>
    </row>
    <row r="6141" spans="1:11" ht="30" customHeight="1" x14ac:dyDescent="0.2">
      <c r="A6141" s="242"/>
      <c r="F6141" s="285" t="str">
        <f t="shared" si="197"/>
        <v/>
      </c>
      <c r="K6141" s="246" t="str">
        <f t="shared" si="198"/>
        <v/>
      </c>
    </row>
    <row r="6142" spans="1:11" ht="30" customHeight="1" x14ac:dyDescent="0.2">
      <c r="A6142" s="242"/>
      <c r="F6142" s="285" t="str">
        <f t="shared" si="197"/>
        <v/>
      </c>
      <c r="K6142" s="246" t="str">
        <f t="shared" si="198"/>
        <v/>
      </c>
    </row>
    <row r="6143" spans="1:11" ht="30" customHeight="1" x14ac:dyDescent="0.2">
      <c r="A6143" s="242"/>
      <c r="F6143" s="285" t="str">
        <f t="shared" si="197"/>
        <v/>
      </c>
      <c r="K6143" s="246" t="str">
        <f t="shared" si="198"/>
        <v/>
      </c>
    </row>
    <row r="6144" spans="1:11" ht="30" customHeight="1" x14ac:dyDescent="0.2">
      <c r="A6144" s="242"/>
      <c r="F6144" s="285" t="str">
        <f t="shared" si="197"/>
        <v/>
      </c>
      <c r="K6144" s="246" t="str">
        <f t="shared" si="198"/>
        <v/>
      </c>
    </row>
    <row r="6145" spans="1:11" ht="30" customHeight="1" x14ac:dyDescent="0.2">
      <c r="A6145" s="242"/>
      <c r="F6145" s="285" t="str">
        <f t="shared" si="197"/>
        <v/>
      </c>
      <c r="K6145" s="246" t="str">
        <f t="shared" si="198"/>
        <v/>
      </c>
    </row>
    <row r="6146" spans="1:11" ht="30" customHeight="1" x14ac:dyDescent="0.2">
      <c r="A6146" s="242"/>
      <c r="F6146" s="285" t="str">
        <f t="shared" si="197"/>
        <v/>
      </c>
      <c r="K6146" s="246" t="str">
        <f t="shared" si="198"/>
        <v/>
      </c>
    </row>
    <row r="6147" spans="1:11" ht="30" customHeight="1" x14ac:dyDescent="0.2">
      <c r="A6147" s="242"/>
      <c r="F6147" s="285" t="str">
        <f t="shared" si="197"/>
        <v/>
      </c>
      <c r="K6147" s="246" t="str">
        <f t="shared" si="198"/>
        <v/>
      </c>
    </row>
    <row r="6148" spans="1:11" ht="30" customHeight="1" x14ac:dyDescent="0.2">
      <c r="A6148" s="242"/>
      <c r="F6148" s="285" t="str">
        <f t="shared" si="197"/>
        <v/>
      </c>
      <c r="K6148" s="246" t="str">
        <f t="shared" si="198"/>
        <v/>
      </c>
    </row>
    <row r="6149" spans="1:11" ht="30" customHeight="1" x14ac:dyDescent="0.2">
      <c r="A6149" s="242"/>
      <c r="F6149" s="285" t="str">
        <f t="shared" ref="F6149:F6212" si="199">IF(A6149="","",A6149)</f>
        <v/>
      </c>
      <c r="K6149" s="246" t="str">
        <f t="shared" si="198"/>
        <v/>
      </c>
    </row>
    <row r="6150" spans="1:11" ht="30" customHeight="1" x14ac:dyDescent="0.2">
      <c r="A6150" s="242"/>
      <c r="F6150" s="285" t="str">
        <f t="shared" si="199"/>
        <v/>
      </c>
      <c r="K6150" s="246" t="str">
        <f t="shared" si="198"/>
        <v/>
      </c>
    </row>
    <row r="6151" spans="1:11" ht="30" customHeight="1" x14ac:dyDescent="0.2">
      <c r="A6151" s="242"/>
      <c r="F6151" s="285" t="str">
        <f t="shared" si="199"/>
        <v/>
      </c>
      <c r="K6151" s="246" t="str">
        <f t="shared" si="198"/>
        <v/>
      </c>
    </row>
    <row r="6152" spans="1:11" ht="30" customHeight="1" x14ac:dyDescent="0.2">
      <c r="A6152" s="242"/>
      <c r="F6152" s="285" t="str">
        <f t="shared" si="199"/>
        <v/>
      </c>
      <c r="K6152" s="246" t="str">
        <f t="shared" si="198"/>
        <v/>
      </c>
    </row>
    <row r="6153" spans="1:11" ht="30" customHeight="1" x14ac:dyDescent="0.2">
      <c r="A6153" s="242"/>
      <c r="F6153" s="285" t="str">
        <f t="shared" si="199"/>
        <v/>
      </c>
      <c r="K6153" s="246" t="str">
        <f t="shared" si="198"/>
        <v/>
      </c>
    </row>
    <row r="6154" spans="1:11" ht="30" customHeight="1" x14ac:dyDescent="0.2">
      <c r="A6154" s="242"/>
      <c r="F6154" s="285" t="str">
        <f t="shared" si="199"/>
        <v/>
      </c>
      <c r="K6154" s="246" t="str">
        <f t="shared" si="198"/>
        <v/>
      </c>
    </row>
    <row r="6155" spans="1:11" ht="30" customHeight="1" x14ac:dyDescent="0.2">
      <c r="A6155" s="242"/>
      <c r="F6155" s="285" t="str">
        <f t="shared" si="199"/>
        <v/>
      </c>
      <c r="K6155" s="246" t="str">
        <f t="shared" si="198"/>
        <v/>
      </c>
    </row>
    <row r="6156" spans="1:11" ht="30" customHeight="1" x14ac:dyDescent="0.2">
      <c r="A6156" s="242"/>
      <c r="F6156" s="285" t="str">
        <f t="shared" si="199"/>
        <v/>
      </c>
      <c r="K6156" s="246" t="str">
        <f t="shared" si="198"/>
        <v/>
      </c>
    </row>
    <row r="6157" spans="1:11" ht="30" customHeight="1" x14ac:dyDescent="0.2">
      <c r="A6157" s="242"/>
      <c r="F6157" s="285" t="str">
        <f t="shared" si="199"/>
        <v/>
      </c>
      <c r="K6157" s="246" t="str">
        <f t="shared" si="198"/>
        <v/>
      </c>
    </row>
    <row r="6158" spans="1:11" ht="30" customHeight="1" x14ac:dyDescent="0.2">
      <c r="A6158" s="242"/>
      <c r="F6158" s="285" t="str">
        <f t="shared" si="199"/>
        <v/>
      </c>
      <c r="K6158" s="246" t="str">
        <f t="shared" si="198"/>
        <v/>
      </c>
    </row>
    <row r="6159" spans="1:11" ht="30" customHeight="1" x14ac:dyDescent="0.2">
      <c r="A6159" s="242"/>
      <c r="F6159" s="285" t="str">
        <f t="shared" si="199"/>
        <v/>
      </c>
      <c r="K6159" s="246" t="str">
        <f t="shared" si="198"/>
        <v/>
      </c>
    </row>
    <row r="6160" spans="1:11" ht="30" customHeight="1" x14ac:dyDescent="0.2">
      <c r="A6160" s="242"/>
      <c r="F6160" s="285" t="str">
        <f t="shared" si="199"/>
        <v/>
      </c>
      <c r="K6160" s="246" t="str">
        <f t="shared" si="198"/>
        <v/>
      </c>
    </row>
    <row r="6161" spans="1:11" ht="30" customHeight="1" x14ac:dyDescent="0.2">
      <c r="A6161" s="242"/>
      <c r="F6161" s="285" t="str">
        <f t="shared" si="199"/>
        <v/>
      </c>
      <c r="K6161" s="246" t="str">
        <f t="shared" si="198"/>
        <v/>
      </c>
    </row>
    <row r="6162" spans="1:11" ht="30" customHeight="1" x14ac:dyDescent="0.2">
      <c r="A6162" s="242"/>
      <c r="F6162" s="285" t="str">
        <f t="shared" si="199"/>
        <v/>
      </c>
      <c r="K6162" s="246" t="str">
        <f t="shared" si="198"/>
        <v/>
      </c>
    </row>
    <row r="6163" spans="1:11" ht="30" customHeight="1" x14ac:dyDescent="0.2">
      <c r="A6163" s="242"/>
      <c r="F6163" s="285" t="str">
        <f t="shared" si="199"/>
        <v/>
      </c>
      <c r="K6163" s="246" t="str">
        <f t="shared" si="198"/>
        <v/>
      </c>
    </row>
    <row r="6164" spans="1:11" ht="30" customHeight="1" x14ac:dyDescent="0.2">
      <c r="A6164" s="242"/>
      <c r="F6164" s="285" t="str">
        <f t="shared" si="199"/>
        <v/>
      </c>
      <c r="K6164" s="246" t="str">
        <f t="shared" si="198"/>
        <v/>
      </c>
    </row>
    <row r="6165" spans="1:11" ht="30" customHeight="1" x14ac:dyDescent="0.2">
      <c r="A6165" s="242"/>
      <c r="F6165" s="285" t="str">
        <f t="shared" si="199"/>
        <v/>
      </c>
      <c r="K6165" s="246" t="str">
        <f t="shared" si="198"/>
        <v/>
      </c>
    </row>
    <row r="6166" spans="1:11" ht="30" customHeight="1" x14ac:dyDescent="0.2">
      <c r="A6166" s="242"/>
      <c r="F6166" s="285" t="str">
        <f t="shared" si="199"/>
        <v/>
      </c>
      <c r="K6166" s="246" t="str">
        <f t="shared" si="198"/>
        <v/>
      </c>
    </row>
    <row r="6167" spans="1:11" ht="30" customHeight="1" x14ac:dyDescent="0.2">
      <c r="A6167" s="242"/>
      <c r="F6167" s="285" t="str">
        <f t="shared" si="199"/>
        <v/>
      </c>
      <c r="K6167" s="246" t="str">
        <f t="shared" si="198"/>
        <v/>
      </c>
    </row>
    <row r="6168" spans="1:11" ht="30" customHeight="1" x14ac:dyDescent="0.2">
      <c r="A6168" s="242"/>
      <c r="F6168" s="285" t="str">
        <f t="shared" si="199"/>
        <v/>
      </c>
      <c r="K6168" s="246" t="str">
        <f t="shared" si="198"/>
        <v/>
      </c>
    </row>
    <row r="6169" spans="1:11" ht="30" customHeight="1" x14ac:dyDescent="0.2">
      <c r="A6169" s="242"/>
      <c r="F6169" s="285" t="str">
        <f t="shared" si="199"/>
        <v/>
      </c>
      <c r="K6169" s="246" t="str">
        <f t="shared" si="198"/>
        <v/>
      </c>
    </row>
    <row r="6170" spans="1:11" ht="30" customHeight="1" x14ac:dyDescent="0.2">
      <c r="A6170" s="242"/>
      <c r="F6170" s="285" t="str">
        <f t="shared" si="199"/>
        <v/>
      </c>
      <c r="K6170" s="246" t="str">
        <f t="shared" si="198"/>
        <v/>
      </c>
    </row>
    <row r="6171" spans="1:11" ht="30" customHeight="1" x14ac:dyDescent="0.2">
      <c r="A6171" s="242"/>
      <c r="F6171" s="285" t="str">
        <f t="shared" si="199"/>
        <v/>
      </c>
      <c r="K6171" s="246" t="str">
        <f t="shared" si="198"/>
        <v/>
      </c>
    </row>
    <row r="6172" spans="1:11" ht="30" customHeight="1" x14ac:dyDescent="0.2">
      <c r="A6172" s="242"/>
      <c r="F6172" s="285" t="str">
        <f t="shared" si="199"/>
        <v/>
      </c>
      <c r="K6172" s="246" t="str">
        <f t="shared" si="198"/>
        <v/>
      </c>
    </row>
    <row r="6173" spans="1:11" ht="30" customHeight="1" x14ac:dyDescent="0.2">
      <c r="A6173" s="242"/>
      <c r="F6173" s="285" t="str">
        <f t="shared" si="199"/>
        <v/>
      </c>
      <c r="K6173" s="246" t="str">
        <f t="shared" si="198"/>
        <v/>
      </c>
    </row>
    <row r="6174" spans="1:11" ht="30" customHeight="1" x14ac:dyDescent="0.2">
      <c r="A6174" s="242"/>
      <c r="F6174" s="285" t="str">
        <f t="shared" si="199"/>
        <v/>
      </c>
      <c r="K6174" s="246" t="str">
        <f t="shared" si="198"/>
        <v/>
      </c>
    </row>
    <row r="6175" spans="1:11" ht="30" customHeight="1" x14ac:dyDescent="0.2">
      <c r="A6175" s="242"/>
      <c r="F6175" s="285" t="str">
        <f t="shared" si="199"/>
        <v/>
      </c>
      <c r="K6175" s="246" t="str">
        <f t="shared" si="198"/>
        <v/>
      </c>
    </row>
    <row r="6176" spans="1:11" ht="30" customHeight="1" x14ac:dyDescent="0.2">
      <c r="A6176" s="242"/>
      <c r="F6176" s="285" t="str">
        <f t="shared" si="199"/>
        <v/>
      </c>
      <c r="K6176" s="246" t="str">
        <f t="shared" si="198"/>
        <v/>
      </c>
    </row>
    <row r="6177" spans="1:11" ht="30" customHeight="1" x14ac:dyDescent="0.2">
      <c r="A6177" s="242"/>
      <c r="F6177" s="285" t="str">
        <f t="shared" si="199"/>
        <v/>
      </c>
      <c r="K6177" s="246" t="str">
        <f t="shared" si="198"/>
        <v/>
      </c>
    </row>
    <row r="6178" spans="1:11" ht="30" customHeight="1" x14ac:dyDescent="0.2">
      <c r="A6178" s="242"/>
      <c r="F6178" s="285" t="str">
        <f t="shared" si="199"/>
        <v/>
      </c>
      <c r="K6178" s="246" t="str">
        <f t="shared" si="198"/>
        <v/>
      </c>
    </row>
    <row r="6179" spans="1:11" ht="30" customHeight="1" x14ac:dyDescent="0.2">
      <c r="A6179" s="242"/>
      <c r="F6179" s="285" t="str">
        <f t="shared" si="199"/>
        <v/>
      </c>
      <c r="K6179" s="246" t="str">
        <f t="shared" si="198"/>
        <v/>
      </c>
    </row>
    <row r="6180" spans="1:11" ht="30" customHeight="1" x14ac:dyDescent="0.2">
      <c r="A6180" s="242"/>
      <c r="F6180" s="285" t="str">
        <f t="shared" si="199"/>
        <v/>
      </c>
      <c r="K6180" s="246" t="str">
        <f t="shared" si="198"/>
        <v/>
      </c>
    </row>
    <row r="6181" spans="1:11" x14ac:dyDescent="0.2">
      <c r="A6181" s="242"/>
      <c r="F6181" s="285" t="str">
        <f t="shared" si="199"/>
        <v/>
      </c>
      <c r="K6181" s="246" t="str">
        <f t="shared" si="198"/>
        <v/>
      </c>
    </row>
    <row r="6182" spans="1:11" x14ac:dyDescent="0.2">
      <c r="A6182" s="242"/>
      <c r="F6182" s="285" t="str">
        <f t="shared" si="199"/>
        <v/>
      </c>
      <c r="K6182" s="246" t="str">
        <f t="shared" si="198"/>
        <v/>
      </c>
    </row>
    <row r="6183" spans="1:11" x14ac:dyDescent="0.2">
      <c r="A6183" s="242"/>
      <c r="F6183" s="285" t="str">
        <f t="shared" si="199"/>
        <v/>
      </c>
      <c r="K6183" s="246" t="str">
        <f t="shared" si="198"/>
        <v/>
      </c>
    </row>
    <row r="6184" spans="1:11" x14ac:dyDescent="0.2">
      <c r="A6184" s="242"/>
      <c r="F6184" s="285" t="str">
        <f t="shared" si="199"/>
        <v/>
      </c>
      <c r="K6184" s="246" t="str">
        <f t="shared" si="198"/>
        <v/>
      </c>
    </row>
    <row r="6185" spans="1:11" x14ac:dyDescent="0.2">
      <c r="A6185" s="242"/>
      <c r="F6185" s="285" t="str">
        <f t="shared" si="199"/>
        <v/>
      </c>
      <c r="K6185" s="246" t="str">
        <f t="shared" si="198"/>
        <v/>
      </c>
    </row>
    <row r="6186" spans="1:11" x14ac:dyDescent="0.2">
      <c r="A6186" s="242"/>
      <c r="F6186" s="285" t="str">
        <f t="shared" si="199"/>
        <v/>
      </c>
      <c r="K6186" s="246" t="str">
        <f t="shared" si="198"/>
        <v/>
      </c>
    </row>
    <row r="6187" spans="1:11" x14ac:dyDescent="0.2">
      <c r="A6187" s="242"/>
      <c r="F6187" s="285" t="str">
        <f t="shared" si="199"/>
        <v/>
      </c>
      <c r="K6187" s="246" t="str">
        <f t="shared" si="198"/>
        <v/>
      </c>
    </row>
    <row r="6188" spans="1:11" x14ac:dyDescent="0.2">
      <c r="A6188" s="242"/>
      <c r="F6188" s="285" t="str">
        <f t="shared" si="199"/>
        <v/>
      </c>
      <c r="K6188" s="246" t="str">
        <f t="shared" si="198"/>
        <v/>
      </c>
    </row>
    <row r="6189" spans="1:11" x14ac:dyDescent="0.2">
      <c r="A6189" s="242"/>
      <c r="F6189" s="285" t="str">
        <f t="shared" si="199"/>
        <v/>
      </c>
      <c r="K6189" s="246" t="str">
        <f t="shared" si="198"/>
        <v/>
      </c>
    </row>
    <row r="6190" spans="1:11" x14ac:dyDescent="0.2">
      <c r="A6190" s="242"/>
      <c r="F6190" s="285" t="str">
        <f t="shared" si="199"/>
        <v/>
      </c>
      <c r="K6190" s="246" t="str">
        <f t="shared" si="198"/>
        <v/>
      </c>
    </row>
    <row r="6191" spans="1:11" x14ac:dyDescent="0.2">
      <c r="A6191" s="242"/>
      <c r="F6191" s="285" t="str">
        <f t="shared" si="199"/>
        <v/>
      </c>
      <c r="K6191" s="246" t="str">
        <f t="shared" si="198"/>
        <v/>
      </c>
    </row>
    <row r="6192" spans="1:11" x14ac:dyDescent="0.2">
      <c r="A6192" s="242"/>
      <c r="F6192" s="285" t="str">
        <f t="shared" si="199"/>
        <v/>
      </c>
      <c r="K6192" s="246" t="str">
        <f t="shared" si="198"/>
        <v/>
      </c>
    </row>
    <row r="6193" spans="1:11" x14ac:dyDescent="0.2">
      <c r="A6193" s="242"/>
      <c r="F6193" s="285" t="str">
        <f t="shared" si="199"/>
        <v/>
      </c>
      <c r="K6193" s="246" t="str">
        <f t="shared" si="198"/>
        <v/>
      </c>
    </row>
    <row r="6194" spans="1:11" x14ac:dyDescent="0.2">
      <c r="A6194" s="242"/>
      <c r="F6194" s="285" t="str">
        <f t="shared" si="199"/>
        <v/>
      </c>
      <c r="K6194" s="246" t="str">
        <f t="shared" si="198"/>
        <v/>
      </c>
    </row>
    <row r="6195" spans="1:11" x14ac:dyDescent="0.2">
      <c r="A6195" s="242"/>
      <c r="F6195" s="285" t="str">
        <f t="shared" si="199"/>
        <v/>
      </c>
      <c r="K6195" s="246" t="str">
        <f t="shared" si="198"/>
        <v/>
      </c>
    </row>
    <row r="6196" spans="1:11" x14ac:dyDescent="0.2">
      <c r="A6196" s="242"/>
      <c r="F6196" s="285" t="str">
        <f t="shared" si="199"/>
        <v/>
      </c>
      <c r="K6196" s="246" t="str">
        <f t="shared" si="198"/>
        <v/>
      </c>
    </row>
    <row r="6197" spans="1:11" x14ac:dyDescent="0.2">
      <c r="A6197" s="242"/>
      <c r="F6197" s="285" t="str">
        <f t="shared" si="199"/>
        <v/>
      </c>
      <c r="K6197" s="246" t="str">
        <f t="shared" si="198"/>
        <v/>
      </c>
    </row>
    <row r="6198" spans="1:11" x14ac:dyDescent="0.2">
      <c r="A6198" s="242"/>
      <c r="F6198" s="285" t="str">
        <f t="shared" si="199"/>
        <v/>
      </c>
      <c r="K6198" s="246" t="str">
        <f t="shared" si="198"/>
        <v/>
      </c>
    </row>
    <row r="6199" spans="1:11" x14ac:dyDescent="0.2">
      <c r="A6199" s="242"/>
      <c r="F6199" s="285" t="str">
        <f t="shared" si="199"/>
        <v/>
      </c>
      <c r="K6199" s="246" t="str">
        <f t="shared" si="198"/>
        <v/>
      </c>
    </row>
    <row r="6200" spans="1:11" x14ac:dyDescent="0.2">
      <c r="A6200" s="242"/>
      <c r="F6200" s="285" t="str">
        <f t="shared" si="199"/>
        <v/>
      </c>
      <c r="K6200" s="246" t="str">
        <f t="shared" si="198"/>
        <v/>
      </c>
    </row>
    <row r="6201" spans="1:11" x14ac:dyDescent="0.2">
      <c r="A6201" s="242"/>
      <c r="F6201" s="285" t="str">
        <f t="shared" si="199"/>
        <v/>
      </c>
      <c r="K6201" s="246" t="str">
        <f t="shared" si="198"/>
        <v/>
      </c>
    </row>
    <row r="6202" spans="1:11" x14ac:dyDescent="0.2">
      <c r="A6202" s="242"/>
      <c r="F6202" s="285" t="str">
        <f t="shared" si="199"/>
        <v/>
      </c>
      <c r="K6202" s="246" t="str">
        <f t="shared" si="198"/>
        <v/>
      </c>
    </row>
    <row r="6203" spans="1:11" x14ac:dyDescent="0.2">
      <c r="A6203" s="242"/>
      <c r="F6203" s="285" t="str">
        <f t="shared" si="199"/>
        <v/>
      </c>
      <c r="K6203" s="246" t="str">
        <f t="shared" ref="K6203:K6266" si="200">IF(A6203="","",A6203)</f>
        <v/>
      </c>
    </row>
    <row r="6204" spans="1:11" x14ac:dyDescent="0.2">
      <c r="A6204" s="242"/>
      <c r="F6204" s="285" t="str">
        <f t="shared" si="199"/>
        <v/>
      </c>
      <c r="K6204" s="246" t="str">
        <f t="shared" si="200"/>
        <v/>
      </c>
    </row>
    <row r="6205" spans="1:11" x14ac:dyDescent="0.2">
      <c r="A6205" s="242"/>
      <c r="F6205" s="285" t="str">
        <f t="shared" si="199"/>
        <v/>
      </c>
      <c r="K6205" s="246" t="str">
        <f t="shared" si="200"/>
        <v/>
      </c>
    </row>
    <row r="6206" spans="1:11" x14ac:dyDescent="0.2">
      <c r="A6206" s="242"/>
      <c r="F6206" s="285" t="str">
        <f t="shared" si="199"/>
        <v/>
      </c>
      <c r="K6206" s="246" t="str">
        <f t="shared" si="200"/>
        <v/>
      </c>
    </row>
    <row r="6207" spans="1:11" x14ac:dyDescent="0.2">
      <c r="A6207" s="242"/>
      <c r="F6207" s="285" t="str">
        <f t="shared" si="199"/>
        <v/>
      </c>
      <c r="K6207" s="246" t="str">
        <f t="shared" si="200"/>
        <v/>
      </c>
    </row>
    <row r="6208" spans="1:11" x14ac:dyDescent="0.2">
      <c r="A6208" s="242"/>
      <c r="F6208" s="285" t="str">
        <f t="shared" si="199"/>
        <v/>
      </c>
      <c r="K6208" s="246" t="str">
        <f t="shared" si="200"/>
        <v/>
      </c>
    </row>
    <row r="6209" spans="1:11" x14ac:dyDescent="0.2">
      <c r="A6209" s="242"/>
      <c r="F6209" s="285" t="str">
        <f t="shared" si="199"/>
        <v/>
      </c>
      <c r="K6209" s="246" t="str">
        <f t="shared" si="200"/>
        <v/>
      </c>
    </row>
    <row r="6210" spans="1:11" x14ac:dyDescent="0.2">
      <c r="A6210" s="242"/>
      <c r="F6210" s="285" t="str">
        <f t="shared" si="199"/>
        <v/>
      </c>
      <c r="K6210" s="246" t="str">
        <f t="shared" si="200"/>
        <v/>
      </c>
    </row>
    <row r="6211" spans="1:11" x14ac:dyDescent="0.2">
      <c r="A6211" s="242"/>
      <c r="F6211" s="285" t="str">
        <f t="shared" si="199"/>
        <v/>
      </c>
      <c r="K6211" s="246" t="str">
        <f t="shared" si="200"/>
        <v/>
      </c>
    </row>
    <row r="6212" spans="1:11" x14ac:dyDescent="0.2">
      <c r="A6212" s="242"/>
      <c r="F6212" s="285" t="str">
        <f t="shared" si="199"/>
        <v/>
      </c>
      <c r="K6212" s="246" t="str">
        <f t="shared" si="200"/>
        <v/>
      </c>
    </row>
    <row r="6213" spans="1:11" x14ac:dyDescent="0.2">
      <c r="A6213" s="242"/>
      <c r="F6213" s="285" t="str">
        <f t="shared" ref="F6213:F6276" si="201">IF(A6213="","",A6213)</f>
        <v/>
      </c>
      <c r="K6213" s="246" t="str">
        <f t="shared" si="200"/>
        <v/>
      </c>
    </row>
    <row r="6214" spans="1:11" x14ac:dyDescent="0.2">
      <c r="A6214" s="242"/>
      <c r="F6214" s="285" t="str">
        <f t="shared" si="201"/>
        <v/>
      </c>
      <c r="K6214" s="246" t="str">
        <f t="shared" si="200"/>
        <v/>
      </c>
    </row>
    <row r="6215" spans="1:11" x14ac:dyDescent="0.2">
      <c r="A6215" s="242"/>
      <c r="F6215" s="285" t="str">
        <f t="shared" si="201"/>
        <v/>
      </c>
      <c r="K6215" s="246" t="str">
        <f t="shared" si="200"/>
        <v/>
      </c>
    </row>
    <row r="6216" spans="1:11" x14ac:dyDescent="0.2">
      <c r="A6216" s="242"/>
      <c r="F6216" s="285" t="str">
        <f t="shared" si="201"/>
        <v/>
      </c>
      <c r="K6216" s="246" t="str">
        <f t="shared" si="200"/>
        <v/>
      </c>
    </row>
    <row r="6217" spans="1:11" x14ac:dyDescent="0.2">
      <c r="A6217" s="242"/>
      <c r="F6217" s="285" t="str">
        <f t="shared" si="201"/>
        <v/>
      </c>
      <c r="K6217" s="246" t="str">
        <f t="shared" si="200"/>
        <v/>
      </c>
    </row>
    <row r="6218" spans="1:11" x14ac:dyDescent="0.2">
      <c r="A6218" s="242"/>
      <c r="F6218" s="285" t="str">
        <f t="shared" si="201"/>
        <v/>
      </c>
      <c r="K6218" s="246" t="str">
        <f t="shared" si="200"/>
        <v/>
      </c>
    </row>
    <row r="6219" spans="1:11" x14ac:dyDescent="0.2">
      <c r="A6219" s="242"/>
      <c r="F6219" s="285" t="str">
        <f t="shared" si="201"/>
        <v/>
      </c>
      <c r="K6219" s="246" t="str">
        <f t="shared" si="200"/>
        <v/>
      </c>
    </row>
    <row r="6220" spans="1:11" x14ac:dyDescent="0.2">
      <c r="A6220" s="242"/>
      <c r="F6220" s="285" t="str">
        <f t="shared" si="201"/>
        <v/>
      </c>
      <c r="K6220" s="246" t="str">
        <f t="shared" si="200"/>
        <v/>
      </c>
    </row>
    <row r="6221" spans="1:11" x14ac:dyDescent="0.2">
      <c r="A6221" s="242"/>
      <c r="F6221" s="285" t="str">
        <f t="shared" si="201"/>
        <v/>
      </c>
      <c r="K6221" s="246" t="str">
        <f t="shared" si="200"/>
        <v/>
      </c>
    </row>
    <row r="6222" spans="1:11" x14ac:dyDescent="0.2">
      <c r="A6222" s="242"/>
      <c r="F6222" s="285" t="str">
        <f t="shared" si="201"/>
        <v/>
      </c>
      <c r="K6222" s="246" t="str">
        <f t="shared" si="200"/>
        <v/>
      </c>
    </row>
    <row r="6223" spans="1:11" x14ac:dyDescent="0.2">
      <c r="A6223" s="242"/>
      <c r="F6223" s="285" t="str">
        <f t="shared" si="201"/>
        <v/>
      </c>
      <c r="K6223" s="246" t="str">
        <f t="shared" si="200"/>
        <v/>
      </c>
    </row>
    <row r="6224" spans="1:11" x14ac:dyDescent="0.2">
      <c r="A6224" s="242"/>
      <c r="F6224" s="285" t="str">
        <f t="shared" si="201"/>
        <v/>
      </c>
      <c r="K6224" s="246" t="str">
        <f t="shared" si="200"/>
        <v/>
      </c>
    </row>
    <row r="6225" spans="1:11" x14ac:dyDescent="0.2">
      <c r="A6225" s="242"/>
      <c r="F6225" s="285" t="str">
        <f t="shared" si="201"/>
        <v/>
      </c>
      <c r="K6225" s="246" t="str">
        <f t="shared" si="200"/>
        <v/>
      </c>
    </row>
    <row r="6226" spans="1:11" x14ac:dyDescent="0.2">
      <c r="A6226" s="242"/>
      <c r="F6226" s="285" t="str">
        <f t="shared" si="201"/>
        <v/>
      </c>
      <c r="K6226" s="246" t="str">
        <f t="shared" si="200"/>
        <v/>
      </c>
    </row>
    <row r="6227" spans="1:11" x14ac:dyDescent="0.2">
      <c r="A6227" s="242"/>
      <c r="F6227" s="285" t="str">
        <f t="shared" si="201"/>
        <v/>
      </c>
      <c r="K6227" s="246" t="str">
        <f t="shared" si="200"/>
        <v/>
      </c>
    </row>
    <row r="6228" spans="1:11" x14ac:dyDescent="0.2">
      <c r="A6228" s="242"/>
      <c r="F6228" s="285" t="str">
        <f t="shared" si="201"/>
        <v/>
      </c>
      <c r="K6228" s="246" t="str">
        <f t="shared" si="200"/>
        <v/>
      </c>
    </row>
    <row r="6229" spans="1:11" x14ac:dyDescent="0.2">
      <c r="A6229" s="242"/>
      <c r="F6229" s="285" t="str">
        <f t="shared" si="201"/>
        <v/>
      </c>
      <c r="K6229" s="246" t="str">
        <f t="shared" si="200"/>
        <v/>
      </c>
    </row>
    <row r="6230" spans="1:11" x14ac:dyDescent="0.2">
      <c r="A6230" s="242"/>
      <c r="F6230" s="285" t="str">
        <f t="shared" si="201"/>
        <v/>
      </c>
      <c r="K6230" s="246" t="str">
        <f t="shared" si="200"/>
        <v/>
      </c>
    </row>
    <row r="6231" spans="1:11" x14ac:dyDescent="0.2">
      <c r="A6231" s="242"/>
      <c r="F6231" s="285" t="str">
        <f t="shared" si="201"/>
        <v/>
      </c>
      <c r="K6231" s="246" t="str">
        <f t="shared" si="200"/>
        <v/>
      </c>
    </row>
    <row r="6232" spans="1:11" x14ac:dyDescent="0.2">
      <c r="A6232" s="242"/>
      <c r="F6232" s="285" t="str">
        <f t="shared" si="201"/>
        <v/>
      </c>
      <c r="K6232" s="246" t="str">
        <f t="shared" si="200"/>
        <v/>
      </c>
    </row>
    <row r="6233" spans="1:11" x14ac:dyDescent="0.2">
      <c r="A6233" s="242"/>
      <c r="F6233" s="285" t="str">
        <f t="shared" si="201"/>
        <v/>
      </c>
      <c r="K6233" s="246" t="str">
        <f t="shared" si="200"/>
        <v/>
      </c>
    </row>
    <row r="6234" spans="1:11" x14ac:dyDescent="0.2">
      <c r="A6234" s="242"/>
      <c r="F6234" s="285" t="str">
        <f t="shared" si="201"/>
        <v/>
      </c>
      <c r="K6234" s="246" t="str">
        <f t="shared" si="200"/>
        <v/>
      </c>
    </row>
    <row r="6235" spans="1:11" x14ac:dyDescent="0.2">
      <c r="A6235" s="242"/>
      <c r="F6235" s="285" t="str">
        <f t="shared" si="201"/>
        <v/>
      </c>
      <c r="K6235" s="246" t="str">
        <f t="shared" si="200"/>
        <v/>
      </c>
    </row>
    <row r="6236" spans="1:11" x14ac:dyDescent="0.2">
      <c r="A6236" s="242"/>
      <c r="F6236" s="285" t="str">
        <f t="shared" si="201"/>
        <v/>
      </c>
      <c r="K6236" s="246" t="str">
        <f t="shared" si="200"/>
        <v/>
      </c>
    </row>
    <row r="6237" spans="1:11" x14ac:dyDescent="0.2">
      <c r="A6237" s="242"/>
      <c r="F6237" s="285" t="str">
        <f t="shared" si="201"/>
        <v/>
      </c>
      <c r="K6237" s="246" t="str">
        <f t="shared" si="200"/>
        <v/>
      </c>
    </row>
    <row r="6238" spans="1:11" x14ac:dyDescent="0.2">
      <c r="A6238" s="242"/>
      <c r="F6238" s="285" t="str">
        <f t="shared" si="201"/>
        <v/>
      </c>
      <c r="K6238" s="246" t="str">
        <f t="shared" si="200"/>
        <v/>
      </c>
    </row>
    <row r="6239" spans="1:11" x14ac:dyDescent="0.2">
      <c r="A6239" s="242"/>
      <c r="F6239" s="285" t="str">
        <f t="shared" si="201"/>
        <v/>
      </c>
      <c r="K6239" s="246" t="str">
        <f t="shared" si="200"/>
        <v/>
      </c>
    </row>
    <row r="6240" spans="1:11" x14ac:dyDescent="0.2">
      <c r="A6240" s="242"/>
      <c r="F6240" s="285" t="str">
        <f t="shared" si="201"/>
        <v/>
      </c>
      <c r="K6240" s="246" t="str">
        <f t="shared" si="200"/>
        <v/>
      </c>
    </row>
    <row r="6241" spans="1:11" x14ac:dyDescent="0.2">
      <c r="A6241" s="242"/>
      <c r="F6241" s="285" t="str">
        <f t="shared" si="201"/>
        <v/>
      </c>
      <c r="K6241" s="246" t="str">
        <f t="shared" si="200"/>
        <v/>
      </c>
    </row>
    <row r="6242" spans="1:11" x14ac:dyDescent="0.2">
      <c r="A6242" s="242"/>
      <c r="F6242" s="285" t="str">
        <f t="shared" si="201"/>
        <v/>
      </c>
      <c r="K6242" s="246" t="str">
        <f t="shared" si="200"/>
        <v/>
      </c>
    </row>
    <row r="6243" spans="1:11" x14ac:dyDescent="0.2">
      <c r="A6243" s="242"/>
      <c r="F6243" s="285" t="str">
        <f t="shared" si="201"/>
        <v/>
      </c>
      <c r="K6243" s="246" t="str">
        <f t="shared" si="200"/>
        <v/>
      </c>
    </row>
    <row r="6244" spans="1:11" x14ac:dyDescent="0.2">
      <c r="A6244" s="242"/>
      <c r="F6244" s="285" t="str">
        <f t="shared" si="201"/>
        <v/>
      </c>
      <c r="K6244" s="246" t="str">
        <f t="shared" si="200"/>
        <v/>
      </c>
    </row>
    <row r="6245" spans="1:11" x14ac:dyDescent="0.2">
      <c r="A6245" s="242"/>
      <c r="F6245" s="285" t="str">
        <f t="shared" si="201"/>
        <v/>
      </c>
      <c r="K6245" s="246" t="str">
        <f t="shared" si="200"/>
        <v/>
      </c>
    </row>
    <row r="6246" spans="1:11" x14ac:dyDescent="0.2">
      <c r="A6246" s="242"/>
      <c r="F6246" s="285" t="str">
        <f t="shared" si="201"/>
        <v/>
      </c>
      <c r="K6246" s="246" t="str">
        <f t="shared" si="200"/>
        <v/>
      </c>
    </row>
    <row r="6247" spans="1:11" x14ac:dyDescent="0.2">
      <c r="A6247" s="242"/>
      <c r="F6247" s="285" t="str">
        <f t="shared" si="201"/>
        <v/>
      </c>
      <c r="K6247" s="246" t="str">
        <f t="shared" si="200"/>
        <v/>
      </c>
    </row>
    <row r="6248" spans="1:11" x14ac:dyDescent="0.2">
      <c r="A6248" s="242"/>
      <c r="F6248" s="285" t="str">
        <f t="shared" si="201"/>
        <v/>
      </c>
      <c r="K6248" s="246" t="str">
        <f t="shared" si="200"/>
        <v/>
      </c>
    </row>
    <row r="6249" spans="1:11" x14ac:dyDescent="0.2">
      <c r="A6249" s="242"/>
      <c r="F6249" s="285" t="str">
        <f t="shared" si="201"/>
        <v/>
      </c>
      <c r="K6249" s="246" t="str">
        <f t="shared" si="200"/>
        <v/>
      </c>
    </row>
    <row r="6250" spans="1:11" x14ac:dyDescent="0.2">
      <c r="A6250" s="242"/>
      <c r="F6250" s="285" t="str">
        <f t="shared" si="201"/>
        <v/>
      </c>
      <c r="K6250" s="246" t="str">
        <f t="shared" si="200"/>
        <v/>
      </c>
    </row>
    <row r="6251" spans="1:11" x14ac:dyDescent="0.2">
      <c r="A6251" s="242"/>
      <c r="F6251" s="285" t="str">
        <f t="shared" si="201"/>
        <v/>
      </c>
      <c r="K6251" s="246" t="str">
        <f t="shared" si="200"/>
        <v/>
      </c>
    </row>
    <row r="6252" spans="1:11" x14ac:dyDescent="0.2">
      <c r="A6252" s="242"/>
      <c r="F6252" s="285" t="str">
        <f t="shared" si="201"/>
        <v/>
      </c>
      <c r="K6252" s="246" t="str">
        <f t="shared" si="200"/>
        <v/>
      </c>
    </row>
    <row r="6253" spans="1:11" x14ac:dyDescent="0.2">
      <c r="A6253" s="242"/>
      <c r="F6253" s="285" t="str">
        <f t="shared" si="201"/>
        <v/>
      </c>
      <c r="K6253" s="246" t="str">
        <f t="shared" si="200"/>
        <v/>
      </c>
    </row>
    <row r="6254" spans="1:11" x14ac:dyDescent="0.2">
      <c r="A6254" s="242"/>
      <c r="F6254" s="285" t="str">
        <f t="shared" si="201"/>
        <v/>
      </c>
      <c r="K6254" s="246" t="str">
        <f t="shared" si="200"/>
        <v/>
      </c>
    </row>
    <row r="6255" spans="1:11" x14ac:dyDescent="0.2">
      <c r="A6255" s="242"/>
      <c r="F6255" s="285" t="str">
        <f t="shared" si="201"/>
        <v/>
      </c>
      <c r="K6255" s="246" t="str">
        <f t="shared" si="200"/>
        <v/>
      </c>
    </row>
    <row r="6256" spans="1:11" x14ac:dyDescent="0.2">
      <c r="A6256" s="242"/>
      <c r="F6256" s="285" t="str">
        <f t="shared" si="201"/>
        <v/>
      </c>
      <c r="K6256" s="246" t="str">
        <f t="shared" si="200"/>
        <v/>
      </c>
    </row>
    <row r="6257" spans="1:11" x14ac:dyDescent="0.2">
      <c r="A6257" s="242"/>
      <c r="F6257" s="285" t="str">
        <f t="shared" si="201"/>
        <v/>
      </c>
      <c r="K6257" s="246" t="str">
        <f t="shared" si="200"/>
        <v/>
      </c>
    </row>
    <row r="6258" spans="1:11" x14ac:dyDescent="0.2">
      <c r="A6258" s="242"/>
      <c r="F6258" s="285" t="str">
        <f t="shared" si="201"/>
        <v/>
      </c>
      <c r="K6258" s="246" t="str">
        <f t="shared" si="200"/>
        <v/>
      </c>
    </row>
    <row r="6259" spans="1:11" x14ac:dyDescent="0.2">
      <c r="A6259" s="242"/>
      <c r="F6259" s="285" t="str">
        <f t="shared" si="201"/>
        <v/>
      </c>
      <c r="K6259" s="246" t="str">
        <f t="shared" si="200"/>
        <v/>
      </c>
    </row>
    <row r="6260" spans="1:11" x14ac:dyDescent="0.2">
      <c r="A6260" s="242"/>
      <c r="F6260" s="285" t="str">
        <f t="shared" si="201"/>
        <v/>
      </c>
      <c r="K6260" s="246" t="str">
        <f t="shared" si="200"/>
        <v/>
      </c>
    </row>
    <row r="6261" spans="1:11" x14ac:dyDescent="0.2">
      <c r="A6261" s="242"/>
      <c r="F6261" s="285" t="str">
        <f t="shared" si="201"/>
        <v/>
      </c>
      <c r="K6261" s="246" t="str">
        <f t="shared" si="200"/>
        <v/>
      </c>
    </row>
    <row r="6262" spans="1:11" x14ac:dyDescent="0.2">
      <c r="A6262" s="242"/>
      <c r="F6262" s="285" t="str">
        <f t="shared" si="201"/>
        <v/>
      </c>
      <c r="K6262" s="246" t="str">
        <f t="shared" si="200"/>
        <v/>
      </c>
    </row>
    <row r="6263" spans="1:11" x14ac:dyDescent="0.2">
      <c r="A6263" s="242"/>
      <c r="F6263" s="285" t="str">
        <f t="shared" si="201"/>
        <v/>
      </c>
      <c r="K6263" s="246" t="str">
        <f t="shared" si="200"/>
        <v/>
      </c>
    </row>
    <row r="6264" spans="1:11" x14ac:dyDescent="0.2">
      <c r="A6264" s="242"/>
      <c r="F6264" s="285" t="str">
        <f t="shared" si="201"/>
        <v/>
      </c>
      <c r="K6264" s="246" t="str">
        <f t="shared" si="200"/>
        <v/>
      </c>
    </row>
    <row r="6265" spans="1:11" x14ac:dyDescent="0.2">
      <c r="A6265" s="242"/>
      <c r="F6265" s="285" t="str">
        <f t="shared" si="201"/>
        <v/>
      </c>
      <c r="K6265" s="246" t="str">
        <f t="shared" si="200"/>
        <v/>
      </c>
    </row>
    <row r="6266" spans="1:11" x14ac:dyDescent="0.2">
      <c r="A6266" s="242"/>
      <c r="F6266" s="285" t="str">
        <f t="shared" si="201"/>
        <v/>
      </c>
      <c r="K6266" s="246" t="str">
        <f t="shared" si="200"/>
        <v/>
      </c>
    </row>
    <row r="6267" spans="1:11" x14ac:dyDescent="0.2">
      <c r="A6267" s="242"/>
      <c r="F6267" s="285" t="str">
        <f t="shared" si="201"/>
        <v/>
      </c>
      <c r="K6267" s="246" t="str">
        <f t="shared" ref="K6267:K6330" si="202">IF(A6267="","",A6267)</f>
        <v/>
      </c>
    </row>
    <row r="6268" spans="1:11" x14ac:dyDescent="0.2">
      <c r="A6268" s="242"/>
      <c r="F6268" s="285" t="str">
        <f t="shared" si="201"/>
        <v/>
      </c>
      <c r="K6268" s="246" t="str">
        <f t="shared" si="202"/>
        <v/>
      </c>
    </row>
    <row r="6269" spans="1:11" x14ac:dyDescent="0.2">
      <c r="A6269" s="242"/>
      <c r="F6269" s="285" t="str">
        <f t="shared" si="201"/>
        <v/>
      </c>
      <c r="K6269" s="246" t="str">
        <f t="shared" si="202"/>
        <v/>
      </c>
    </row>
    <row r="6270" spans="1:11" x14ac:dyDescent="0.2">
      <c r="A6270" s="242"/>
      <c r="F6270" s="285" t="str">
        <f t="shared" si="201"/>
        <v/>
      </c>
      <c r="K6270" s="246" t="str">
        <f t="shared" si="202"/>
        <v/>
      </c>
    </row>
    <row r="6271" spans="1:11" x14ac:dyDescent="0.2">
      <c r="A6271" s="242"/>
      <c r="F6271" s="285" t="str">
        <f t="shared" si="201"/>
        <v/>
      </c>
      <c r="K6271" s="246" t="str">
        <f t="shared" si="202"/>
        <v/>
      </c>
    </row>
    <row r="6272" spans="1:11" x14ac:dyDescent="0.2">
      <c r="A6272" s="242"/>
      <c r="F6272" s="285" t="str">
        <f t="shared" si="201"/>
        <v/>
      </c>
      <c r="K6272" s="246" t="str">
        <f t="shared" si="202"/>
        <v/>
      </c>
    </row>
    <row r="6273" spans="1:11" x14ac:dyDescent="0.2">
      <c r="A6273" s="242"/>
      <c r="F6273" s="285" t="str">
        <f t="shared" si="201"/>
        <v/>
      </c>
      <c r="K6273" s="246" t="str">
        <f t="shared" si="202"/>
        <v/>
      </c>
    </row>
    <row r="6274" spans="1:11" x14ac:dyDescent="0.2">
      <c r="A6274" s="242"/>
      <c r="F6274" s="285" t="str">
        <f t="shared" si="201"/>
        <v/>
      </c>
      <c r="K6274" s="246" t="str">
        <f t="shared" si="202"/>
        <v/>
      </c>
    </row>
    <row r="6275" spans="1:11" x14ac:dyDescent="0.2">
      <c r="A6275" s="242"/>
      <c r="F6275" s="285" t="str">
        <f t="shared" si="201"/>
        <v/>
      </c>
      <c r="K6275" s="246" t="str">
        <f t="shared" si="202"/>
        <v/>
      </c>
    </row>
    <row r="6276" spans="1:11" x14ac:dyDescent="0.2">
      <c r="A6276" s="242"/>
      <c r="F6276" s="285" t="str">
        <f t="shared" si="201"/>
        <v/>
      </c>
      <c r="K6276" s="246" t="str">
        <f t="shared" si="202"/>
        <v/>
      </c>
    </row>
    <row r="6277" spans="1:11" x14ac:dyDescent="0.2">
      <c r="A6277" s="242"/>
      <c r="F6277" s="285" t="str">
        <f t="shared" ref="F6277:F6340" si="203">IF(A6277="","",A6277)</f>
        <v/>
      </c>
      <c r="K6277" s="246" t="str">
        <f t="shared" si="202"/>
        <v/>
      </c>
    </row>
    <row r="6278" spans="1:11" x14ac:dyDescent="0.2">
      <c r="A6278" s="242"/>
      <c r="F6278" s="285" t="str">
        <f t="shared" si="203"/>
        <v/>
      </c>
      <c r="K6278" s="246" t="str">
        <f t="shared" si="202"/>
        <v/>
      </c>
    </row>
    <row r="6279" spans="1:11" x14ac:dyDescent="0.2">
      <c r="A6279" s="242"/>
      <c r="F6279" s="285" t="str">
        <f t="shared" si="203"/>
        <v/>
      </c>
      <c r="K6279" s="246" t="str">
        <f t="shared" si="202"/>
        <v/>
      </c>
    </row>
    <row r="6280" spans="1:11" x14ac:dyDescent="0.2">
      <c r="A6280" s="242"/>
      <c r="F6280" s="285" t="str">
        <f t="shared" si="203"/>
        <v/>
      </c>
      <c r="K6280" s="246" t="str">
        <f t="shared" si="202"/>
        <v/>
      </c>
    </row>
    <row r="6281" spans="1:11" x14ac:dyDescent="0.2">
      <c r="A6281" s="242"/>
      <c r="F6281" s="285" t="str">
        <f t="shared" si="203"/>
        <v/>
      </c>
      <c r="K6281" s="246" t="str">
        <f t="shared" si="202"/>
        <v/>
      </c>
    </row>
    <row r="6282" spans="1:11" x14ac:dyDescent="0.2">
      <c r="A6282" s="242"/>
      <c r="F6282" s="285" t="str">
        <f t="shared" si="203"/>
        <v/>
      </c>
      <c r="K6282" s="246" t="str">
        <f t="shared" si="202"/>
        <v/>
      </c>
    </row>
    <row r="6283" spans="1:11" x14ac:dyDescent="0.2">
      <c r="A6283" s="242"/>
      <c r="F6283" s="285" t="str">
        <f t="shared" si="203"/>
        <v/>
      </c>
      <c r="K6283" s="246" t="str">
        <f t="shared" si="202"/>
        <v/>
      </c>
    </row>
    <row r="6284" spans="1:11" x14ac:dyDescent="0.2">
      <c r="A6284" s="242"/>
      <c r="F6284" s="285" t="str">
        <f t="shared" si="203"/>
        <v/>
      </c>
      <c r="K6284" s="246" t="str">
        <f t="shared" si="202"/>
        <v/>
      </c>
    </row>
    <row r="6285" spans="1:11" x14ac:dyDescent="0.2">
      <c r="A6285" s="242"/>
      <c r="F6285" s="285" t="str">
        <f t="shared" si="203"/>
        <v/>
      </c>
      <c r="K6285" s="246" t="str">
        <f t="shared" si="202"/>
        <v/>
      </c>
    </row>
    <row r="6286" spans="1:11" x14ac:dyDescent="0.2">
      <c r="A6286" s="242"/>
      <c r="F6286" s="285" t="str">
        <f t="shared" si="203"/>
        <v/>
      </c>
      <c r="K6286" s="246" t="str">
        <f t="shared" si="202"/>
        <v/>
      </c>
    </row>
    <row r="6287" spans="1:11" x14ac:dyDescent="0.2">
      <c r="A6287" s="242"/>
      <c r="F6287" s="285" t="str">
        <f t="shared" si="203"/>
        <v/>
      </c>
      <c r="K6287" s="246" t="str">
        <f t="shared" si="202"/>
        <v/>
      </c>
    </row>
    <row r="6288" spans="1:11" x14ac:dyDescent="0.2">
      <c r="A6288" s="242"/>
      <c r="F6288" s="285" t="str">
        <f t="shared" si="203"/>
        <v/>
      </c>
      <c r="K6288" s="246" t="str">
        <f t="shared" si="202"/>
        <v/>
      </c>
    </row>
    <row r="6289" spans="1:11" x14ac:dyDescent="0.2">
      <c r="A6289" s="242"/>
      <c r="F6289" s="285" t="str">
        <f t="shared" si="203"/>
        <v/>
      </c>
      <c r="K6289" s="246" t="str">
        <f t="shared" si="202"/>
        <v/>
      </c>
    </row>
    <row r="6290" spans="1:11" x14ac:dyDescent="0.2">
      <c r="A6290" s="242"/>
      <c r="F6290" s="285" t="str">
        <f t="shared" si="203"/>
        <v/>
      </c>
      <c r="K6290" s="246" t="str">
        <f t="shared" si="202"/>
        <v/>
      </c>
    </row>
    <row r="6291" spans="1:11" x14ac:dyDescent="0.2">
      <c r="A6291" s="242"/>
      <c r="F6291" s="285" t="str">
        <f t="shared" si="203"/>
        <v/>
      </c>
      <c r="K6291" s="246" t="str">
        <f t="shared" si="202"/>
        <v/>
      </c>
    </row>
    <row r="6292" spans="1:11" x14ac:dyDescent="0.2">
      <c r="A6292" s="242"/>
      <c r="F6292" s="285" t="str">
        <f t="shared" si="203"/>
        <v/>
      </c>
      <c r="K6292" s="246" t="str">
        <f t="shared" si="202"/>
        <v/>
      </c>
    </row>
    <row r="6293" spans="1:11" x14ac:dyDescent="0.2">
      <c r="A6293" s="242"/>
      <c r="F6293" s="285" t="str">
        <f t="shared" si="203"/>
        <v/>
      </c>
      <c r="K6293" s="246" t="str">
        <f t="shared" si="202"/>
        <v/>
      </c>
    </row>
    <row r="6294" spans="1:11" x14ac:dyDescent="0.2">
      <c r="A6294" s="242"/>
      <c r="F6294" s="285" t="str">
        <f t="shared" si="203"/>
        <v/>
      </c>
      <c r="K6294" s="246" t="str">
        <f t="shared" si="202"/>
        <v/>
      </c>
    </row>
    <row r="6295" spans="1:11" x14ac:dyDescent="0.2">
      <c r="A6295" s="242"/>
      <c r="F6295" s="285" t="str">
        <f t="shared" si="203"/>
        <v/>
      </c>
      <c r="K6295" s="246" t="str">
        <f t="shared" si="202"/>
        <v/>
      </c>
    </row>
    <row r="6296" spans="1:11" x14ac:dyDescent="0.2">
      <c r="A6296" s="242"/>
      <c r="F6296" s="285" t="str">
        <f t="shared" si="203"/>
        <v/>
      </c>
      <c r="K6296" s="246" t="str">
        <f t="shared" si="202"/>
        <v/>
      </c>
    </row>
    <row r="6297" spans="1:11" x14ac:dyDescent="0.2">
      <c r="A6297" s="242"/>
      <c r="F6297" s="285" t="str">
        <f t="shared" si="203"/>
        <v/>
      </c>
      <c r="K6297" s="246" t="str">
        <f t="shared" si="202"/>
        <v/>
      </c>
    </row>
    <row r="6298" spans="1:11" x14ac:dyDescent="0.2">
      <c r="A6298" s="242"/>
      <c r="F6298" s="285" t="str">
        <f t="shared" si="203"/>
        <v/>
      </c>
      <c r="K6298" s="246" t="str">
        <f t="shared" si="202"/>
        <v/>
      </c>
    </row>
    <row r="6299" spans="1:11" x14ac:dyDescent="0.2">
      <c r="A6299" s="242"/>
      <c r="F6299" s="285" t="str">
        <f t="shared" si="203"/>
        <v/>
      </c>
      <c r="K6299" s="246" t="str">
        <f t="shared" si="202"/>
        <v/>
      </c>
    </row>
    <row r="6300" spans="1:11" x14ac:dyDescent="0.2">
      <c r="A6300" s="242"/>
      <c r="F6300" s="285" t="str">
        <f t="shared" si="203"/>
        <v/>
      </c>
      <c r="K6300" s="246" t="str">
        <f t="shared" si="202"/>
        <v/>
      </c>
    </row>
    <row r="6301" spans="1:11" x14ac:dyDescent="0.2">
      <c r="A6301" s="242"/>
      <c r="F6301" s="285" t="str">
        <f t="shared" si="203"/>
        <v/>
      </c>
      <c r="K6301" s="246" t="str">
        <f t="shared" si="202"/>
        <v/>
      </c>
    </row>
    <row r="6302" spans="1:11" x14ac:dyDescent="0.2">
      <c r="A6302" s="242"/>
      <c r="F6302" s="285" t="str">
        <f t="shared" si="203"/>
        <v/>
      </c>
      <c r="K6302" s="246" t="str">
        <f t="shared" si="202"/>
        <v/>
      </c>
    </row>
    <row r="6303" spans="1:11" x14ac:dyDescent="0.2">
      <c r="A6303" s="242"/>
      <c r="F6303" s="285" t="str">
        <f t="shared" si="203"/>
        <v/>
      </c>
      <c r="K6303" s="246" t="str">
        <f t="shared" si="202"/>
        <v/>
      </c>
    </row>
    <row r="6304" spans="1:11" x14ac:dyDescent="0.2">
      <c r="A6304" s="242"/>
      <c r="F6304" s="285" t="str">
        <f t="shared" si="203"/>
        <v/>
      </c>
      <c r="K6304" s="246" t="str">
        <f t="shared" si="202"/>
        <v/>
      </c>
    </row>
    <row r="6305" spans="1:11" x14ac:dyDescent="0.2">
      <c r="A6305" s="242"/>
      <c r="F6305" s="285" t="str">
        <f t="shared" si="203"/>
        <v/>
      </c>
      <c r="K6305" s="246" t="str">
        <f t="shared" si="202"/>
        <v/>
      </c>
    </row>
    <row r="6306" spans="1:11" x14ac:dyDescent="0.2">
      <c r="A6306" s="242"/>
      <c r="F6306" s="285" t="str">
        <f t="shared" si="203"/>
        <v/>
      </c>
      <c r="K6306" s="246" t="str">
        <f t="shared" si="202"/>
        <v/>
      </c>
    </row>
    <row r="6307" spans="1:11" x14ac:dyDescent="0.2">
      <c r="A6307" s="242"/>
      <c r="F6307" s="285" t="str">
        <f t="shared" si="203"/>
        <v/>
      </c>
      <c r="K6307" s="246" t="str">
        <f t="shared" si="202"/>
        <v/>
      </c>
    </row>
    <row r="6308" spans="1:11" x14ac:dyDescent="0.2">
      <c r="A6308" s="242"/>
      <c r="F6308" s="285" t="str">
        <f t="shared" si="203"/>
        <v/>
      </c>
      <c r="K6308" s="246" t="str">
        <f t="shared" si="202"/>
        <v/>
      </c>
    </row>
    <row r="6309" spans="1:11" x14ac:dyDescent="0.2">
      <c r="A6309" s="242"/>
      <c r="F6309" s="285" t="str">
        <f t="shared" si="203"/>
        <v/>
      </c>
      <c r="K6309" s="246" t="str">
        <f t="shared" si="202"/>
        <v/>
      </c>
    </row>
    <row r="6310" spans="1:11" x14ac:dyDescent="0.2">
      <c r="A6310" s="242"/>
      <c r="F6310" s="285" t="str">
        <f t="shared" si="203"/>
        <v/>
      </c>
      <c r="K6310" s="246" t="str">
        <f t="shared" si="202"/>
        <v/>
      </c>
    </row>
    <row r="6311" spans="1:11" x14ac:dyDescent="0.2">
      <c r="A6311" s="242"/>
      <c r="F6311" s="285" t="str">
        <f t="shared" si="203"/>
        <v/>
      </c>
      <c r="K6311" s="246" t="str">
        <f t="shared" si="202"/>
        <v/>
      </c>
    </row>
    <row r="6312" spans="1:11" x14ac:dyDescent="0.2">
      <c r="A6312" s="242"/>
      <c r="F6312" s="285" t="str">
        <f t="shared" si="203"/>
        <v/>
      </c>
      <c r="K6312" s="246" t="str">
        <f t="shared" si="202"/>
        <v/>
      </c>
    </row>
    <row r="6313" spans="1:11" x14ac:dyDescent="0.2">
      <c r="A6313" s="242"/>
      <c r="F6313" s="285" t="str">
        <f t="shared" si="203"/>
        <v/>
      </c>
      <c r="K6313" s="246" t="str">
        <f t="shared" si="202"/>
        <v/>
      </c>
    </row>
    <row r="6314" spans="1:11" x14ac:dyDescent="0.2">
      <c r="A6314" s="242"/>
      <c r="F6314" s="285" t="str">
        <f t="shared" si="203"/>
        <v/>
      </c>
      <c r="K6314" s="246" t="str">
        <f t="shared" si="202"/>
        <v/>
      </c>
    </row>
    <row r="6315" spans="1:11" x14ac:dyDescent="0.2">
      <c r="A6315" s="242"/>
      <c r="F6315" s="285" t="str">
        <f t="shared" si="203"/>
        <v/>
      </c>
      <c r="K6315" s="246" t="str">
        <f t="shared" si="202"/>
        <v/>
      </c>
    </row>
    <row r="6316" spans="1:11" x14ac:dyDescent="0.2">
      <c r="A6316" s="242"/>
      <c r="F6316" s="285" t="str">
        <f t="shared" si="203"/>
        <v/>
      </c>
      <c r="K6316" s="246" t="str">
        <f t="shared" si="202"/>
        <v/>
      </c>
    </row>
    <row r="6317" spans="1:11" x14ac:dyDescent="0.2">
      <c r="A6317" s="242"/>
      <c r="F6317" s="285" t="str">
        <f t="shared" si="203"/>
        <v/>
      </c>
      <c r="K6317" s="246" t="str">
        <f t="shared" si="202"/>
        <v/>
      </c>
    </row>
    <row r="6318" spans="1:11" x14ac:dyDescent="0.2">
      <c r="A6318" s="242"/>
      <c r="F6318" s="285" t="str">
        <f t="shared" si="203"/>
        <v/>
      </c>
      <c r="K6318" s="246" t="str">
        <f t="shared" si="202"/>
        <v/>
      </c>
    </row>
    <row r="6319" spans="1:11" x14ac:dyDescent="0.2">
      <c r="A6319" s="242"/>
      <c r="F6319" s="285" t="str">
        <f t="shared" si="203"/>
        <v/>
      </c>
      <c r="K6319" s="246" t="str">
        <f t="shared" si="202"/>
        <v/>
      </c>
    </row>
    <row r="6320" spans="1:11" x14ac:dyDescent="0.2">
      <c r="A6320" s="242"/>
      <c r="F6320" s="285" t="str">
        <f t="shared" si="203"/>
        <v/>
      </c>
      <c r="K6320" s="246" t="str">
        <f t="shared" si="202"/>
        <v/>
      </c>
    </row>
    <row r="6321" spans="1:11" x14ac:dyDescent="0.2">
      <c r="A6321" s="242"/>
      <c r="F6321" s="285" t="str">
        <f t="shared" si="203"/>
        <v/>
      </c>
      <c r="K6321" s="246" t="str">
        <f t="shared" si="202"/>
        <v/>
      </c>
    </row>
    <row r="6322" spans="1:11" x14ac:dyDescent="0.2">
      <c r="A6322" s="242"/>
      <c r="F6322" s="285" t="str">
        <f t="shared" si="203"/>
        <v/>
      </c>
      <c r="K6322" s="246" t="str">
        <f t="shared" si="202"/>
        <v/>
      </c>
    </row>
    <row r="6323" spans="1:11" x14ac:dyDescent="0.2">
      <c r="A6323" s="242"/>
      <c r="F6323" s="285" t="str">
        <f t="shared" si="203"/>
        <v/>
      </c>
      <c r="K6323" s="246" t="str">
        <f t="shared" si="202"/>
        <v/>
      </c>
    </row>
    <row r="6324" spans="1:11" x14ac:dyDescent="0.2">
      <c r="A6324" s="242"/>
      <c r="F6324" s="285" t="str">
        <f t="shared" si="203"/>
        <v/>
      </c>
      <c r="K6324" s="246" t="str">
        <f t="shared" si="202"/>
        <v/>
      </c>
    </row>
    <row r="6325" spans="1:11" x14ac:dyDescent="0.2">
      <c r="A6325" s="242"/>
      <c r="F6325" s="285" t="str">
        <f t="shared" si="203"/>
        <v/>
      </c>
      <c r="K6325" s="246" t="str">
        <f t="shared" si="202"/>
        <v/>
      </c>
    </row>
    <row r="6326" spans="1:11" x14ac:dyDescent="0.2">
      <c r="A6326" s="242"/>
      <c r="F6326" s="285" t="str">
        <f t="shared" si="203"/>
        <v/>
      </c>
      <c r="K6326" s="246" t="str">
        <f t="shared" si="202"/>
        <v/>
      </c>
    </row>
    <row r="6327" spans="1:11" x14ac:dyDescent="0.2">
      <c r="A6327" s="242"/>
      <c r="F6327" s="285" t="str">
        <f t="shared" si="203"/>
        <v/>
      </c>
      <c r="K6327" s="246" t="str">
        <f t="shared" si="202"/>
        <v/>
      </c>
    </row>
    <row r="6328" spans="1:11" x14ac:dyDescent="0.2">
      <c r="A6328" s="242"/>
      <c r="F6328" s="285" t="str">
        <f t="shared" si="203"/>
        <v/>
      </c>
      <c r="K6328" s="246" t="str">
        <f t="shared" si="202"/>
        <v/>
      </c>
    </row>
    <row r="6329" spans="1:11" x14ac:dyDescent="0.2">
      <c r="A6329" s="242"/>
      <c r="F6329" s="285" t="str">
        <f t="shared" si="203"/>
        <v/>
      </c>
      <c r="K6329" s="246" t="str">
        <f t="shared" si="202"/>
        <v/>
      </c>
    </row>
    <row r="6330" spans="1:11" x14ac:dyDescent="0.2">
      <c r="A6330" s="242"/>
      <c r="F6330" s="285" t="str">
        <f t="shared" si="203"/>
        <v/>
      </c>
      <c r="K6330" s="246" t="str">
        <f t="shared" si="202"/>
        <v/>
      </c>
    </row>
    <row r="6331" spans="1:11" x14ac:dyDescent="0.2">
      <c r="A6331" s="242"/>
      <c r="F6331" s="285" t="str">
        <f t="shared" si="203"/>
        <v/>
      </c>
      <c r="K6331" s="246" t="str">
        <f t="shared" ref="K6331:K6394" si="204">IF(A6331="","",A6331)</f>
        <v/>
      </c>
    </row>
    <row r="6332" spans="1:11" x14ac:dyDescent="0.2">
      <c r="A6332" s="242"/>
      <c r="F6332" s="285" t="str">
        <f t="shared" si="203"/>
        <v/>
      </c>
      <c r="K6332" s="246" t="str">
        <f t="shared" si="204"/>
        <v/>
      </c>
    </row>
    <row r="6333" spans="1:11" x14ac:dyDescent="0.2">
      <c r="A6333" s="242"/>
      <c r="F6333" s="285" t="str">
        <f t="shared" si="203"/>
        <v/>
      </c>
      <c r="K6333" s="246" t="str">
        <f t="shared" si="204"/>
        <v/>
      </c>
    </row>
    <row r="6334" spans="1:11" x14ac:dyDescent="0.2">
      <c r="A6334" s="242"/>
      <c r="F6334" s="285" t="str">
        <f t="shared" si="203"/>
        <v/>
      </c>
      <c r="K6334" s="246" t="str">
        <f t="shared" si="204"/>
        <v/>
      </c>
    </row>
    <row r="6335" spans="1:11" x14ac:dyDescent="0.2">
      <c r="A6335" s="242"/>
      <c r="F6335" s="285" t="str">
        <f t="shared" si="203"/>
        <v/>
      </c>
      <c r="K6335" s="246" t="str">
        <f t="shared" si="204"/>
        <v/>
      </c>
    </row>
    <row r="6336" spans="1:11" x14ac:dyDescent="0.2">
      <c r="A6336" s="242"/>
      <c r="F6336" s="285" t="str">
        <f t="shared" si="203"/>
        <v/>
      </c>
      <c r="K6336" s="246" t="str">
        <f t="shared" si="204"/>
        <v/>
      </c>
    </row>
    <row r="6337" spans="1:11" x14ac:dyDescent="0.2">
      <c r="A6337" s="242"/>
      <c r="F6337" s="285" t="str">
        <f t="shared" si="203"/>
        <v/>
      </c>
      <c r="K6337" s="246" t="str">
        <f t="shared" si="204"/>
        <v/>
      </c>
    </row>
    <row r="6338" spans="1:11" x14ac:dyDescent="0.2">
      <c r="A6338" s="242"/>
      <c r="F6338" s="285" t="str">
        <f t="shared" si="203"/>
        <v/>
      </c>
      <c r="K6338" s="246" t="str">
        <f t="shared" si="204"/>
        <v/>
      </c>
    </row>
    <row r="6339" spans="1:11" x14ac:dyDescent="0.2">
      <c r="A6339" s="242"/>
      <c r="F6339" s="285" t="str">
        <f t="shared" si="203"/>
        <v/>
      </c>
      <c r="K6339" s="246" t="str">
        <f t="shared" si="204"/>
        <v/>
      </c>
    </row>
    <row r="6340" spans="1:11" x14ac:dyDescent="0.2">
      <c r="A6340" s="242"/>
      <c r="F6340" s="285" t="str">
        <f t="shared" si="203"/>
        <v/>
      </c>
      <c r="K6340" s="246" t="str">
        <f t="shared" si="204"/>
        <v/>
      </c>
    </row>
    <row r="6341" spans="1:11" x14ac:dyDescent="0.2">
      <c r="A6341" s="242"/>
      <c r="F6341" s="285" t="str">
        <f t="shared" ref="F6341:F6404" si="205">IF(A6341="","",A6341)</f>
        <v/>
      </c>
      <c r="K6341" s="246" t="str">
        <f t="shared" si="204"/>
        <v/>
      </c>
    </row>
    <row r="6342" spans="1:11" x14ac:dyDescent="0.2">
      <c r="A6342" s="242"/>
      <c r="F6342" s="285" t="str">
        <f t="shared" si="205"/>
        <v/>
      </c>
      <c r="K6342" s="246" t="str">
        <f t="shared" si="204"/>
        <v/>
      </c>
    </row>
    <row r="6343" spans="1:11" x14ac:dyDescent="0.2">
      <c r="A6343" s="242"/>
      <c r="F6343" s="285" t="str">
        <f t="shared" si="205"/>
        <v/>
      </c>
      <c r="K6343" s="246" t="str">
        <f t="shared" si="204"/>
        <v/>
      </c>
    </row>
    <row r="6344" spans="1:11" x14ac:dyDescent="0.2">
      <c r="A6344" s="242"/>
      <c r="F6344" s="285" t="str">
        <f t="shared" si="205"/>
        <v/>
      </c>
      <c r="K6344" s="246" t="str">
        <f t="shared" si="204"/>
        <v/>
      </c>
    </row>
    <row r="6345" spans="1:11" x14ac:dyDescent="0.2">
      <c r="A6345" s="242"/>
      <c r="F6345" s="285" t="str">
        <f t="shared" si="205"/>
        <v/>
      </c>
      <c r="K6345" s="246" t="str">
        <f t="shared" si="204"/>
        <v/>
      </c>
    </row>
    <row r="6346" spans="1:11" x14ac:dyDescent="0.2">
      <c r="A6346" s="242"/>
      <c r="F6346" s="285" t="str">
        <f t="shared" si="205"/>
        <v/>
      </c>
      <c r="K6346" s="246" t="str">
        <f t="shared" si="204"/>
        <v/>
      </c>
    </row>
    <row r="6347" spans="1:11" x14ac:dyDescent="0.2">
      <c r="A6347" s="242"/>
      <c r="F6347" s="285" t="str">
        <f t="shared" si="205"/>
        <v/>
      </c>
      <c r="K6347" s="246" t="str">
        <f t="shared" si="204"/>
        <v/>
      </c>
    </row>
    <row r="6348" spans="1:11" x14ac:dyDescent="0.2">
      <c r="A6348" s="242"/>
      <c r="F6348" s="285" t="str">
        <f t="shared" si="205"/>
        <v/>
      </c>
      <c r="K6348" s="246" t="str">
        <f t="shared" si="204"/>
        <v/>
      </c>
    </row>
    <row r="6349" spans="1:11" x14ac:dyDescent="0.2">
      <c r="A6349" s="242"/>
      <c r="F6349" s="285" t="str">
        <f t="shared" si="205"/>
        <v/>
      </c>
      <c r="K6349" s="246" t="str">
        <f t="shared" si="204"/>
        <v/>
      </c>
    </row>
    <row r="6350" spans="1:11" x14ac:dyDescent="0.2">
      <c r="A6350" s="242"/>
      <c r="F6350" s="285" t="str">
        <f t="shared" si="205"/>
        <v/>
      </c>
      <c r="K6350" s="246" t="str">
        <f t="shared" si="204"/>
        <v/>
      </c>
    </row>
    <row r="6351" spans="1:11" x14ac:dyDescent="0.2">
      <c r="A6351" s="242"/>
      <c r="F6351" s="285" t="str">
        <f t="shared" si="205"/>
        <v/>
      </c>
      <c r="K6351" s="246" t="str">
        <f t="shared" si="204"/>
        <v/>
      </c>
    </row>
    <row r="6352" spans="1:11" x14ac:dyDescent="0.2">
      <c r="A6352" s="242"/>
      <c r="F6352" s="285" t="str">
        <f t="shared" si="205"/>
        <v/>
      </c>
      <c r="K6352" s="246" t="str">
        <f t="shared" si="204"/>
        <v/>
      </c>
    </row>
    <row r="6353" spans="1:11" x14ac:dyDescent="0.2">
      <c r="A6353" s="242"/>
      <c r="F6353" s="285" t="str">
        <f t="shared" si="205"/>
        <v/>
      </c>
      <c r="K6353" s="246" t="str">
        <f t="shared" si="204"/>
        <v/>
      </c>
    </row>
    <row r="6354" spans="1:11" x14ac:dyDescent="0.2">
      <c r="A6354" s="242"/>
      <c r="F6354" s="285" t="str">
        <f t="shared" si="205"/>
        <v/>
      </c>
      <c r="K6354" s="246" t="str">
        <f t="shared" si="204"/>
        <v/>
      </c>
    </row>
    <row r="6355" spans="1:11" x14ac:dyDescent="0.2">
      <c r="A6355" s="242"/>
      <c r="F6355" s="285" t="str">
        <f t="shared" si="205"/>
        <v/>
      </c>
      <c r="K6355" s="246" t="str">
        <f t="shared" si="204"/>
        <v/>
      </c>
    </row>
    <row r="6356" spans="1:11" x14ac:dyDescent="0.2">
      <c r="A6356" s="242"/>
      <c r="F6356" s="285" t="str">
        <f t="shared" si="205"/>
        <v/>
      </c>
      <c r="K6356" s="246" t="str">
        <f t="shared" si="204"/>
        <v/>
      </c>
    </row>
    <row r="6357" spans="1:11" x14ac:dyDescent="0.2">
      <c r="A6357" s="242"/>
      <c r="F6357" s="285" t="str">
        <f t="shared" si="205"/>
        <v/>
      </c>
      <c r="K6357" s="246" t="str">
        <f t="shared" si="204"/>
        <v/>
      </c>
    </row>
    <row r="6358" spans="1:11" x14ac:dyDescent="0.2">
      <c r="A6358" s="242"/>
      <c r="F6358" s="285" t="str">
        <f t="shared" si="205"/>
        <v/>
      </c>
      <c r="K6358" s="246" t="str">
        <f t="shared" si="204"/>
        <v/>
      </c>
    </row>
    <row r="6359" spans="1:11" x14ac:dyDescent="0.2">
      <c r="A6359" s="242"/>
      <c r="F6359" s="285" t="str">
        <f t="shared" si="205"/>
        <v/>
      </c>
      <c r="K6359" s="246" t="str">
        <f t="shared" si="204"/>
        <v/>
      </c>
    </row>
    <row r="6360" spans="1:11" x14ac:dyDescent="0.2">
      <c r="A6360" s="242"/>
      <c r="F6360" s="285" t="str">
        <f t="shared" si="205"/>
        <v/>
      </c>
      <c r="K6360" s="246" t="str">
        <f t="shared" si="204"/>
        <v/>
      </c>
    </row>
    <row r="6361" spans="1:11" x14ac:dyDescent="0.2">
      <c r="A6361" s="242"/>
      <c r="F6361" s="285" t="str">
        <f t="shared" si="205"/>
        <v/>
      </c>
      <c r="K6361" s="246" t="str">
        <f t="shared" si="204"/>
        <v/>
      </c>
    </row>
    <row r="6362" spans="1:11" x14ac:dyDescent="0.2">
      <c r="A6362" s="242"/>
      <c r="F6362" s="285" t="str">
        <f t="shared" si="205"/>
        <v/>
      </c>
      <c r="K6362" s="246" t="str">
        <f t="shared" si="204"/>
        <v/>
      </c>
    </row>
    <row r="6363" spans="1:11" x14ac:dyDescent="0.2">
      <c r="A6363" s="242"/>
      <c r="F6363" s="285" t="str">
        <f t="shared" si="205"/>
        <v/>
      </c>
      <c r="K6363" s="246" t="str">
        <f t="shared" si="204"/>
        <v/>
      </c>
    </row>
    <row r="6364" spans="1:11" x14ac:dyDescent="0.2">
      <c r="A6364" s="242"/>
      <c r="F6364" s="285" t="str">
        <f t="shared" si="205"/>
        <v/>
      </c>
      <c r="K6364" s="246" t="str">
        <f t="shared" si="204"/>
        <v/>
      </c>
    </row>
    <row r="6365" spans="1:11" x14ac:dyDescent="0.2">
      <c r="A6365" s="242"/>
      <c r="F6365" s="285" t="str">
        <f t="shared" si="205"/>
        <v/>
      </c>
      <c r="K6365" s="246" t="str">
        <f t="shared" si="204"/>
        <v/>
      </c>
    </row>
    <row r="6366" spans="1:11" x14ac:dyDescent="0.2">
      <c r="A6366" s="242"/>
      <c r="F6366" s="285" t="str">
        <f t="shared" si="205"/>
        <v/>
      </c>
      <c r="K6366" s="246" t="str">
        <f t="shared" si="204"/>
        <v/>
      </c>
    </row>
    <row r="6367" spans="1:11" x14ac:dyDescent="0.2">
      <c r="A6367" s="242"/>
      <c r="F6367" s="285" t="str">
        <f t="shared" si="205"/>
        <v/>
      </c>
      <c r="K6367" s="246" t="str">
        <f t="shared" si="204"/>
        <v/>
      </c>
    </row>
    <row r="6368" spans="1:11" x14ac:dyDescent="0.2">
      <c r="A6368" s="242"/>
      <c r="F6368" s="285" t="str">
        <f t="shared" si="205"/>
        <v/>
      </c>
      <c r="K6368" s="246" t="str">
        <f t="shared" si="204"/>
        <v/>
      </c>
    </row>
    <row r="6369" spans="1:11" x14ac:dyDescent="0.2">
      <c r="A6369" s="242"/>
      <c r="F6369" s="285" t="str">
        <f t="shared" si="205"/>
        <v/>
      </c>
      <c r="K6369" s="246" t="str">
        <f t="shared" si="204"/>
        <v/>
      </c>
    </row>
    <row r="6370" spans="1:11" x14ac:dyDescent="0.2">
      <c r="A6370" s="242"/>
      <c r="F6370" s="285" t="str">
        <f t="shared" si="205"/>
        <v/>
      </c>
      <c r="K6370" s="246" t="str">
        <f t="shared" si="204"/>
        <v/>
      </c>
    </row>
    <row r="6371" spans="1:11" x14ac:dyDescent="0.2">
      <c r="A6371" s="242"/>
      <c r="F6371" s="285" t="str">
        <f t="shared" si="205"/>
        <v/>
      </c>
      <c r="K6371" s="246" t="str">
        <f t="shared" si="204"/>
        <v/>
      </c>
    </row>
    <row r="6372" spans="1:11" x14ac:dyDescent="0.2">
      <c r="A6372" s="242"/>
      <c r="F6372" s="285" t="str">
        <f t="shared" si="205"/>
        <v/>
      </c>
      <c r="K6372" s="246" t="str">
        <f t="shared" si="204"/>
        <v/>
      </c>
    </row>
    <row r="6373" spans="1:11" x14ac:dyDescent="0.2">
      <c r="A6373" s="242"/>
      <c r="F6373" s="285" t="str">
        <f t="shared" si="205"/>
        <v/>
      </c>
      <c r="K6373" s="246" t="str">
        <f t="shared" si="204"/>
        <v/>
      </c>
    </row>
    <row r="6374" spans="1:11" x14ac:dyDescent="0.2">
      <c r="A6374" s="242"/>
      <c r="F6374" s="285" t="str">
        <f t="shared" si="205"/>
        <v/>
      </c>
      <c r="K6374" s="246" t="str">
        <f t="shared" si="204"/>
        <v/>
      </c>
    </row>
    <row r="6375" spans="1:11" x14ac:dyDescent="0.2">
      <c r="A6375" s="242"/>
      <c r="F6375" s="285" t="str">
        <f t="shared" si="205"/>
        <v/>
      </c>
      <c r="K6375" s="246" t="str">
        <f t="shared" si="204"/>
        <v/>
      </c>
    </row>
    <row r="6376" spans="1:11" x14ac:dyDescent="0.2">
      <c r="A6376" s="242"/>
      <c r="F6376" s="285" t="str">
        <f t="shared" si="205"/>
        <v/>
      </c>
      <c r="K6376" s="246" t="str">
        <f t="shared" si="204"/>
        <v/>
      </c>
    </row>
    <row r="6377" spans="1:11" x14ac:dyDescent="0.2">
      <c r="A6377" s="242"/>
      <c r="F6377" s="285" t="str">
        <f t="shared" si="205"/>
        <v/>
      </c>
      <c r="K6377" s="246" t="str">
        <f t="shared" si="204"/>
        <v/>
      </c>
    </row>
    <row r="6378" spans="1:11" x14ac:dyDescent="0.2">
      <c r="A6378" s="242"/>
      <c r="F6378" s="285" t="str">
        <f t="shared" si="205"/>
        <v/>
      </c>
      <c r="K6378" s="246" t="str">
        <f t="shared" si="204"/>
        <v/>
      </c>
    </row>
    <row r="6379" spans="1:11" x14ac:dyDescent="0.2">
      <c r="A6379" s="242"/>
      <c r="F6379" s="285" t="str">
        <f t="shared" si="205"/>
        <v/>
      </c>
      <c r="K6379" s="246" t="str">
        <f t="shared" si="204"/>
        <v/>
      </c>
    </row>
    <row r="6380" spans="1:11" x14ac:dyDescent="0.2">
      <c r="A6380" s="242"/>
      <c r="F6380" s="285" t="str">
        <f t="shared" si="205"/>
        <v/>
      </c>
      <c r="K6380" s="246" t="str">
        <f t="shared" si="204"/>
        <v/>
      </c>
    </row>
    <row r="6381" spans="1:11" x14ac:dyDescent="0.2">
      <c r="A6381" s="242"/>
      <c r="F6381" s="285" t="str">
        <f t="shared" si="205"/>
        <v/>
      </c>
      <c r="K6381" s="246" t="str">
        <f t="shared" si="204"/>
        <v/>
      </c>
    </row>
    <row r="6382" spans="1:11" x14ac:dyDescent="0.2">
      <c r="A6382" s="242"/>
      <c r="F6382" s="285" t="str">
        <f t="shared" si="205"/>
        <v/>
      </c>
      <c r="K6382" s="246" t="str">
        <f t="shared" si="204"/>
        <v/>
      </c>
    </row>
    <row r="6383" spans="1:11" x14ac:dyDescent="0.2">
      <c r="A6383" s="242"/>
      <c r="F6383" s="285" t="str">
        <f t="shared" si="205"/>
        <v/>
      </c>
      <c r="K6383" s="246" t="str">
        <f t="shared" si="204"/>
        <v/>
      </c>
    </row>
    <row r="6384" spans="1:11" x14ac:dyDescent="0.2">
      <c r="A6384" s="242"/>
      <c r="F6384" s="285" t="str">
        <f t="shared" si="205"/>
        <v/>
      </c>
      <c r="K6384" s="246" t="str">
        <f t="shared" si="204"/>
        <v/>
      </c>
    </row>
    <row r="6385" spans="1:11" x14ac:dyDescent="0.2">
      <c r="A6385" s="242"/>
      <c r="F6385" s="285" t="str">
        <f t="shared" si="205"/>
        <v/>
      </c>
      <c r="K6385" s="246" t="str">
        <f t="shared" si="204"/>
        <v/>
      </c>
    </row>
    <row r="6386" spans="1:11" x14ac:dyDescent="0.2">
      <c r="A6386" s="242"/>
      <c r="F6386" s="285" t="str">
        <f t="shared" si="205"/>
        <v/>
      </c>
      <c r="K6386" s="246" t="str">
        <f t="shared" si="204"/>
        <v/>
      </c>
    </row>
    <row r="6387" spans="1:11" x14ac:dyDescent="0.2">
      <c r="A6387" s="242"/>
      <c r="F6387" s="285" t="str">
        <f t="shared" si="205"/>
        <v/>
      </c>
      <c r="K6387" s="246" t="str">
        <f t="shared" si="204"/>
        <v/>
      </c>
    </row>
    <row r="6388" spans="1:11" x14ac:dyDescent="0.2">
      <c r="A6388" s="242"/>
      <c r="F6388" s="285" t="str">
        <f t="shared" si="205"/>
        <v/>
      </c>
      <c r="K6388" s="246" t="str">
        <f t="shared" si="204"/>
        <v/>
      </c>
    </row>
    <row r="6389" spans="1:11" x14ac:dyDescent="0.2">
      <c r="A6389" s="242"/>
      <c r="F6389" s="285" t="str">
        <f t="shared" si="205"/>
        <v/>
      </c>
      <c r="K6389" s="246" t="str">
        <f t="shared" si="204"/>
        <v/>
      </c>
    </row>
    <row r="6390" spans="1:11" x14ac:dyDescent="0.2">
      <c r="A6390" s="242"/>
      <c r="F6390" s="285" t="str">
        <f t="shared" si="205"/>
        <v/>
      </c>
      <c r="K6390" s="246" t="str">
        <f t="shared" si="204"/>
        <v/>
      </c>
    </row>
    <row r="6391" spans="1:11" x14ac:dyDescent="0.2">
      <c r="A6391" s="242"/>
      <c r="F6391" s="285" t="str">
        <f t="shared" si="205"/>
        <v/>
      </c>
      <c r="K6391" s="246" t="str">
        <f t="shared" si="204"/>
        <v/>
      </c>
    </row>
    <row r="6392" spans="1:11" x14ac:dyDescent="0.2">
      <c r="A6392" s="242"/>
      <c r="F6392" s="285" t="str">
        <f t="shared" si="205"/>
        <v/>
      </c>
      <c r="K6392" s="246" t="str">
        <f t="shared" si="204"/>
        <v/>
      </c>
    </row>
    <row r="6393" spans="1:11" x14ac:dyDescent="0.2">
      <c r="A6393" s="242"/>
      <c r="F6393" s="285" t="str">
        <f t="shared" si="205"/>
        <v/>
      </c>
      <c r="K6393" s="246" t="str">
        <f t="shared" si="204"/>
        <v/>
      </c>
    </row>
    <row r="6394" spans="1:11" x14ac:dyDescent="0.2">
      <c r="A6394" s="242"/>
      <c r="F6394" s="285" t="str">
        <f t="shared" si="205"/>
        <v/>
      </c>
      <c r="K6394" s="246" t="str">
        <f t="shared" si="204"/>
        <v/>
      </c>
    </row>
    <row r="6395" spans="1:11" x14ac:dyDescent="0.2">
      <c r="A6395" s="242"/>
      <c r="F6395" s="285" t="str">
        <f t="shared" si="205"/>
        <v/>
      </c>
      <c r="K6395" s="246" t="str">
        <f t="shared" ref="K6395:K6458" si="206">IF(A6395="","",A6395)</f>
        <v/>
      </c>
    </row>
    <row r="6396" spans="1:11" x14ac:dyDescent="0.2">
      <c r="A6396" s="242"/>
      <c r="F6396" s="285" t="str">
        <f t="shared" si="205"/>
        <v/>
      </c>
      <c r="K6396" s="246" t="str">
        <f t="shared" si="206"/>
        <v/>
      </c>
    </row>
    <row r="6397" spans="1:11" x14ac:dyDescent="0.2">
      <c r="A6397" s="242"/>
      <c r="F6397" s="285" t="str">
        <f t="shared" si="205"/>
        <v/>
      </c>
      <c r="K6397" s="246" t="str">
        <f t="shared" si="206"/>
        <v/>
      </c>
    </row>
    <row r="6398" spans="1:11" x14ac:dyDescent="0.2">
      <c r="A6398" s="242"/>
      <c r="F6398" s="285" t="str">
        <f t="shared" si="205"/>
        <v/>
      </c>
      <c r="K6398" s="246" t="str">
        <f t="shared" si="206"/>
        <v/>
      </c>
    </row>
    <row r="6399" spans="1:11" x14ac:dyDescent="0.2">
      <c r="A6399" s="242"/>
      <c r="F6399" s="285" t="str">
        <f t="shared" si="205"/>
        <v/>
      </c>
      <c r="K6399" s="246" t="str">
        <f t="shared" si="206"/>
        <v/>
      </c>
    </row>
    <row r="6400" spans="1:11" x14ac:dyDescent="0.2">
      <c r="A6400" s="242"/>
      <c r="F6400" s="285" t="str">
        <f t="shared" si="205"/>
        <v/>
      </c>
      <c r="K6400" s="246" t="str">
        <f t="shared" si="206"/>
        <v/>
      </c>
    </row>
    <row r="6401" spans="1:11" x14ac:dyDescent="0.2">
      <c r="A6401" s="242"/>
      <c r="F6401" s="285" t="str">
        <f t="shared" si="205"/>
        <v/>
      </c>
      <c r="K6401" s="246" t="str">
        <f t="shared" si="206"/>
        <v/>
      </c>
    </row>
    <row r="6402" spans="1:11" x14ac:dyDescent="0.2">
      <c r="A6402" s="242"/>
      <c r="F6402" s="285" t="str">
        <f t="shared" si="205"/>
        <v/>
      </c>
      <c r="K6402" s="246" t="str">
        <f t="shared" si="206"/>
        <v/>
      </c>
    </row>
    <row r="6403" spans="1:11" x14ac:dyDescent="0.2">
      <c r="A6403" s="242"/>
      <c r="F6403" s="285" t="str">
        <f t="shared" si="205"/>
        <v/>
      </c>
      <c r="K6403" s="246" t="str">
        <f t="shared" si="206"/>
        <v/>
      </c>
    </row>
    <row r="6404" spans="1:11" x14ac:dyDescent="0.2">
      <c r="A6404" s="242"/>
      <c r="F6404" s="285" t="str">
        <f t="shared" si="205"/>
        <v/>
      </c>
      <c r="K6404" s="246" t="str">
        <f t="shared" si="206"/>
        <v/>
      </c>
    </row>
    <row r="6405" spans="1:11" x14ac:dyDescent="0.2">
      <c r="A6405" s="242"/>
      <c r="F6405" s="285" t="str">
        <f t="shared" ref="F6405:F6468" si="207">IF(A6405="","",A6405)</f>
        <v/>
      </c>
      <c r="K6405" s="246" t="str">
        <f t="shared" si="206"/>
        <v/>
      </c>
    </row>
    <row r="6406" spans="1:11" x14ac:dyDescent="0.2">
      <c r="A6406" s="242"/>
      <c r="F6406" s="285" t="str">
        <f t="shared" si="207"/>
        <v/>
      </c>
      <c r="K6406" s="246" t="str">
        <f t="shared" si="206"/>
        <v/>
      </c>
    </row>
    <row r="6407" spans="1:11" x14ac:dyDescent="0.2">
      <c r="A6407" s="242"/>
      <c r="F6407" s="285" t="str">
        <f t="shared" si="207"/>
        <v/>
      </c>
      <c r="K6407" s="246" t="str">
        <f t="shared" si="206"/>
        <v/>
      </c>
    </row>
    <row r="6408" spans="1:11" x14ac:dyDescent="0.2">
      <c r="A6408" s="242"/>
      <c r="F6408" s="285" t="str">
        <f t="shared" si="207"/>
        <v/>
      </c>
      <c r="K6408" s="246" t="str">
        <f t="shared" si="206"/>
        <v/>
      </c>
    </row>
    <row r="6409" spans="1:11" x14ac:dyDescent="0.2">
      <c r="A6409" s="242"/>
      <c r="F6409" s="285" t="str">
        <f t="shared" si="207"/>
        <v/>
      </c>
      <c r="K6409" s="246" t="str">
        <f t="shared" si="206"/>
        <v/>
      </c>
    </row>
    <row r="6410" spans="1:11" x14ac:dyDescent="0.2">
      <c r="A6410" s="242"/>
      <c r="F6410" s="285" t="str">
        <f t="shared" si="207"/>
        <v/>
      </c>
      <c r="K6410" s="246" t="str">
        <f t="shared" si="206"/>
        <v/>
      </c>
    </row>
    <row r="6411" spans="1:11" x14ac:dyDescent="0.2">
      <c r="A6411" s="242"/>
      <c r="F6411" s="285" t="str">
        <f t="shared" si="207"/>
        <v/>
      </c>
      <c r="K6411" s="246" t="str">
        <f t="shared" si="206"/>
        <v/>
      </c>
    </row>
    <row r="6412" spans="1:11" x14ac:dyDescent="0.2">
      <c r="A6412" s="242"/>
      <c r="F6412" s="285" t="str">
        <f t="shared" si="207"/>
        <v/>
      </c>
      <c r="K6412" s="246" t="str">
        <f t="shared" si="206"/>
        <v/>
      </c>
    </row>
    <row r="6413" spans="1:11" x14ac:dyDescent="0.2">
      <c r="A6413" s="242"/>
      <c r="F6413" s="285" t="str">
        <f t="shared" si="207"/>
        <v/>
      </c>
      <c r="K6413" s="246" t="str">
        <f t="shared" si="206"/>
        <v/>
      </c>
    </row>
    <row r="6414" spans="1:11" x14ac:dyDescent="0.2">
      <c r="A6414" s="242"/>
      <c r="F6414" s="285" t="str">
        <f t="shared" si="207"/>
        <v/>
      </c>
      <c r="K6414" s="246" t="str">
        <f t="shared" si="206"/>
        <v/>
      </c>
    </row>
    <row r="6415" spans="1:11" x14ac:dyDescent="0.2">
      <c r="A6415" s="242"/>
      <c r="F6415" s="285" t="str">
        <f t="shared" si="207"/>
        <v/>
      </c>
      <c r="K6415" s="246" t="str">
        <f t="shared" si="206"/>
        <v/>
      </c>
    </row>
    <row r="6416" spans="1:11" x14ac:dyDescent="0.2">
      <c r="A6416" s="242"/>
      <c r="F6416" s="285" t="str">
        <f t="shared" si="207"/>
        <v/>
      </c>
      <c r="K6416" s="246" t="str">
        <f t="shared" si="206"/>
        <v/>
      </c>
    </row>
    <row r="6417" spans="1:11" x14ac:dyDescent="0.2">
      <c r="A6417" s="242"/>
      <c r="F6417" s="285" t="str">
        <f t="shared" si="207"/>
        <v/>
      </c>
      <c r="K6417" s="246" t="str">
        <f t="shared" si="206"/>
        <v/>
      </c>
    </row>
    <row r="6418" spans="1:11" x14ac:dyDescent="0.2">
      <c r="A6418" s="242"/>
      <c r="F6418" s="285" t="str">
        <f t="shared" si="207"/>
        <v/>
      </c>
      <c r="K6418" s="246" t="str">
        <f t="shared" si="206"/>
        <v/>
      </c>
    </row>
    <row r="6419" spans="1:11" x14ac:dyDescent="0.2">
      <c r="A6419" s="242"/>
      <c r="F6419" s="285" t="str">
        <f t="shared" si="207"/>
        <v/>
      </c>
      <c r="K6419" s="246" t="str">
        <f t="shared" si="206"/>
        <v/>
      </c>
    </row>
    <row r="6420" spans="1:11" x14ac:dyDescent="0.2">
      <c r="A6420" s="242"/>
      <c r="F6420" s="285" t="str">
        <f t="shared" si="207"/>
        <v/>
      </c>
      <c r="K6420" s="246" t="str">
        <f t="shared" si="206"/>
        <v/>
      </c>
    </row>
    <row r="6421" spans="1:11" x14ac:dyDescent="0.2">
      <c r="A6421" s="242"/>
      <c r="F6421" s="285" t="str">
        <f t="shared" si="207"/>
        <v/>
      </c>
      <c r="K6421" s="246" t="str">
        <f t="shared" si="206"/>
        <v/>
      </c>
    </row>
    <row r="6422" spans="1:11" x14ac:dyDescent="0.2">
      <c r="A6422" s="242"/>
      <c r="F6422" s="285" t="str">
        <f t="shared" si="207"/>
        <v/>
      </c>
      <c r="K6422" s="246" t="str">
        <f t="shared" si="206"/>
        <v/>
      </c>
    </row>
    <row r="6423" spans="1:11" x14ac:dyDescent="0.2">
      <c r="A6423" s="242"/>
      <c r="F6423" s="285" t="str">
        <f t="shared" si="207"/>
        <v/>
      </c>
      <c r="K6423" s="246" t="str">
        <f t="shared" si="206"/>
        <v/>
      </c>
    </row>
    <row r="6424" spans="1:11" x14ac:dyDescent="0.2">
      <c r="A6424" s="242"/>
      <c r="F6424" s="285" t="str">
        <f t="shared" si="207"/>
        <v/>
      </c>
      <c r="K6424" s="246" t="str">
        <f t="shared" si="206"/>
        <v/>
      </c>
    </row>
    <row r="6425" spans="1:11" x14ac:dyDescent="0.2">
      <c r="A6425" s="242"/>
      <c r="F6425" s="285" t="str">
        <f t="shared" si="207"/>
        <v/>
      </c>
      <c r="K6425" s="246" t="str">
        <f t="shared" si="206"/>
        <v/>
      </c>
    </row>
    <row r="6426" spans="1:11" x14ac:dyDescent="0.2">
      <c r="A6426" s="242"/>
      <c r="F6426" s="285" t="str">
        <f t="shared" si="207"/>
        <v/>
      </c>
      <c r="K6426" s="246" t="str">
        <f t="shared" si="206"/>
        <v/>
      </c>
    </row>
    <row r="6427" spans="1:11" x14ac:dyDescent="0.2">
      <c r="A6427" s="242"/>
      <c r="F6427" s="285" t="str">
        <f t="shared" si="207"/>
        <v/>
      </c>
      <c r="K6427" s="246" t="str">
        <f t="shared" si="206"/>
        <v/>
      </c>
    </row>
    <row r="6428" spans="1:11" x14ac:dyDescent="0.2">
      <c r="A6428" s="242"/>
      <c r="F6428" s="285" t="str">
        <f t="shared" si="207"/>
        <v/>
      </c>
      <c r="K6428" s="246" t="str">
        <f t="shared" si="206"/>
        <v/>
      </c>
    </row>
    <row r="6429" spans="1:11" x14ac:dyDescent="0.2">
      <c r="A6429" s="242"/>
      <c r="F6429" s="285" t="str">
        <f t="shared" si="207"/>
        <v/>
      </c>
      <c r="K6429" s="246" t="str">
        <f t="shared" si="206"/>
        <v/>
      </c>
    </row>
    <row r="6430" spans="1:11" x14ac:dyDescent="0.2">
      <c r="A6430" s="242"/>
      <c r="F6430" s="285" t="str">
        <f t="shared" si="207"/>
        <v/>
      </c>
      <c r="K6430" s="246" t="str">
        <f t="shared" si="206"/>
        <v/>
      </c>
    </row>
    <row r="6431" spans="1:11" x14ac:dyDescent="0.2">
      <c r="A6431" s="242"/>
      <c r="F6431" s="285" t="str">
        <f t="shared" si="207"/>
        <v/>
      </c>
      <c r="K6431" s="246" t="str">
        <f t="shared" si="206"/>
        <v/>
      </c>
    </row>
    <row r="6432" spans="1:11" x14ac:dyDescent="0.2">
      <c r="A6432" s="242"/>
      <c r="F6432" s="285" t="str">
        <f t="shared" si="207"/>
        <v/>
      </c>
      <c r="K6432" s="246" t="str">
        <f t="shared" si="206"/>
        <v/>
      </c>
    </row>
    <row r="6433" spans="1:11" x14ac:dyDescent="0.2">
      <c r="A6433" s="242"/>
      <c r="F6433" s="285" t="str">
        <f t="shared" si="207"/>
        <v/>
      </c>
      <c r="K6433" s="246" t="str">
        <f t="shared" si="206"/>
        <v/>
      </c>
    </row>
    <row r="6434" spans="1:11" x14ac:dyDescent="0.2">
      <c r="A6434" s="242"/>
      <c r="F6434" s="285" t="str">
        <f t="shared" si="207"/>
        <v/>
      </c>
      <c r="K6434" s="246" t="str">
        <f t="shared" si="206"/>
        <v/>
      </c>
    </row>
    <row r="6435" spans="1:11" x14ac:dyDescent="0.2">
      <c r="A6435" s="242"/>
      <c r="F6435" s="285" t="str">
        <f t="shared" si="207"/>
        <v/>
      </c>
      <c r="K6435" s="246" t="str">
        <f t="shared" si="206"/>
        <v/>
      </c>
    </row>
    <row r="6436" spans="1:11" x14ac:dyDescent="0.2">
      <c r="A6436" s="242"/>
      <c r="F6436" s="285" t="str">
        <f t="shared" si="207"/>
        <v/>
      </c>
      <c r="K6436" s="246" t="str">
        <f t="shared" si="206"/>
        <v/>
      </c>
    </row>
    <row r="6437" spans="1:11" x14ac:dyDescent="0.2">
      <c r="A6437" s="242"/>
      <c r="F6437" s="285" t="str">
        <f t="shared" si="207"/>
        <v/>
      </c>
      <c r="K6437" s="246" t="str">
        <f t="shared" si="206"/>
        <v/>
      </c>
    </row>
    <row r="6438" spans="1:11" x14ac:dyDescent="0.2">
      <c r="A6438" s="242"/>
      <c r="F6438" s="285" t="str">
        <f t="shared" si="207"/>
        <v/>
      </c>
      <c r="K6438" s="246" t="str">
        <f t="shared" si="206"/>
        <v/>
      </c>
    </row>
    <row r="6439" spans="1:11" x14ac:dyDescent="0.2">
      <c r="A6439" s="242"/>
      <c r="F6439" s="285" t="str">
        <f t="shared" si="207"/>
        <v/>
      </c>
      <c r="K6439" s="246" t="str">
        <f t="shared" si="206"/>
        <v/>
      </c>
    </row>
    <row r="6440" spans="1:11" x14ac:dyDescent="0.2">
      <c r="A6440" s="242"/>
      <c r="F6440" s="285" t="str">
        <f t="shared" si="207"/>
        <v/>
      </c>
      <c r="K6440" s="246" t="str">
        <f t="shared" si="206"/>
        <v/>
      </c>
    </row>
    <row r="6441" spans="1:11" x14ac:dyDescent="0.2">
      <c r="A6441" s="242"/>
      <c r="F6441" s="285" t="str">
        <f t="shared" si="207"/>
        <v/>
      </c>
      <c r="K6441" s="246" t="str">
        <f t="shared" si="206"/>
        <v/>
      </c>
    </row>
    <row r="6442" spans="1:11" x14ac:dyDescent="0.2">
      <c r="A6442" s="242"/>
      <c r="F6442" s="285" t="str">
        <f t="shared" si="207"/>
        <v/>
      </c>
      <c r="K6442" s="246" t="str">
        <f t="shared" si="206"/>
        <v/>
      </c>
    </row>
    <row r="6443" spans="1:11" x14ac:dyDescent="0.2">
      <c r="A6443" s="242"/>
      <c r="F6443" s="285" t="str">
        <f t="shared" si="207"/>
        <v/>
      </c>
      <c r="K6443" s="246" t="str">
        <f t="shared" si="206"/>
        <v/>
      </c>
    </row>
    <row r="6444" spans="1:11" x14ac:dyDescent="0.2">
      <c r="A6444" s="242"/>
      <c r="F6444" s="285" t="str">
        <f t="shared" si="207"/>
        <v/>
      </c>
      <c r="K6444" s="246" t="str">
        <f t="shared" si="206"/>
        <v/>
      </c>
    </row>
    <row r="6445" spans="1:11" x14ac:dyDescent="0.2">
      <c r="A6445" s="242"/>
      <c r="F6445" s="285" t="str">
        <f t="shared" si="207"/>
        <v/>
      </c>
      <c r="K6445" s="246" t="str">
        <f t="shared" si="206"/>
        <v/>
      </c>
    </row>
    <row r="6446" spans="1:11" x14ac:dyDescent="0.2">
      <c r="A6446" s="242"/>
      <c r="F6446" s="285" t="str">
        <f t="shared" si="207"/>
        <v/>
      </c>
      <c r="K6446" s="246" t="str">
        <f t="shared" si="206"/>
        <v/>
      </c>
    </row>
    <row r="6447" spans="1:11" x14ac:dyDescent="0.2">
      <c r="A6447" s="242"/>
      <c r="F6447" s="285" t="str">
        <f t="shared" si="207"/>
        <v/>
      </c>
      <c r="K6447" s="246" t="str">
        <f t="shared" si="206"/>
        <v/>
      </c>
    </row>
    <row r="6448" spans="1:11" x14ac:dyDescent="0.2">
      <c r="A6448" s="242"/>
      <c r="F6448" s="285" t="str">
        <f t="shared" si="207"/>
        <v/>
      </c>
      <c r="K6448" s="246" t="str">
        <f t="shared" si="206"/>
        <v/>
      </c>
    </row>
    <row r="6449" spans="1:11" x14ac:dyDescent="0.2">
      <c r="A6449" s="242"/>
      <c r="F6449" s="285" t="str">
        <f t="shared" si="207"/>
        <v/>
      </c>
      <c r="K6449" s="246" t="str">
        <f t="shared" si="206"/>
        <v/>
      </c>
    </row>
    <row r="6450" spans="1:11" x14ac:dyDescent="0.2">
      <c r="A6450" s="242"/>
      <c r="F6450" s="285" t="str">
        <f t="shared" si="207"/>
        <v/>
      </c>
      <c r="K6450" s="246" t="str">
        <f t="shared" si="206"/>
        <v/>
      </c>
    </row>
    <row r="6451" spans="1:11" x14ac:dyDescent="0.2">
      <c r="A6451" s="242"/>
      <c r="F6451" s="285" t="str">
        <f t="shared" si="207"/>
        <v/>
      </c>
      <c r="K6451" s="246" t="str">
        <f t="shared" si="206"/>
        <v/>
      </c>
    </row>
    <row r="6452" spans="1:11" x14ac:dyDescent="0.2">
      <c r="A6452" s="242"/>
      <c r="F6452" s="285" t="str">
        <f t="shared" si="207"/>
        <v/>
      </c>
      <c r="K6452" s="246" t="str">
        <f t="shared" si="206"/>
        <v/>
      </c>
    </row>
    <row r="6453" spans="1:11" x14ac:dyDescent="0.2">
      <c r="A6453" s="242"/>
      <c r="F6453" s="285" t="str">
        <f t="shared" si="207"/>
        <v/>
      </c>
      <c r="K6453" s="246" t="str">
        <f t="shared" si="206"/>
        <v/>
      </c>
    </row>
    <row r="6454" spans="1:11" x14ac:dyDescent="0.2">
      <c r="A6454" s="242"/>
      <c r="F6454" s="285" t="str">
        <f t="shared" si="207"/>
        <v/>
      </c>
      <c r="K6454" s="246" t="str">
        <f t="shared" si="206"/>
        <v/>
      </c>
    </row>
    <row r="6455" spans="1:11" x14ac:dyDescent="0.2">
      <c r="A6455" s="242"/>
      <c r="F6455" s="285" t="str">
        <f t="shared" si="207"/>
        <v/>
      </c>
      <c r="K6455" s="246" t="str">
        <f t="shared" si="206"/>
        <v/>
      </c>
    </row>
    <row r="6456" spans="1:11" x14ac:dyDescent="0.2">
      <c r="A6456" s="242"/>
      <c r="F6456" s="285" t="str">
        <f t="shared" si="207"/>
        <v/>
      </c>
      <c r="K6456" s="246" t="str">
        <f t="shared" si="206"/>
        <v/>
      </c>
    </row>
    <row r="6457" spans="1:11" x14ac:dyDescent="0.2">
      <c r="A6457" s="242"/>
      <c r="F6457" s="285" t="str">
        <f t="shared" si="207"/>
        <v/>
      </c>
      <c r="K6457" s="246" t="str">
        <f t="shared" si="206"/>
        <v/>
      </c>
    </row>
    <row r="6458" spans="1:11" x14ac:dyDescent="0.2">
      <c r="A6458" s="242"/>
      <c r="F6458" s="285" t="str">
        <f t="shared" si="207"/>
        <v/>
      </c>
      <c r="K6458" s="246" t="str">
        <f t="shared" si="206"/>
        <v/>
      </c>
    </row>
    <row r="6459" spans="1:11" x14ac:dyDescent="0.2">
      <c r="A6459" s="242"/>
      <c r="F6459" s="285" t="str">
        <f t="shared" si="207"/>
        <v/>
      </c>
      <c r="K6459" s="246" t="str">
        <f t="shared" ref="K6459:K6522" si="208">IF(A6459="","",A6459)</f>
        <v/>
      </c>
    </row>
    <row r="6460" spans="1:11" x14ac:dyDescent="0.2">
      <c r="A6460" s="242"/>
      <c r="F6460" s="285" t="str">
        <f t="shared" si="207"/>
        <v/>
      </c>
      <c r="K6460" s="246" t="str">
        <f t="shared" si="208"/>
        <v/>
      </c>
    </row>
    <row r="6461" spans="1:11" x14ac:dyDescent="0.2">
      <c r="A6461" s="242"/>
      <c r="F6461" s="285" t="str">
        <f t="shared" si="207"/>
        <v/>
      </c>
      <c r="K6461" s="246" t="str">
        <f t="shared" si="208"/>
        <v/>
      </c>
    </row>
    <row r="6462" spans="1:11" x14ac:dyDescent="0.2">
      <c r="A6462" s="242"/>
      <c r="F6462" s="285" t="str">
        <f t="shared" si="207"/>
        <v/>
      </c>
      <c r="K6462" s="246" t="str">
        <f t="shared" si="208"/>
        <v/>
      </c>
    </row>
    <row r="6463" spans="1:11" x14ac:dyDescent="0.2">
      <c r="A6463" s="242"/>
      <c r="F6463" s="285" t="str">
        <f t="shared" si="207"/>
        <v/>
      </c>
      <c r="K6463" s="246" t="str">
        <f t="shared" si="208"/>
        <v/>
      </c>
    </row>
    <row r="6464" spans="1:11" x14ac:dyDescent="0.2">
      <c r="A6464" s="242"/>
      <c r="F6464" s="285" t="str">
        <f t="shared" si="207"/>
        <v/>
      </c>
      <c r="K6464" s="246" t="str">
        <f t="shared" si="208"/>
        <v/>
      </c>
    </row>
    <row r="6465" spans="1:11" x14ac:dyDescent="0.2">
      <c r="A6465" s="242"/>
      <c r="F6465" s="285" t="str">
        <f t="shared" si="207"/>
        <v/>
      </c>
      <c r="K6465" s="246" t="str">
        <f t="shared" si="208"/>
        <v/>
      </c>
    </row>
    <row r="6466" spans="1:11" x14ac:dyDescent="0.2">
      <c r="A6466" s="242"/>
      <c r="F6466" s="285" t="str">
        <f t="shared" si="207"/>
        <v/>
      </c>
      <c r="K6466" s="246" t="str">
        <f t="shared" si="208"/>
        <v/>
      </c>
    </row>
    <row r="6467" spans="1:11" x14ac:dyDescent="0.2">
      <c r="A6467" s="242"/>
      <c r="F6467" s="285" t="str">
        <f t="shared" si="207"/>
        <v/>
      </c>
      <c r="K6467" s="246" t="str">
        <f t="shared" si="208"/>
        <v/>
      </c>
    </row>
    <row r="6468" spans="1:11" x14ac:dyDescent="0.2">
      <c r="A6468" s="242"/>
      <c r="F6468" s="285" t="str">
        <f t="shared" si="207"/>
        <v/>
      </c>
      <c r="K6468" s="246" t="str">
        <f t="shared" si="208"/>
        <v/>
      </c>
    </row>
    <row r="6469" spans="1:11" x14ac:dyDescent="0.2">
      <c r="A6469" s="242"/>
      <c r="F6469" s="285" t="str">
        <f t="shared" ref="F6469:F6532" si="209">IF(A6469="","",A6469)</f>
        <v/>
      </c>
      <c r="K6469" s="246" t="str">
        <f t="shared" si="208"/>
        <v/>
      </c>
    </row>
    <row r="6470" spans="1:11" x14ac:dyDescent="0.2">
      <c r="A6470" s="242"/>
      <c r="F6470" s="285" t="str">
        <f t="shared" si="209"/>
        <v/>
      </c>
      <c r="K6470" s="246" t="str">
        <f t="shared" si="208"/>
        <v/>
      </c>
    </row>
    <row r="6471" spans="1:11" x14ac:dyDescent="0.2">
      <c r="A6471" s="242"/>
      <c r="F6471" s="285" t="str">
        <f t="shared" si="209"/>
        <v/>
      </c>
      <c r="K6471" s="246" t="str">
        <f t="shared" si="208"/>
        <v/>
      </c>
    </row>
    <row r="6472" spans="1:11" x14ac:dyDescent="0.2">
      <c r="A6472" s="242"/>
      <c r="F6472" s="285" t="str">
        <f t="shared" si="209"/>
        <v/>
      </c>
      <c r="K6472" s="246" t="str">
        <f t="shared" si="208"/>
        <v/>
      </c>
    </row>
    <row r="6473" spans="1:11" x14ac:dyDescent="0.2">
      <c r="A6473" s="242"/>
      <c r="F6473" s="285" t="str">
        <f t="shared" si="209"/>
        <v/>
      </c>
      <c r="K6473" s="246" t="str">
        <f t="shared" si="208"/>
        <v/>
      </c>
    </row>
    <row r="6474" spans="1:11" x14ac:dyDescent="0.2">
      <c r="A6474" s="242"/>
      <c r="F6474" s="285" t="str">
        <f t="shared" si="209"/>
        <v/>
      </c>
      <c r="K6474" s="246" t="str">
        <f t="shared" si="208"/>
        <v/>
      </c>
    </row>
    <row r="6475" spans="1:11" x14ac:dyDescent="0.2">
      <c r="A6475" s="242"/>
      <c r="F6475" s="285" t="str">
        <f t="shared" si="209"/>
        <v/>
      </c>
      <c r="K6475" s="246" t="str">
        <f t="shared" si="208"/>
        <v/>
      </c>
    </row>
    <row r="6476" spans="1:11" x14ac:dyDescent="0.2">
      <c r="A6476" s="242"/>
      <c r="F6476" s="285" t="str">
        <f t="shared" si="209"/>
        <v/>
      </c>
      <c r="K6476" s="246" t="str">
        <f t="shared" si="208"/>
        <v/>
      </c>
    </row>
    <row r="6477" spans="1:11" x14ac:dyDescent="0.2">
      <c r="A6477" s="242"/>
      <c r="F6477" s="285" t="str">
        <f t="shared" si="209"/>
        <v/>
      </c>
      <c r="K6477" s="246" t="str">
        <f t="shared" si="208"/>
        <v/>
      </c>
    </row>
    <row r="6478" spans="1:11" x14ac:dyDescent="0.2">
      <c r="A6478" s="242"/>
      <c r="F6478" s="285" t="str">
        <f t="shared" si="209"/>
        <v/>
      </c>
      <c r="K6478" s="246" t="str">
        <f t="shared" si="208"/>
        <v/>
      </c>
    </row>
    <row r="6479" spans="1:11" x14ac:dyDescent="0.2">
      <c r="A6479" s="242"/>
      <c r="F6479" s="285" t="str">
        <f t="shared" si="209"/>
        <v/>
      </c>
      <c r="K6479" s="246" t="str">
        <f t="shared" si="208"/>
        <v/>
      </c>
    </row>
    <row r="6480" spans="1:11" x14ac:dyDescent="0.2">
      <c r="A6480" s="242"/>
      <c r="F6480" s="285" t="str">
        <f t="shared" si="209"/>
        <v/>
      </c>
      <c r="K6480" s="246" t="str">
        <f t="shared" si="208"/>
        <v/>
      </c>
    </row>
    <row r="6481" spans="1:11" x14ac:dyDescent="0.2">
      <c r="A6481" s="242"/>
      <c r="F6481" s="285" t="str">
        <f t="shared" si="209"/>
        <v/>
      </c>
      <c r="K6481" s="246" t="str">
        <f t="shared" si="208"/>
        <v/>
      </c>
    </row>
    <row r="6482" spans="1:11" x14ac:dyDescent="0.2">
      <c r="A6482" s="242"/>
      <c r="F6482" s="285" t="str">
        <f t="shared" si="209"/>
        <v/>
      </c>
      <c r="K6482" s="246" t="str">
        <f t="shared" si="208"/>
        <v/>
      </c>
    </row>
    <row r="6483" spans="1:11" x14ac:dyDescent="0.2">
      <c r="A6483" s="242"/>
      <c r="F6483" s="285" t="str">
        <f t="shared" si="209"/>
        <v/>
      </c>
      <c r="K6483" s="246" t="str">
        <f t="shared" si="208"/>
        <v/>
      </c>
    </row>
    <row r="6484" spans="1:11" x14ac:dyDescent="0.2">
      <c r="A6484" s="242"/>
      <c r="F6484" s="285" t="str">
        <f t="shared" si="209"/>
        <v/>
      </c>
      <c r="K6484" s="246" t="str">
        <f t="shared" si="208"/>
        <v/>
      </c>
    </row>
    <row r="6485" spans="1:11" x14ac:dyDescent="0.2">
      <c r="A6485" s="242"/>
      <c r="F6485" s="285" t="str">
        <f t="shared" si="209"/>
        <v/>
      </c>
      <c r="K6485" s="246" t="str">
        <f t="shared" si="208"/>
        <v/>
      </c>
    </row>
    <row r="6486" spans="1:11" x14ac:dyDescent="0.2">
      <c r="A6486" s="242"/>
      <c r="F6486" s="285" t="str">
        <f t="shared" si="209"/>
        <v/>
      </c>
      <c r="K6486" s="246" t="str">
        <f t="shared" si="208"/>
        <v/>
      </c>
    </row>
    <row r="6487" spans="1:11" x14ac:dyDescent="0.2">
      <c r="A6487" s="242"/>
      <c r="F6487" s="285" t="str">
        <f t="shared" si="209"/>
        <v/>
      </c>
      <c r="K6487" s="246" t="str">
        <f t="shared" si="208"/>
        <v/>
      </c>
    </row>
    <row r="6488" spans="1:11" x14ac:dyDescent="0.2">
      <c r="A6488" s="242"/>
      <c r="F6488" s="285" t="str">
        <f t="shared" si="209"/>
        <v/>
      </c>
      <c r="K6488" s="246" t="str">
        <f t="shared" si="208"/>
        <v/>
      </c>
    </row>
    <row r="6489" spans="1:11" x14ac:dyDescent="0.2">
      <c r="A6489" s="242"/>
      <c r="F6489" s="285" t="str">
        <f t="shared" si="209"/>
        <v/>
      </c>
      <c r="K6489" s="246" t="str">
        <f t="shared" si="208"/>
        <v/>
      </c>
    </row>
    <row r="6490" spans="1:11" x14ac:dyDescent="0.2">
      <c r="A6490" s="242"/>
      <c r="F6490" s="285" t="str">
        <f t="shared" si="209"/>
        <v/>
      </c>
      <c r="K6490" s="246" t="str">
        <f t="shared" si="208"/>
        <v/>
      </c>
    </row>
    <row r="6491" spans="1:11" x14ac:dyDescent="0.2">
      <c r="A6491" s="242"/>
      <c r="F6491" s="285" t="str">
        <f t="shared" si="209"/>
        <v/>
      </c>
      <c r="K6491" s="246" t="str">
        <f t="shared" si="208"/>
        <v/>
      </c>
    </row>
    <row r="6492" spans="1:11" x14ac:dyDescent="0.2">
      <c r="A6492" s="242"/>
      <c r="F6492" s="285" t="str">
        <f t="shared" si="209"/>
        <v/>
      </c>
      <c r="K6492" s="246" t="str">
        <f t="shared" si="208"/>
        <v/>
      </c>
    </row>
    <row r="6493" spans="1:11" x14ac:dyDescent="0.2">
      <c r="A6493" s="242"/>
      <c r="F6493" s="285" t="str">
        <f t="shared" si="209"/>
        <v/>
      </c>
      <c r="K6493" s="246" t="str">
        <f t="shared" si="208"/>
        <v/>
      </c>
    </row>
    <row r="6494" spans="1:11" x14ac:dyDescent="0.2">
      <c r="A6494" s="242"/>
      <c r="F6494" s="285" t="str">
        <f t="shared" si="209"/>
        <v/>
      </c>
      <c r="K6494" s="246" t="str">
        <f t="shared" si="208"/>
        <v/>
      </c>
    </row>
    <row r="6495" spans="1:11" x14ac:dyDescent="0.2">
      <c r="A6495" s="242"/>
      <c r="F6495" s="285" t="str">
        <f t="shared" si="209"/>
        <v/>
      </c>
      <c r="K6495" s="246" t="str">
        <f t="shared" si="208"/>
        <v/>
      </c>
    </row>
    <row r="6496" spans="1:11" x14ac:dyDescent="0.2">
      <c r="A6496" s="242"/>
      <c r="F6496" s="285" t="str">
        <f t="shared" si="209"/>
        <v/>
      </c>
      <c r="K6496" s="246" t="str">
        <f t="shared" si="208"/>
        <v/>
      </c>
    </row>
    <row r="6497" spans="1:11" x14ac:dyDescent="0.2">
      <c r="A6497" s="242"/>
      <c r="F6497" s="285" t="str">
        <f t="shared" si="209"/>
        <v/>
      </c>
      <c r="K6497" s="246" t="str">
        <f t="shared" si="208"/>
        <v/>
      </c>
    </row>
    <row r="6498" spans="1:11" x14ac:dyDescent="0.2">
      <c r="A6498" s="242"/>
      <c r="F6498" s="285" t="str">
        <f t="shared" si="209"/>
        <v/>
      </c>
      <c r="K6498" s="246" t="str">
        <f t="shared" si="208"/>
        <v/>
      </c>
    </row>
    <row r="6499" spans="1:11" x14ac:dyDescent="0.2">
      <c r="A6499" s="242"/>
      <c r="F6499" s="285" t="str">
        <f t="shared" si="209"/>
        <v/>
      </c>
      <c r="K6499" s="246" t="str">
        <f t="shared" si="208"/>
        <v/>
      </c>
    </row>
    <row r="6500" spans="1:11" x14ac:dyDescent="0.2">
      <c r="A6500" s="242"/>
      <c r="F6500" s="285" t="str">
        <f t="shared" si="209"/>
        <v/>
      </c>
      <c r="K6500" s="246" t="str">
        <f t="shared" si="208"/>
        <v/>
      </c>
    </row>
    <row r="6501" spans="1:11" x14ac:dyDescent="0.2">
      <c r="A6501" s="242"/>
      <c r="F6501" s="285" t="str">
        <f t="shared" si="209"/>
        <v/>
      </c>
      <c r="K6501" s="246" t="str">
        <f t="shared" si="208"/>
        <v/>
      </c>
    </row>
    <row r="6502" spans="1:11" x14ac:dyDescent="0.2">
      <c r="A6502" s="242"/>
      <c r="F6502" s="285" t="str">
        <f t="shared" si="209"/>
        <v/>
      </c>
      <c r="K6502" s="246" t="str">
        <f t="shared" si="208"/>
        <v/>
      </c>
    </row>
    <row r="6503" spans="1:11" x14ac:dyDescent="0.2">
      <c r="A6503" s="242"/>
      <c r="F6503" s="285" t="str">
        <f t="shared" si="209"/>
        <v/>
      </c>
      <c r="K6503" s="246" t="str">
        <f t="shared" si="208"/>
        <v/>
      </c>
    </row>
    <row r="6504" spans="1:11" x14ac:dyDescent="0.2">
      <c r="A6504" s="242"/>
      <c r="F6504" s="285" t="str">
        <f t="shared" si="209"/>
        <v/>
      </c>
      <c r="K6504" s="246" t="str">
        <f t="shared" si="208"/>
        <v/>
      </c>
    </row>
    <row r="6505" spans="1:11" x14ac:dyDescent="0.2">
      <c r="A6505" s="242"/>
      <c r="F6505" s="285" t="str">
        <f t="shared" si="209"/>
        <v/>
      </c>
      <c r="K6505" s="246" t="str">
        <f t="shared" si="208"/>
        <v/>
      </c>
    </row>
    <row r="6506" spans="1:11" x14ac:dyDescent="0.2">
      <c r="A6506" s="242"/>
      <c r="F6506" s="285" t="str">
        <f t="shared" si="209"/>
        <v/>
      </c>
      <c r="K6506" s="246" t="str">
        <f t="shared" si="208"/>
        <v/>
      </c>
    </row>
    <row r="6507" spans="1:11" x14ac:dyDescent="0.2">
      <c r="A6507" s="242"/>
      <c r="F6507" s="285" t="str">
        <f t="shared" si="209"/>
        <v/>
      </c>
      <c r="K6507" s="246" t="str">
        <f t="shared" si="208"/>
        <v/>
      </c>
    </row>
    <row r="6508" spans="1:11" x14ac:dyDescent="0.2">
      <c r="A6508" s="242"/>
      <c r="F6508" s="285" t="str">
        <f t="shared" si="209"/>
        <v/>
      </c>
      <c r="K6508" s="246" t="str">
        <f t="shared" si="208"/>
        <v/>
      </c>
    </row>
    <row r="6509" spans="1:11" x14ac:dyDescent="0.2">
      <c r="A6509" s="242"/>
      <c r="F6509" s="285" t="str">
        <f t="shared" si="209"/>
        <v/>
      </c>
      <c r="K6509" s="246" t="str">
        <f t="shared" si="208"/>
        <v/>
      </c>
    </row>
    <row r="6510" spans="1:11" x14ac:dyDescent="0.2">
      <c r="A6510" s="242"/>
      <c r="F6510" s="285" t="str">
        <f t="shared" si="209"/>
        <v/>
      </c>
      <c r="K6510" s="246" t="str">
        <f t="shared" si="208"/>
        <v/>
      </c>
    </row>
    <row r="6511" spans="1:11" x14ac:dyDescent="0.2">
      <c r="A6511" s="242"/>
      <c r="F6511" s="285" t="str">
        <f t="shared" si="209"/>
        <v/>
      </c>
      <c r="K6511" s="246" t="str">
        <f t="shared" si="208"/>
        <v/>
      </c>
    </row>
    <row r="6512" spans="1:11" x14ac:dyDescent="0.2">
      <c r="A6512" s="242"/>
      <c r="F6512" s="285" t="str">
        <f t="shared" si="209"/>
        <v/>
      </c>
      <c r="K6512" s="246" t="str">
        <f t="shared" si="208"/>
        <v/>
      </c>
    </row>
    <row r="6513" spans="1:11" x14ac:dyDescent="0.2">
      <c r="A6513" s="242"/>
      <c r="F6513" s="285" t="str">
        <f t="shared" si="209"/>
        <v/>
      </c>
      <c r="K6513" s="246" t="str">
        <f t="shared" si="208"/>
        <v/>
      </c>
    </row>
    <row r="6514" spans="1:11" x14ac:dyDescent="0.2">
      <c r="A6514" s="242"/>
      <c r="F6514" s="285" t="str">
        <f t="shared" si="209"/>
        <v/>
      </c>
      <c r="K6514" s="246" t="str">
        <f t="shared" si="208"/>
        <v/>
      </c>
    </row>
    <row r="6515" spans="1:11" x14ac:dyDescent="0.2">
      <c r="A6515" s="242"/>
      <c r="F6515" s="285" t="str">
        <f t="shared" si="209"/>
        <v/>
      </c>
      <c r="K6515" s="246" t="str">
        <f t="shared" si="208"/>
        <v/>
      </c>
    </row>
    <row r="6516" spans="1:11" x14ac:dyDescent="0.2">
      <c r="A6516" s="242"/>
      <c r="F6516" s="285" t="str">
        <f t="shared" si="209"/>
        <v/>
      </c>
      <c r="K6516" s="246" t="str">
        <f t="shared" si="208"/>
        <v/>
      </c>
    </row>
    <row r="6517" spans="1:11" x14ac:dyDescent="0.2">
      <c r="A6517" s="242"/>
      <c r="F6517" s="285" t="str">
        <f t="shared" si="209"/>
        <v/>
      </c>
      <c r="K6517" s="246" t="str">
        <f t="shared" si="208"/>
        <v/>
      </c>
    </row>
    <row r="6518" spans="1:11" x14ac:dyDescent="0.2">
      <c r="A6518" s="242"/>
      <c r="F6518" s="285" t="str">
        <f t="shared" si="209"/>
        <v/>
      </c>
      <c r="K6518" s="246" t="str">
        <f t="shared" si="208"/>
        <v/>
      </c>
    </row>
    <row r="6519" spans="1:11" x14ac:dyDescent="0.2">
      <c r="A6519" s="242"/>
      <c r="F6519" s="285" t="str">
        <f t="shared" si="209"/>
        <v/>
      </c>
      <c r="K6519" s="246" t="str">
        <f t="shared" si="208"/>
        <v/>
      </c>
    </row>
    <row r="6520" spans="1:11" x14ac:dyDescent="0.2">
      <c r="A6520" s="242"/>
      <c r="F6520" s="285" t="str">
        <f t="shared" si="209"/>
        <v/>
      </c>
      <c r="K6520" s="246" t="str">
        <f t="shared" si="208"/>
        <v/>
      </c>
    </row>
    <row r="6521" spans="1:11" x14ac:dyDescent="0.2">
      <c r="A6521" s="242"/>
      <c r="F6521" s="285" t="str">
        <f t="shared" si="209"/>
        <v/>
      </c>
      <c r="K6521" s="246" t="str">
        <f t="shared" si="208"/>
        <v/>
      </c>
    </row>
    <row r="6522" spans="1:11" x14ac:dyDescent="0.2">
      <c r="A6522" s="242"/>
      <c r="F6522" s="285" t="str">
        <f t="shared" si="209"/>
        <v/>
      </c>
      <c r="K6522" s="246" t="str">
        <f t="shared" si="208"/>
        <v/>
      </c>
    </row>
    <row r="6523" spans="1:11" x14ac:dyDescent="0.2">
      <c r="A6523" s="242"/>
      <c r="F6523" s="285" t="str">
        <f t="shared" si="209"/>
        <v/>
      </c>
      <c r="K6523" s="246" t="str">
        <f t="shared" ref="K6523:K6586" si="210">IF(A6523="","",A6523)</f>
        <v/>
      </c>
    </row>
    <row r="6524" spans="1:11" x14ac:dyDescent="0.2">
      <c r="A6524" s="242"/>
      <c r="F6524" s="285" t="str">
        <f t="shared" si="209"/>
        <v/>
      </c>
      <c r="K6524" s="246" t="str">
        <f t="shared" si="210"/>
        <v/>
      </c>
    </row>
    <row r="6525" spans="1:11" x14ac:dyDescent="0.2">
      <c r="A6525" s="242"/>
      <c r="F6525" s="285" t="str">
        <f t="shared" si="209"/>
        <v/>
      </c>
      <c r="K6525" s="246" t="str">
        <f t="shared" si="210"/>
        <v/>
      </c>
    </row>
    <row r="6526" spans="1:11" x14ac:dyDescent="0.2">
      <c r="A6526" s="242"/>
      <c r="F6526" s="285" t="str">
        <f t="shared" si="209"/>
        <v/>
      </c>
      <c r="K6526" s="246" t="str">
        <f t="shared" si="210"/>
        <v/>
      </c>
    </row>
    <row r="6527" spans="1:11" x14ac:dyDescent="0.2">
      <c r="A6527" s="242"/>
      <c r="F6527" s="285" t="str">
        <f t="shared" si="209"/>
        <v/>
      </c>
      <c r="K6527" s="246" t="str">
        <f t="shared" si="210"/>
        <v/>
      </c>
    </row>
    <row r="6528" spans="1:11" x14ac:dyDescent="0.2">
      <c r="A6528" s="242"/>
      <c r="F6528" s="285" t="str">
        <f t="shared" si="209"/>
        <v/>
      </c>
      <c r="K6528" s="246" t="str">
        <f t="shared" si="210"/>
        <v/>
      </c>
    </row>
    <row r="6529" spans="1:11" x14ac:dyDescent="0.2">
      <c r="A6529" s="242"/>
      <c r="F6529" s="285" t="str">
        <f t="shared" si="209"/>
        <v/>
      </c>
      <c r="K6529" s="246" t="str">
        <f t="shared" si="210"/>
        <v/>
      </c>
    </row>
    <row r="6530" spans="1:11" x14ac:dyDescent="0.2">
      <c r="A6530" s="242"/>
      <c r="F6530" s="285" t="str">
        <f t="shared" si="209"/>
        <v/>
      </c>
      <c r="K6530" s="246" t="str">
        <f t="shared" si="210"/>
        <v/>
      </c>
    </row>
    <row r="6531" spans="1:11" x14ac:dyDescent="0.2">
      <c r="A6531" s="242"/>
      <c r="F6531" s="285" t="str">
        <f t="shared" si="209"/>
        <v/>
      </c>
      <c r="K6531" s="246" t="str">
        <f t="shared" si="210"/>
        <v/>
      </c>
    </row>
    <row r="6532" spans="1:11" x14ac:dyDescent="0.2">
      <c r="A6532" s="242"/>
      <c r="F6532" s="285" t="str">
        <f t="shared" si="209"/>
        <v/>
      </c>
      <c r="K6532" s="246" t="str">
        <f t="shared" si="210"/>
        <v/>
      </c>
    </row>
    <row r="6533" spans="1:11" x14ac:dyDescent="0.2">
      <c r="A6533" s="242"/>
      <c r="F6533" s="285" t="str">
        <f t="shared" ref="F6533:F6596" si="211">IF(A6533="","",A6533)</f>
        <v/>
      </c>
      <c r="K6533" s="246" t="str">
        <f t="shared" si="210"/>
        <v/>
      </c>
    </row>
    <row r="6534" spans="1:11" x14ac:dyDescent="0.2">
      <c r="A6534" s="242"/>
      <c r="F6534" s="285" t="str">
        <f t="shared" si="211"/>
        <v/>
      </c>
      <c r="K6534" s="246" t="str">
        <f t="shared" si="210"/>
        <v/>
      </c>
    </row>
    <row r="6535" spans="1:11" x14ac:dyDescent="0.2">
      <c r="A6535" s="242"/>
      <c r="F6535" s="285" t="str">
        <f t="shared" si="211"/>
        <v/>
      </c>
      <c r="K6535" s="246" t="str">
        <f t="shared" si="210"/>
        <v/>
      </c>
    </row>
    <row r="6536" spans="1:11" x14ac:dyDescent="0.2">
      <c r="A6536" s="242"/>
      <c r="F6536" s="285" t="str">
        <f t="shared" si="211"/>
        <v/>
      </c>
      <c r="K6536" s="246" t="str">
        <f t="shared" si="210"/>
        <v/>
      </c>
    </row>
    <row r="6537" spans="1:11" x14ac:dyDescent="0.2">
      <c r="A6537" s="242"/>
      <c r="F6537" s="285" t="str">
        <f t="shared" si="211"/>
        <v/>
      </c>
      <c r="K6537" s="246" t="str">
        <f t="shared" si="210"/>
        <v/>
      </c>
    </row>
    <row r="6538" spans="1:11" x14ac:dyDescent="0.2">
      <c r="A6538" s="242"/>
      <c r="F6538" s="285" t="str">
        <f t="shared" si="211"/>
        <v/>
      </c>
      <c r="K6538" s="246" t="str">
        <f t="shared" si="210"/>
        <v/>
      </c>
    </row>
    <row r="6539" spans="1:11" x14ac:dyDescent="0.2">
      <c r="A6539" s="242"/>
      <c r="F6539" s="285" t="str">
        <f t="shared" si="211"/>
        <v/>
      </c>
      <c r="K6539" s="246" t="str">
        <f t="shared" si="210"/>
        <v/>
      </c>
    </row>
    <row r="6540" spans="1:11" x14ac:dyDescent="0.2">
      <c r="A6540" s="242"/>
      <c r="F6540" s="285" t="str">
        <f t="shared" si="211"/>
        <v/>
      </c>
      <c r="K6540" s="246" t="str">
        <f t="shared" si="210"/>
        <v/>
      </c>
    </row>
    <row r="6541" spans="1:11" x14ac:dyDescent="0.2">
      <c r="A6541" s="242"/>
      <c r="F6541" s="285" t="str">
        <f t="shared" si="211"/>
        <v/>
      </c>
      <c r="K6541" s="246" t="str">
        <f t="shared" si="210"/>
        <v/>
      </c>
    </row>
    <row r="6542" spans="1:11" x14ac:dyDescent="0.2">
      <c r="A6542" s="242"/>
      <c r="F6542" s="285" t="str">
        <f t="shared" si="211"/>
        <v/>
      </c>
      <c r="K6542" s="246" t="str">
        <f t="shared" si="210"/>
        <v/>
      </c>
    </row>
    <row r="6543" spans="1:11" x14ac:dyDescent="0.2">
      <c r="A6543" s="242"/>
      <c r="F6543" s="285" t="str">
        <f t="shared" si="211"/>
        <v/>
      </c>
      <c r="K6543" s="246" t="str">
        <f t="shared" si="210"/>
        <v/>
      </c>
    </row>
    <row r="6544" spans="1:11" x14ac:dyDescent="0.2">
      <c r="A6544" s="242"/>
      <c r="F6544" s="285" t="str">
        <f t="shared" si="211"/>
        <v/>
      </c>
      <c r="K6544" s="246" t="str">
        <f t="shared" si="210"/>
        <v/>
      </c>
    </row>
    <row r="6545" spans="1:11" x14ac:dyDescent="0.2">
      <c r="A6545" s="242"/>
      <c r="F6545" s="285" t="str">
        <f t="shared" si="211"/>
        <v/>
      </c>
      <c r="K6545" s="246" t="str">
        <f t="shared" si="210"/>
        <v/>
      </c>
    </row>
    <row r="6546" spans="1:11" x14ac:dyDescent="0.2">
      <c r="A6546" s="242"/>
      <c r="F6546" s="285" t="str">
        <f t="shared" si="211"/>
        <v/>
      </c>
      <c r="K6546" s="246" t="str">
        <f t="shared" si="210"/>
        <v/>
      </c>
    </row>
    <row r="6547" spans="1:11" x14ac:dyDescent="0.2">
      <c r="A6547" s="242"/>
      <c r="F6547" s="285" t="str">
        <f t="shared" si="211"/>
        <v/>
      </c>
      <c r="K6547" s="246" t="str">
        <f t="shared" si="210"/>
        <v/>
      </c>
    </row>
    <row r="6548" spans="1:11" x14ac:dyDescent="0.2">
      <c r="A6548" s="242"/>
      <c r="F6548" s="285" t="str">
        <f t="shared" si="211"/>
        <v/>
      </c>
      <c r="K6548" s="246" t="str">
        <f t="shared" si="210"/>
        <v/>
      </c>
    </row>
    <row r="6549" spans="1:11" x14ac:dyDescent="0.2">
      <c r="A6549" s="242"/>
      <c r="F6549" s="285" t="str">
        <f t="shared" si="211"/>
        <v/>
      </c>
      <c r="K6549" s="246" t="str">
        <f t="shared" si="210"/>
        <v/>
      </c>
    </row>
    <row r="6550" spans="1:11" x14ac:dyDescent="0.2">
      <c r="A6550" s="242"/>
      <c r="F6550" s="285" t="str">
        <f t="shared" si="211"/>
        <v/>
      </c>
      <c r="K6550" s="246" t="str">
        <f t="shared" si="210"/>
        <v/>
      </c>
    </row>
    <row r="6551" spans="1:11" x14ac:dyDescent="0.2">
      <c r="A6551" s="242"/>
      <c r="F6551" s="285" t="str">
        <f t="shared" si="211"/>
        <v/>
      </c>
      <c r="K6551" s="246" t="str">
        <f t="shared" si="210"/>
        <v/>
      </c>
    </row>
    <row r="6552" spans="1:11" x14ac:dyDescent="0.2">
      <c r="A6552" s="242"/>
      <c r="F6552" s="285" t="str">
        <f t="shared" si="211"/>
        <v/>
      </c>
      <c r="K6552" s="246" t="str">
        <f t="shared" si="210"/>
        <v/>
      </c>
    </row>
    <row r="6553" spans="1:11" x14ac:dyDescent="0.2">
      <c r="A6553" s="242"/>
      <c r="F6553" s="285" t="str">
        <f t="shared" si="211"/>
        <v/>
      </c>
      <c r="K6553" s="246" t="str">
        <f t="shared" si="210"/>
        <v/>
      </c>
    </row>
    <row r="6554" spans="1:11" x14ac:dyDescent="0.2">
      <c r="A6554" s="242"/>
      <c r="F6554" s="285" t="str">
        <f t="shared" si="211"/>
        <v/>
      </c>
      <c r="K6554" s="246" t="str">
        <f t="shared" si="210"/>
        <v/>
      </c>
    </row>
    <row r="6555" spans="1:11" x14ac:dyDescent="0.2">
      <c r="A6555" s="242"/>
      <c r="F6555" s="285" t="str">
        <f t="shared" si="211"/>
        <v/>
      </c>
      <c r="K6555" s="246" t="str">
        <f t="shared" si="210"/>
        <v/>
      </c>
    </row>
    <row r="6556" spans="1:11" x14ac:dyDescent="0.2">
      <c r="A6556" s="242"/>
      <c r="F6556" s="285" t="str">
        <f t="shared" si="211"/>
        <v/>
      </c>
      <c r="K6556" s="246" t="str">
        <f t="shared" si="210"/>
        <v/>
      </c>
    </row>
    <row r="6557" spans="1:11" x14ac:dyDescent="0.2">
      <c r="A6557" s="242"/>
      <c r="F6557" s="285" t="str">
        <f t="shared" si="211"/>
        <v/>
      </c>
      <c r="K6557" s="246" t="str">
        <f t="shared" si="210"/>
        <v/>
      </c>
    </row>
    <row r="6558" spans="1:11" x14ac:dyDescent="0.2">
      <c r="A6558" s="242"/>
      <c r="F6558" s="285" t="str">
        <f t="shared" si="211"/>
        <v/>
      </c>
      <c r="K6558" s="246" t="str">
        <f t="shared" si="210"/>
        <v/>
      </c>
    </row>
    <row r="6559" spans="1:11" x14ac:dyDescent="0.2">
      <c r="A6559" s="242"/>
      <c r="F6559" s="285" t="str">
        <f t="shared" si="211"/>
        <v/>
      </c>
      <c r="K6559" s="246" t="str">
        <f t="shared" si="210"/>
        <v/>
      </c>
    </row>
    <row r="6560" spans="1:11" x14ac:dyDescent="0.2">
      <c r="A6560" s="242"/>
      <c r="F6560" s="285" t="str">
        <f t="shared" si="211"/>
        <v/>
      </c>
      <c r="K6560" s="246" t="str">
        <f t="shared" si="210"/>
        <v/>
      </c>
    </row>
    <row r="6561" spans="1:11" x14ac:dyDescent="0.2">
      <c r="A6561" s="242"/>
      <c r="F6561" s="285" t="str">
        <f t="shared" si="211"/>
        <v/>
      </c>
      <c r="K6561" s="246" t="str">
        <f t="shared" si="210"/>
        <v/>
      </c>
    </row>
    <row r="6562" spans="1:11" x14ac:dyDescent="0.2">
      <c r="A6562" s="242"/>
      <c r="F6562" s="285" t="str">
        <f t="shared" si="211"/>
        <v/>
      </c>
      <c r="K6562" s="246" t="str">
        <f t="shared" si="210"/>
        <v/>
      </c>
    </row>
    <row r="6563" spans="1:11" x14ac:dyDescent="0.2">
      <c r="A6563" s="242"/>
      <c r="F6563" s="285" t="str">
        <f t="shared" si="211"/>
        <v/>
      </c>
      <c r="K6563" s="246" t="str">
        <f t="shared" si="210"/>
        <v/>
      </c>
    </row>
    <row r="6564" spans="1:11" x14ac:dyDescent="0.2">
      <c r="A6564" s="242"/>
      <c r="F6564" s="285" t="str">
        <f t="shared" si="211"/>
        <v/>
      </c>
      <c r="K6564" s="246" t="str">
        <f t="shared" si="210"/>
        <v/>
      </c>
    </row>
    <row r="6565" spans="1:11" x14ac:dyDescent="0.2">
      <c r="A6565" s="242"/>
      <c r="F6565" s="285" t="str">
        <f t="shared" si="211"/>
        <v/>
      </c>
      <c r="K6565" s="246" t="str">
        <f t="shared" si="210"/>
        <v/>
      </c>
    </row>
    <row r="6566" spans="1:11" x14ac:dyDescent="0.2">
      <c r="A6566" s="242"/>
      <c r="F6566" s="285" t="str">
        <f t="shared" si="211"/>
        <v/>
      </c>
      <c r="K6566" s="246" t="str">
        <f t="shared" si="210"/>
        <v/>
      </c>
    </row>
    <row r="6567" spans="1:11" x14ac:dyDescent="0.2">
      <c r="A6567" s="242"/>
      <c r="F6567" s="285" t="str">
        <f t="shared" si="211"/>
        <v/>
      </c>
      <c r="K6567" s="246" t="str">
        <f t="shared" si="210"/>
        <v/>
      </c>
    </row>
    <row r="6568" spans="1:11" x14ac:dyDescent="0.2">
      <c r="A6568" s="242"/>
      <c r="F6568" s="285" t="str">
        <f t="shared" si="211"/>
        <v/>
      </c>
      <c r="K6568" s="246" t="str">
        <f t="shared" si="210"/>
        <v/>
      </c>
    </row>
    <row r="6569" spans="1:11" x14ac:dyDescent="0.2">
      <c r="A6569" s="242"/>
      <c r="F6569" s="285" t="str">
        <f t="shared" si="211"/>
        <v/>
      </c>
      <c r="K6569" s="246" t="str">
        <f t="shared" si="210"/>
        <v/>
      </c>
    </row>
    <row r="6570" spans="1:11" x14ac:dyDescent="0.2">
      <c r="A6570" s="242"/>
      <c r="F6570" s="285" t="str">
        <f t="shared" si="211"/>
        <v/>
      </c>
      <c r="K6570" s="246" t="str">
        <f t="shared" si="210"/>
        <v/>
      </c>
    </row>
    <row r="6571" spans="1:11" x14ac:dyDescent="0.2">
      <c r="A6571" s="242"/>
      <c r="F6571" s="285" t="str">
        <f t="shared" si="211"/>
        <v/>
      </c>
      <c r="K6571" s="246" t="str">
        <f t="shared" si="210"/>
        <v/>
      </c>
    </row>
    <row r="6572" spans="1:11" x14ac:dyDescent="0.2">
      <c r="A6572" s="242"/>
      <c r="F6572" s="285" t="str">
        <f t="shared" si="211"/>
        <v/>
      </c>
      <c r="K6572" s="246" t="str">
        <f t="shared" si="210"/>
        <v/>
      </c>
    </row>
    <row r="6573" spans="1:11" x14ac:dyDescent="0.2">
      <c r="A6573" s="242"/>
      <c r="F6573" s="285" t="str">
        <f t="shared" si="211"/>
        <v/>
      </c>
      <c r="K6573" s="246" t="str">
        <f t="shared" si="210"/>
        <v/>
      </c>
    </row>
    <row r="6574" spans="1:11" x14ac:dyDescent="0.2">
      <c r="A6574" s="242"/>
      <c r="F6574" s="285" t="str">
        <f t="shared" si="211"/>
        <v/>
      </c>
      <c r="K6574" s="246" t="str">
        <f t="shared" si="210"/>
        <v/>
      </c>
    </row>
    <row r="6575" spans="1:11" x14ac:dyDescent="0.2">
      <c r="A6575" s="242"/>
      <c r="F6575" s="285" t="str">
        <f t="shared" si="211"/>
        <v/>
      </c>
      <c r="K6575" s="246" t="str">
        <f t="shared" si="210"/>
        <v/>
      </c>
    </row>
    <row r="6576" spans="1:11" x14ac:dyDescent="0.2">
      <c r="A6576" s="242"/>
      <c r="F6576" s="285" t="str">
        <f t="shared" si="211"/>
        <v/>
      </c>
      <c r="K6576" s="246" t="str">
        <f t="shared" si="210"/>
        <v/>
      </c>
    </row>
    <row r="6577" spans="1:11" x14ac:dyDescent="0.2">
      <c r="A6577" s="242"/>
      <c r="F6577" s="285" t="str">
        <f t="shared" si="211"/>
        <v/>
      </c>
      <c r="K6577" s="246" t="str">
        <f t="shared" si="210"/>
        <v/>
      </c>
    </row>
    <row r="6578" spans="1:11" x14ac:dyDescent="0.2">
      <c r="A6578" s="242"/>
      <c r="F6578" s="285" t="str">
        <f t="shared" si="211"/>
        <v/>
      </c>
      <c r="K6578" s="246" t="str">
        <f t="shared" si="210"/>
        <v/>
      </c>
    </row>
    <row r="6579" spans="1:11" x14ac:dyDescent="0.2">
      <c r="A6579" s="242"/>
      <c r="F6579" s="285" t="str">
        <f t="shared" si="211"/>
        <v/>
      </c>
      <c r="K6579" s="246" t="str">
        <f t="shared" si="210"/>
        <v/>
      </c>
    </row>
    <row r="6580" spans="1:11" x14ac:dyDescent="0.2">
      <c r="A6580" s="242"/>
      <c r="F6580" s="285" t="str">
        <f t="shared" si="211"/>
        <v/>
      </c>
      <c r="K6580" s="246" t="str">
        <f t="shared" si="210"/>
        <v/>
      </c>
    </row>
    <row r="6581" spans="1:11" x14ac:dyDescent="0.2">
      <c r="A6581" s="242"/>
      <c r="F6581" s="285" t="str">
        <f t="shared" si="211"/>
        <v/>
      </c>
      <c r="K6581" s="246" t="str">
        <f t="shared" si="210"/>
        <v/>
      </c>
    </row>
    <row r="6582" spans="1:11" x14ac:dyDescent="0.2">
      <c r="A6582" s="242"/>
      <c r="F6582" s="285" t="str">
        <f t="shared" si="211"/>
        <v/>
      </c>
      <c r="K6582" s="246" t="str">
        <f t="shared" si="210"/>
        <v/>
      </c>
    </row>
    <row r="6583" spans="1:11" x14ac:dyDescent="0.2">
      <c r="A6583" s="242"/>
      <c r="F6583" s="285" t="str">
        <f t="shared" si="211"/>
        <v/>
      </c>
      <c r="K6583" s="246" t="str">
        <f t="shared" si="210"/>
        <v/>
      </c>
    </row>
    <row r="6584" spans="1:11" x14ac:dyDescent="0.2">
      <c r="A6584" s="242"/>
      <c r="F6584" s="285" t="str">
        <f t="shared" si="211"/>
        <v/>
      </c>
      <c r="K6584" s="246" t="str">
        <f t="shared" si="210"/>
        <v/>
      </c>
    </row>
    <row r="6585" spans="1:11" x14ac:dyDescent="0.2">
      <c r="A6585" s="242"/>
      <c r="F6585" s="285" t="str">
        <f t="shared" si="211"/>
        <v/>
      </c>
      <c r="K6585" s="246" t="str">
        <f t="shared" si="210"/>
        <v/>
      </c>
    </row>
    <row r="6586" spans="1:11" x14ac:dyDescent="0.2">
      <c r="A6586" s="242"/>
      <c r="F6586" s="285" t="str">
        <f t="shared" si="211"/>
        <v/>
      </c>
      <c r="K6586" s="246" t="str">
        <f t="shared" si="210"/>
        <v/>
      </c>
    </row>
    <row r="6587" spans="1:11" x14ac:dyDescent="0.2">
      <c r="A6587" s="242"/>
      <c r="F6587" s="285" t="str">
        <f t="shared" si="211"/>
        <v/>
      </c>
      <c r="K6587" s="246" t="str">
        <f t="shared" ref="K6587:K6650" si="212">IF(A6587="","",A6587)</f>
        <v/>
      </c>
    </row>
    <row r="6588" spans="1:11" x14ac:dyDescent="0.2">
      <c r="A6588" s="242"/>
      <c r="F6588" s="285" t="str">
        <f t="shared" si="211"/>
        <v/>
      </c>
      <c r="K6588" s="246" t="str">
        <f t="shared" si="212"/>
        <v/>
      </c>
    </row>
    <row r="6589" spans="1:11" x14ac:dyDescent="0.2">
      <c r="A6589" s="242"/>
      <c r="F6589" s="285" t="str">
        <f t="shared" si="211"/>
        <v/>
      </c>
      <c r="K6589" s="246" t="str">
        <f t="shared" si="212"/>
        <v/>
      </c>
    </row>
    <row r="6590" spans="1:11" x14ac:dyDescent="0.2">
      <c r="A6590" s="242"/>
      <c r="F6590" s="285" t="str">
        <f t="shared" si="211"/>
        <v/>
      </c>
      <c r="K6590" s="246" t="str">
        <f t="shared" si="212"/>
        <v/>
      </c>
    </row>
    <row r="6591" spans="1:11" x14ac:dyDescent="0.2">
      <c r="A6591" s="242"/>
      <c r="F6591" s="285" t="str">
        <f t="shared" si="211"/>
        <v/>
      </c>
      <c r="K6591" s="246" t="str">
        <f t="shared" si="212"/>
        <v/>
      </c>
    </row>
    <row r="6592" spans="1:11" x14ac:dyDescent="0.2">
      <c r="A6592" s="242"/>
      <c r="F6592" s="285" t="str">
        <f t="shared" si="211"/>
        <v/>
      </c>
      <c r="K6592" s="246" t="str">
        <f t="shared" si="212"/>
        <v/>
      </c>
    </row>
    <row r="6593" spans="1:11" x14ac:dyDescent="0.2">
      <c r="A6593" s="242"/>
      <c r="F6593" s="285" t="str">
        <f t="shared" si="211"/>
        <v/>
      </c>
      <c r="K6593" s="246" t="str">
        <f t="shared" si="212"/>
        <v/>
      </c>
    </row>
    <row r="6594" spans="1:11" x14ac:dyDescent="0.2">
      <c r="A6594" s="242"/>
      <c r="F6594" s="285" t="str">
        <f t="shared" si="211"/>
        <v/>
      </c>
      <c r="K6594" s="246" t="str">
        <f t="shared" si="212"/>
        <v/>
      </c>
    </row>
    <row r="6595" spans="1:11" x14ac:dyDescent="0.2">
      <c r="A6595" s="242"/>
      <c r="F6595" s="285" t="str">
        <f t="shared" si="211"/>
        <v/>
      </c>
      <c r="K6595" s="246" t="str">
        <f t="shared" si="212"/>
        <v/>
      </c>
    </row>
    <row r="6596" spans="1:11" x14ac:dyDescent="0.2">
      <c r="A6596" s="242"/>
      <c r="F6596" s="285" t="str">
        <f t="shared" si="211"/>
        <v/>
      </c>
      <c r="K6596" s="246" t="str">
        <f t="shared" si="212"/>
        <v/>
      </c>
    </row>
    <row r="6597" spans="1:11" x14ac:dyDescent="0.2">
      <c r="A6597" s="242"/>
      <c r="F6597" s="285" t="str">
        <f t="shared" ref="F6597:F6660" si="213">IF(A6597="","",A6597)</f>
        <v/>
      </c>
      <c r="K6597" s="246" t="str">
        <f t="shared" si="212"/>
        <v/>
      </c>
    </row>
    <row r="6598" spans="1:11" x14ac:dyDescent="0.2">
      <c r="A6598" s="242"/>
      <c r="F6598" s="285" t="str">
        <f t="shared" si="213"/>
        <v/>
      </c>
      <c r="K6598" s="246" t="str">
        <f t="shared" si="212"/>
        <v/>
      </c>
    </row>
    <row r="6599" spans="1:11" x14ac:dyDescent="0.2">
      <c r="A6599" s="242"/>
      <c r="F6599" s="285" t="str">
        <f t="shared" si="213"/>
        <v/>
      </c>
      <c r="K6599" s="246" t="str">
        <f t="shared" si="212"/>
        <v/>
      </c>
    </row>
    <row r="6600" spans="1:11" x14ac:dyDescent="0.2">
      <c r="A6600" s="242"/>
      <c r="F6600" s="285" t="str">
        <f t="shared" si="213"/>
        <v/>
      </c>
      <c r="K6600" s="246" t="str">
        <f t="shared" si="212"/>
        <v/>
      </c>
    </row>
    <row r="6601" spans="1:11" x14ac:dyDescent="0.2">
      <c r="A6601" s="242"/>
      <c r="F6601" s="285" t="str">
        <f t="shared" si="213"/>
        <v/>
      </c>
      <c r="K6601" s="246" t="str">
        <f t="shared" si="212"/>
        <v/>
      </c>
    </row>
    <row r="6602" spans="1:11" x14ac:dyDescent="0.2">
      <c r="A6602" s="242"/>
      <c r="F6602" s="285" t="str">
        <f t="shared" si="213"/>
        <v/>
      </c>
      <c r="K6602" s="246" t="str">
        <f t="shared" si="212"/>
        <v/>
      </c>
    </row>
    <row r="6603" spans="1:11" x14ac:dyDescent="0.2">
      <c r="A6603" s="242"/>
      <c r="F6603" s="285" t="str">
        <f t="shared" si="213"/>
        <v/>
      </c>
      <c r="K6603" s="246" t="str">
        <f t="shared" si="212"/>
        <v/>
      </c>
    </row>
    <row r="6604" spans="1:11" x14ac:dyDescent="0.2">
      <c r="A6604" s="242"/>
      <c r="F6604" s="285" t="str">
        <f t="shared" si="213"/>
        <v/>
      </c>
      <c r="K6604" s="246" t="str">
        <f t="shared" si="212"/>
        <v/>
      </c>
    </row>
    <row r="6605" spans="1:11" x14ac:dyDescent="0.2">
      <c r="A6605" s="242"/>
      <c r="F6605" s="285" t="str">
        <f t="shared" si="213"/>
        <v/>
      </c>
      <c r="K6605" s="246" t="str">
        <f t="shared" si="212"/>
        <v/>
      </c>
    </row>
    <row r="6606" spans="1:11" x14ac:dyDescent="0.2">
      <c r="A6606" s="242"/>
      <c r="F6606" s="285" t="str">
        <f t="shared" si="213"/>
        <v/>
      </c>
      <c r="K6606" s="246" t="str">
        <f t="shared" si="212"/>
        <v/>
      </c>
    </row>
    <row r="6607" spans="1:11" x14ac:dyDescent="0.2">
      <c r="A6607" s="242"/>
      <c r="F6607" s="285" t="str">
        <f t="shared" si="213"/>
        <v/>
      </c>
      <c r="K6607" s="246" t="str">
        <f t="shared" si="212"/>
        <v/>
      </c>
    </row>
    <row r="6608" spans="1:11" x14ac:dyDescent="0.2">
      <c r="A6608" s="242"/>
      <c r="F6608" s="285" t="str">
        <f t="shared" si="213"/>
        <v/>
      </c>
      <c r="K6608" s="246" t="str">
        <f t="shared" si="212"/>
        <v/>
      </c>
    </row>
    <row r="6609" spans="1:11" x14ac:dyDescent="0.2">
      <c r="A6609" s="242"/>
      <c r="F6609" s="285" t="str">
        <f t="shared" si="213"/>
        <v/>
      </c>
      <c r="K6609" s="246" t="str">
        <f t="shared" si="212"/>
        <v/>
      </c>
    </row>
    <row r="6610" spans="1:11" x14ac:dyDescent="0.2">
      <c r="A6610" s="242"/>
      <c r="F6610" s="285" t="str">
        <f t="shared" si="213"/>
        <v/>
      </c>
      <c r="K6610" s="246" t="str">
        <f t="shared" si="212"/>
        <v/>
      </c>
    </row>
    <row r="6611" spans="1:11" x14ac:dyDescent="0.2">
      <c r="A6611" s="242"/>
      <c r="F6611" s="285" t="str">
        <f t="shared" si="213"/>
        <v/>
      </c>
      <c r="K6611" s="246" t="str">
        <f t="shared" si="212"/>
        <v/>
      </c>
    </row>
    <row r="6612" spans="1:11" x14ac:dyDescent="0.2">
      <c r="A6612" s="242"/>
      <c r="F6612" s="285" t="str">
        <f t="shared" si="213"/>
        <v/>
      </c>
      <c r="K6612" s="246" t="str">
        <f t="shared" si="212"/>
        <v/>
      </c>
    </row>
    <row r="6613" spans="1:11" x14ac:dyDescent="0.2">
      <c r="A6613" s="242"/>
      <c r="F6613" s="285" t="str">
        <f t="shared" si="213"/>
        <v/>
      </c>
      <c r="K6613" s="246" t="str">
        <f t="shared" si="212"/>
        <v/>
      </c>
    </row>
    <row r="6614" spans="1:11" x14ac:dyDescent="0.2">
      <c r="A6614" s="242"/>
      <c r="F6614" s="285" t="str">
        <f t="shared" si="213"/>
        <v/>
      </c>
      <c r="K6614" s="246" t="str">
        <f t="shared" si="212"/>
        <v/>
      </c>
    </row>
    <row r="6615" spans="1:11" x14ac:dyDescent="0.2">
      <c r="A6615" s="242"/>
      <c r="F6615" s="285" t="str">
        <f t="shared" si="213"/>
        <v/>
      </c>
      <c r="K6615" s="246" t="str">
        <f t="shared" si="212"/>
        <v/>
      </c>
    </row>
    <row r="6616" spans="1:11" x14ac:dyDescent="0.2">
      <c r="A6616" s="242"/>
      <c r="F6616" s="285" t="str">
        <f t="shared" si="213"/>
        <v/>
      </c>
      <c r="K6616" s="246" t="str">
        <f t="shared" si="212"/>
        <v/>
      </c>
    </row>
    <row r="6617" spans="1:11" x14ac:dyDescent="0.2">
      <c r="A6617" s="242"/>
      <c r="F6617" s="285" t="str">
        <f t="shared" si="213"/>
        <v/>
      </c>
      <c r="K6617" s="246" t="str">
        <f t="shared" si="212"/>
        <v/>
      </c>
    </row>
    <row r="6618" spans="1:11" x14ac:dyDescent="0.2">
      <c r="A6618" s="242"/>
      <c r="F6618" s="285" t="str">
        <f t="shared" si="213"/>
        <v/>
      </c>
      <c r="K6618" s="246" t="str">
        <f t="shared" si="212"/>
        <v/>
      </c>
    </row>
    <row r="6619" spans="1:11" x14ac:dyDescent="0.2">
      <c r="A6619" s="242"/>
      <c r="F6619" s="285" t="str">
        <f t="shared" si="213"/>
        <v/>
      </c>
      <c r="K6619" s="246" t="str">
        <f t="shared" si="212"/>
        <v/>
      </c>
    </row>
    <row r="6620" spans="1:11" x14ac:dyDescent="0.2">
      <c r="A6620" s="242"/>
      <c r="F6620" s="285" t="str">
        <f t="shared" si="213"/>
        <v/>
      </c>
      <c r="K6620" s="246" t="str">
        <f t="shared" si="212"/>
        <v/>
      </c>
    </row>
    <row r="6621" spans="1:11" x14ac:dyDescent="0.2">
      <c r="A6621" s="242"/>
      <c r="F6621" s="285" t="str">
        <f t="shared" si="213"/>
        <v/>
      </c>
      <c r="K6621" s="246" t="str">
        <f t="shared" si="212"/>
        <v/>
      </c>
    </row>
    <row r="6622" spans="1:11" x14ac:dyDescent="0.2">
      <c r="A6622" s="242"/>
      <c r="F6622" s="285" t="str">
        <f t="shared" si="213"/>
        <v/>
      </c>
      <c r="K6622" s="246" t="str">
        <f t="shared" si="212"/>
        <v/>
      </c>
    </row>
    <row r="6623" spans="1:11" x14ac:dyDescent="0.2">
      <c r="A6623" s="242"/>
      <c r="F6623" s="285" t="str">
        <f t="shared" si="213"/>
        <v/>
      </c>
      <c r="K6623" s="246" t="str">
        <f t="shared" si="212"/>
        <v/>
      </c>
    </row>
    <row r="6624" spans="1:11" x14ac:dyDescent="0.2">
      <c r="A6624" s="242"/>
      <c r="F6624" s="285" t="str">
        <f t="shared" si="213"/>
        <v/>
      </c>
      <c r="K6624" s="246" t="str">
        <f t="shared" si="212"/>
        <v/>
      </c>
    </row>
    <row r="6625" spans="1:11" x14ac:dyDescent="0.2">
      <c r="A6625" s="242"/>
      <c r="F6625" s="285" t="str">
        <f t="shared" si="213"/>
        <v/>
      </c>
      <c r="K6625" s="246" t="str">
        <f t="shared" si="212"/>
        <v/>
      </c>
    </row>
    <row r="6626" spans="1:11" x14ac:dyDescent="0.2">
      <c r="A6626" s="242"/>
      <c r="F6626" s="285" t="str">
        <f t="shared" si="213"/>
        <v/>
      </c>
      <c r="K6626" s="246" t="str">
        <f t="shared" si="212"/>
        <v/>
      </c>
    </row>
    <row r="6627" spans="1:11" x14ac:dyDescent="0.2">
      <c r="A6627" s="242"/>
      <c r="F6627" s="285" t="str">
        <f t="shared" si="213"/>
        <v/>
      </c>
      <c r="K6627" s="246" t="str">
        <f t="shared" si="212"/>
        <v/>
      </c>
    </row>
    <row r="6628" spans="1:11" x14ac:dyDescent="0.2">
      <c r="A6628" s="242"/>
      <c r="F6628" s="285" t="str">
        <f t="shared" si="213"/>
        <v/>
      </c>
      <c r="K6628" s="246" t="str">
        <f t="shared" si="212"/>
        <v/>
      </c>
    </row>
    <row r="6629" spans="1:11" x14ac:dyDescent="0.2">
      <c r="A6629" s="242"/>
      <c r="F6629" s="285" t="str">
        <f t="shared" si="213"/>
        <v/>
      </c>
      <c r="K6629" s="246" t="str">
        <f t="shared" si="212"/>
        <v/>
      </c>
    </row>
    <row r="6630" spans="1:11" x14ac:dyDescent="0.2">
      <c r="A6630" s="242"/>
      <c r="F6630" s="285" t="str">
        <f t="shared" si="213"/>
        <v/>
      </c>
      <c r="K6630" s="246" t="str">
        <f t="shared" si="212"/>
        <v/>
      </c>
    </row>
    <row r="6631" spans="1:11" x14ac:dyDescent="0.2">
      <c r="A6631" s="242"/>
      <c r="F6631" s="285" t="str">
        <f t="shared" si="213"/>
        <v/>
      </c>
      <c r="K6631" s="246" t="str">
        <f t="shared" si="212"/>
        <v/>
      </c>
    </row>
    <row r="6632" spans="1:11" x14ac:dyDescent="0.2">
      <c r="A6632" s="242"/>
      <c r="F6632" s="285" t="str">
        <f t="shared" si="213"/>
        <v/>
      </c>
      <c r="K6632" s="246" t="str">
        <f t="shared" si="212"/>
        <v/>
      </c>
    </row>
    <row r="6633" spans="1:11" x14ac:dyDescent="0.2">
      <c r="A6633" s="242"/>
      <c r="F6633" s="285" t="str">
        <f t="shared" si="213"/>
        <v/>
      </c>
      <c r="K6633" s="246" t="str">
        <f t="shared" si="212"/>
        <v/>
      </c>
    </row>
    <row r="6634" spans="1:11" x14ac:dyDescent="0.2">
      <c r="A6634" s="242"/>
      <c r="F6634" s="285" t="str">
        <f t="shared" si="213"/>
        <v/>
      </c>
      <c r="K6634" s="246" t="str">
        <f t="shared" si="212"/>
        <v/>
      </c>
    </row>
    <row r="6635" spans="1:11" x14ac:dyDescent="0.2">
      <c r="A6635" s="242"/>
      <c r="F6635" s="285" t="str">
        <f t="shared" si="213"/>
        <v/>
      </c>
      <c r="K6635" s="246" t="str">
        <f t="shared" si="212"/>
        <v/>
      </c>
    </row>
    <row r="6636" spans="1:11" x14ac:dyDescent="0.2">
      <c r="A6636" s="242"/>
      <c r="F6636" s="285" t="str">
        <f t="shared" si="213"/>
        <v/>
      </c>
      <c r="K6636" s="246" t="str">
        <f t="shared" si="212"/>
        <v/>
      </c>
    </row>
    <row r="6637" spans="1:11" x14ac:dyDescent="0.2">
      <c r="A6637" s="242"/>
      <c r="F6637" s="285" t="str">
        <f t="shared" si="213"/>
        <v/>
      </c>
      <c r="K6637" s="246" t="str">
        <f t="shared" si="212"/>
        <v/>
      </c>
    </row>
    <row r="6638" spans="1:11" x14ac:dyDescent="0.2">
      <c r="A6638" s="242"/>
      <c r="F6638" s="285" t="str">
        <f t="shared" si="213"/>
        <v/>
      </c>
      <c r="K6638" s="246" t="str">
        <f t="shared" si="212"/>
        <v/>
      </c>
    </row>
    <row r="6639" spans="1:11" x14ac:dyDescent="0.2">
      <c r="A6639" s="242"/>
      <c r="F6639" s="285" t="str">
        <f t="shared" si="213"/>
        <v/>
      </c>
      <c r="K6639" s="246" t="str">
        <f t="shared" si="212"/>
        <v/>
      </c>
    </row>
    <row r="6640" spans="1:11" x14ac:dyDescent="0.2">
      <c r="A6640" s="242"/>
      <c r="F6640" s="285" t="str">
        <f t="shared" si="213"/>
        <v/>
      </c>
      <c r="K6640" s="246" t="str">
        <f t="shared" si="212"/>
        <v/>
      </c>
    </row>
    <row r="6641" spans="1:11" x14ac:dyDescent="0.2">
      <c r="A6641" s="242"/>
      <c r="F6641" s="285" t="str">
        <f t="shared" si="213"/>
        <v/>
      </c>
      <c r="K6641" s="246" t="str">
        <f t="shared" si="212"/>
        <v/>
      </c>
    </row>
    <row r="6642" spans="1:11" x14ac:dyDescent="0.2">
      <c r="A6642" s="242"/>
      <c r="F6642" s="285" t="str">
        <f t="shared" si="213"/>
        <v/>
      </c>
      <c r="K6642" s="246" t="str">
        <f t="shared" si="212"/>
        <v/>
      </c>
    </row>
    <row r="6643" spans="1:11" x14ac:dyDescent="0.2">
      <c r="A6643" s="242"/>
      <c r="F6643" s="285" t="str">
        <f t="shared" si="213"/>
        <v/>
      </c>
      <c r="K6643" s="246" t="str">
        <f t="shared" si="212"/>
        <v/>
      </c>
    </row>
    <row r="6644" spans="1:11" x14ac:dyDescent="0.2">
      <c r="A6644" s="242"/>
      <c r="F6644" s="285" t="str">
        <f t="shared" si="213"/>
        <v/>
      </c>
      <c r="K6644" s="246" t="str">
        <f t="shared" si="212"/>
        <v/>
      </c>
    </row>
    <row r="6645" spans="1:11" x14ac:dyDescent="0.2">
      <c r="A6645" s="242"/>
      <c r="F6645" s="285" t="str">
        <f t="shared" si="213"/>
        <v/>
      </c>
      <c r="K6645" s="246" t="str">
        <f t="shared" si="212"/>
        <v/>
      </c>
    </row>
    <row r="6646" spans="1:11" x14ac:dyDescent="0.2">
      <c r="A6646" s="242"/>
      <c r="F6646" s="285" t="str">
        <f t="shared" si="213"/>
        <v/>
      </c>
      <c r="K6646" s="246" t="str">
        <f t="shared" si="212"/>
        <v/>
      </c>
    </row>
    <row r="6647" spans="1:11" x14ac:dyDescent="0.2">
      <c r="A6647" s="242"/>
      <c r="F6647" s="285" t="str">
        <f t="shared" si="213"/>
        <v/>
      </c>
      <c r="K6647" s="246" t="str">
        <f t="shared" si="212"/>
        <v/>
      </c>
    </row>
    <row r="6648" spans="1:11" x14ac:dyDescent="0.2">
      <c r="A6648" s="242"/>
      <c r="F6648" s="285" t="str">
        <f t="shared" si="213"/>
        <v/>
      </c>
      <c r="K6648" s="246" t="str">
        <f t="shared" si="212"/>
        <v/>
      </c>
    </row>
    <row r="6649" spans="1:11" x14ac:dyDescent="0.2">
      <c r="A6649" s="242"/>
      <c r="F6649" s="285" t="str">
        <f t="shared" si="213"/>
        <v/>
      </c>
      <c r="K6649" s="246" t="str">
        <f t="shared" si="212"/>
        <v/>
      </c>
    </row>
    <row r="6650" spans="1:11" x14ac:dyDescent="0.2">
      <c r="A6650" s="242"/>
      <c r="F6650" s="285" t="str">
        <f t="shared" si="213"/>
        <v/>
      </c>
      <c r="K6650" s="246" t="str">
        <f t="shared" si="212"/>
        <v/>
      </c>
    </row>
    <row r="6651" spans="1:11" x14ac:dyDescent="0.2">
      <c r="A6651" s="242"/>
      <c r="F6651" s="285" t="str">
        <f t="shared" si="213"/>
        <v/>
      </c>
      <c r="K6651" s="246" t="str">
        <f t="shared" ref="K6651:K6714" si="214">IF(A6651="","",A6651)</f>
        <v/>
      </c>
    </row>
    <row r="6652" spans="1:11" x14ac:dyDescent="0.2">
      <c r="A6652" s="242"/>
      <c r="F6652" s="285" t="str">
        <f t="shared" si="213"/>
        <v/>
      </c>
      <c r="K6652" s="246" t="str">
        <f t="shared" si="214"/>
        <v/>
      </c>
    </row>
    <row r="6653" spans="1:11" x14ac:dyDescent="0.2">
      <c r="A6653" s="242"/>
      <c r="F6653" s="285" t="str">
        <f t="shared" si="213"/>
        <v/>
      </c>
      <c r="K6653" s="246" t="str">
        <f t="shared" si="214"/>
        <v/>
      </c>
    </row>
    <row r="6654" spans="1:11" x14ac:dyDescent="0.2">
      <c r="A6654" s="242"/>
      <c r="F6654" s="285" t="str">
        <f t="shared" si="213"/>
        <v/>
      </c>
      <c r="K6654" s="246" t="str">
        <f t="shared" si="214"/>
        <v/>
      </c>
    </row>
    <row r="6655" spans="1:11" x14ac:dyDescent="0.2">
      <c r="A6655" s="242"/>
      <c r="F6655" s="285" t="str">
        <f t="shared" si="213"/>
        <v/>
      </c>
      <c r="K6655" s="246" t="str">
        <f t="shared" si="214"/>
        <v/>
      </c>
    </row>
    <row r="6656" spans="1:11" x14ac:dyDescent="0.2">
      <c r="A6656" s="242"/>
      <c r="F6656" s="285" t="str">
        <f t="shared" si="213"/>
        <v/>
      </c>
      <c r="K6656" s="246" t="str">
        <f t="shared" si="214"/>
        <v/>
      </c>
    </row>
    <row r="6657" spans="1:11" x14ac:dyDescent="0.2">
      <c r="A6657" s="242"/>
      <c r="F6657" s="285" t="str">
        <f t="shared" si="213"/>
        <v/>
      </c>
      <c r="K6657" s="246" t="str">
        <f t="shared" si="214"/>
        <v/>
      </c>
    </row>
    <row r="6658" spans="1:11" x14ac:dyDescent="0.2">
      <c r="A6658" s="242"/>
      <c r="F6658" s="285" t="str">
        <f t="shared" si="213"/>
        <v/>
      </c>
      <c r="K6658" s="246" t="str">
        <f t="shared" si="214"/>
        <v/>
      </c>
    </row>
    <row r="6659" spans="1:11" x14ac:dyDescent="0.2">
      <c r="A6659" s="242"/>
      <c r="F6659" s="285" t="str">
        <f t="shared" si="213"/>
        <v/>
      </c>
      <c r="K6659" s="246" t="str">
        <f t="shared" si="214"/>
        <v/>
      </c>
    </row>
    <row r="6660" spans="1:11" x14ac:dyDescent="0.2">
      <c r="A6660" s="242"/>
      <c r="F6660" s="285" t="str">
        <f t="shared" si="213"/>
        <v/>
      </c>
      <c r="K6660" s="246" t="str">
        <f t="shared" si="214"/>
        <v/>
      </c>
    </row>
    <row r="6661" spans="1:11" x14ac:dyDescent="0.2">
      <c r="A6661" s="242"/>
      <c r="F6661" s="285" t="str">
        <f t="shared" ref="F6661:F6724" si="215">IF(A6661="","",A6661)</f>
        <v/>
      </c>
      <c r="K6661" s="246" t="str">
        <f t="shared" si="214"/>
        <v/>
      </c>
    </row>
    <row r="6662" spans="1:11" x14ac:dyDescent="0.2">
      <c r="A6662" s="242"/>
      <c r="F6662" s="285" t="str">
        <f t="shared" si="215"/>
        <v/>
      </c>
      <c r="K6662" s="246" t="str">
        <f t="shared" si="214"/>
        <v/>
      </c>
    </row>
    <row r="6663" spans="1:11" x14ac:dyDescent="0.2">
      <c r="A6663" s="242"/>
      <c r="F6663" s="285" t="str">
        <f t="shared" si="215"/>
        <v/>
      </c>
      <c r="K6663" s="246" t="str">
        <f t="shared" si="214"/>
        <v/>
      </c>
    </row>
    <row r="6664" spans="1:11" x14ac:dyDescent="0.2">
      <c r="A6664" s="242"/>
      <c r="F6664" s="285" t="str">
        <f t="shared" si="215"/>
        <v/>
      </c>
      <c r="K6664" s="246" t="str">
        <f t="shared" si="214"/>
        <v/>
      </c>
    </row>
    <row r="6665" spans="1:11" x14ac:dyDescent="0.2">
      <c r="A6665" s="242"/>
      <c r="F6665" s="285" t="str">
        <f t="shared" si="215"/>
        <v/>
      </c>
      <c r="K6665" s="246" t="str">
        <f t="shared" si="214"/>
        <v/>
      </c>
    </row>
    <row r="6666" spans="1:11" x14ac:dyDescent="0.2">
      <c r="A6666" s="242"/>
      <c r="F6666" s="285" t="str">
        <f t="shared" si="215"/>
        <v/>
      </c>
      <c r="K6666" s="246" t="str">
        <f t="shared" si="214"/>
        <v/>
      </c>
    </row>
    <row r="6667" spans="1:11" x14ac:dyDescent="0.2">
      <c r="A6667" s="242"/>
      <c r="F6667" s="285" t="str">
        <f t="shared" si="215"/>
        <v/>
      </c>
      <c r="K6667" s="246" t="str">
        <f t="shared" si="214"/>
        <v/>
      </c>
    </row>
    <row r="6668" spans="1:11" x14ac:dyDescent="0.2">
      <c r="A6668" s="242"/>
      <c r="F6668" s="285" t="str">
        <f t="shared" si="215"/>
        <v/>
      </c>
      <c r="K6668" s="246" t="str">
        <f t="shared" si="214"/>
        <v/>
      </c>
    </row>
    <row r="6669" spans="1:11" x14ac:dyDescent="0.2">
      <c r="A6669" s="242"/>
      <c r="F6669" s="285" t="str">
        <f t="shared" si="215"/>
        <v/>
      </c>
      <c r="K6669" s="246" t="str">
        <f t="shared" si="214"/>
        <v/>
      </c>
    </row>
    <row r="6670" spans="1:11" x14ac:dyDescent="0.2">
      <c r="A6670" s="242"/>
      <c r="F6670" s="285" t="str">
        <f t="shared" si="215"/>
        <v/>
      </c>
      <c r="K6670" s="246" t="str">
        <f t="shared" si="214"/>
        <v/>
      </c>
    </row>
    <row r="6671" spans="1:11" x14ac:dyDescent="0.2">
      <c r="A6671" s="242"/>
      <c r="F6671" s="285" t="str">
        <f t="shared" si="215"/>
        <v/>
      </c>
      <c r="K6671" s="246" t="str">
        <f t="shared" si="214"/>
        <v/>
      </c>
    </row>
    <row r="6672" spans="1:11" x14ac:dyDescent="0.2">
      <c r="A6672" s="242"/>
      <c r="F6672" s="285" t="str">
        <f t="shared" si="215"/>
        <v/>
      </c>
      <c r="K6672" s="246" t="str">
        <f t="shared" si="214"/>
        <v/>
      </c>
    </row>
    <row r="6673" spans="1:11" x14ac:dyDescent="0.2">
      <c r="A6673" s="242"/>
      <c r="F6673" s="285" t="str">
        <f t="shared" si="215"/>
        <v/>
      </c>
      <c r="K6673" s="246" t="str">
        <f t="shared" si="214"/>
        <v/>
      </c>
    </row>
    <row r="6674" spans="1:11" x14ac:dyDescent="0.2">
      <c r="A6674" s="242"/>
      <c r="F6674" s="285" t="str">
        <f t="shared" si="215"/>
        <v/>
      </c>
      <c r="K6674" s="246" t="str">
        <f t="shared" si="214"/>
        <v/>
      </c>
    </row>
    <row r="6675" spans="1:11" x14ac:dyDescent="0.2">
      <c r="A6675" s="242"/>
      <c r="F6675" s="285" t="str">
        <f t="shared" si="215"/>
        <v/>
      </c>
      <c r="K6675" s="246" t="str">
        <f t="shared" si="214"/>
        <v/>
      </c>
    </row>
    <row r="6676" spans="1:11" x14ac:dyDescent="0.2">
      <c r="A6676" s="242"/>
      <c r="F6676" s="285" t="str">
        <f t="shared" si="215"/>
        <v/>
      </c>
      <c r="K6676" s="246" t="str">
        <f t="shared" si="214"/>
        <v/>
      </c>
    </row>
    <row r="6677" spans="1:11" x14ac:dyDescent="0.2">
      <c r="A6677" s="242"/>
      <c r="F6677" s="285" t="str">
        <f t="shared" si="215"/>
        <v/>
      </c>
      <c r="K6677" s="246" t="str">
        <f t="shared" si="214"/>
        <v/>
      </c>
    </row>
    <row r="6678" spans="1:11" x14ac:dyDescent="0.2">
      <c r="A6678" s="242"/>
      <c r="F6678" s="285" t="str">
        <f t="shared" si="215"/>
        <v/>
      </c>
      <c r="K6678" s="246" t="str">
        <f t="shared" si="214"/>
        <v/>
      </c>
    </row>
    <row r="6679" spans="1:11" x14ac:dyDescent="0.2">
      <c r="A6679" s="242"/>
      <c r="F6679" s="285" t="str">
        <f t="shared" si="215"/>
        <v/>
      </c>
      <c r="K6679" s="246" t="str">
        <f t="shared" si="214"/>
        <v/>
      </c>
    </row>
    <row r="6680" spans="1:11" x14ac:dyDescent="0.2">
      <c r="A6680" s="242"/>
      <c r="F6680" s="285" t="str">
        <f t="shared" si="215"/>
        <v/>
      </c>
      <c r="K6680" s="246" t="str">
        <f t="shared" si="214"/>
        <v/>
      </c>
    </row>
    <row r="6681" spans="1:11" x14ac:dyDescent="0.2">
      <c r="A6681" s="242"/>
      <c r="F6681" s="285" t="str">
        <f t="shared" si="215"/>
        <v/>
      </c>
      <c r="K6681" s="246" t="str">
        <f t="shared" si="214"/>
        <v/>
      </c>
    </row>
    <row r="6682" spans="1:11" x14ac:dyDescent="0.2">
      <c r="A6682" s="242"/>
      <c r="F6682" s="285" t="str">
        <f t="shared" si="215"/>
        <v/>
      </c>
      <c r="K6682" s="246" t="str">
        <f t="shared" si="214"/>
        <v/>
      </c>
    </row>
    <row r="6683" spans="1:11" x14ac:dyDescent="0.2">
      <c r="A6683" s="242"/>
      <c r="F6683" s="285" t="str">
        <f t="shared" si="215"/>
        <v/>
      </c>
      <c r="K6683" s="246" t="str">
        <f t="shared" si="214"/>
        <v/>
      </c>
    </row>
    <row r="6684" spans="1:11" x14ac:dyDescent="0.2">
      <c r="A6684" s="242"/>
      <c r="F6684" s="285" t="str">
        <f t="shared" si="215"/>
        <v/>
      </c>
      <c r="K6684" s="246" t="str">
        <f t="shared" si="214"/>
        <v/>
      </c>
    </row>
    <row r="6685" spans="1:11" x14ac:dyDescent="0.2">
      <c r="A6685" s="242"/>
      <c r="F6685" s="285" t="str">
        <f t="shared" si="215"/>
        <v/>
      </c>
      <c r="K6685" s="246" t="str">
        <f t="shared" si="214"/>
        <v/>
      </c>
    </row>
    <row r="6686" spans="1:11" x14ac:dyDescent="0.2">
      <c r="A6686" s="242"/>
      <c r="F6686" s="285" t="str">
        <f t="shared" si="215"/>
        <v/>
      </c>
      <c r="K6686" s="246" t="str">
        <f t="shared" si="214"/>
        <v/>
      </c>
    </row>
    <row r="6687" spans="1:11" x14ac:dyDescent="0.2">
      <c r="A6687" s="242"/>
      <c r="F6687" s="285" t="str">
        <f t="shared" si="215"/>
        <v/>
      </c>
      <c r="K6687" s="246" t="str">
        <f t="shared" si="214"/>
        <v/>
      </c>
    </row>
    <row r="6688" spans="1:11" x14ac:dyDescent="0.2">
      <c r="A6688" s="242"/>
      <c r="F6688" s="285" t="str">
        <f t="shared" si="215"/>
        <v/>
      </c>
      <c r="K6688" s="246" t="str">
        <f t="shared" si="214"/>
        <v/>
      </c>
    </row>
    <row r="6689" spans="1:11" x14ac:dyDescent="0.2">
      <c r="A6689" s="242"/>
      <c r="F6689" s="285" t="str">
        <f t="shared" si="215"/>
        <v/>
      </c>
      <c r="K6689" s="246" t="str">
        <f t="shared" si="214"/>
        <v/>
      </c>
    </row>
    <row r="6690" spans="1:11" x14ac:dyDescent="0.2">
      <c r="A6690" s="242"/>
      <c r="F6690" s="285" t="str">
        <f t="shared" si="215"/>
        <v/>
      </c>
      <c r="K6690" s="246" t="str">
        <f t="shared" si="214"/>
        <v/>
      </c>
    </row>
    <row r="6691" spans="1:11" x14ac:dyDescent="0.2">
      <c r="A6691" s="242"/>
      <c r="F6691" s="285" t="str">
        <f t="shared" si="215"/>
        <v/>
      </c>
      <c r="K6691" s="246" t="str">
        <f t="shared" si="214"/>
        <v/>
      </c>
    </row>
    <row r="6692" spans="1:11" x14ac:dyDescent="0.2">
      <c r="A6692" s="242"/>
      <c r="F6692" s="285" t="str">
        <f t="shared" si="215"/>
        <v/>
      </c>
      <c r="K6692" s="246" t="str">
        <f t="shared" si="214"/>
        <v/>
      </c>
    </row>
    <row r="6693" spans="1:11" x14ac:dyDescent="0.2">
      <c r="A6693" s="242"/>
      <c r="F6693" s="285" t="str">
        <f t="shared" si="215"/>
        <v/>
      </c>
      <c r="K6693" s="246" t="str">
        <f t="shared" si="214"/>
        <v/>
      </c>
    </row>
    <row r="6694" spans="1:11" x14ac:dyDescent="0.2">
      <c r="A6694" s="242"/>
      <c r="F6694" s="285" t="str">
        <f t="shared" si="215"/>
        <v/>
      </c>
      <c r="K6694" s="246" t="str">
        <f t="shared" si="214"/>
        <v/>
      </c>
    </row>
    <row r="6695" spans="1:11" x14ac:dyDescent="0.2">
      <c r="A6695" s="242"/>
      <c r="F6695" s="285" t="str">
        <f t="shared" si="215"/>
        <v/>
      </c>
      <c r="K6695" s="246" t="str">
        <f t="shared" si="214"/>
        <v/>
      </c>
    </row>
    <row r="6696" spans="1:11" x14ac:dyDescent="0.2">
      <c r="A6696" s="242"/>
      <c r="F6696" s="285" t="str">
        <f t="shared" si="215"/>
        <v/>
      </c>
      <c r="K6696" s="246" t="str">
        <f t="shared" si="214"/>
        <v/>
      </c>
    </row>
    <row r="6697" spans="1:11" x14ac:dyDescent="0.2">
      <c r="A6697" s="242"/>
      <c r="F6697" s="285" t="str">
        <f t="shared" si="215"/>
        <v/>
      </c>
      <c r="K6697" s="246" t="str">
        <f t="shared" si="214"/>
        <v/>
      </c>
    </row>
    <row r="6698" spans="1:11" x14ac:dyDescent="0.2">
      <c r="A6698" s="242"/>
      <c r="F6698" s="285" t="str">
        <f t="shared" si="215"/>
        <v/>
      </c>
      <c r="K6698" s="246" t="str">
        <f t="shared" si="214"/>
        <v/>
      </c>
    </row>
    <row r="6699" spans="1:11" x14ac:dyDescent="0.2">
      <c r="A6699" s="242"/>
      <c r="F6699" s="285" t="str">
        <f t="shared" si="215"/>
        <v/>
      </c>
      <c r="K6699" s="246" t="str">
        <f t="shared" si="214"/>
        <v/>
      </c>
    </row>
    <row r="6700" spans="1:11" x14ac:dyDescent="0.2">
      <c r="A6700" s="242"/>
      <c r="F6700" s="285" t="str">
        <f t="shared" si="215"/>
        <v/>
      </c>
      <c r="K6700" s="246" t="str">
        <f t="shared" si="214"/>
        <v/>
      </c>
    </row>
    <row r="6701" spans="1:11" x14ac:dyDescent="0.2">
      <c r="A6701" s="242"/>
      <c r="F6701" s="285" t="str">
        <f t="shared" si="215"/>
        <v/>
      </c>
      <c r="K6701" s="246" t="str">
        <f t="shared" si="214"/>
        <v/>
      </c>
    </row>
    <row r="6702" spans="1:11" x14ac:dyDescent="0.2">
      <c r="A6702" s="242"/>
      <c r="F6702" s="285" t="str">
        <f t="shared" si="215"/>
        <v/>
      </c>
      <c r="K6702" s="246" t="str">
        <f t="shared" si="214"/>
        <v/>
      </c>
    </row>
    <row r="6703" spans="1:11" x14ac:dyDescent="0.2">
      <c r="A6703" s="242"/>
      <c r="F6703" s="285" t="str">
        <f t="shared" si="215"/>
        <v/>
      </c>
      <c r="K6703" s="246" t="str">
        <f t="shared" si="214"/>
        <v/>
      </c>
    </row>
    <row r="6704" spans="1:11" x14ac:dyDescent="0.2">
      <c r="A6704" s="242"/>
      <c r="F6704" s="285" t="str">
        <f t="shared" si="215"/>
        <v/>
      </c>
      <c r="K6704" s="246" t="str">
        <f t="shared" si="214"/>
        <v/>
      </c>
    </row>
    <row r="6705" spans="1:11" x14ac:dyDescent="0.2">
      <c r="A6705" s="242"/>
      <c r="F6705" s="285" t="str">
        <f t="shared" si="215"/>
        <v/>
      </c>
      <c r="K6705" s="246" t="str">
        <f t="shared" si="214"/>
        <v/>
      </c>
    </row>
    <row r="6706" spans="1:11" x14ac:dyDescent="0.2">
      <c r="A6706" s="242"/>
      <c r="F6706" s="285" t="str">
        <f t="shared" si="215"/>
        <v/>
      </c>
      <c r="K6706" s="246" t="str">
        <f t="shared" si="214"/>
        <v/>
      </c>
    </row>
    <row r="6707" spans="1:11" x14ac:dyDescent="0.2">
      <c r="A6707" s="242"/>
      <c r="F6707" s="285" t="str">
        <f t="shared" si="215"/>
        <v/>
      </c>
      <c r="K6707" s="246" t="str">
        <f t="shared" si="214"/>
        <v/>
      </c>
    </row>
    <row r="6708" spans="1:11" x14ac:dyDescent="0.2">
      <c r="A6708" s="242"/>
      <c r="F6708" s="285" t="str">
        <f t="shared" si="215"/>
        <v/>
      </c>
      <c r="K6708" s="246" t="str">
        <f t="shared" si="214"/>
        <v/>
      </c>
    </row>
    <row r="6709" spans="1:11" x14ac:dyDescent="0.2">
      <c r="A6709" s="242"/>
      <c r="F6709" s="285" t="str">
        <f t="shared" si="215"/>
        <v/>
      </c>
      <c r="K6709" s="246" t="str">
        <f t="shared" si="214"/>
        <v/>
      </c>
    </row>
    <row r="6710" spans="1:11" x14ac:dyDescent="0.2">
      <c r="A6710" s="242"/>
      <c r="F6710" s="285" t="str">
        <f t="shared" si="215"/>
        <v/>
      </c>
      <c r="K6710" s="246" t="str">
        <f t="shared" si="214"/>
        <v/>
      </c>
    </row>
    <row r="6711" spans="1:11" x14ac:dyDescent="0.2">
      <c r="A6711" s="242"/>
      <c r="F6711" s="285" t="str">
        <f t="shared" si="215"/>
        <v/>
      </c>
      <c r="K6711" s="246" t="str">
        <f t="shared" si="214"/>
        <v/>
      </c>
    </row>
    <row r="6712" spans="1:11" x14ac:dyDescent="0.2">
      <c r="A6712" s="242"/>
      <c r="F6712" s="285" t="str">
        <f t="shared" si="215"/>
        <v/>
      </c>
      <c r="K6712" s="246" t="str">
        <f t="shared" si="214"/>
        <v/>
      </c>
    </row>
    <row r="6713" spans="1:11" x14ac:dyDescent="0.2">
      <c r="A6713" s="242"/>
      <c r="F6713" s="285" t="str">
        <f t="shared" si="215"/>
        <v/>
      </c>
      <c r="K6713" s="246" t="str">
        <f t="shared" si="214"/>
        <v/>
      </c>
    </row>
    <row r="6714" spans="1:11" x14ac:dyDescent="0.2">
      <c r="A6714" s="242"/>
      <c r="F6714" s="285" t="str">
        <f t="shared" si="215"/>
        <v/>
      </c>
      <c r="K6714" s="246" t="str">
        <f t="shared" si="214"/>
        <v/>
      </c>
    </row>
    <row r="6715" spans="1:11" x14ac:dyDescent="0.2">
      <c r="A6715" s="242"/>
      <c r="F6715" s="285" t="str">
        <f t="shared" si="215"/>
        <v/>
      </c>
      <c r="K6715" s="246" t="str">
        <f t="shared" ref="K6715:K6778" si="216">IF(A6715="","",A6715)</f>
        <v/>
      </c>
    </row>
    <row r="6716" spans="1:11" x14ac:dyDescent="0.2">
      <c r="A6716" s="242"/>
      <c r="F6716" s="285" t="str">
        <f t="shared" si="215"/>
        <v/>
      </c>
      <c r="K6716" s="246" t="str">
        <f t="shared" si="216"/>
        <v/>
      </c>
    </row>
    <row r="6717" spans="1:11" x14ac:dyDescent="0.2">
      <c r="A6717" s="242"/>
      <c r="F6717" s="285" t="str">
        <f t="shared" si="215"/>
        <v/>
      </c>
      <c r="K6717" s="246" t="str">
        <f t="shared" si="216"/>
        <v/>
      </c>
    </row>
    <row r="6718" spans="1:11" x14ac:dyDescent="0.2">
      <c r="A6718" s="242"/>
      <c r="F6718" s="285" t="str">
        <f t="shared" si="215"/>
        <v/>
      </c>
      <c r="K6718" s="246" t="str">
        <f t="shared" si="216"/>
        <v/>
      </c>
    </row>
    <row r="6719" spans="1:11" x14ac:dyDescent="0.2">
      <c r="A6719" s="242"/>
      <c r="F6719" s="285" t="str">
        <f t="shared" si="215"/>
        <v/>
      </c>
      <c r="K6719" s="246" t="str">
        <f t="shared" si="216"/>
        <v/>
      </c>
    </row>
    <row r="6720" spans="1:11" x14ac:dyDescent="0.2">
      <c r="A6720" s="242"/>
      <c r="F6720" s="285" t="str">
        <f t="shared" si="215"/>
        <v/>
      </c>
      <c r="K6720" s="246" t="str">
        <f t="shared" si="216"/>
        <v/>
      </c>
    </row>
    <row r="6721" spans="1:11" x14ac:dyDescent="0.2">
      <c r="A6721" s="242"/>
      <c r="F6721" s="285" t="str">
        <f t="shared" si="215"/>
        <v/>
      </c>
      <c r="K6721" s="246" t="str">
        <f t="shared" si="216"/>
        <v/>
      </c>
    </row>
    <row r="6722" spans="1:11" x14ac:dyDescent="0.2">
      <c r="A6722" s="242"/>
      <c r="F6722" s="285" t="str">
        <f t="shared" si="215"/>
        <v/>
      </c>
      <c r="K6722" s="246" t="str">
        <f t="shared" si="216"/>
        <v/>
      </c>
    </row>
    <row r="6723" spans="1:11" x14ac:dyDescent="0.2">
      <c r="A6723" s="242"/>
      <c r="F6723" s="285" t="str">
        <f t="shared" si="215"/>
        <v/>
      </c>
      <c r="K6723" s="246" t="str">
        <f t="shared" si="216"/>
        <v/>
      </c>
    </row>
    <row r="6724" spans="1:11" x14ac:dyDescent="0.2">
      <c r="A6724" s="242"/>
      <c r="F6724" s="285" t="str">
        <f t="shared" si="215"/>
        <v/>
      </c>
      <c r="K6724" s="246" t="str">
        <f t="shared" si="216"/>
        <v/>
      </c>
    </row>
    <row r="6725" spans="1:11" x14ac:dyDescent="0.2">
      <c r="A6725" s="242"/>
      <c r="F6725" s="285" t="str">
        <f t="shared" ref="F6725:F6788" si="217">IF(A6725="","",A6725)</f>
        <v/>
      </c>
      <c r="K6725" s="246" t="str">
        <f t="shared" si="216"/>
        <v/>
      </c>
    </row>
    <row r="6726" spans="1:11" x14ac:dyDescent="0.2">
      <c r="A6726" s="242"/>
      <c r="F6726" s="285" t="str">
        <f t="shared" si="217"/>
        <v/>
      </c>
      <c r="K6726" s="246" t="str">
        <f t="shared" si="216"/>
        <v/>
      </c>
    </row>
    <row r="6727" spans="1:11" x14ac:dyDescent="0.2">
      <c r="A6727" s="242"/>
      <c r="F6727" s="285" t="str">
        <f t="shared" si="217"/>
        <v/>
      </c>
      <c r="K6727" s="246" t="str">
        <f t="shared" si="216"/>
        <v/>
      </c>
    </row>
    <row r="6728" spans="1:11" x14ac:dyDescent="0.2">
      <c r="A6728" s="242"/>
      <c r="F6728" s="285" t="str">
        <f t="shared" si="217"/>
        <v/>
      </c>
      <c r="K6728" s="246" t="str">
        <f t="shared" si="216"/>
        <v/>
      </c>
    </row>
    <row r="6729" spans="1:11" x14ac:dyDescent="0.2">
      <c r="A6729" s="242"/>
      <c r="F6729" s="285" t="str">
        <f t="shared" si="217"/>
        <v/>
      </c>
      <c r="K6729" s="246" t="str">
        <f t="shared" si="216"/>
        <v/>
      </c>
    </row>
    <row r="6730" spans="1:11" x14ac:dyDescent="0.2">
      <c r="A6730" s="242"/>
      <c r="F6730" s="285" t="str">
        <f t="shared" si="217"/>
        <v/>
      </c>
      <c r="K6730" s="246" t="str">
        <f t="shared" si="216"/>
        <v/>
      </c>
    </row>
    <row r="6731" spans="1:11" x14ac:dyDescent="0.2">
      <c r="A6731" s="242"/>
      <c r="F6731" s="285" t="str">
        <f t="shared" si="217"/>
        <v/>
      </c>
      <c r="K6731" s="246" t="str">
        <f t="shared" si="216"/>
        <v/>
      </c>
    </row>
    <row r="6732" spans="1:11" x14ac:dyDescent="0.2">
      <c r="A6732" s="242"/>
      <c r="F6732" s="285" t="str">
        <f t="shared" si="217"/>
        <v/>
      </c>
      <c r="K6732" s="246" t="str">
        <f t="shared" si="216"/>
        <v/>
      </c>
    </row>
    <row r="6733" spans="1:11" x14ac:dyDescent="0.2">
      <c r="A6733" s="242"/>
      <c r="F6733" s="285" t="str">
        <f t="shared" si="217"/>
        <v/>
      </c>
      <c r="K6733" s="246" t="str">
        <f t="shared" si="216"/>
        <v/>
      </c>
    </row>
    <row r="6734" spans="1:11" x14ac:dyDescent="0.2">
      <c r="A6734" s="242"/>
      <c r="F6734" s="285" t="str">
        <f t="shared" si="217"/>
        <v/>
      </c>
      <c r="K6734" s="246" t="str">
        <f t="shared" si="216"/>
        <v/>
      </c>
    </row>
    <row r="6735" spans="1:11" x14ac:dyDescent="0.2">
      <c r="A6735" s="242"/>
      <c r="F6735" s="285" t="str">
        <f t="shared" si="217"/>
        <v/>
      </c>
      <c r="K6735" s="246" t="str">
        <f t="shared" si="216"/>
        <v/>
      </c>
    </row>
    <row r="6736" spans="1:11" x14ac:dyDescent="0.2">
      <c r="A6736" s="242"/>
      <c r="F6736" s="285" t="str">
        <f t="shared" si="217"/>
        <v/>
      </c>
      <c r="K6736" s="246" t="str">
        <f t="shared" si="216"/>
        <v/>
      </c>
    </row>
    <row r="6737" spans="1:11" x14ac:dyDescent="0.2">
      <c r="A6737" s="242"/>
      <c r="F6737" s="285" t="str">
        <f t="shared" si="217"/>
        <v/>
      </c>
      <c r="K6737" s="246" t="str">
        <f t="shared" si="216"/>
        <v/>
      </c>
    </row>
    <row r="6738" spans="1:11" x14ac:dyDescent="0.2">
      <c r="A6738" s="242"/>
      <c r="F6738" s="285" t="str">
        <f t="shared" si="217"/>
        <v/>
      </c>
      <c r="K6738" s="246" t="str">
        <f t="shared" si="216"/>
        <v/>
      </c>
    </row>
    <row r="6739" spans="1:11" x14ac:dyDescent="0.2">
      <c r="A6739" s="242"/>
      <c r="F6739" s="285" t="str">
        <f t="shared" si="217"/>
        <v/>
      </c>
      <c r="K6739" s="246" t="str">
        <f t="shared" si="216"/>
        <v/>
      </c>
    </row>
    <row r="6740" spans="1:11" x14ac:dyDescent="0.2">
      <c r="A6740" s="242"/>
      <c r="F6740" s="285" t="str">
        <f t="shared" si="217"/>
        <v/>
      </c>
      <c r="K6740" s="246" t="str">
        <f t="shared" si="216"/>
        <v/>
      </c>
    </row>
    <row r="6741" spans="1:11" x14ac:dyDescent="0.2">
      <c r="A6741" s="242"/>
      <c r="F6741" s="285" t="str">
        <f t="shared" si="217"/>
        <v/>
      </c>
      <c r="K6741" s="246" t="str">
        <f t="shared" si="216"/>
        <v/>
      </c>
    </row>
    <row r="6742" spans="1:11" x14ac:dyDescent="0.2">
      <c r="A6742" s="242"/>
      <c r="F6742" s="285" t="str">
        <f t="shared" si="217"/>
        <v/>
      </c>
      <c r="K6742" s="246" t="str">
        <f t="shared" si="216"/>
        <v/>
      </c>
    </row>
    <row r="6743" spans="1:11" x14ac:dyDescent="0.2">
      <c r="A6743" s="242"/>
      <c r="F6743" s="285" t="str">
        <f t="shared" si="217"/>
        <v/>
      </c>
      <c r="K6743" s="246" t="str">
        <f t="shared" si="216"/>
        <v/>
      </c>
    </row>
    <row r="6744" spans="1:11" x14ac:dyDescent="0.2">
      <c r="A6744" s="242"/>
      <c r="F6744" s="285" t="str">
        <f t="shared" si="217"/>
        <v/>
      </c>
      <c r="K6744" s="246" t="str">
        <f t="shared" si="216"/>
        <v/>
      </c>
    </row>
    <row r="6745" spans="1:11" x14ac:dyDescent="0.2">
      <c r="A6745" s="242"/>
      <c r="F6745" s="285" t="str">
        <f t="shared" si="217"/>
        <v/>
      </c>
      <c r="K6745" s="246" t="str">
        <f t="shared" si="216"/>
        <v/>
      </c>
    </row>
    <row r="6746" spans="1:11" x14ac:dyDescent="0.2">
      <c r="A6746" s="242"/>
      <c r="F6746" s="285" t="str">
        <f t="shared" si="217"/>
        <v/>
      </c>
      <c r="K6746" s="246" t="str">
        <f t="shared" si="216"/>
        <v/>
      </c>
    </row>
    <row r="6747" spans="1:11" x14ac:dyDescent="0.2">
      <c r="A6747" s="242"/>
      <c r="F6747" s="285" t="str">
        <f t="shared" si="217"/>
        <v/>
      </c>
      <c r="K6747" s="246" t="str">
        <f t="shared" si="216"/>
        <v/>
      </c>
    </row>
    <row r="6748" spans="1:11" x14ac:dyDescent="0.2">
      <c r="A6748" s="242"/>
      <c r="F6748" s="285" t="str">
        <f t="shared" si="217"/>
        <v/>
      </c>
      <c r="K6748" s="246" t="str">
        <f t="shared" si="216"/>
        <v/>
      </c>
    </row>
    <row r="6749" spans="1:11" x14ac:dyDescent="0.2">
      <c r="A6749" s="242"/>
      <c r="F6749" s="285" t="str">
        <f t="shared" si="217"/>
        <v/>
      </c>
      <c r="K6749" s="246" t="str">
        <f t="shared" si="216"/>
        <v/>
      </c>
    </row>
    <row r="6750" spans="1:11" x14ac:dyDescent="0.2">
      <c r="A6750" s="242"/>
      <c r="F6750" s="285" t="str">
        <f t="shared" si="217"/>
        <v/>
      </c>
      <c r="K6750" s="246" t="str">
        <f t="shared" si="216"/>
        <v/>
      </c>
    </row>
    <row r="6751" spans="1:11" x14ac:dyDescent="0.2">
      <c r="A6751" s="242"/>
      <c r="F6751" s="285" t="str">
        <f t="shared" si="217"/>
        <v/>
      </c>
      <c r="K6751" s="246" t="str">
        <f t="shared" si="216"/>
        <v/>
      </c>
    </row>
    <row r="6752" spans="1:11" x14ac:dyDescent="0.2">
      <c r="A6752" s="242"/>
      <c r="F6752" s="285" t="str">
        <f t="shared" si="217"/>
        <v/>
      </c>
      <c r="K6752" s="246" t="str">
        <f t="shared" si="216"/>
        <v/>
      </c>
    </row>
    <row r="6753" spans="1:11" x14ac:dyDescent="0.2">
      <c r="A6753" s="242"/>
      <c r="F6753" s="285" t="str">
        <f t="shared" si="217"/>
        <v/>
      </c>
      <c r="K6753" s="246" t="str">
        <f t="shared" si="216"/>
        <v/>
      </c>
    </row>
    <row r="6754" spans="1:11" x14ac:dyDescent="0.2">
      <c r="A6754" s="242"/>
      <c r="F6754" s="285" t="str">
        <f t="shared" si="217"/>
        <v/>
      </c>
      <c r="K6754" s="246" t="str">
        <f t="shared" si="216"/>
        <v/>
      </c>
    </row>
    <row r="6755" spans="1:11" x14ac:dyDescent="0.2">
      <c r="A6755" s="242"/>
      <c r="F6755" s="285" t="str">
        <f t="shared" si="217"/>
        <v/>
      </c>
      <c r="K6755" s="246" t="str">
        <f t="shared" si="216"/>
        <v/>
      </c>
    </row>
    <row r="6756" spans="1:11" x14ac:dyDescent="0.2">
      <c r="A6756" s="242"/>
      <c r="F6756" s="285" t="str">
        <f t="shared" si="217"/>
        <v/>
      </c>
      <c r="K6756" s="246" t="str">
        <f t="shared" si="216"/>
        <v/>
      </c>
    </row>
    <row r="6757" spans="1:11" x14ac:dyDescent="0.2">
      <c r="A6757" s="242"/>
      <c r="F6757" s="285" t="str">
        <f t="shared" si="217"/>
        <v/>
      </c>
      <c r="K6757" s="246" t="str">
        <f t="shared" si="216"/>
        <v/>
      </c>
    </row>
    <row r="6758" spans="1:11" x14ac:dyDescent="0.2">
      <c r="A6758" s="242"/>
      <c r="F6758" s="285" t="str">
        <f t="shared" si="217"/>
        <v/>
      </c>
      <c r="K6758" s="246" t="str">
        <f t="shared" si="216"/>
        <v/>
      </c>
    </row>
    <row r="6759" spans="1:11" x14ac:dyDescent="0.2">
      <c r="A6759" s="242"/>
      <c r="F6759" s="285" t="str">
        <f t="shared" si="217"/>
        <v/>
      </c>
      <c r="K6759" s="246" t="str">
        <f t="shared" si="216"/>
        <v/>
      </c>
    </row>
    <row r="6760" spans="1:11" x14ac:dyDescent="0.2">
      <c r="A6760" s="242"/>
      <c r="F6760" s="285" t="str">
        <f t="shared" si="217"/>
        <v/>
      </c>
      <c r="K6760" s="246" t="str">
        <f t="shared" si="216"/>
        <v/>
      </c>
    </row>
    <row r="6761" spans="1:11" x14ac:dyDescent="0.2">
      <c r="A6761" s="242"/>
      <c r="F6761" s="285" t="str">
        <f t="shared" si="217"/>
        <v/>
      </c>
      <c r="K6761" s="246" t="str">
        <f t="shared" si="216"/>
        <v/>
      </c>
    </row>
    <row r="6762" spans="1:11" x14ac:dyDescent="0.2">
      <c r="A6762" s="242"/>
      <c r="F6762" s="285" t="str">
        <f t="shared" si="217"/>
        <v/>
      </c>
      <c r="K6762" s="246" t="str">
        <f t="shared" si="216"/>
        <v/>
      </c>
    </row>
    <row r="6763" spans="1:11" x14ac:dyDescent="0.2">
      <c r="A6763" s="242"/>
      <c r="F6763" s="285" t="str">
        <f t="shared" si="217"/>
        <v/>
      </c>
      <c r="K6763" s="246" t="str">
        <f t="shared" si="216"/>
        <v/>
      </c>
    </row>
    <row r="6764" spans="1:11" x14ac:dyDescent="0.2">
      <c r="A6764" s="242"/>
      <c r="F6764" s="285" t="str">
        <f t="shared" si="217"/>
        <v/>
      </c>
      <c r="K6764" s="246" t="str">
        <f t="shared" si="216"/>
        <v/>
      </c>
    </row>
    <row r="6765" spans="1:11" x14ac:dyDescent="0.2">
      <c r="A6765" s="242"/>
      <c r="F6765" s="285" t="str">
        <f t="shared" si="217"/>
        <v/>
      </c>
      <c r="K6765" s="246" t="str">
        <f t="shared" si="216"/>
        <v/>
      </c>
    </row>
    <row r="6766" spans="1:11" x14ac:dyDescent="0.2">
      <c r="A6766" s="242"/>
      <c r="F6766" s="285" t="str">
        <f t="shared" si="217"/>
        <v/>
      </c>
      <c r="K6766" s="246" t="str">
        <f t="shared" si="216"/>
        <v/>
      </c>
    </row>
    <row r="6767" spans="1:11" x14ac:dyDescent="0.2">
      <c r="A6767" s="242"/>
      <c r="F6767" s="285" t="str">
        <f t="shared" si="217"/>
        <v/>
      </c>
      <c r="K6767" s="246" t="str">
        <f t="shared" si="216"/>
        <v/>
      </c>
    </row>
    <row r="6768" spans="1:11" x14ac:dyDescent="0.2">
      <c r="A6768" s="242"/>
      <c r="F6768" s="285" t="str">
        <f t="shared" si="217"/>
        <v/>
      </c>
      <c r="K6768" s="246" t="str">
        <f t="shared" si="216"/>
        <v/>
      </c>
    </row>
    <row r="6769" spans="1:11" x14ac:dyDescent="0.2">
      <c r="A6769" s="242"/>
      <c r="F6769" s="285" t="str">
        <f t="shared" si="217"/>
        <v/>
      </c>
      <c r="K6769" s="246" t="str">
        <f t="shared" si="216"/>
        <v/>
      </c>
    </row>
    <row r="6770" spans="1:11" x14ac:dyDescent="0.2">
      <c r="A6770" s="242"/>
      <c r="F6770" s="285" t="str">
        <f t="shared" si="217"/>
        <v/>
      </c>
      <c r="K6770" s="246" t="str">
        <f t="shared" si="216"/>
        <v/>
      </c>
    </row>
    <row r="6771" spans="1:11" x14ac:dyDescent="0.2">
      <c r="A6771" s="242"/>
      <c r="F6771" s="285" t="str">
        <f t="shared" si="217"/>
        <v/>
      </c>
      <c r="K6771" s="246" t="str">
        <f t="shared" si="216"/>
        <v/>
      </c>
    </row>
    <row r="6772" spans="1:11" x14ac:dyDescent="0.2">
      <c r="A6772" s="242"/>
      <c r="F6772" s="285" t="str">
        <f t="shared" si="217"/>
        <v/>
      </c>
      <c r="K6772" s="246" t="str">
        <f t="shared" si="216"/>
        <v/>
      </c>
    </row>
    <row r="6773" spans="1:11" x14ac:dyDescent="0.2">
      <c r="A6773" s="242"/>
      <c r="F6773" s="285" t="str">
        <f t="shared" si="217"/>
        <v/>
      </c>
      <c r="K6773" s="246" t="str">
        <f t="shared" si="216"/>
        <v/>
      </c>
    </row>
    <row r="6774" spans="1:11" x14ac:dyDescent="0.2">
      <c r="A6774" s="242"/>
      <c r="F6774" s="285" t="str">
        <f t="shared" si="217"/>
        <v/>
      </c>
      <c r="K6774" s="246" t="str">
        <f t="shared" si="216"/>
        <v/>
      </c>
    </row>
    <row r="6775" spans="1:11" x14ac:dyDescent="0.2">
      <c r="A6775" s="242"/>
      <c r="F6775" s="285" t="str">
        <f t="shared" si="217"/>
        <v/>
      </c>
      <c r="K6775" s="246" t="str">
        <f t="shared" si="216"/>
        <v/>
      </c>
    </row>
    <row r="6776" spans="1:11" x14ac:dyDescent="0.2">
      <c r="A6776" s="242"/>
      <c r="F6776" s="285" t="str">
        <f t="shared" si="217"/>
        <v/>
      </c>
      <c r="K6776" s="246" t="str">
        <f t="shared" si="216"/>
        <v/>
      </c>
    </row>
    <row r="6777" spans="1:11" x14ac:dyDescent="0.2">
      <c r="A6777" s="242"/>
      <c r="F6777" s="285" t="str">
        <f t="shared" si="217"/>
        <v/>
      </c>
      <c r="K6777" s="246" t="str">
        <f t="shared" si="216"/>
        <v/>
      </c>
    </row>
    <row r="6778" spans="1:11" x14ac:dyDescent="0.2">
      <c r="A6778" s="242"/>
      <c r="F6778" s="285" t="str">
        <f t="shared" si="217"/>
        <v/>
      </c>
      <c r="K6778" s="246" t="str">
        <f t="shared" si="216"/>
        <v/>
      </c>
    </row>
    <row r="6779" spans="1:11" x14ac:dyDescent="0.2">
      <c r="A6779" s="242"/>
      <c r="F6779" s="285" t="str">
        <f t="shared" si="217"/>
        <v/>
      </c>
      <c r="K6779" s="246" t="str">
        <f t="shared" ref="K6779:K6842" si="218">IF(A6779="","",A6779)</f>
        <v/>
      </c>
    </row>
    <row r="6780" spans="1:11" x14ac:dyDescent="0.2">
      <c r="A6780" s="242"/>
      <c r="F6780" s="285" t="str">
        <f t="shared" si="217"/>
        <v/>
      </c>
      <c r="K6780" s="246" t="str">
        <f t="shared" si="218"/>
        <v/>
      </c>
    </row>
    <row r="6781" spans="1:11" x14ac:dyDescent="0.2">
      <c r="A6781" s="242"/>
      <c r="F6781" s="285" t="str">
        <f t="shared" si="217"/>
        <v/>
      </c>
      <c r="K6781" s="246" t="str">
        <f t="shared" si="218"/>
        <v/>
      </c>
    </row>
    <row r="6782" spans="1:11" x14ac:dyDescent="0.2">
      <c r="A6782" s="242"/>
      <c r="F6782" s="285" t="str">
        <f t="shared" si="217"/>
        <v/>
      </c>
      <c r="K6782" s="246" t="str">
        <f t="shared" si="218"/>
        <v/>
      </c>
    </row>
    <row r="6783" spans="1:11" x14ac:dyDescent="0.2">
      <c r="A6783" s="242"/>
      <c r="F6783" s="285" t="str">
        <f t="shared" si="217"/>
        <v/>
      </c>
      <c r="K6783" s="246" t="str">
        <f t="shared" si="218"/>
        <v/>
      </c>
    </row>
    <row r="6784" spans="1:11" x14ac:dyDescent="0.2">
      <c r="A6784" s="242"/>
      <c r="F6784" s="285" t="str">
        <f t="shared" si="217"/>
        <v/>
      </c>
      <c r="K6784" s="246" t="str">
        <f t="shared" si="218"/>
        <v/>
      </c>
    </row>
    <row r="6785" spans="1:11" x14ac:dyDescent="0.2">
      <c r="A6785" s="242"/>
      <c r="F6785" s="285" t="str">
        <f t="shared" si="217"/>
        <v/>
      </c>
      <c r="K6785" s="246" t="str">
        <f t="shared" si="218"/>
        <v/>
      </c>
    </row>
    <row r="6786" spans="1:11" x14ac:dyDescent="0.2">
      <c r="A6786" s="242"/>
      <c r="F6786" s="285" t="str">
        <f t="shared" si="217"/>
        <v/>
      </c>
      <c r="K6786" s="246" t="str">
        <f t="shared" si="218"/>
        <v/>
      </c>
    </row>
    <row r="6787" spans="1:11" x14ac:dyDescent="0.2">
      <c r="A6787" s="242"/>
      <c r="F6787" s="285" t="str">
        <f t="shared" si="217"/>
        <v/>
      </c>
      <c r="K6787" s="246" t="str">
        <f t="shared" si="218"/>
        <v/>
      </c>
    </row>
    <row r="6788" spans="1:11" x14ac:dyDescent="0.2">
      <c r="A6788" s="242"/>
      <c r="F6788" s="285" t="str">
        <f t="shared" si="217"/>
        <v/>
      </c>
      <c r="K6788" s="246" t="str">
        <f t="shared" si="218"/>
        <v/>
      </c>
    </row>
    <row r="6789" spans="1:11" x14ac:dyDescent="0.2">
      <c r="A6789" s="242"/>
      <c r="F6789" s="285" t="str">
        <f t="shared" ref="F6789:F6852" si="219">IF(A6789="","",A6789)</f>
        <v/>
      </c>
      <c r="K6789" s="246" t="str">
        <f t="shared" si="218"/>
        <v/>
      </c>
    </row>
    <row r="6790" spans="1:11" x14ac:dyDescent="0.2">
      <c r="A6790" s="242"/>
      <c r="F6790" s="285" t="str">
        <f t="shared" si="219"/>
        <v/>
      </c>
      <c r="K6790" s="246" t="str">
        <f t="shared" si="218"/>
        <v/>
      </c>
    </row>
    <row r="6791" spans="1:11" x14ac:dyDescent="0.2">
      <c r="A6791" s="242"/>
      <c r="F6791" s="285" t="str">
        <f t="shared" si="219"/>
        <v/>
      </c>
      <c r="K6791" s="246" t="str">
        <f t="shared" si="218"/>
        <v/>
      </c>
    </row>
    <row r="6792" spans="1:11" x14ac:dyDescent="0.2">
      <c r="A6792" s="242"/>
      <c r="F6792" s="285" t="str">
        <f t="shared" si="219"/>
        <v/>
      </c>
      <c r="K6792" s="246" t="str">
        <f t="shared" si="218"/>
        <v/>
      </c>
    </row>
    <row r="6793" spans="1:11" x14ac:dyDescent="0.2">
      <c r="A6793" s="242"/>
      <c r="F6793" s="285" t="str">
        <f t="shared" si="219"/>
        <v/>
      </c>
      <c r="K6793" s="246" t="str">
        <f t="shared" si="218"/>
        <v/>
      </c>
    </row>
    <row r="6794" spans="1:11" x14ac:dyDescent="0.2">
      <c r="A6794" s="242"/>
      <c r="F6794" s="285" t="str">
        <f t="shared" si="219"/>
        <v/>
      </c>
      <c r="K6794" s="246" t="str">
        <f t="shared" si="218"/>
        <v/>
      </c>
    </row>
    <row r="6795" spans="1:11" x14ac:dyDescent="0.2">
      <c r="A6795" s="242"/>
      <c r="F6795" s="285" t="str">
        <f t="shared" si="219"/>
        <v/>
      </c>
      <c r="K6795" s="246" t="str">
        <f t="shared" si="218"/>
        <v/>
      </c>
    </row>
    <row r="6796" spans="1:11" x14ac:dyDescent="0.2">
      <c r="A6796" s="242"/>
      <c r="F6796" s="285" t="str">
        <f t="shared" si="219"/>
        <v/>
      </c>
      <c r="K6796" s="246" t="str">
        <f t="shared" si="218"/>
        <v/>
      </c>
    </row>
    <row r="6797" spans="1:11" x14ac:dyDescent="0.2">
      <c r="A6797" s="242"/>
      <c r="F6797" s="285" t="str">
        <f t="shared" si="219"/>
        <v/>
      </c>
      <c r="K6797" s="246" t="str">
        <f t="shared" si="218"/>
        <v/>
      </c>
    </row>
    <row r="6798" spans="1:11" x14ac:dyDescent="0.2">
      <c r="A6798" s="242"/>
      <c r="F6798" s="285" t="str">
        <f t="shared" si="219"/>
        <v/>
      </c>
      <c r="K6798" s="246" t="str">
        <f t="shared" si="218"/>
        <v/>
      </c>
    </row>
    <row r="6799" spans="1:11" x14ac:dyDescent="0.2">
      <c r="A6799" s="242"/>
      <c r="F6799" s="285" t="str">
        <f t="shared" si="219"/>
        <v/>
      </c>
      <c r="K6799" s="246" t="str">
        <f t="shared" si="218"/>
        <v/>
      </c>
    </row>
    <row r="6800" spans="1:11" x14ac:dyDescent="0.2">
      <c r="A6800" s="242"/>
      <c r="F6800" s="285" t="str">
        <f t="shared" si="219"/>
        <v/>
      </c>
      <c r="K6800" s="246" t="str">
        <f t="shared" si="218"/>
        <v/>
      </c>
    </row>
    <row r="6801" spans="1:11" x14ac:dyDescent="0.2">
      <c r="A6801" s="242"/>
      <c r="F6801" s="285" t="str">
        <f t="shared" si="219"/>
        <v/>
      </c>
      <c r="K6801" s="246" t="str">
        <f t="shared" si="218"/>
        <v/>
      </c>
    </row>
    <row r="6802" spans="1:11" x14ac:dyDescent="0.2">
      <c r="A6802" s="242"/>
      <c r="F6802" s="285" t="str">
        <f t="shared" si="219"/>
        <v/>
      </c>
      <c r="K6802" s="246" t="str">
        <f t="shared" si="218"/>
        <v/>
      </c>
    </row>
    <row r="6803" spans="1:11" x14ac:dyDescent="0.2">
      <c r="A6803" s="242"/>
      <c r="F6803" s="285" t="str">
        <f t="shared" si="219"/>
        <v/>
      </c>
      <c r="K6803" s="246" t="str">
        <f t="shared" si="218"/>
        <v/>
      </c>
    </row>
    <row r="6804" spans="1:11" x14ac:dyDescent="0.2">
      <c r="A6804" s="242"/>
      <c r="F6804" s="285" t="str">
        <f t="shared" si="219"/>
        <v/>
      </c>
      <c r="K6804" s="246" t="str">
        <f t="shared" si="218"/>
        <v/>
      </c>
    </row>
    <row r="6805" spans="1:11" x14ac:dyDescent="0.2">
      <c r="A6805" s="242"/>
      <c r="F6805" s="285" t="str">
        <f t="shared" si="219"/>
        <v/>
      </c>
      <c r="K6805" s="246" t="str">
        <f t="shared" si="218"/>
        <v/>
      </c>
    </row>
    <row r="6806" spans="1:11" x14ac:dyDescent="0.2">
      <c r="A6806" s="242"/>
      <c r="F6806" s="285" t="str">
        <f t="shared" si="219"/>
        <v/>
      </c>
      <c r="K6806" s="246" t="str">
        <f t="shared" si="218"/>
        <v/>
      </c>
    </row>
    <row r="6807" spans="1:11" x14ac:dyDescent="0.2">
      <c r="A6807" s="242"/>
      <c r="F6807" s="285" t="str">
        <f t="shared" si="219"/>
        <v/>
      </c>
      <c r="K6807" s="246" t="str">
        <f t="shared" si="218"/>
        <v/>
      </c>
    </row>
    <row r="6808" spans="1:11" x14ac:dyDescent="0.2">
      <c r="A6808" s="242"/>
      <c r="F6808" s="285" t="str">
        <f t="shared" si="219"/>
        <v/>
      </c>
      <c r="K6808" s="246" t="str">
        <f t="shared" si="218"/>
        <v/>
      </c>
    </row>
    <row r="6809" spans="1:11" x14ac:dyDescent="0.2">
      <c r="A6809" s="242"/>
      <c r="F6809" s="285" t="str">
        <f t="shared" si="219"/>
        <v/>
      </c>
      <c r="K6809" s="246" t="str">
        <f t="shared" si="218"/>
        <v/>
      </c>
    </row>
    <row r="6810" spans="1:11" x14ac:dyDescent="0.2">
      <c r="A6810" s="242"/>
      <c r="F6810" s="285" t="str">
        <f t="shared" si="219"/>
        <v/>
      </c>
      <c r="K6810" s="246" t="str">
        <f t="shared" si="218"/>
        <v/>
      </c>
    </row>
    <row r="6811" spans="1:11" x14ac:dyDescent="0.2">
      <c r="A6811" s="242"/>
      <c r="F6811" s="285" t="str">
        <f t="shared" si="219"/>
        <v/>
      </c>
      <c r="K6811" s="246" t="str">
        <f t="shared" si="218"/>
        <v/>
      </c>
    </row>
    <row r="6812" spans="1:11" x14ac:dyDescent="0.2">
      <c r="A6812" s="242"/>
      <c r="F6812" s="285" t="str">
        <f t="shared" si="219"/>
        <v/>
      </c>
      <c r="K6812" s="246" t="str">
        <f t="shared" si="218"/>
        <v/>
      </c>
    </row>
    <row r="6813" spans="1:11" x14ac:dyDescent="0.2">
      <c r="A6813" s="242"/>
      <c r="F6813" s="285" t="str">
        <f t="shared" si="219"/>
        <v/>
      </c>
      <c r="K6813" s="246" t="str">
        <f t="shared" si="218"/>
        <v/>
      </c>
    </row>
    <row r="6814" spans="1:11" x14ac:dyDescent="0.2">
      <c r="A6814" s="242"/>
      <c r="F6814" s="285" t="str">
        <f t="shared" si="219"/>
        <v/>
      </c>
      <c r="K6814" s="246" t="str">
        <f t="shared" si="218"/>
        <v/>
      </c>
    </row>
    <row r="6815" spans="1:11" x14ac:dyDescent="0.2">
      <c r="A6815" s="242"/>
      <c r="F6815" s="285" t="str">
        <f t="shared" si="219"/>
        <v/>
      </c>
      <c r="K6815" s="246" t="str">
        <f t="shared" si="218"/>
        <v/>
      </c>
    </row>
    <row r="6816" spans="1:11" x14ac:dyDescent="0.2">
      <c r="A6816" s="242"/>
      <c r="F6816" s="285" t="str">
        <f t="shared" si="219"/>
        <v/>
      </c>
      <c r="K6816" s="246" t="str">
        <f t="shared" si="218"/>
        <v/>
      </c>
    </row>
    <row r="6817" spans="1:11" x14ac:dyDescent="0.2">
      <c r="A6817" s="242"/>
      <c r="F6817" s="285" t="str">
        <f t="shared" si="219"/>
        <v/>
      </c>
      <c r="K6817" s="246" t="str">
        <f t="shared" si="218"/>
        <v/>
      </c>
    </row>
    <row r="6818" spans="1:11" x14ac:dyDescent="0.2">
      <c r="A6818" s="242"/>
      <c r="F6818" s="285" t="str">
        <f t="shared" si="219"/>
        <v/>
      </c>
      <c r="K6818" s="246" t="str">
        <f t="shared" si="218"/>
        <v/>
      </c>
    </row>
    <row r="6819" spans="1:11" x14ac:dyDescent="0.2">
      <c r="A6819" s="242"/>
      <c r="F6819" s="285" t="str">
        <f t="shared" si="219"/>
        <v/>
      </c>
      <c r="K6819" s="246" t="str">
        <f t="shared" si="218"/>
        <v/>
      </c>
    </row>
    <row r="6820" spans="1:11" x14ac:dyDescent="0.2">
      <c r="A6820" s="242"/>
      <c r="F6820" s="285" t="str">
        <f t="shared" si="219"/>
        <v/>
      </c>
      <c r="K6820" s="246" t="str">
        <f t="shared" si="218"/>
        <v/>
      </c>
    </row>
    <row r="6821" spans="1:11" x14ac:dyDescent="0.2">
      <c r="A6821" s="242"/>
      <c r="F6821" s="285" t="str">
        <f t="shared" si="219"/>
        <v/>
      </c>
      <c r="K6821" s="246" t="str">
        <f t="shared" si="218"/>
        <v/>
      </c>
    </row>
    <row r="6822" spans="1:11" x14ac:dyDescent="0.2">
      <c r="A6822" s="242"/>
      <c r="F6822" s="285" t="str">
        <f t="shared" si="219"/>
        <v/>
      </c>
      <c r="K6822" s="246" t="str">
        <f t="shared" si="218"/>
        <v/>
      </c>
    </row>
    <row r="6823" spans="1:11" x14ac:dyDescent="0.2">
      <c r="A6823" s="242"/>
      <c r="F6823" s="285" t="str">
        <f t="shared" si="219"/>
        <v/>
      </c>
      <c r="K6823" s="246" t="str">
        <f t="shared" si="218"/>
        <v/>
      </c>
    </row>
    <row r="6824" spans="1:11" x14ac:dyDescent="0.2">
      <c r="A6824" s="242"/>
      <c r="F6824" s="285" t="str">
        <f t="shared" si="219"/>
        <v/>
      </c>
      <c r="K6824" s="246" t="str">
        <f t="shared" si="218"/>
        <v/>
      </c>
    </row>
    <row r="6825" spans="1:11" x14ac:dyDescent="0.2">
      <c r="A6825" s="242"/>
      <c r="F6825" s="285" t="str">
        <f t="shared" si="219"/>
        <v/>
      </c>
      <c r="K6825" s="246" t="str">
        <f t="shared" si="218"/>
        <v/>
      </c>
    </row>
    <row r="6826" spans="1:11" x14ac:dyDescent="0.2">
      <c r="A6826" s="242"/>
      <c r="F6826" s="285" t="str">
        <f t="shared" si="219"/>
        <v/>
      </c>
      <c r="K6826" s="246" t="str">
        <f t="shared" si="218"/>
        <v/>
      </c>
    </row>
    <row r="6827" spans="1:11" x14ac:dyDescent="0.2">
      <c r="A6827" s="242"/>
      <c r="F6827" s="285" t="str">
        <f t="shared" si="219"/>
        <v/>
      </c>
      <c r="K6827" s="246" t="str">
        <f t="shared" si="218"/>
        <v/>
      </c>
    </row>
    <row r="6828" spans="1:11" x14ac:dyDescent="0.2">
      <c r="A6828" s="242"/>
      <c r="F6828" s="285" t="str">
        <f t="shared" si="219"/>
        <v/>
      </c>
      <c r="K6828" s="246" t="str">
        <f t="shared" si="218"/>
        <v/>
      </c>
    </row>
    <row r="6829" spans="1:11" x14ac:dyDescent="0.2">
      <c r="A6829" s="242"/>
      <c r="F6829" s="285" t="str">
        <f t="shared" si="219"/>
        <v/>
      </c>
      <c r="K6829" s="246" t="str">
        <f t="shared" si="218"/>
        <v/>
      </c>
    </row>
    <row r="6830" spans="1:11" x14ac:dyDescent="0.2">
      <c r="A6830" s="242"/>
      <c r="F6830" s="285" t="str">
        <f t="shared" si="219"/>
        <v/>
      </c>
      <c r="K6830" s="246" t="str">
        <f t="shared" si="218"/>
        <v/>
      </c>
    </row>
    <row r="6831" spans="1:11" x14ac:dyDescent="0.2">
      <c r="A6831" s="242"/>
      <c r="F6831" s="285" t="str">
        <f t="shared" si="219"/>
        <v/>
      </c>
      <c r="K6831" s="246" t="str">
        <f t="shared" si="218"/>
        <v/>
      </c>
    </row>
    <row r="6832" spans="1:11" x14ac:dyDescent="0.2">
      <c r="A6832" s="242"/>
      <c r="F6832" s="285" t="str">
        <f t="shared" si="219"/>
        <v/>
      </c>
      <c r="K6832" s="246" t="str">
        <f t="shared" si="218"/>
        <v/>
      </c>
    </row>
    <row r="6833" spans="1:11" x14ac:dyDescent="0.2">
      <c r="A6833" s="242"/>
      <c r="F6833" s="285" t="str">
        <f t="shared" si="219"/>
        <v/>
      </c>
      <c r="K6833" s="246" t="str">
        <f t="shared" si="218"/>
        <v/>
      </c>
    </row>
    <row r="6834" spans="1:11" x14ac:dyDescent="0.2">
      <c r="A6834" s="242"/>
      <c r="F6834" s="285" t="str">
        <f t="shared" si="219"/>
        <v/>
      </c>
      <c r="K6834" s="246" t="str">
        <f t="shared" si="218"/>
        <v/>
      </c>
    </row>
    <row r="6835" spans="1:11" x14ac:dyDescent="0.2">
      <c r="A6835" s="242"/>
      <c r="F6835" s="285" t="str">
        <f t="shared" si="219"/>
        <v/>
      </c>
      <c r="K6835" s="246" t="str">
        <f t="shared" si="218"/>
        <v/>
      </c>
    </row>
    <row r="6836" spans="1:11" x14ac:dyDescent="0.2">
      <c r="A6836" s="242"/>
      <c r="F6836" s="285" t="str">
        <f t="shared" si="219"/>
        <v/>
      </c>
      <c r="K6836" s="246" t="str">
        <f t="shared" si="218"/>
        <v/>
      </c>
    </row>
    <row r="6837" spans="1:11" x14ac:dyDescent="0.2">
      <c r="A6837" s="242"/>
      <c r="F6837" s="285" t="str">
        <f t="shared" si="219"/>
        <v/>
      </c>
      <c r="K6837" s="246" t="str">
        <f t="shared" si="218"/>
        <v/>
      </c>
    </row>
    <row r="6838" spans="1:11" x14ac:dyDescent="0.2">
      <c r="A6838" s="242"/>
      <c r="F6838" s="285" t="str">
        <f t="shared" si="219"/>
        <v/>
      </c>
      <c r="K6838" s="246" t="str">
        <f t="shared" si="218"/>
        <v/>
      </c>
    </row>
    <row r="6839" spans="1:11" x14ac:dyDescent="0.2">
      <c r="A6839" s="242"/>
      <c r="F6839" s="285" t="str">
        <f t="shared" si="219"/>
        <v/>
      </c>
      <c r="K6839" s="246" t="str">
        <f t="shared" si="218"/>
        <v/>
      </c>
    </row>
    <row r="6840" spans="1:11" x14ac:dyDescent="0.2">
      <c r="A6840" s="242"/>
      <c r="F6840" s="285" t="str">
        <f t="shared" si="219"/>
        <v/>
      </c>
      <c r="K6840" s="246" t="str">
        <f t="shared" si="218"/>
        <v/>
      </c>
    </row>
    <row r="6841" spans="1:11" x14ac:dyDescent="0.2">
      <c r="A6841" s="242"/>
      <c r="F6841" s="285" t="str">
        <f t="shared" si="219"/>
        <v/>
      </c>
      <c r="K6841" s="246" t="str">
        <f t="shared" si="218"/>
        <v/>
      </c>
    </row>
    <row r="6842" spans="1:11" x14ac:dyDescent="0.2">
      <c r="A6842" s="242"/>
      <c r="F6842" s="285" t="str">
        <f t="shared" si="219"/>
        <v/>
      </c>
      <c r="K6842" s="246" t="str">
        <f t="shared" si="218"/>
        <v/>
      </c>
    </row>
    <row r="6843" spans="1:11" x14ac:dyDescent="0.2">
      <c r="A6843" s="242"/>
      <c r="F6843" s="285" t="str">
        <f t="shared" si="219"/>
        <v/>
      </c>
      <c r="K6843" s="246" t="str">
        <f t="shared" ref="K6843:K6906" si="220">IF(A6843="","",A6843)</f>
        <v/>
      </c>
    </row>
    <row r="6844" spans="1:11" x14ac:dyDescent="0.2">
      <c r="A6844" s="242"/>
      <c r="F6844" s="285" t="str">
        <f t="shared" si="219"/>
        <v/>
      </c>
      <c r="K6844" s="246" t="str">
        <f t="shared" si="220"/>
        <v/>
      </c>
    </row>
    <row r="6845" spans="1:11" x14ac:dyDescent="0.2">
      <c r="A6845" s="242"/>
      <c r="F6845" s="285" t="str">
        <f t="shared" si="219"/>
        <v/>
      </c>
      <c r="K6845" s="246" t="str">
        <f t="shared" si="220"/>
        <v/>
      </c>
    </row>
    <row r="6846" spans="1:11" x14ac:dyDescent="0.2">
      <c r="A6846" s="242"/>
      <c r="F6846" s="285" t="str">
        <f t="shared" si="219"/>
        <v/>
      </c>
      <c r="K6846" s="246" t="str">
        <f t="shared" si="220"/>
        <v/>
      </c>
    </row>
    <row r="6847" spans="1:11" x14ac:dyDescent="0.2">
      <c r="A6847" s="242"/>
      <c r="F6847" s="285" t="str">
        <f t="shared" si="219"/>
        <v/>
      </c>
      <c r="K6847" s="246" t="str">
        <f t="shared" si="220"/>
        <v/>
      </c>
    </row>
    <row r="6848" spans="1:11" x14ac:dyDescent="0.2">
      <c r="A6848" s="242"/>
      <c r="F6848" s="285" t="str">
        <f t="shared" si="219"/>
        <v/>
      </c>
      <c r="K6848" s="246" t="str">
        <f t="shared" si="220"/>
        <v/>
      </c>
    </row>
    <row r="6849" spans="1:11" x14ac:dyDescent="0.2">
      <c r="A6849" s="242"/>
      <c r="F6849" s="285" t="str">
        <f t="shared" si="219"/>
        <v/>
      </c>
      <c r="K6849" s="246" t="str">
        <f t="shared" si="220"/>
        <v/>
      </c>
    </row>
    <row r="6850" spans="1:11" x14ac:dyDescent="0.2">
      <c r="A6850" s="242"/>
      <c r="F6850" s="285" t="str">
        <f t="shared" si="219"/>
        <v/>
      </c>
      <c r="K6850" s="246" t="str">
        <f t="shared" si="220"/>
        <v/>
      </c>
    </row>
    <row r="6851" spans="1:11" x14ac:dyDescent="0.2">
      <c r="A6851" s="242"/>
      <c r="F6851" s="285" t="str">
        <f t="shared" si="219"/>
        <v/>
      </c>
      <c r="K6851" s="246" t="str">
        <f t="shared" si="220"/>
        <v/>
      </c>
    </row>
    <row r="6852" spans="1:11" x14ac:dyDescent="0.2">
      <c r="A6852" s="242"/>
      <c r="F6852" s="285" t="str">
        <f t="shared" si="219"/>
        <v/>
      </c>
      <c r="K6852" s="246" t="str">
        <f t="shared" si="220"/>
        <v/>
      </c>
    </row>
    <row r="6853" spans="1:11" x14ac:dyDescent="0.2">
      <c r="A6853" s="242"/>
      <c r="F6853" s="285" t="str">
        <f t="shared" ref="F6853:F6916" si="221">IF(A6853="","",A6853)</f>
        <v/>
      </c>
      <c r="K6853" s="246" t="str">
        <f t="shared" si="220"/>
        <v/>
      </c>
    </row>
    <row r="6854" spans="1:11" x14ac:dyDescent="0.2">
      <c r="A6854" s="242"/>
      <c r="F6854" s="285" t="str">
        <f t="shared" si="221"/>
        <v/>
      </c>
      <c r="K6854" s="246" t="str">
        <f t="shared" si="220"/>
        <v/>
      </c>
    </row>
    <row r="6855" spans="1:11" x14ac:dyDescent="0.2">
      <c r="A6855" s="242"/>
      <c r="F6855" s="285" t="str">
        <f t="shared" si="221"/>
        <v/>
      </c>
      <c r="K6855" s="246" t="str">
        <f t="shared" si="220"/>
        <v/>
      </c>
    </row>
    <row r="6856" spans="1:11" x14ac:dyDescent="0.2">
      <c r="A6856" s="242"/>
      <c r="F6856" s="285" t="str">
        <f t="shared" si="221"/>
        <v/>
      </c>
      <c r="K6856" s="246" t="str">
        <f t="shared" si="220"/>
        <v/>
      </c>
    </row>
    <row r="6857" spans="1:11" x14ac:dyDescent="0.2">
      <c r="A6857" s="242"/>
      <c r="F6857" s="285" t="str">
        <f t="shared" si="221"/>
        <v/>
      </c>
      <c r="K6857" s="246" t="str">
        <f t="shared" si="220"/>
        <v/>
      </c>
    </row>
    <row r="6858" spans="1:11" x14ac:dyDescent="0.2">
      <c r="A6858" s="242"/>
      <c r="F6858" s="285" t="str">
        <f t="shared" si="221"/>
        <v/>
      </c>
      <c r="K6858" s="246" t="str">
        <f t="shared" si="220"/>
        <v/>
      </c>
    </row>
    <row r="6859" spans="1:11" x14ac:dyDescent="0.2">
      <c r="A6859" s="242"/>
      <c r="F6859" s="285" t="str">
        <f t="shared" si="221"/>
        <v/>
      </c>
      <c r="K6859" s="246" t="str">
        <f t="shared" si="220"/>
        <v/>
      </c>
    </row>
    <row r="6860" spans="1:11" x14ac:dyDescent="0.2">
      <c r="A6860" s="242"/>
      <c r="F6860" s="285" t="str">
        <f t="shared" si="221"/>
        <v/>
      </c>
      <c r="K6860" s="246" t="str">
        <f t="shared" si="220"/>
        <v/>
      </c>
    </row>
    <row r="6861" spans="1:11" x14ac:dyDescent="0.2">
      <c r="A6861" s="242"/>
      <c r="F6861" s="285" t="str">
        <f t="shared" si="221"/>
        <v/>
      </c>
      <c r="K6861" s="246" t="str">
        <f t="shared" si="220"/>
        <v/>
      </c>
    </row>
    <row r="6862" spans="1:11" x14ac:dyDescent="0.2">
      <c r="A6862" s="242"/>
      <c r="F6862" s="285" t="str">
        <f t="shared" si="221"/>
        <v/>
      </c>
      <c r="K6862" s="246" t="str">
        <f t="shared" si="220"/>
        <v/>
      </c>
    </row>
    <row r="6863" spans="1:11" x14ac:dyDescent="0.2">
      <c r="A6863" s="242"/>
      <c r="F6863" s="285" t="str">
        <f t="shared" si="221"/>
        <v/>
      </c>
      <c r="K6863" s="246" t="str">
        <f t="shared" si="220"/>
        <v/>
      </c>
    </row>
    <row r="6864" spans="1:11" x14ac:dyDescent="0.2">
      <c r="A6864" s="242"/>
      <c r="F6864" s="285" t="str">
        <f t="shared" si="221"/>
        <v/>
      </c>
      <c r="K6864" s="246" t="str">
        <f t="shared" si="220"/>
        <v/>
      </c>
    </row>
    <row r="6865" spans="1:11" x14ac:dyDescent="0.2">
      <c r="A6865" s="242"/>
      <c r="F6865" s="285" t="str">
        <f t="shared" si="221"/>
        <v/>
      </c>
      <c r="K6865" s="246" t="str">
        <f t="shared" si="220"/>
        <v/>
      </c>
    </row>
    <row r="6866" spans="1:11" x14ac:dyDescent="0.2">
      <c r="A6866" s="242"/>
      <c r="F6866" s="285" t="str">
        <f t="shared" si="221"/>
        <v/>
      </c>
      <c r="K6866" s="246" t="str">
        <f t="shared" si="220"/>
        <v/>
      </c>
    </row>
    <row r="6867" spans="1:11" x14ac:dyDescent="0.2">
      <c r="A6867" s="242"/>
      <c r="F6867" s="285" t="str">
        <f t="shared" si="221"/>
        <v/>
      </c>
      <c r="K6867" s="246" t="str">
        <f t="shared" si="220"/>
        <v/>
      </c>
    </row>
    <row r="6868" spans="1:11" x14ac:dyDescent="0.2">
      <c r="A6868" s="242"/>
      <c r="F6868" s="285" t="str">
        <f t="shared" si="221"/>
        <v/>
      </c>
      <c r="K6868" s="246" t="str">
        <f t="shared" si="220"/>
        <v/>
      </c>
    </row>
    <row r="6869" spans="1:11" x14ac:dyDescent="0.2">
      <c r="A6869" s="242"/>
      <c r="F6869" s="285" t="str">
        <f t="shared" si="221"/>
        <v/>
      </c>
      <c r="K6869" s="246" t="str">
        <f t="shared" si="220"/>
        <v/>
      </c>
    </row>
    <row r="6870" spans="1:11" x14ac:dyDescent="0.2">
      <c r="A6870" s="242"/>
      <c r="F6870" s="285" t="str">
        <f t="shared" si="221"/>
        <v/>
      </c>
      <c r="K6870" s="246" t="str">
        <f t="shared" si="220"/>
        <v/>
      </c>
    </row>
    <row r="6871" spans="1:11" x14ac:dyDescent="0.2">
      <c r="A6871" s="242"/>
      <c r="F6871" s="285" t="str">
        <f t="shared" si="221"/>
        <v/>
      </c>
      <c r="K6871" s="246" t="str">
        <f t="shared" si="220"/>
        <v/>
      </c>
    </row>
    <row r="6872" spans="1:11" x14ac:dyDescent="0.2">
      <c r="A6872" s="242"/>
      <c r="F6872" s="285" t="str">
        <f t="shared" si="221"/>
        <v/>
      </c>
      <c r="K6872" s="246" t="str">
        <f t="shared" si="220"/>
        <v/>
      </c>
    </row>
    <row r="6873" spans="1:11" x14ac:dyDescent="0.2">
      <c r="A6873" s="242"/>
      <c r="F6873" s="285" t="str">
        <f t="shared" si="221"/>
        <v/>
      </c>
      <c r="K6873" s="246" t="str">
        <f t="shared" si="220"/>
        <v/>
      </c>
    </row>
    <row r="6874" spans="1:11" x14ac:dyDescent="0.2">
      <c r="A6874" s="242"/>
      <c r="F6874" s="285" t="str">
        <f t="shared" si="221"/>
        <v/>
      </c>
      <c r="K6874" s="246" t="str">
        <f t="shared" si="220"/>
        <v/>
      </c>
    </row>
    <row r="6875" spans="1:11" x14ac:dyDescent="0.2">
      <c r="A6875" s="242"/>
      <c r="F6875" s="285" t="str">
        <f t="shared" si="221"/>
        <v/>
      </c>
      <c r="K6875" s="246" t="str">
        <f t="shared" si="220"/>
        <v/>
      </c>
    </row>
    <row r="6876" spans="1:11" x14ac:dyDescent="0.2">
      <c r="A6876" s="242"/>
      <c r="F6876" s="285" t="str">
        <f t="shared" si="221"/>
        <v/>
      </c>
      <c r="K6876" s="246" t="str">
        <f t="shared" si="220"/>
        <v/>
      </c>
    </row>
    <row r="6877" spans="1:11" x14ac:dyDescent="0.2">
      <c r="A6877" s="242"/>
      <c r="F6877" s="285" t="str">
        <f t="shared" si="221"/>
        <v/>
      </c>
      <c r="K6877" s="246" t="str">
        <f t="shared" si="220"/>
        <v/>
      </c>
    </row>
    <row r="6878" spans="1:11" x14ac:dyDescent="0.2">
      <c r="A6878" s="242"/>
      <c r="F6878" s="285" t="str">
        <f t="shared" si="221"/>
        <v/>
      </c>
      <c r="K6878" s="246" t="str">
        <f t="shared" si="220"/>
        <v/>
      </c>
    </row>
    <row r="6879" spans="1:11" x14ac:dyDescent="0.2">
      <c r="A6879" s="242"/>
      <c r="F6879" s="285" t="str">
        <f t="shared" si="221"/>
        <v/>
      </c>
      <c r="K6879" s="246" t="str">
        <f t="shared" si="220"/>
        <v/>
      </c>
    </row>
    <row r="6880" spans="1:11" x14ac:dyDescent="0.2">
      <c r="A6880" s="242"/>
      <c r="F6880" s="285" t="str">
        <f t="shared" si="221"/>
        <v/>
      </c>
      <c r="K6880" s="246" t="str">
        <f t="shared" si="220"/>
        <v/>
      </c>
    </row>
    <row r="6881" spans="1:11" x14ac:dyDescent="0.2">
      <c r="A6881" s="242"/>
      <c r="F6881" s="285" t="str">
        <f t="shared" si="221"/>
        <v/>
      </c>
      <c r="K6881" s="246" t="str">
        <f t="shared" si="220"/>
        <v/>
      </c>
    </row>
    <row r="6882" spans="1:11" x14ac:dyDescent="0.2">
      <c r="A6882" s="242"/>
      <c r="F6882" s="285" t="str">
        <f t="shared" si="221"/>
        <v/>
      </c>
      <c r="K6882" s="246" t="str">
        <f t="shared" si="220"/>
        <v/>
      </c>
    </row>
    <row r="6883" spans="1:11" x14ac:dyDescent="0.2">
      <c r="A6883" s="242"/>
      <c r="F6883" s="285" t="str">
        <f t="shared" si="221"/>
        <v/>
      </c>
      <c r="K6883" s="246" t="str">
        <f t="shared" si="220"/>
        <v/>
      </c>
    </row>
    <row r="6884" spans="1:11" x14ac:dyDescent="0.2">
      <c r="A6884" s="242"/>
      <c r="F6884" s="285" t="str">
        <f t="shared" si="221"/>
        <v/>
      </c>
      <c r="K6884" s="246" t="str">
        <f t="shared" si="220"/>
        <v/>
      </c>
    </row>
    <row r="6885" spans="1:11" x14ac:dyDescent="0.2">
      <c r="A6885" s="242"/>
      <c r="F6885" s="285" t="str">
        <f t="shared" si="221"/>
        <v/>
      </c>
      <c r="K6885" s="246" t="str">
        <f t="shared" si="220"/>
        <v/>
      </c>
    </row>
    <row r="6886" spans="1:11" x14ac:dyDescent="0.2">
      <c r="A6886" s="242"/>
      <c r="F6886" s="285" t="str">
        <f t="shared" si="221"/>
        <v/>
      </c>
      <c r="K6886" s="246" t="str">
        <f t="shared" si="220"/>
        <v/>
      </c>
    </row>
    <row r="6887" spans="1:11" x14ac:dyDescent="0.2">
      <c r="A6887" s="242"/>
      <c r="F6887" s="285" t="str">
        <f t="shared" si="221"/>
        <v/>
      </c>
      <c r="K6887" s="246" t="str">
        <f t="shared" si="220"/>
        <v/>
      </c>
    </row>
    <row r="6888" spans="1:11" x14ac:dyDescent="0.2">
      <c r="A6888" s="242"/>
      <c r="F6888" s="285" t="str">
        <f t="shared" si="221"/>
        <v/>
      </c>
      <c r="K6888" s="246" t="str">
        <f t="shared" si="220"/>
        <v/>
      </c>
    </row>
    <row r="6889" spans="1:11" x14ac:dyDescent="0.2">
      <c r="A6889" s="242"/>
      <c r="F6889" s="285" t="str">
        <f t="shared" si="221"/>
        <v/>
      </c>
      <c r="K6889" s="246" t="str">
        <f t="shared" si="220"/>
        <v/>
      </c>
    </row>
    <row r="6890" spans="1:11" x14ac:dyDescent="0.2">
      <c r="A6890" s="242"/>
      <c r="F6890" s="285" t="str">
        <f t="shared" si="221"/>
        <v/>
      </c>
      <c r="K6890" s="246" t="str">
        <f t="shared" si="220"/>
        <v/>
      </c>
    </row>
    <row r="6891" spans="1:11" x14ac:dyDescent="0.2">
      <c r="A6891" s="242"/>
      <c r="F6891" s="285" t="str">
        <f t="shared" si="221"/>
        <v/>
      </c>
      <c r="K6891" s="246" t="str">
        <f t="shared" si="220"/>
        <v/>
      </c>
    </row>
    <row r="6892" spans="1:11" x14ac:dyDescent="0.2">
      <c r="A6892" s="242"/>
      <c r="F6892" s="285" t="str">
        <f t="shared" si="221"/>
        <v/>
      </c>
      <c r="K6892" s="246" t="str">
        <f t="shared" si="220"/>
        <v/>
      </c>
    </row>
    <row r="6893" spans="1:11" x14ac:dyDescent="0.2">
      <c r="A6893" s="242"/>
      <c r="F6893" s="285" t="str">
        <f t="shared" si="221"/>
        <v/>
      </c>
      <c r="K6893" s="246" t="str">
        <f t="shared" si="220"/>
        <v/>
      </c>
    </row>
    <row r="6894" spans="1:11" x14ac:dyDescent="0.2">
      <c r="A6894" s="242"/>
      <c r="F6894" s="285" t="str">
        <f t="shared" si="221"/>
        <v/>
      </c>
      <c r="K6894" s="246" t="str">
        <f t="shared" si="220"/>
        <v/>
      </c>
    </row>
    <row r="6895" spans="1:11" x14ac:dyDescent="0.2">
      <c r="A6895" s="242"/>
      <c r="F6895" s="285" t="str">
        <f t="shared" si="221"/>
        <v/>
      </c>
      <c r="K6895" s="246" t="str">
        <f t="shared" si="220"/>
        <v/>
      </c>
    </row>
    <row r="6896" spans="1:11" x14ac:dyDescent="0.2">
      <c r="A6896" s="242"/>
      <c r="F6896" s="285" t="str">
        <f t="shared" si="221"/>
        <v/>
      </c>
      <c r="K6896" s="246" t="str">
        <f t="shared" si="220"/>
        <v/>
      </c>
    </row>
    <row r="6897" spans="1:11" x14ac:dyDescent="0.2">
      <c r="A6897" s="242"/>
      <c r="F6897" s="285" t="str">
        <f t="shared" si="221"/>
        <v/>
      </c>
      <c r="K6897" s="246" t="str">
        <f t="shared" si="220"/>
        <v/>
      </c>
    </row>
    <row r="6898" spans="1:11" x14ac:dyDescent="0.2">
      <c r="A6898" s="242"/>
      <c r="F6898" s="285" t="str">
        <f t="shared" si="221"/>
        <v/>
      </c>
      <c r="K6898" s="246" t="str">
        <f t="shared" si="220"/>
        <v/>
      </c>
    </row>
    <row r="6899" spans="1:11" x14ac:dyDescent="0.2">
      <c r="A6899" s="242"/>
      <c r="F6899" s="285" t="str">
        <f t="shared" si="221"/>
        <v/>
      </c>
      <c r="K6899" s="246" t="str">
        <f t="shared" si="220"/>
        <v/>
      </c>
    </row>
    <row r="6900" spans="1:11" x14ac:dyDescent="0.2">
      <c r="A6900" s="242"/>
      <c r="F6900" s="285" t="str">
        <f t="shared" si="221"/>
        <v/>
      </c>
      <c r="K6900" s="246" t="str">
        <f t="shared" si="220"/>
        <v/>
      </c>
    </row>
    <row r="6901" spans="1:11" x14ac:dyDescent="0.2">
      <c r="A6901" s="242"/>
      <c r="F6901" s="285" t="str">
        <f t="shared" si="221"/>
        <v/>
      </c>
      <c r="K6901" s="246" t="str">
        <f t="shared" si="220"/>
        <v/>
      </c>
    </row>
    <row r="6902" spans="1:11" x14ac:dyDescent="0.2">
      <c r="A6902" s="242"/>
      <c r="F6902" s="285" t="str">
        <f t="shared" si="221"/>
        <v/>
      </c>
      <c r="K6902" s="246" t="str">
        <f t="shared" si="220"/>
        <v/>
      </c>
    </row>
    <row r="6903" spans="1:11" x14ac:dyDescent="0.2">
      <c r="A6903" s="242"/>
      <c r="F6903" s="285" t="str">
        <f t="shared" si="221"/>
        <v/>
      </c>
      <c r="K6903" s="246" t="str">
        <f t="shared" si="220"/>
        <v/>
      </c>
    </row>
    <row r="6904" spans="1:11" x14ac:dyDescent="0.2">
      <c r="A6904" s="242"/>
      <c r="F6904" s="285" t="str">
        <f t="shared" si="221"/>
        <v/>
      </c>
      <c r="K6904" s="246" t="str">
        <f t="shared" si="220"/>
        <v/>
      </c>
    </row>
    <row r="6905" spans="1:11" x14ac:dyDescent="0.2">
      <c r="A6905" s="242"/>
      <c r="F6905" s="285" t="str">
        <f t="shared" si="221"/>
        <v/>
      </c>
      <c r="K6905" s="246" t="str">
        <f t="shared" si="220"/>
        <v/>
      </c>
    </row>
    <row r="6906" spans="1:11" x14ac:dyDescent="0.2">
      <c r="A6906" s="242"/>
      <c r="F6906" s="285" t="str">
        <f t="shared" si="221"/>
        <v/>
      </c>
      <c r="K6906" s="246" t="str">
        <f t="shared" si="220"/>
        <v/>
      </c>
    </row>
    <row r="6907" spans="1:11" x14ac:dyDescent="0.2">
      <c r="A6907" s="242"/>
      <c r="F6907" s="285" t="str">
        <f t="shared" si="221"/>
        <v/>
      </c>
      <c r="K6907" s="246" t="str">
        <f t="shared" ref="K6907:K6970" si="222">IF(A6907="","",A6907)</f>
        <v/>
      </c>
    </row>
    <row r="6908" spans="1:11" x14ac:dyDescent="0.2">
      <c r="A6908" s="242"/>
      <c r="F6908" s="285" t="str">
        <f t="shared" si="221"/>
        <v/>
      </c>
      <c r="K6908" s="246" t="str">
        <f t="shared" si="222"/>
        <v/>
      </c>
    </row>
    <row r="6909" spans="1:11" x14ac:dyDescent="0.2">
      <c r="A6909" s="242"/>
      <c r="F6909" s="285" t="str">
        <f t="shared" si="221"/>
        <v/>
      </c>
      <c r="K6909" s="246" t="str">
        <f t="shared" si="222"/>
        <v/>
      </c>
    </row>
    <row r="6910" spans="1:11" x14ac:dyDescent="0.2">
      <c r="A6910" s="242"/>
      <c r="F6910" s="285" t="str">
        <f t="shared" si="221"/>
        <v/>
      </c>
      <c r="K6910" s="246" t="str">
        <f t="shared" si="222"/>
        <v/>
      </c>
    </row>
    <row r="6911" spans="1:11" x14ac:dyDescent="0.2">
      <c r="A6911" s="242"/>
      <c r="F6911" s="285" t="str">
        <f t="shared" si="221"/>
        <v/>
      </c>
      <c r="K6911" s="246" t="str">
        <f t="shared" si="222"/>
        <v/>
      </c>
    </row>
    <row r="6912" spans="1:11" x14ac:dyDescent="0.2">
      <c r="A6912" s="242"/>
      <c r="F6912" s="285" t="str">
        <f t="shared" si="221"/>
        <v/>
      </c>
      <c r="K6912" s="246" t="str">
        <f t="shared" si="222"/>
        <v/>
      </c>
    </row>
    <row r="6913" spans="1:11" x14ac:dyDescent="0.2">
      <c r="A6913" s="242"/>
      <c r="F6913" s="285" t="str">
        <f t="shared" si="221"/>
        <v/>
      </c>
      <c r="K6913" s="246" t="str">
        <f t="shared" si="222"/>
        <v/>
      </c>
    </row>
    <row r="6914" spans="1:11" x14ac:dyDescent="0.2">
      <c r="A6914" s="242"/>
      <c r="F6914" s="285" t="str">
        <f t="shared" si="221"/>
        <v/>
      </c>
      <c r="K6914" s="246" t="str">
        <f t="shared" si="222"/>
        <v/>
      </c>
    </row>
    <row r="6915" spans="1:11" x14ac:dyDescent="0.2">
      <c r="A6915" s="242"/>
      <c r="F6915" s="285" t="str">
        <f t="shared" si="221"/>
        <v/>
      </c>
      <c r="K6915" s="246" t="str">
        <f t="shared" si="222"/>
        <v/>
      </c>
    </row>
    <row r="6916" spans="1:11" x14ac:dyDescent="0.2">
      <c r="A6916" s="242"/>
      <c r="F6916" s="285" t="str">
        <f t="shared" si="221"/>
        <v/>
      </c>
      <c r="K6916" s="246" t="str">
        <f t="shared" si="222"/>
        <v/>
      </c>
    </row>
    <row r="6917" spans="1:11" x14ac:dyDescent="0.2">
      <c r="A6917" s="242"/>
      <c r="F6917" s="285" t="str">
        <f t="shared" ref="F6917:F6980" si="223">IF(A6917="","",A6917)</f>
        <v/>
      </c>
      <c r="K6917" s="246" t="str">
        <f t="shared" si="222"/>
        <v/>
      </c>
    </row>
    <row r="6918" spans="1:11" x14ac:dyDescent="0.2">
      <c r="A6918" s="242"/>
      <c r="F6918" s="285" t="str">
        <f t="shared" si="223"/>
        <v/>
      </c>
      <c r="K6918" s="246" t="str">
        <f t="shared" si="222"/>
        <v/>
      </c>
    </row>
    <row r="6919" spans="1:11" x14ac:dyDescent="0.2">
      <c r="A6919" s="242"/>
      <c r="F6919" s="285" t="str">
        <f t="shared" si="223"/>
        <v/>
      </c>
      <c r="K6919" s="246" t="str">
        <f t="shared" si="222"/>
        <v/>
      </c>
    </row>
    <row r="6920" spans="1:11" x14ac:dyDescent="0.2">
      <c r="A6920" s="242"/>
      <c r="F6920" s="285" t="str">
        <f t="shared" si="223"/>
        <v/>
      </c>
      <c r="K6920" s="246" t="str">
        <f t="shared" si="222"/>
        <v/>
      </c>
    </row>
    <row r="6921" spans="1:11" x14ac:dyDescent="0.2">
      <c r="A6921" s="242"/>
      <c r="F6921" s="285" t="str">
        <f t="shared" si="223"/>
        <v/>
      </c>
      <c r="K6921" s="246" t="str">
        <f t="shared" si="222"/>
        <v/>
      </c>
    </row>
    <row r="6922" spans="1:11" x14ac:dyDescent="0.2">
      <c r="A6922" s="242"/>
      <c r="F6922" s="285" t="str">
        <f t="shared" si="223"/>
        <v/>
      </c>
      <c r="K6922" s="246" t="str">
        <f t="shared" si="222"/>
        <v/>
      </c>
    </row>
    <row r="6923" spans="1:11" x14ac:dyDescent="0.2">
      <c r="A6923" s="242"/>
      <c r="F6923" s="285" t="str">
        <f t="shared" si="223"/>
        <v/>
      </c>
      <c r="K6923" s="246" t="str">
        <f t="shared" si="222"/>
        <v/>
      </c>
    </row>
    <row r="6924" spans="1:11" x14ac:dyDescent="0.2">
      <c r="A6924" s="242"/>
      <c r="F6924" s="285" t="str">
        <f t="shared" si="223"/>
        <v/>
      </c>
      <c r="K6924" s="246" t="str">
        <f t="shared" si="222"/>
        <v/>
      </c>
    </row>
    <row r="6925" spans="1:11" x14ac:dyDescent="0.2">
      <c r="A6925" s="242"/>
      <c r="F6925" s="285" t="str">
        <f t="shared" si="223"/>
        <v/>
      </c>
      <c r="K6925" s="246" t="str">
        <f t="shared" si="222"/>
        <v/>
      </c>
    </row>
    <row r="6926" spans="1:11" x14ac:dyDescent="0.2">
      <c r="A6926" s="242"/>
      <c r="F6926" s="285" t="str">
        <f t="shared" si="223"/>
        <v/>
      </c>
      <c r="K6926" s="246" t="str">
        <f t="shared" si="222"/>
        <v/>
      </c>
    </row>
    <row r="6927" spans="1:11" x14ac:dyDescent="0.2">
      <c r="A6927" s="242"/>
      <c r="F6927" s="285" t="str">
        <f t="shared" si="223"/>
        <v/>
      </c>
      <c r="K6927" s="246" t="str">
        <f t="shared" si="222"/>
        <v/>
      </c>
    </row>
    <row r="6928" spans="1:11" x14ac:dyDescent="0.2">
      <c r="A6928" s="242"/>
      <c r="F6928" s="285" t="str">
        <f t="shared" si="223"/>
        <v/>
      </c>
      <c r="K6928" s="246" t="str">
        <f t="shared" si="222"/>
        <v/>
      </c>
    </row>
    <row r="6929" spans="1:11" x14ac:dyDescent="0.2">
      <c r="A6929" s="242"/>
      <c r="F6929" s="285" t="str">
        <f t="shared" si="223"/>
        <v/>
      </c>
      <c r="K6929" s="246" t="str">
        <f t="shared" si="222"/>
        <v/>
      </c>
    </row>
    <row r="6930" spans="1:11" x14ac:dyDescent="0.2">
      <c r="A6930" s="242"/>
      <c r="F6930" s="285" t="str">
        <f t="shared" si="223"/>
        <v/>
      </c>
      <c r="K6930" s="246" t="str">
        <f t="shared" si="222"/>
        <v/>
      </c>
    </row>
    <row r="6931" spans="1:11" x14ac:dyDescent="0.2">
      <c r="A6931" s="242"/>
      <c r="F6931" s="285" t="str">
        <f t="shared" si="223"/>
        <v/>
      </c>
      <c r="K6931" s="246" t="str">
        <f t="shared" si="222"/>
        <v/>
      </c>
    </row>
    <row r="6932" spans="1:11" x14ac:dyDescent="0.2">
      <c r="A6932" s="242"/>
      <c r="F6932" s="285" t="str">
        <f t="shared" si="223"/>
        <v/>
      </c>
      <c r="K6932" s="246" t="str">
        <f t="shared" si="222"/>
        <v/>
      </c>
    </row>
    <row r="6933" spans="1:11" x14ac:dyDescent="0.2">
      <c r="A6933" s="242"/>
      <c r="F6933" s="285" t="str">
        <f t="shared" si="223"/>
        <v/>
      </c>
      <c r="K6933" s="246" t="str">
        <f t="shared" si="222"/>
        <v/>
      </c>
    </row>
    <row r="6934" spans="1:11" x14ac:dyDescent="0.2">
      <c r="A6934" s="242"/>
      <c r="F6934" s="285" t="str">
        <f t="shared" si="223"/>
        <v/>
      </c>
      <c r="K6934" s="246" t="str">
        <f t="shared" si="222"/>
        <v/>
      </c>
    </row>
    <row r="6935" spans="1:11" x14ac:dyDescent="0.2">
      <c r="A6935" s="242"/>
      <c r="F6935" s="285" t="str">
        <f t="shared" si="223"/>
        <v/>
      </c>
      <c r="K6935" s="246" t="str">
        <f t="shared" si="222"/>
        <v/>
      </c>
    </row>
    <row r="6936" spans="1:11" x14ac:dyDescent="0.2">
      <c r="A6936" s="242"/>
      <c r="F6936" s="285" t="str">
        <f t="shared" si="223"/>
        <v/>
      </c>
      <c r="K6936" s="246" t="str">
        <f t="shared" si="222"/>
        <v/>
      </c>
    </row>
    <row r="6937" spans="1:11" x14ac:dyDescent="0.2">
      <c r="A6937" s="242"/>
      <c r="F6937" s="285" t="str">
        <f t="shared" si="223"/>
        <v/>
      </c>
      <c r="K6937" s="246" t="str">
        <f t="shared" si="222"/>
        <v/>
      </c>
    </row>
    <row r="6938" spans="1:11" x14ac:dyDescent="0.2">
      <c r="A6938" s="242"/>
      <c r="F6938" s="285" t="str">
        <f t="shared" si="223"/>
        <v/>
      </c>
      <c r="K6938" s="246" t="str">
        <f t="shared" si="222"/>
        <v/>
      </c>
    </row>
    <row r="6939" spans="1:11" x14ac:dyDescent="0.2">
      <c r="A6939" s="242"/>
      <c r="F6939" s="285" t="str">
        <f t="shared" si="223"/>
        <v/>
      </c>
      <c r="K6939" s="246" t="str">
        <f t="shared" si="222"/>
        <v/>
      </c>
    </row>
    <row r="6940" spans="1:11" x14ac:dyDescent="0.2">
      <c r="A6940" s="242"/>
      <c r="F6940" s="285" t="str">
        <f t="shared" si="223"/>
        <v/>
      </c>
      <c r="K6940" s="246" t="str">
        <f t="shared" si="222"/>
        <v/>
      </c>
    </row>
    <row r="6941" spans="1:11" x14ac:dyDescent="0.2">
      <c r="A6941" s="242"/>
      <c r="F6941" s="285" t="str">
        <f t="shared" si="223"/>
        <v/>
      </c>
      <c r="K6941" s="246" t="str">
        <f t="shared" si="222"/>
        <v/>
      </c>
    </row>
    <row r="6942" spans="1:11" x14ac:dyDescent="0.2">
      <c r="A6942" s="242"/>
      <c r="F6942" s="285" t="str">
        <f t="shared" si="223"/>
        <v/>
      </c>
      <c r="K6942" s="246" t="str">
        <f t="shared" si="222"/>
        <v/>
      </c>
    </row>
    <row r="6943" spans="1:11" x14ac:dyDescent="0.2">
      <c r="A6943" s="242"/>
      <c r="F6943" s="285" t="str">
        <f t="shared" si="223"/>
        <v/>
      </c>
      <c r="K6943" s="246" t="str">
        <f t="shared" si="222"/>
        <v/>
      </c>
    </row>
    <row r="6944" spans="1:11" x14ac:dyDescent="0.2">
      <c r="A6944" s="242"/>
      <c r="F6944" s="285" t="str">
        <f t="shared" si="223"/>
        <v/>
      </c>
      <c r="K6944" s="246" t="str">
        <f t="shared" si="222"/>
        <v/>
      </c>
    </row>
    <row r="6945" spans="1:11" x14ac:dyDescent="0.2">
      <c r="A6945" s="242"/>
      <c r="F6945" s="285" t="str">
        <f t="shared" si="223"/>
        <v/>
      </c>
      <c r="K6945" s="246" t="str">
        <f t="shared" si="222"/>
        <v/>
      </c>
    </row>
    <row r="6946" spans="1:11" x14ac:dyDescent="0.2">
      <c r="A6946" s="242"/>
      <c r="F6946" s="285" t="str">
        <f t="shared" si="223"/>
        <v/>
      </c>
      <c r="K6946" s="246" t="str">
        <f t="shared" si="222"/>
        <v/>
      </c>
    </row>
    <row r="6947" spans="1:11" x14ac:dyDescent="0.2">
      <c r="A6947" s="242"/>
      <c r="F6947" s="285" t="str">
        <f t="shared" si="223"/>
        <v/>
      </c>
      <c r="K6947" s="246" t="str">
        <f t="shared" si="222"/>
        <v/>
      </c>
    </row>
    <row r="6948" spans="1:11" x14ac:dyDescent="0.2">
      <c r="A6948" s="242"/>
      <c r="F6948" s="285" t="str">
        <f t="shared" si="223"/>
        <v/>
      </c>
      <c r="K6948" s="246" t="str">
        <f t="shared" si="222"/>
        <v/>
      </c>
    </row>
    <row r="6949" spans="1:11" x14ac:dyDescent="0.2">
      <c r="A6949" s="242"/>
      <c r="F6949" s="285" t="str">
        <f t="shared" si="223"/>
        <v/>
      </c>
      <c r="K6949" s="246" t="str">
        <f t="shared" si="222"/>
        <v/>
      </c>
    </row>
    <row r="6950" spans="1:11" x14ac:dyDescent="0.2">
      <c r="A6950" s="242"/>
      <c r="F6950" s="285" t="str">
        <f t="shared" si="223"/>
        <v/>
      </c>
      <c r="K6950" s="246" t="str">
        <f t="shared" si="222"/>
        <v/>
      </c>
    </row>
    <row r="6951" spans="1:11" x14ac:dyDescent="0.2">
      <c r="A6951" s="242"/>
      <c r="F6951" s="285" t="str">
        <f t="shared" si="223"/>
        <v/>
      </c>
      <c r="K6951" s="246" t="str">
        <f t="shared" si="222"/>
        <v/>
      </c>
    </row>
    <row r="6952" spans="1:11" x14ac:dyDescent="0.2">
      <c r="A6952" s="242"/>
      <c r="F6952" s="285" t="str">
        <f t="shared" si="223"/>
        <v/>
      </c>
      <c r="K6952" s="246" t="str">
        <f t="shared" si="222"/>
        <v/>
      </c>
    </row>
    <row r="6953" spans="1:11" x14ac:dyDescent="0.2">
      <c r="A6953" s="242"/>
      <c r="F6953" s="285" t="str">
        <f t="shared" si="223"/>
        <v/>
      </c>
      <c r="K6953" s="246" t="str">
        <f t="shared" si="222"/>
        <v/>
      </c>
    </row>
    <row r="6954" spans="1:11" x14ac:dyDescent="0.2">
      <c r="A6954" s="242"/>
      <c r="F6954" s="285" t="str">
        <f t="shared" si="223"/>
        <v/>
      </c>
      <c r="K6954" s="246" t="str">
        <f t="shared" si="222"/>
        <v/>
      </c>
    </row>
    <row r="6955" spans="1:11" x14ac:dyDescent="0.2">
      <c r="A6955" s="242"/>
      <c r="F6955" s="285" t="str">
        <f t="shared" si="223"/>
        <v/>
      </c>
      <c r="K6955" s="246" t="str">
        <f t="shared" si="222"/>
        <v/>
      </c>
    </row>
    <row r="6956" spans="1:11" x14ac:dyDescent="0.2">
      <c r="A6956" s="242"/>
      <c r="F6956" s="285" t="str">
        <f t="shared" si="223"/>
        <v/>
      </c>
      <c r="K6956" s="246" t="str">
        <f t="shared" si="222"/>
        <v/>
      </c>
    </row>
    <row r="6957" spans="1:11" x14ac:dyDescent="0.2">
      <c r="A6957" s="242"/>
      <c r="F6957" s="285" t="str">
        <f t="shared" si="223"/>
        <v/>
      </c>
      <c r="K6957" s="246" t="str">
        <f t="shared" si="222"/>
        <v/>
      </c>
    </row>
    <row r="6958" spans="1:11" x14ac:dyDescent="0.2">
      <c r="A6958" s="242"/>
      <c r="F6958" s="285" t="str">
        <f t="shared" si="223"/>
        <v/>
      </c>
      <c r="K6958" s="246" t="str">
        <f t="shared" si="222"/>
        <v/>
      </c>
    </row>
    <row r="6959" spans="1:11" x14ac:dyDescent="0.2">
      <c r="A6959" s="242"/>
      <c r="F6959" s="285" t="str">
        <f t="shared" si="223"/>
        <v/>
      </c>
      <c r="K6959" s="246" t="str">
        <f t="shared" si="222"/>
        <v/>
      </c>
    </row>
    <row r="6960" spans="1:11" x14ac:dyDescent="0.2">
      <c r="A6960" s="242"/>
      <c r="F6960" s="285" t="str">
        <f t="shared" si="223"/>
        <v/>
      </c>
      <c r="K6960" s="246" t="str">
        <f t="shared" si="222"/>
        <v/>
      </c>
    </row>
    <row r="6961" spans="1:11" x14ac:dyDescent="0.2">
      <c r="A6961" s="242"/>
      <c r="F6961" s="285" t="str">
        <f t="shared" si="223"/>
        <v/>
      </c>
      <c r="K6961" s="246" t="str">
        <f t="shared" si="222"/>
        <v/>
      </c>
    </row>
    <row r="6962" spans="1:11" x14ac:dyDescent="0.2">
      <c r="A6962" s="242"/>
      <c r="F6962" s="285" t="str">
        <f t="shared" si="223"/>
        <v/>
      </c>
      <c r="K6962" s="246" t="str">
        <f t="shared" si="222"/>
        <v/>
      </c>
    </row>
    <row r="6963" spans="1:11" x14ac:dyDescent="0.2">
      <c r="A6963" s="242"/>
      <c r="F6963" s="285" t="str">
        <f t="shared" si="223"/>
        <v/>
      </c>
      <c r="K6963" s="246" t="str">
        <f t="shared" si="222"/>
        <v/>
      </c>
    </row>
    <row r="6964" spans="1:11" x14ac:dyDescent="0.2">
      <c r="A6964" s="242"/>
      <c r="F6964" s="285" t="str">
        <f t="shared" si="223"/>
        <v/>
      </c>
      <c r="K6964" s="246" t="str">
        <f t="shared" si="222"/>
        <v/>
      </c>
    </row>
    <row r="6965" spans="1:11" x14ac:dyDescent="0.2">
      <c r="A6965" s="242"/>
      <c r="F6965" s="285" t="str">
        <f t="shared" si="223"/>
        <v/>
      </c>
      <c r="K6965" s="246" t="str">
        <f t="shared" si="222"/>
        <v/>
      </c>
    </row>
    <row r="6966" spans="1:11" x14ac:dyDescent="0.2">
      <c r="A6966" s="242"/>
      <c r="F6966" s="285" t="str">
        <f t="shared" si="223"/>
        <v/>
      </c>
      <c r="K6966" s="246" t="str">
        <f t="shared" si="222"/>
        <v/>
      </c>
    </row>
    <row r="6967" spans="1:11" x14ac:dyDescent="0.2">
      <c r="A6967" s="242"/>
      <c r="F6967" s="285" t="str">
        <f t="shared" si="223"/>
        <v/>
      </c>
      <c r="K6967" s="246" t="str">
        <f t="shared" si="222"/>
        <v/>
      </c>
    </row>
    <row r="6968" spans="1:11" x14ac:dyDescent="0.2">
      <c r="A6968" s="242"/>
      <c r="F6968" s="285" t="str">
        <f t="shared" si="223"/>
        <v/>
      </c>
      <c r="K6968" s="246" t="str">
        <f t="shared" si="222"/>
        <v/>
      </c>
    </row>
    <row r="6969" spans="1:11" x14ac:dyDescent="0.2">
      <c r="A6969" s="242"/>
      <c r="F6969" s="285" t="str">
        <f t="shared" si="223"/>
        <v/>
      </c>
      <c r="K6969" s="246" t="str">
        <f t="shared" si="222"/>
        <v/>
      </c>
    </row>
    <row r="6970" spans="1:11" x14ac:dyDescent="0.2">
      <c r="A6970" s="242"/>
      <c r="F6970" s="285" t="str">
        <f t="shared" si="223"/>
        <v/>
      </c>
      <c r="K6970" s="246" t="str">
        <f t="shared" si="222"/>
        <v/>
      </c>
    </row>
    <row r="6971" spans="1:11" x14ac:dyDescent="0.2">
      <c r="A6971" s="242"/>
      <c r="F6971" s="285" t="str">
        <f t="shared" si="223"/>
        <v/>
      </c>
      <c r="K6971" s="246" t="str">
        <f t="shared" ref="K6971:K7034" si="224">IF(A6971="","",A6971)</f>
        <v/>
      </c>
    </row>
    <row r="6972" spans="1:11" x14ac:dyDescent="0.2">
      <c r="A6972" s="242"/>
      <c r="F6972" s="285" t="str">
        <f t="shared" si="223"/>
        <v/>
      </c>
      <c r="K6972" s="246" t="str">
        <f t="shared" si="224"/>
        <v/>
      </c>
    </row>
    <row r="6973" spans="1:11" x14ac:dyDescent="0.2">
      <c r="A6973" s="242"/>
      <c r="F6973" s="285" t="str">
        <f t="shared" si="223"/>
        <v/>
      </c>
      <c r="K6973" s="246" t="str">
        <f t="shared" si="224"/>
        <v/>
      </c>
    </row>
    <row r="6974" spans="1:11" x14ac:dyDescent="0.2">
      <c r="A6974" s="242"/>
      <c r="F6974" s="285" t="str">
        <f t="shared" si="223"/>
        <v/>
      </c>
      <c r="K6974" s="246" t="str">
        <f t="shared" si="224"/>
        <v/>
      </c>
    </row>
    <row r="6975" spans="1:11" x14ac:dyDescent="0.2">
      <c r="A6975" s="242"/>
      <c r="F6975" s="285" t="str">
        <f t="shared" si="223"/>
        <v/>
      </c>
      <c r="K6975" s="246" t="str">
        <f t="shared" si="224"/>
        <v/>
      </c>
    </row>
    <row r="6976" spans="1:11" x14ac:dyDescent="0.2">
      <c r="A6976" s="242"/>
      <c r="F6976" s="285" t="str">
        <f t="shared" si="223"/>
        <v/>
      </c>
      <c r="K6976" s="246" t="str">
        <f t="shared" si="224"/>
        <v/>
      </c>
    </row>
    <row r="6977" spans="1:11" x14ac:dyDescent="0.2">
      <c r="A6977" s="242"/>
      <c r="F6977" s="285" t="str">
        <f t="shared" si="223"/>
        <v/>
      </c>
      <c r="K6977" s="246" t="str">
        <f t="shared" si="224"/>
        <v/>
      </c>
    </row>
    <row r="6978" spans="1:11" x14ac:dyDescent="0.2">
      <c r="A6978" s="242"/>
      <c r="F6978" s="285" t="str">
        <f t="shared" si="223"/>
        <v/>
      </c>
      <c r="K6978" s="246" t="str">
        <f t="shared" si="224"/>
        <v/>
      </c>
    </row>
    <row r="6979" spans="1:11" x14ac:dyDescent="0.2">
      <c r="A6979" s="242"/>
      <c r="F6979" s="285" t="str">
        <f t="shared" si="223"/>
        <v/>
      </c>
      <c r="K6979" s="246" t="str">
        <f t="shared" si="224"/>
        <v/>
      </c>
    </row>
    <row r="6980" spans="1:11" x14ac:dyDescent="0.2">
      <c r="A6980" s="242"/>
      <c r="F6980" s="285" t="str">
        <f t="shared" si="223"/>
        <v/>
      </c>
      <c r="K6980" s="246" t="str">
        <f t="shared" si="224"/>
        <v/>
      </c>
    </row>
    <row r="6981" spans="1:11" x14ac:dyDescent="0.2">
      <c r="A6981" s="242"/>
      <c r="F6981" s="285" t="str">
        <f t="shared" ref="F6981:F7044" si="225">IF(A6981="","",A6981)</f>
        <v/>
      </c>
      <c r="K6981" s="246" t="str">
        <f t="shared" si="224"/>
        <v/>
      </c>
    </row>
    <row r="6982" spans="1:11" x14ac:dyDescent="0.2">
      <c r="A6982" s="242"/>
      <c r="F6982" s="285" t="str">
        <f t="shared" si="225"/>
        <v/>
      </c>
      <c r="K6982" s="246" t="str">
        <f t="shared" si="224"/>
        <v/>
      </c>
    </row>
    <row r="6983" spans="1:11" x14ac:dyDescent="0.2">
      <c r="A6983" s="242"/>
      <c r="F6983" s="285" t="str">
        <f t="shared" si="225"/>
        <v/>
      </c>
      <c r="K6983" s="246" t="str">
        <f t="shared" si="224"/>
        <v/>
      </c>
    </row>
    <row r="6984" spans="1:11" x14ac:dyDescent="0.2">
      <c r="A6984" s="242"/>
      <c r="F6984" s="285" t="str">
        <f t="shared" si="225"/>
        <v/>
      </c>
      <c r="K6984" s="246" t="str">
        <f t="shared" si="224"/>
        <v/>
      </c>
    </row>
    <row r="6985" spans="1:11" x14ac:dyDescent="0.2">
      <c r="A6985" s="242"/>
      <c r="F6985" s="285" t="str">
        <f t="shared" si="225"/>
        <v/>
      </c>
      <c r="K6985" s="246" t="str">
        <f t="shared" si="224"/>
        <v/>
      </c>
    </row>
    <row r="6986" spans="1:11" x14ac:dyDescent="0.2">
      <c r="A6986" s="242"/>
      <c r="F6986" s="285" t="str">
        <f t="shared" si="225"/>
        <v/>
      </c>
      <c r="K6986" s="246" t="str">
        <f t="shared" si="224"/>
        <v/>
      </c>
    </row>
    <row r="6987" spans="1:11" x14ac:dyDescent="0.2">
      <c r="A6987" s="242"/>
      <c r="F6987" s="285" t="str">
        <f t="shared" si="225"/>
        <v/>
      </c>
      <c r="K6987" s="246" t="str">
        <f t="shared" si="224"/>
        <v/>
      </c>
    </row>
    <row r="6988" spans="1:11" x14ac:dyDescent="0.2">
      <c r="A6988" s="242"/>
      <c r="F6988" s="285" t="str">
        <f t="shared" si="225"/>
        <v/>
      </c>
      <c r="K6988" s="246" t="str">
        <f t="shared" si="224"/>
        <v/>
      </c>
    </row>
    <row r="6989" spans="1:11" x14ac:dyDescent="0.2">
      <c r="A6989" s="242"/>
      <c r="F6989" s="285" t="str">
        <f t="shared" si="225"/>
        <v/>
      </c>
      <c r="K6989" s="246" t="str">
        <f t="shared" si="224"/>
        <v/>
      </c>
    </row>
    <row r="6990" spans="1:11" x14ac:dyDescent="0.2">
      <c r="A6990" s="242"/>
      <c r="F6990" s="285" t="str">
        <f t="shared" si="225"/>
        <v/>
      </c>
      <c r="K6990" s="246" t="str">
        <f t="shared" si="224"/>
        <v/>
      </c>
    </row>
    <row r="6991" spans="1:11" x14ac:dyDescent="0.2">
      <c r="A6991" s="242"/>
      <c r="F6991" s="285" t="str">
        <f t="shared" si="225"/>
        <v/>
      </c>
      <c r="K6991" s="246" t="str">
        <f t="shared" si="224"/>
        <v/>
      </c>
    </row>
    <row r="6992" spans="1:11" x14ac:dyDescent="0.2">
      <c r="A6992" s="242"/>
      <c r="F6992" s="285" t="str">
        <f t="shared" si="225"/>
        <v/>
      </c>
      <c r="K6992" s="246" t="str">
        <f t="shared" si="224"/>
        <v/>
      </c>
    </row>
    <row r="6993" spans="1:11" x14ac:dyDescent="0.2">
      <c r="A6993" s="242"/>
      <c r="F6993" s="285" t="str">
        <f t="shared" si="225"/>
        <v/>
      </c>
      <c r="K6993" s="246" t="str">
        <f t="shared" si="224"/>
        <v/>
      </c>
    </row>
    <row r="6994" spans="1:11" x14ac:dyDescent="0.2">
      <c r="A6994" s="242"/>
      <c r="F6994" s="285" t="str">
        <f t="shared" si="225"/>
        <v/>
      </c>
      <c r="K6994" s="246" t="str">
        <f t="shared" si="224"/>
        <v/>
      </c>
    </row>
    <row r="6995" spans="1:11" x14ac:dyDescent="0.2">
      <c r="A6995" s="242"/>
      <c r="F6995" s="285" t="str">
        <f t="shared" si="225"/>
        <v/>
      </c>
      <c r="K6995" s="246" t="str">
        <f t="shared" si="224"/>
        <v/>
      </c>
    </row>
    <row r="6996" spans="1:11" x14ac:dyDescent="0.2">
      <c r="A6996" s="242"/>
      <c r="F6996" s="285" t="str">
        <f t="shared" si="225"/>
        <v/>
      </c>
      <c r="K6996" s="246" t="str">
        <f t="shared" si="224"/>
        <v/>
      </c>
    </row>
    <row r="6997" spans="1:11" x14ac:dyDescent="0.2">
      <c r="A6997" s="242"/>
      <c r="F6997" s="285" t="str">
        <f t="shared" si="225"/>
        <v/>
      </c>
      <c r="K6997" s="246" t="str">
        <f t="shared" si="224"/>
        <v/>
      </c>
    </row>
    <row r="6998" spans="1:11" x14ac:dyDescent="0.2">
      <c r="A6998" s="242"/>
      <c r="F6998" s="285" t="str">
        <f t="shared" si="225"/>
        <v/>
      </c>
      <c r="K6998" s="246" t="str">
        <f t="shared" si="224"/>
        <v/>
      </c>
    </row>
    <row r="6999" spans="1:11" x14ac:dyDescent="0.2">
      <c r="A6999" s="242"/>
      <c r="F6999" s="285" t="str">
        <f t="shared" si="225"/>
        <v/>
      </c>
      <c r="K6999" s="246" t="str">
        <f t="shared" si="224"/>
        <v/>
      </c>
    </row>
    <row r="7000" spans="1:11" x14ac:dyDescent="0.2">
      <c r="A7000" s="242"/>
      <c r="F7000" s="285" t="str">
        <f t="shared" si="225"/>
        <v/>
      </c>
      <c r="K7000" s="246" t="str">
        <f t="shared" si="224"/>
        <v/>
      </c>
    </row>
    <row r="7001" spans="1:11" x14ac:dyDescent="0.2">
      <c r="A7001" s="242"/>
      <c r="F7001" s="285" t="str">
        <f t="shared" si="225"/>
        <v/>
      </c>
      <c r="K7001" s="246" t="str">
        <f t="shared" si="224"/>
        <v/>
      </c>
    </row>
    <row r="7002" spans="1:11" x14ac:dyDescent="0.2">
      <c r="A7002" s="242"/>
      <c r="F7002" s="285" t="str">
        <f t="shared" si="225"/>
        <v/>
      </c>
      <c r="K7002" s="246" t="str">
        <f t="shared" si="224"/>
        <v/>
      </c>
    </row>
    <row r="7003" spans="1:11" x14ac:dyDescent="0.2">
      <c r="A7003" s="242"/>
      <c r="F7003" s="285" t="str">
        <f t="shared" si="225"/>
        <v/>
      </c>
      <c r="K7003" s="246" t="str">
        <f t="shared" si="224"/>
        <v/>
      </c>
    </row>
    <row r="7004" spans="1:11" x14ac:dyDescent="0.2">
      <c r="A7004" s="242"/>
      <c r="F7004" s="285" t="str">
        <f t="shared" si="225"/>
        <v/>
      </c>
      <c r="K7004" s="246" t="str">
        <f t="shared" si="224"/>
        <v/>
      </c>
    </row>
    <row r="7005" spans="1:11" x14ac:dyDescent="0.2">
      <c r="A7005" s="242"/>
      <c r="F7005" s="285" t="str">
        <f t="shared" si="225"/>
        <v/>
      </c>
      <c r="K7005" s="246" t="str">
        <f t="shared" si="224"/>
        <v/>
      </c>
    </row>
    <row r="7006" spans="1:11" x14ac:dyDescent="0.2">
      <c r="A7006" s="242"/>
      <c r="F7006" s="285" t="str">
        <f t="shared" si="225"/>
        <v/>
      </c>
      <c r="K7006" s="246" t="str">
        <f t="shared" si="224"/>
        <v/>
      </c>
    </row>
    <row r="7007" spans="1:11" x14ac:dyDescent="0.2">
      <c r="A7007" s="242"/>
      <c r="F7007" s="285" t="str">
        <f t="shared" si="225"/>
        <v/>
      </c>
      <c r="K7007" s="246" t="str">
        <f t="shared" si="224"/>
        <v/>
      </c>
    </row>
    <row r="7008" spans="1:11" x14ac:dyDescent="0.2">
      <c r="A7008" s="242"/>
      <c r="F7008" s="285" t="str">
        <f t="shared" si="225"/>
        <v/>
      </c>
      <c r="K7008" s="246" t="str">
        <f t="shared" si="224"/>
        <v/>
      </c>
    </row>
    <row r="7009" spans="1:11" x14ac:dyDescent="0.2">
      <c r="A7009" s="242"/>
      <c r="F7009" s="285" t="str">
        <f t="shared" si="225"/>
        <v/>
      </c>
      <c r="K7009" s="246" t="str">
        <f t="shared" si="224"/>
        <v/>
      </c>
    </row>
    <row r="7010" spans="1:11" x14ac:dyDescent="0.2">
      <c r="A7010" s="242"/>
      <c r="F7010" s="285" t="str">
        <f t="shared" si="225"/>
        <v/>
      </c>
      <c r="K7010" s="246" t="str">
        <f t="shared" si="224"/>
        <v/>
      </c>
    </row>
    <row r="7011" spans="1:11" x14ac:dyDescent="0.2">
      <c r="A7011" s="242"/>
      <c r="F7011" s="285" t="str">
        <f t="shared" si="225"/>
        <v/>
      </c>
      <c r="K7011" s="246" t="str">
        <f t="shared" si="224"/>
        <v/>
      </c>
    </row>
    <row r="7012" spans="1:11" x14ac:dyDescent="0.2">
      <c r="A7012" s="242"/>
      <c r="F7012" s="285" t="str">
        <f t="shared" si="225"/>
        <v/>
      </c>
      <c r="K7012" s="246" t="str">
        <f t="shared" si="224"/>
        <v/>
      </c>
    </row>
    <row r="7013" spans="1:11" x14ac:dyDescent="0.2">
      <c r="A7013" s="242"/>
      <c r="F7013" s="285" t="str">
        <f t="shared" si="225"/>
        <v/>
      </c>
      <c r="K7013" s="246" t="str">
        <f t="shared" si="224"/>
        <v/>
      </c>
    </row>
    <row r="7014" spans="1:11" x14ac:dyDescent="0.2">
      <c r="A7014" s="242"/>
      <c r="F7014" s="285" t="str">
        <f t="shared" si="225"/>
        <v/>
      </c>
      <c r="K7014" s="246" t="str">
        <f t="shared" si="224"/>
        <v/>
      </c>
    </row>
    <row r="7015" spans="1:11" x14ac:dyDescent="0.2">
      <c r="A7015" s="242"/>
      <c r="F7015" s="285" t="str">
        <f t="shared" si="225"/>
        <v/>
      </c>
      <c r="K7015" s="246" t="str">
        <f t="shared" si="224"/>
        <v/>
      </c>
    </row>
    <row r="7016" spans="1:11" x14ac:dyDescent="0.2">
      <c r="A7016" s="242"/>
      <c r="F7016" s="285" t="str">
        <f t="shared" si="225"/>
        <v/>
      </c>
      <c r="K7016" s="246" t="str">
        <f t="shared" si="224"/>
        <v/>
      </c>
    </row>
    <row r="7017" spans="1:11" x14ac:dyDescent="0.2">
      <c r="A7017" s="242"/>
      <c r="F7017" s="285" t="str">
        <f t="shared" si="225"/>
        <v/>
      </c>
      <c r="K7017" s="246" t="str">
        <f t="shared" si="224"/>
        <v/>
      </c>
    </row>
    <row r="7018" spans="1:11" x14ac:dyDescent="0.2">
      <c r="A7018" s="242"/>
      <c r="F7018" s="285" t="str">
        <f t="shared" si="225"/>
        <v/>
      </c>
      <c r="K7018" s="246" t="str">
        <f t="shared" si="224"/>
        <v/>
      </c>
    </row>
    <row r="7019" spans="1:11" x14ac:dyDescent="0.2">
      <c r="A7019" s="242"/>
      <c r="F7019" s="285" t="str">
        <f t="shared" si="225"/>
        <v/>
      </c>
      <c r="K7019" s="246" t="str">
        <f t="shared" si="224"/>
        <v/>
      </c>
    </row>
    <row r="7020" spans="1:11" x14ac:dyDescent="0.2">
      <c r="A7020" s="242"/>
      <c r="F7020" s="285" t="str">
        <f t="shared" si="225"/>
        <v/>
      </c>
      <c r="K7020" s="246" t="str">
        <f t="shared" si="224"/>
        <v/>
      </c>
    </row>
    <row r="7021" spans="1:11" x14ac:dyDescent="0.2">
      <c r="A7021" s="242"/>
      <c r="F7021" s="285" t="str">
        <f t="shared" si="225"/>
        <v/>
      </c>
      <c r="K7021" s="246" t="str">
        <f t="shared" si="224"/>
        <v/>
      </c>
    </row>
    <row r="7022" spans="1:11" x14ac:dyDescent="0.2">
      <c r="A7022" s="242"/>
      <c r="F7022" s="285" t="str">
        <f t="shared" si="225"/>
        <v/>
      </c>
      <c r="K7022" s="246" t="str">
        <f t="shared" si="224"/>
        <v/>
      </c>
    </row>
    <row r="7023" spans="1:11" x14ac:dyDescent="0.2">
      <c r="A7023" s="242"/>
      <c r="F7023" s="285" t="str">
        <f t="shared" si="225"/>
        <v/>
      </c>
      <c r="K7023" s="246" t="str">
        <f t="shared" si="224"/>
        <v/>
      </c>
    </row>
    <row r="7024" spans="1:11" x14ac:dyDescent="0.2">
      <c r="A7024" s="242"/>
      <c r="F7024" s="285" t="str">
        <f t="shared" si="225"/>
        <v/>
      </c>
      <c r="K7024" s="246" t="str">
        <f t="shared" si="224"/>
        <v/>
      </c>
    </row>
    <row r="7025" spans="1:11" x14ac:dyDescent="0.2">
      <c r="A7025" s="242"/>
      <c r="F7025" s="285" t="str">
        <f t="shared" si="225"/>
        <v/>
      </c>
      <c r="K7025" s="246" t="str">
        <f t="shared" si="224"/>
        <v/>
      </c>
    </row>
    <row r="7026" spans="1:11" x14ac:dyDescent="0.2">
      <c r="A7026" s="242"/>
      <c r="F7026" s="285" t="str">
        <f t="shared" si="225"/>
        <v/>
      </c>
      <c r="K7026" s="246" t="str">
        <f t="shared" si="224"/>
        <v/>
      </c>
    </row>
    <row r="7027" spans="1:11" x14ac:dyDescent="0.2">
      <c r="A7027" s="242"/>
      <c r="F7027" s="285" t="str">
        <f t="shared" si="225"/>
        <v/>
      </c>
      <c r="K7027" s="246" t="str">
        <f t="shared" si="224"/>
        <v/>
      </c>
    </row>
    <row r="7028" spans="1:11" x14ac:dyDescent="0.2">
      <c r="A7028" s="242"/>
      <c r="F7028" s="285" t="str">
        <f t="shared" si="225"/>
        <v/>
      </c>
      <c r="K7028" s="246" t="str">
        <f t="shared" si="224"/>
        <v/>
      </c>
    </row>
    <row r="7029" spans="1:11" x14ac:dyDescent="0.2">
      <c r="A7029" s="242"/>
      <c r="F7029" s="285" t="str">
        <f t="shared" si="225"/>
        <v/>
      </c>
      <c r="K7029" s="246" t="str">
        <f t="shared" si="224"/>
        <v/>
      </c>
    </row>
    <row r="7030" spans="1:11" x14ac:dyDescent="0.2">
      <c r="A7030" s="242"/>
      <c r="F7030" s="285" t="str">
        <f t="shared" si="225"/>
        <v/>
      </c>
      <c r="K7030" s="246" t="str">
        <f t="shared" si="224"/>
        <v/>
      </c>
    </row>
    <row r="7031" spans="1:11" x14ac:dyDescent="0.2">
      <c r="A7031" s="242"/>
      <c r="F7031" s="285" t="str">
        <f t="shared" si="225"/>
        <v/>
      </c>
      <c r="K7031" s="246" t="str">
        <f t="shared" si="224"/>
        <v/>
      </c>
    </row>
    <row r="7032" spans="1:11" x14ac:dyDescent="0.2">
      <c r="A7032" s="242"/>
      <c r="F7032" s="285" t="str">
        <f t="shared" si="225"/>
        <v/>
      </c>
      <c r="K7032" s="246" t="str">
        <f t="shared" si="224"/>
        <v/>
      </c>
    </row>
    <row r="7033" spans="1:11" x14ac:dyDescent="0.2">
      <c r="A7033" s="242"/>
      <c r="F7033" s="285" t="str">
        <f t="shared" si="225"/>
        <v/>
      </c>
      <c r="K7033" s="246" t="str">
        <f t="shared" si="224"/>
        <v/>
      </c>
    </row>
    <row r="7034" spans="1:11" x14ac:dyDescent="0.2">
      <c r="A7034" s="242"/>
      <c r="F7034" s="285" t="str">
        <f t="shared" si="225"/>
        <v/>
      </c>
      <c r="K7034" s="246" t="str">
        <f t="shared" si="224"/>
        <v/>
      </c>
    </row>
    <row r="7035" spans="1:11" x14ac:dyDescent="0.2">
      <c r="A7035" s="242"/>
      <c r="F7035" s="285" t="str">
        <f t="shared" si="225"/>
        <v/>
      </c>
      <c r="K7035" s="246" t="str">
        <f t="shared" ref="K7035:K7098" si="226">IF(A7035="","",A7035)</f>
        <v/>
      </c>
    </row>
    <row r="7036" spans="1:11" x14ac:dyDescent="0.2">
      <c r="A7036" s="242"/>
      <c r="F7036" s="285" t="str">
        <f t="shared" si="225"/>
        <v/>
      </c>
      <c r="K7036" s="246" t="str">
        <f t="shared" si="226"/>
        <v/>
      </c>
    </row>
    <row r="7037" spans="1:11" x14ac:dyDescent="0.2">
      <c r="A7037" s="242"/>
      <c r="F7037" s="285" t="str">
        <f t="shared" si="225"/>
        <v/>
      </c>
      <c r="K7037" s="246" t="str">
        <f t="shared" si="226"/>
        <v/>
      </c>
    </row>
    <row r="7038" spans="1:11" x14ac:dyDescent="0.2">
      <c r="A7038" s="242"/>
      <c r="F7038" s="285" t="str">
        <f t="shared" si="225"/>
        <v/>
      </c>
      <c r="K7038" s="246" t="str">
        <f t="shared" si="226"/>
        <v/>
      </c>
    </row>
    <row r="7039" spans="1:11" x14ac:dyDescent="0.2">
      <c r="A7039" s="242"/>
      <c r="F7039" s="285" t="str">
        <f t="shared" si="225"/>
        <v/>
      </c>
      <c r="K7039" s="246" t="str">
        <f t="shared" si="226"/>
        <v/>
      </c>
    </row>
    <row r="7040" spans="1:11" x14ac:dyDescent="0.2">
      <c r="A7040" s="242"/>
      <c r="F7040" s="285" t="str">
        <f t="shared" si="225"/>
        <v/>
      </c>
      <c r="K7040" s="246" t="str">
        <f t="shared" si="226"/>
        <v/>
      </c>
    </row>
    <row r="7041" spans="1:11" x14ac:dyDescent="0.2">
      <c r="A7041" s="242"/>
      <c r="F7041" s="285" t="str">
        <f t="shared" si="225"/>
        <v/>
      </c>
      <c r="K7041" s="246" t="str">
        <f t="shared" si="226"/>
        <v/>
      </c>
    </row>
    <row r="7042" spans="1:11" x14ac:dyDescent="0.2">
      <c r="A7042" s="242"/>
      <c r="F7042" s="285" t="str">
        <f t="shared" si="225"/>
        <v/>
      </c>
      <c r="K7042" s="246" t="str">
        <f t="shared" si="226"/>
        <v/>
      </c>
    </row>
    <row r="7043" spans="1:11" x14ac:dyDescent="0.2">
      <c r="A7043" s="242"/>
      <c r="F7043" s="285" t="str">
        <f t="shared" si="225"/>
        <v/>
      </c>
      <c r="K7043" s="246" t="str">
        <f t="shared" si="226"/>
        <v/>
      </c>
    </row>
    <row r="7044" spans="1:11" x14ac:dyDescent="0.2">
      <c r="A7044" s="242"/>
      <c r="F7044" s="285" t="str">
        <f t="shared" si="225"/>
        <v/>
      </c>
      <c r="K7044" s="246" t="str">
        <f t="shared" si="226"/>
        <v/>
      </c>
    </row>
    <row r="7045" spans="1:11" x14ac:dyDescent="0.2">
      <c r="A7045" s="242"/>
      <c r="F7045" s="285" t="str">
        <f t="shared" ref="F7045:F7108" si="227">IF(A7045="","",A7045)</f>
        <v/>
      </c>
      <c r="K7045" s="246" t="str">
        <f t="shared" si="226"/>
        <v/>
      </c>
    </row>
    <row r="7046" spans="1:11" x14ac:dyDescent="0.2">
      <c r="A7046" s="242"/>
      <c r="F7046" s="285" t="str">
        <f t="shared" si="227"/>
        <v/>
      </c>
      <c r="K7046" s="246" t="str">
        <f t="shared" si="226"/>
        <v/>
      </c>
    </row>
    <row r="7047" spans="1:11" x14ac:dyDescent="0.2">
      <c r="A7047" s="242"/>
      <c r="F7047" s="285" t="str">
        <f t="shared" si="227"/>
        <v/>
      </c>
      <c r="K7047" s="246" t="str">
        <f t="shared" si="226"/>
        <v/>
      </c>
    </row>
    <row r="7048" spans="1:11" x14ac:dyDescent="0.2">
      <c r="A7048" s="242"/>
      <c r="F7048" s="285" t="str">
        <f t="shared" si="227"/>
        <v/>
      </c>
      <c r="K7048" s="246" t="str">
        <f t="shared" si="226"/>
        <v/>
      </c>
    </row>
    <row r="7049" spans="1:11" x14ac:dyDescent="0.2">
      <c r="A7049" s="242"/>
      <c r="F7049" s="285" t="str">
        <f t="shared" si="227"/>
        <v/>
      </c>
      <c r="K7049" s="246" t="str">
        <f t="shared" si="226"/>
        <v/>
      </c>
    </row>
    <row r="7050" spans="1:11" x14ac:dyDescent="0.2">
      <c r="A7050" s="242"/>
      <c r="F7050" s="285" t="str">
        <f t="shared" si="227"/>
        <v/>
      </c>
      <c r="K7050" s="246" t="str">
        <f t="shared" si="226"/>
        <v/>
      </c>
    </row>
    <row r="7051" spans="1:11" x14ac:dyDescent="0.2">
      <c r="A7051" s="242"/>
      <c r="F7051" s="285" t="str">
        <f t="shared" si="227"/>
        <v/>
      </c>
      <c r="K7051" s="246" t="str">
        <f t="shared" si="226"/>
        <v/>
      </c>
    </row>
    <row r="7052" spans="1:11" x14ac:dyDescent="0.2">
      <c r="A7052" s="242"/>
      <c r="F7052" s="285" t="str">
        <f t="shared" si="227"/>
        <v/>
      </c>
      <c r="K7052" s="246" t="str">
        <f t="shared" si="226"/>
        <v/>
      </c>
    </row>
    <row r="7053" spans="1:11" x14ac:dyDescent="0.2">
      <c r="A7053" s="242"/>
      <c r="F7053" s="285" t="str">
        <f t="shared" si="227"/>
        <v/>
      </c>
      <c r="K7053" s="246" t="str">
        <f t="shared" si="226"/>
        <v/>
      </c>
    </row>
    <row r="7054" spans="1:11" x14ac:dyDescent="0.2">
      <c r="A7054" s="242"/>
      <c r="F7054" s="285" t="str">
        <f t="shared" si="227"/>
        <v/>
      </c>
      <c r="K7054" s="246" t="str">
        <f t="shared" si="226"/>
        <v/>
      </c>
    </row>
    <row r="7055" spans="1:11" x14ac:dyDescent="0.2">
      <c r="A7055" s="242"/>
      <c r="F7055" s="285" t="str">
        <f t="shared" si="227"/>
        <v/>
      </c>
      <c r="K7055" s="246" t="str">
        <f t="shared" si="226"/>
        <v/>
      </c>
    </row>
    <row r="7056" spans="1:11" x14ac:dyDescent="0.2">
      <c r="A7056" s="242"/>
      <c r="F7056" s="285" t="str">
        <f t="shared" si="227"/>
        <v/>
      </c>
      <c r="K7056" s="246" t="str">
        <f t="shared" si="226"/>
        <v/>
      </c>
    </row>
    <row r="7057" spans="1:11" x14ac:dyDescent="0.2">
      <c r="A7057" s="242"/>
      <c r="F7057" s="285" t="str">
        <f t="shared" si="227"/>
        <v/>
      </c>
      <c r="K7057" s="246" t="str">
        <f t="shared" si="226"/>
        <v/>
      </c>
    </row>
    <row r="7058" spans="1:11" x14ac:dyDescent="0.2">
      <c r="A7058" s="242"/>
      <c r="F7058" s="285" t="str">
        <f t="shared" si="227"/>
        <v/>
      </c>
      <c r="K7058" s="246" t="str">
        <f t="shared" si="226"/>
        <v/>
      </c>
    </row>
    <row r="7059" spans="1:11" x14ac:dyDescent="0.2">
      <c r="A7059" s="242"/>
      <c r="F7059" s="285" t="str">
        <f t="shared" si="227"/>
        <v/>
      </c>
      <c r="K7059" s="246" t="str">
        <f t="shared" si="226"/>
        <v/>
      </c>
    </row>
    <row r="7060" spans="1:11" x14ac:dyDescent="0.2">
      <c r="A7060" s="242"/>
      <c r="F7060" s="285" t="str">
        <f t="shared" si="227"/>
        <v/>
      </c>
      <c r="K7060" s="246" t="str">
        <f t="shared" si="226"/>
        <v/>
      </c>
    </row>
    <row r="7061" spans="1:11" x14ac:dyDescent="0.2">
      <c r="A7061" s="242"/>
      <c r="F7061" s="285" t="str">
        <f t="shared" si="227"/>
        <v/>
      </c>
      <c r="K7061" s="246" t="str">
        <f t="shared" si="226"/>
        <v/>
      </c>
    </row>
    <row r="7062" spans="1:11" x14ac:dyDescent="0.2">
      <c r="A7062" s="242"/>
      <c r="F7062" s="285" t="str">
        <f t="shared" si="227"/>
        <v/>
      </c>
      <c r="K7062" s="246" t="str">
        <f t="shared" si="226"/>
        <v/>
      </c>
    </row>
    <row r="7063" spans="1:11" x14ac:dyDescent="0.2">
      <c r="A7063" s="242"/>
      <c r="F7063" s="285" t="str">
        <f t="shared" si="227"/>
        <v/>
      </c>
      <c r="K7063" s="246" t="str">
        <f t="shared" si="226"/>
        <v/>
      </c>
    </row>
    <row r="7064" spans="1:11" x14ac:dyDescent="0.2">
      <c r="A7064" s="242"/>
      <c r="F7064" s="285" t="str">
        <f t="shared" si="227"/>
        <v/>
      </c>
      <c r="K7064" s="246" t="str">
        <f t="shared" si="226"/>
        <v/>
      </c>
    </row>
    <row r="7065" spans="1:11" x14ac:dyDescent="0.2">
      <c r="A7065" s="242"/>
      <c r="F7065" s="285" t="str">
        <f t="shared" si="227"/>
        <v/>
      </c>
      <c r="K7065" s="246" t="str">
        <f t="shared" si="226"/>
        <v/>
      </c>
    </row>
    <row r="7066" spans="1:11" x14ac:dyDescent="0.2">
      <c r="A7066" s="242"/>
      <c r="F7066" s="285" t="str">
        <f t="shared" si="227"/>
        <v/>
      </c>
      <c r="K7066" s="246" t="str">
        <f t="shared" si="226"/>
        <v/>
      </c>
    </row>
    <row r="7067" spans="1:11" x14ac:dyDescent="0.2">
      <c r="A7067" s="242"/>
      <c r="F7067" s="285" t="str">
        <f t="shared" si="227"/>
        <v/>
      </c>
      <c r="K7067" s="246" t="str">
        <f t="shared" si="226"/>
        <v/>
      </c>
    </row>
    <row r="7068" spans="1:11" x14ac:dyDescent="0.2">
      <c r="A7068" s="242"/>
      <c r="F7068" s="285" t="str">
        <f t="shared" si="227"/>
        <v/>
      </c>
      <c r="K7068" s="246" t="str">
        <f t="shared" si="226"/>
        <v/>
      </c>
    </row>
    <row r="7069" spans="1:11" x14ac:dyDescent="0.2">
      <c r="A7069" s="242"/>
      <c r="F7069" s="285" t="str">
        <f t="shared" si="227"/>
        <v/>
      </c>
      <c r="K7069" s="246" t="str">
        <f t="shared" si="226"/>
        <v/>
      </c>
    </row>
    <row r="7070" spans="1:11" x14ac:dyDescent="0.2">
      <c r="A7070" s="242"/>
      <c r="F7070" s="285" t="str">
        <f t="shared" si="227"/>
        <v/>
      </c>
      <c r="K7070" s="246" t="str">
        <f t="shared" si="226"/>
        <v/>
      </c>
    </row>
    <row r="7071" spans="1:11" x14ac:dyDescent="0.2">
      <c r="A7071" s="242"/>
      <c r="F7071" s="285" t="str">
        <f t="shared" si="227"/>
        <v/>
      </c>
      <c r="K7071" s="246" t="str">
        <f t="shared" si="226"/>
        <v/>
      </c>
    </row>
    <row r="7072" spans="1:11" x14ac:dyDescent="0.2">
      <c r="A7072" s="242"/>
      <c r="F7072" s="285" t="str">
        <f t="shared" si="227"/>
        <v/>
      </c>
      <c r="K7072" s="246" t="str">
        <f t="shared" si="226"/>
        <v/>
      </c>
    </row>
    <row r="7073" spans="1:11" x14ac:dyDescent="0.2">
      <c r="A7073" s="242"/>
      <c r="F7073" s="285" t="str">
        <f t="shared" si="227"/>
        <v/>
      </c>
      <c r="K7073" s="246" t="str">
        <f t="shared" si="226"/>
        <v/>
      </c>
    </row>
    <row r="7074" spans="1:11" x14ac:dyDescent="0.2">
      <c r="A7074" s="242"/>
      <c r="F7074" s="285" t="str">
        <f t="shared" si="227"/>
        <v/>
      </c>
      <c r="K7074" s="246" t="str">
        <f t="shared" si="226"/>
        <v/>
      </c>
    </row>
    <row r="7075" spans="1:11" x14ac:dyDescent="0.2">
      <c r="A7075" s="242"/>
      <c r="F7075" s="285" t="str">
        <f t="shared" si="227"/>
        <v/>
      </c>
      <c r="K7075" s="246" t="str">
        <f t="shared" si="226"/>
        <v/>
      </c>
    </row>
    <row r="7076" spans="1:11" x14ac:dyDescent="0.2">
      <c r="A7076" s="242"/>
      <c r="F7076" s="285" t="str">
        <f t="shared" si="227"/>
        <v/>
      </c>
      <c r="K7076" s="246" t="str">
        <f t="shared" si="226"/>
        <v/>
      </c>
    </row>
    <row r="7077" spans="1:11" x14ac:dyDescent="0.2">
      <c r="A7077" s="242"/>
      <c r="F7077" s="285" t="str">
        <f t="shared" si="227"/>
        <v/>
      </c>
      <c r="K7077" s="246" t="str">
        <f t="shared" si="226"/>
        <v/>
      </c>
    </row>
    <row r="7078" spans="1:11" x14ac:dyDescent="0.2">
      <c r="A7078" s="242"/>
      <c r="F7078" s="285" t="str">
        <f t="shared" si="227"/>
        <v/>
      </c>
      <c r="K7078" s="246" t="str">
        <f t="shared" si="226"/>
        <v/>
      </c>
    </row>
    <row r="7079" spans="1:11" x14ac:dyDescent="0.2">
      <c r="A7079" s="242"/>
      <c r="F7079" s="285" t="str">
        <f t="shared" si="227"/>
        <v/>
      </c>
      <c r="K7079" s="246" t="str">
        <f t="shared" si="226"/>
        <v/>
      </c>
    </row>
    <row r="7080" spans="1:11" x14ac:dyDescent="0.2">
      <c r="A7080" s="242"/>
      <c r="F7080" s="285" t="str">
        <f t="shared" si="227"/>
        <v/>
      </c>
      <c r="K7080" s="246" t="str">
        <f t="shared" si="226"/>
        <v/>
      </c>
    </row>
    <row r="7081" spans="1:11" x14ac:dyDescent="0.2">
      <c r="A7081" s="242"/>
      <c r="F7081" s="285" t="str">
        <f t="shared" si="227"/>
        <v/>
      </c>
      <c r="K7081" s="246" t="str">
        <f t="shared" si="226"/>
        <v/>
      </c>
    </row>
    <row r="7082" spans="1:11" x14ac:dyDescent="0.2">
      <c r="A7082" s="242"/>
      <c r="F7082" s="285" t="str">
        <f t="shared" si="227"/>
        <v/>
      </c>
      <c r="K7082" s="246" t="str">
        <f t="shared" si="226"/>
        <v/>
      </c>
    </row>
    <row r="7083" spans="1:11" x14ac:dyDescent="0.2">
      <c r="A7083" s="242"/>
      <c r="F7083" s="285" t="str">
        <f t="shared" si="227"/>
        <v/>
      </c>
      <c r="K7083" s="246" t="str">
        <f t="shared" si="226"/>
        <v/>
      </c>
    </row>
    <row r="7084" spans="1:11" x14ac:dyDescent="0.2">
      <c r="A7084" s="242"/>
      <c r="F7084" s="285" t="str">
        <f t="shared" si="227"/>
        <v/>
      </c>
      <c r="K7084" s="246" t="str">
        <f t="shared" si="226"/>
        <v/>
      </c>
    </row>
    <row r="7085" spans="1:11" x14ac:dyDescent="0.2">
      <c r="A7085" s="242"/>
      <c r="F7085" s="285" t="str">
        <f t="shared" si="227"/>
        <v/>
      </c>
      <c r="K7085" s="246" t="str">
        <f t="shared" si="226"/>
        <v/>
      </c>
    </row>
    <row r="7086" spans="1:11" x14ac:dyDescent="0.2">
      <c r="A7086" s="242"/>
      <c r="F7086" s="285" t="str">
        <f t="shared" si="227"/>
        <v/>
      </c>
      <c r="K7086" s="246" t="str">
        <f t="shared" si="226"/>
        <v/>
      </c>
    </row>
    <row r="7087" spans="1:11" x14ac:dyDescent="0.2">
      <c r="A7087" s="242"/>
      <c r="F7087" s="285" t="str">
        <f t="shared" si="227"/>
        <v/>
      </c>
      <c r="K7087" s="246" t="str">
        <f t="shared" si="226"/>
        <v/>
      </c>
    </row>
    <row r="7088" spans="1:11" x14ac:dyDescent="0.2">
      <c r="A7088" s="242"/>
      <c r="F7088" s="285" t="str">
        <f t="shared" si="227"/>
        <v/>
      </c>
      <c r="K7088" s="246" t="str">
        <f t="shared" si="226"/>
        <v/>
      </c>
    </row>
    <row r="7089" spans="1:11" x14ac:dyDescent="0.2">
      <c r="A7089" s="242"/>
      <c r="F7089" s="285" t="str">
        <f t="shared" si="227"/>
        <v/>
      </c>
      <c r="K7089" s="246" t="str">
        <f t="shared" si="226"/>
        <v/>
      </c>
    </row>
    <row r="7090" spans="1:11" x14ac:dyDescent="0.2">
      <c r="A7090" s="242"/>
      <c r="F7090" s="285" t="str">
        <f t="shared" si="227"/>
        <v/>
      </c>
      <c r="K7090" s="246" t="str">
        <f t="shared" si="226"/>
        <v/>
      </c>
    </row>
    <row r="7091" spans="1:11" x14ac:dyDescent="0.2">
      <c r="A7091" s="242"/>
      <c r="F7091" s="285" t="str">
        <f t="shared" si="227"/>
        <v/>
      </c>
      <c r="K7091" s="246" t="str">
        <f t="shared" si="226"/>
        <v/>
      </c>
    </row>
    <row r="7092" spans="1:11" x14ac:dyDescent="0.2">
      <c r="A7092" s="242"/>
      <c r="F7092" s="285" t="str">
        <f t="shared" si="227"/>
        <v/>
      </c>
      <c r="K7092" s="246" t="str">
        <f t="shared" si="226"/>
        <v/>
      </c>
    </row>
    <row r="7093" spans="1:11" x14ac:dyDescent="0.2">
      <c r="A7093" s="242"/>
      <c r="F7093" s="285" t="str">
        <f t="shared" si="227"/>
        <v/>
      </c>
      <c r="K7093" s="246" t="str">
        <f t="shared" si="226"/>
        <v/>
      </c>
    </row>
    <row r="7094" spans="1:11" x14ac:dyDescent="0.2">
      <c r="A7094" s="242"/>
      <c r="F7094" s="285" t="str">
        <f t="shared" si="227"/>
        <v/>
      </c>
      <c r="K7094" s="246" t="str">
        <f t="shared" si="226"/>
        <v/>
      </c>
    </row>
    <row r="7095" spans="1:11" x14ac:dyDescent="0.2">
      <c r="A7095" s="242"/>
      <c r="F7095" s="285" t="str">
        <f t="shared" si="227"/>
        <v/>
      </c>
      <c r="K7095" s="246" t="str">
        <f t="shared" si="226"/>
        <v/>
      </c>
    </row>
    <row r="7096" spans="1:11" x14ac:dyDescent="0.2">
      <c r="A7096" s="242"/>
      <c r="F7096" s="285" t="str">
        <f t="shared" si="227"/>
        <v/>
      </c>
      <c r="K7096" s="246" t="str">
        <f t="shared" si="226"/>
        <v/>
      </c>
    </row>
    <row r="7097" spans="1:11" x14ac:dyDescent="0.2">
      <c r="A7097" s="242"/>
      <c r="F7097" s="285" t="str">
        <f t="shared" si="227"/>
        <v/>
      </c>
      <c r="K7097" s="246" t="str">
        <f t="shared" si="226"/>
        <v/>
      </c>
    </row>
    <row r="7098" spans="1:11" x14ac:dyDescent="0.2">
      <c r="A7098" s="242"/>
      <c r="F7098" s="285" t="str">
        <f t="shared" si="227"/>
        <v/>
      </c>
      <c r="K7098" s="246" t="str">
        <f t="shared" si="226"/>
        <v/>
      </c>
    </row>
    <row r="7099" spans="1:11" x14ac:dyDescent="0.2">
      <c r="A7099" s="242"/>
      <c r="F7099" s="285" t="str">
        <f t="shared" si="227"/>
        <v/>
      </c>
      <c r="K7099" s="246" t="str">
        <f t="shared" ref="K7099:K7162" si="228">IF(A7099="","",A7099)</f>
        <v/>
      </c>
    </row>
    <row r="7100" spans="1:11" x14ac:dyDescent="0.2">
      <c r="A7100" s="242"/>
      <c r="F7100" s="285" t="str">
        <f t="shared" si="227"/>
        <v/>
      </c>
      <c r="K7100" s="246" t="str">
        <f t="shared" si="228"/>
        <v/>
      </c>
    </row>
    <row r="7101" spans="1:11" x14ac:dyDescent="0.2">
      <c r="A7101" s="242"/>
      <c r="F7101" s="285" t="str">
        <f t="shared" si="227"/>
        <v/>
      </c>
      <c r="K7101" s="246" t="str">
        <f t="shared" si="228"/>
        <v/>
      </c>
    </row>
    <row r="7102" spans="1:11" x14ac:dyDescent="0.2">
      <c r="A7102" s="242"/>
      <c r="F7102" s="285" t="str">
        <f t="shared" si="227"/>
        <v/>
      </c>
      <c r="K7102" s="246" t="str">
        <f t="shared" si="228"/>
        <v/>
      </c>
    </row>
    <row r="7103" spans="1:11" x14ac:dyDescent="0.2">
      <c r="A7103" s="242"/>
      <c r="F7103" s="285" t="str">
        <f t="shared" si="227"/>
        <v/>
      </c>
      <c r="K7103" s="246" t="str">
        <f t="shared" si="228"/>
        <v/>
      </c>
    </row>
    <row r="7104" spans="1:11" x14ac:dyDescent="0.2">
      <c r="A7104" s="242"/>
      <c r="F7104" s="285" t="str">
        <f t="shared" si="227"/>
        <v/>
      </c>
      <c r="K7104" s="246" t="str">
        <f t="shared" si="228"/>
        <v/>
      </c>
    </row>
    <row r="7105" spans="1:11" x14ac:dyDescent="0.2">
      <c r="A7105" s="242"/>
      <c r="F7105" s="285" t="str">
        <f t="shared" si="227"/>
        <v/>
      </c>
      <c r="K7105" s="246" t="str">
        <f t="shared" si="228"/>
        <v/>
      </c>
    </row>
    <row r="7106" spans="1:11" x14ac:dyDescent="0.2">
      <c r="A7106" s="242"/>
      <c r="F7106" s="285" t="str">
        <f t="shared" si="227"/>
        <v/>
      </c>
      <c r="K7106" s="246" t="str">
        <f t="shared" si="228"/>
        <v/>
      </c>
    </row>
    <row r="7107" spans="1:11" x14ac:dyDescent="0.2">
      <c r="A7107" s="242"/>
      <c r="F7107" s="285" t="str">
        <f t="shared" si="227"/>
        <v/>
      </c>
      <c r="K7107" s="246" t="str">
        <f t="shared" si="228"/>
        <v/>
      </c>
    </row>
    <row r="7108" spans="1:11" x14ac:dyDescent="0.2">
      <c r="A7108" s="242"/>
      <c r="F7108" s="285" t="str">
        <f t="shared" si="227"/>
        <v/>
      </c>
      <c r="K7108" s="246" t="str">
        <f t="shared" si="228"/>
        <v/>
      </c>
    </row>
    <row r="7109" spans="1:11" x14ac:dyDescent="0.2">
      <c r="A7109" s="242"/>
      <c r="F7109" s="285" t="str">
        <f t="shared" ref="F7109:F7172" si="229">IF(A7109="","",A7109)</f>
        <v/>
      </c>
      <c r="K7109" s="246" t="str">
        <f t="shared" si="228"/>
        <v/>
      </c>
    </row>
    <row r="7110" spans="1:11" x14ac:dyDescent="0.2">
      <c r="A7110" s="242"/>
      <c r="F7110" s="285" t="str">
        <f t="shared" si="229"/>
        <v/>
      </c>
      <c r="K7110" s="246" t="str">
        <f t="shared" si="228"/>
        <v/>
      </c>
    </row>
    <row r="7111" spans="1:11" x14ac:dyDescent="0.2">
      <c r="A7111" s="242"/>
      <c r="F7111" s="285" t="str">
        <f t="shared" si="229"/>
        <v/>
      </c>
      <c r="K7111" s="246" t="str">
        <f t="shared" si="228"/>
        <v/>
      </c>
    </row>
    <row r="7112" spans="1:11" x14ac:dyDescent="0.2">
      <c r="A7112" s="242"/>
      <c r="F7112" s="285" t="str">
        <f t="shared" si="229"/>
        <v/>
      </c>
      <c r="K7112" s="246" t="str">
        <f t="shared" si="228"/>
        <v/>
      </c>
    </row>
    <row r="7113" spans="1:11" x14ac:dyDescent="0.2">
      <c r="A7113" s="242"/>
      <c r="F7113" s="285" t="str">
        <f t="shared" si="229"/>
        <v/>
      </c>
      <c r="K7113" s="246" t="str">
        <f t="shared" si="228"/>
        <v/>
      </c>
    </row>
    <row r="7114" spans="1:11" x14ac:dyDescent="0.2">
      <c r="A7114" s="242"/>
      <c r="F7114" s="285" t="str">
        <f t="shared" si="229"/>
        <v/>
      </c>
      <c r="K7114" s="246" t="str">
        <f t="shared" si="228"/>
        <v/>
      </c>
    </row>
    <row r="7115" spans="1:11" x14ac:dyDescent="0.2">
      <c r="A7115" s="242"/>
      <c r="F7115" s="285" t="str">
        <f t="shared" si="229"/>
        <v/>
      </c>
      <c r="K7115" s="246" t="str">
        <f t="shared" si="228"/>
        <v/>
      </c>
    </row>
    <row r="7116" spans="1:11" x14ac:dyDescent="0.2">
      <c r="A7116" s="242"/>
      <c r="F7116" s="285" t="str">
        <f t="shared" si="229"/>
        <v/>
      </c>
      <c r="K7116" s="246" t="str">
        <f t="shared" si="228"/>
        <v/>
      </c>
    </row>
    <row r="7117" spans="1:11" x14ac:dyDescent="0.2">
      <c r="A7117" s="242"/>
      <c r="F7117" s="285" t="str">
        <f t="shared" si="229"/>
        <v/>
      </c>
      <c r="K7117" s="246" t="str">
        <f t="shared" si="228"/>
        <v/>
      </c>
    </row>
    <row r="7118" spans="1:11" x14ac:dyDescent="0.2">
      <c r="A7118" s="242"/>
      <c r="F7118" s="285" t="str">
        <f t="shared" si="229"/>
        <v/>
      </c>
      <c r="K7118" s="246" t="str">
        <f t="shared" si="228"/>
        <v/>
      </c>
    </row>
    <row r="7119" spans="1:11" x14ac:dyDescent="0.2">
      <c r="A7119" s="242"/>
      <c r="F7119" s="285" t="str">
        <f t="shared" si="229"/>
        <v/>
      </c>
      <c r="K7119" s="246" t="str">
        <f t="shared" si="228"/>
        <v/>
      </c>
    </row>
    <row r="7120" spans="1:11" x14ac:dyDescent="0.2">
      <c r="A7120" s="242"/>
      <c r="F7120" s="285" t="str">
        <f t="shared" si="229"/>
        <v/>
      </c>
      <c r="K7120" s="246" t="str">
        <f t="shared" si="228"/>
        <v/>
      </c>
    </row>
    <row r="7121" spans="1:11" x14ac:dyDescent="0.2">
      <c r="A7121" s="242"/>
      <c r="F7121" s="285" t="str">
        <f t="shared" si="229"/>
        <v/>
      </c>
      <c r="K7121" s="246" t="str">
        <f t="shared" si="228"/>
        <v/>
      </c>
    </row>
    <row r="7122" spans="1:11" x14ac:dyDescent="0.2">
      <c r="A7122" s="242"/>
      <c r="F7122" s="285" t="str">
        <f t="shared" si="229"/>
        <v/>
      </c>
      <c r="K7122" s="246" t="str">
        <f t="shared" si="228"/>
        <v/>
      </c>
    </row>
    <row r="7123" spans="1:11" x14ac:dyDescent="0.2">
      <c r="A7123" s="242"/>
      <c r="F7123" s="285" t="str">
        <f t="shared" si="229"/>
        <v/>
      </c>
      <c r="K7123" s="246" t="str">
        <f t="shared" si="228"/>
        <v/>
      </c>
    </row>
    <row r="7124" spans="1:11" x14ac:dyDescent="0.2">
      <c r="A7124" s="242"/>
      <c r="F7124" s="285" t="str">
        <f t="shared" si="229"/>
        <v/>
      </c>
      <c r="K7124" s="246" t="str">
        <f t="shared" si="228"/>
        <v/>
      </c>
    </row>
    <row r="7125" spans="1:11" x14ac:dyDescent="0.2">
      <c r="A7125" s="242"/>
      <c r="F7125" s="285" t="str">
        <f t="shared" si="229"/>
        <v/>
      </c>
      <c r="K7125" s="246" t="str">
        <f t="shared" si="228"/>
        <v/>
      </c>
    </row>
    <row r="7126" spans="1:11" x14ac:dyDescent="0.2">
      <c r="A7126" s="242"/>
      <c r="F7126" s="285" t="str">
        <f t="shared" si="229"/>
        <v/>
      </c>
      <c r="K7126" s="246" t="str">
        <f t="shared" si="228"/>
        <v/>
      </c>
    </row>
    <row r="7127" spans="1:11" x14ac:dyDescent="0.2">
      <c r="A7127" s="242"/>
      <c r="F7127" s="285" t="str">
        <f t="shared" si="229"/>
        <v/>
      </c>
      <c r="K7127" s="246" t="str">
        <f t="shared" si="228"/>
        <v/>
      </c>
    </row>
    <row r="7128" spans="1:11" x14ac:dyDescent="0.2">
      <c r="A7128" s="242"/>
      <c r="F7128" s="285" t="str">
        <f t="shared" si="229"/>
        <v/>
      </c>
      <c r="K7128" s="246" t="str">
        <f t="shared" si="228"/>
        <v/>
      </c>
    </row>
    <row r="7129" spans="1:11" x14ac:dyDescent="0.2">
      <c r="A7129" s="242"/>
      <c r="F7129" s="285" t="str">
        <f t="shared" si="229"/>
        <v/>
      </c>
      <c r="K7129" s="246" t="str">
        <f t="shared" si="228"/>
        <v/>
      </c>
    </row>
    <row r="7130" spans="1:11" x14ac:dyDescent="0.2">
      <c r="A7130" s="242"/>
      <c r="F7130" s="285" t="str">
        <f t="shared" si="229"/>
        <v/>
      </c>
      <c r="K7130" s="246" t="str">
        <f t="shared" si="228"/>
        <v/>
      </c>
    </row>
    <row r="7131" spans="1:11" x14ac:dyDescent="0.2">
      <c r="A7131" s="242"/>
      <c r="F7131" s="285" t="str">
        <f t="shared" si="229"/>
        <v/>
      </c>
      <c r="K7131" s="246" t="str">
        <f t="shared" si="228"/>
        <v/>
      </c>
    </row>
    <row r="7132" spans="1:11" x14ac:dyDescent="0.2">
      <c r="A7132" s="242"/>
      <c r="F7132" s="285" t="str">
        <f t="shared" si="229"/>
        <v/>
      </c>
      <c r="K7132" s="246" t="str">
        <f t="shared" si="228"/>
        <v/>
      </c>
    </row>
    <row r="7133" spans="1:11" x14ac:dyDescent="0.2">
      <c r="A7133" s="242"/>
      <c r="F7133" s="285" t="str">
        <f t="shared" si="229"/>
        <v/>
      </c>
      <c r="K7133" s="246" t="str">
        <f t="shared" si="228"/>
        <v/>
      </c>
    </row>
    <row r="7134" spans="1:11" x14ac:dyDescent="0.2">
      <c r="A7134" s="242"/>
      <c r="F7134" s="285" t="str">
        <f t="shared" si="229"/>
        <v/>
      </c>
      <c r="K7134" s="246" t="str">
        <f t="shared" si="228"/>
        <v/>
      </c>
    </row>
    <row r="7135" spans="1:11" x14ac:dyDescent="0.2">
      <c r="A7135" s="242"/>
      <c r="F7135" s="285" t="str">
        <f t="shared" si="229"/>
        <v/>
      </c>
      <c r="K7135" s="246" t="str">
        <f t="shared" si="228"/>
        <v/>
      </c>
    </row>
    <row r="7136" spans="1:11" x14ac:dyDescent="0.2">
      <c r="A7136" s="242"/>
      <c r="F7136" s="285" t="str">
        <f t="shared" si="229"/>
        <v/>
      </c>
      <c r="K7136" s="246" t="str">
        <f t="shared" si="228"/>
        <v/>
      </c>
    </row>
    <row r="7137" spans="1:11" x14ac:dyDescent="0.2">
      <c r="A7137" s="242"/>
      <c r="F7137" s="285" t="str">
        <f t="shared" si="229"/>
        <v/>
      </c>
      <c r="K7137" s="246" t="str">
        <f t="shared" si="228"/>
        <v/>
      </c>
    </row>
    <row r="7138" spans="1:11" x14ac:dyDescent="0.2">
      <c r="A7138" s="242"/>
      <c r="F7138" s="285" t="str">
        <f t="shared" si="229"/>
        <v/>
      </c>
      <c r="K7138" s="246" t="str">
        <f t="shared" si="228"/>
        <v/>
      </c>
    </row>
    <row r="7139" spans="1:11" x14ac:dyDescent="0.2">
      <c r="A7139" s="242"/>
      <c r="F7139" s="285" t="str">
        <f t="shared" si="229"/>
        <v/>
      </c>
      <c r="K7139" s="246" t="str">
        <f t="shared" si="228"/>
        <v/>
      </c>
    </row>
    <row r="7140" spans="1:11" x14ac:dyDescent="0.2">
      <c r="A7140" s="242"/>
      <c r="F7140" s="285" t="str">
        <f t="shared" si="229"/>
        <v/>
      </c>
      <c r="K7140" s="246" t="str">
        <f t="shared" si="228"/>
        <v/>
      </c>
    </row>
    <row r="7141" spans="1:11" x14ac:dyDescent="0.2">
      <c r="A7141" s="242"/>
      <c r="F7141" s="285" t="str">
        <f t="shared" si="229"/>
        <v/>
      </c>
      <c r="K7141" s="246" t="str">
        <f t="shared" si="228"/>
        <v/>
      </c>
    </row>
    <row r="7142" spans="1:11" x14ac:dyDescent="0.2">
      <c r="A7142" s="242"/>
      <c r="F7142" s="285" t="str">
        <f t="shared" si="229"/>
        <v/>
      </c>
      <c r="K7142" s="246" t="str">
        <f t="shared" si="228"/>
        <v/>
      </c>
    </row>
    <row r="7143" spans="1:11" x14ac:dyDescent="0.2">
      <c r="A7143" s="242"/>
      <c r="F7143" s="285" t="str">
        <f t="shared" si="229"/>
        <v/>
      </c>
      <c r="K7143" s="246" t="str">
        <f t="shared" si="228"/>
        <v/>
      </c>
    </row>
    <row r="7144" spans="1:11" x14ac:dyDescent="0.2">
      <c r="A7144" s="242"/>
      <c r="F7144" s="285" t="str">
        <f t="shared" si="229"/>
        <v/>
      </c>
      <c r="K7144" s="246" t="str">
        <f t="shared" si="228"/>
        <v/>
      </c>
    </row>
    <row r="7145" spans="1:11" x14ac:dyDescent="0.2">
      <c r="A7145" s="242"/>
      <c r="F7145" s="285" t="str">
        <f t="shared" si="229"/>
        <v/>
      </c>
      <c r="K7145" s="246" t="str">
        <f t="shared" si="228"/>
        <v/>
      </c>
    </row>
    <row r="7146" spans="1:11" x14ac:dyDescent="0.2">
      <c r="A7146" s="242"/>
      <c r="F7146" s="285" t="str">
        <f t="shared" si="229"/>
        <v/>
      </c>
      <c r="K7146" s="246" t="str">
        <f t="shared" si="228"/>
        <v/>
      </c>
    </row>
    <row r="7147" spans="1:11" x14ac:dyDescent="0.2">
      <c r="A7147" s="242"/>
      <c r="F7147" s="285" t="str">
        <f t="shared" si="229"/>
        <v/>
      </c>
      <c r="K7147" s="246" t="str">
        <f t="shared" si="228"/>
        <v/>
      </c>
    </row>
    <row r="7148" spans="1:11" x14ac:dyDescent="0.2">
      <c r="A7148" s="242"/>
      <c r="F7148" s="285" t="str">
        <f t="shared" si="229"/>
        <v/>
      </c>
      <c r="K7148" s="246" t="str">
        <f t="shared" si="228"/>
        <v/>
      </c>
    </row>
    <row r="7149" spans="1:11" x14ac:dyDescent="0.2">
      <c r="A7149" s="242"/>
      <c r="F7149" s="285" t="str">
        <f t="shared" si="229"/>
        <v/>
      </c>
      <c r="K7149" s="246" t="str">
        <f t="shared" si="228"/>
        <v/>
      </c>
    </row>
    <row r="7150" spans="1:11" x14ac:dyDescent="0.2">
      <c r="A7150" s="242"/>
      <c r="F7150" s="285" t="str">
        <f t="shared" si="229"/>
        <v/>
      </c>
      <c r="K7150" s="246" t="str">
        <f t="shared" si="228"/>
        <v/>
      </c>
    </row>
    <row r="7151" spans="1:11" x14ac:dyDescent="0.2">
      <c r="A7151" s="242"/>
      <c r="F7151" s="285" t="str">
        <f t="shared" si="229"/>
        <v/>
      </c>
      <c r="K7151" s="246" t="str">
        <f t="shared" si="228"/>
        <v/>
      </c>
    </row>
    <row r="7152" spans="1:11" x14ac:dyDescent="0.2">
      <c r="A7152" s="242"/>
      <c r="F7152" s="285" t="str">
        <f t="shared" si="229"/>
        <v/>
      </c>
      <c r="K7152" s="246" t="str">
        <f t="shared" si="228"/>
        <v/>
      </c>
    </row>
    <row r="7153" spans="1:11" x14ac:dyDescent="0.2">
      <c r="A7153" s="242"/>
      <c r="F7153" s="285" t="str">
        <f t="shared" si="229"/>
        <v/>
      </c>
      <c r="K7153" s="246" t="str">
        <f t="shared" si="228"/>
        <v/>
      </c>
    </row>
    <row r="7154" spans="1:11" x14ac:dyDescent="0.2">
      <c r="A7154" s="242"/>
      <c r="F7154" s="285" t="str">
        <f t="shared" si="229"/>
        <v/>
      </c>
      <c r="K7154" s="246" t="str">
        <f t="shared" si="228"/>
        <v/>
      </c>
    </row>
    <row r="7155" spans="1:11" x14ac:dyDescent="0.2">
      <c r="A7155" s="242"/>
      <c r="F7155" s="285" t="str">
        <f t="shared" si="229"/>
        <v/>
      </c>
      <c r="K7155" s="246" t="str">
        <f t="shared" si="228"/>
        <v/>
      </c>
    </row>
    <row r="7156" spans="1:11" x14ac:dyDescent="0.2">
      <c r="A7156" s="242"/>
      <c r="F7156" s="285" t="str">
        <f t="shared" si="229"/>
        <v/>
      </c>
      <c r="K7156" s="246" t="str">
        <f t="shared" si="228"/>
        <v/>
      </c>
    </row>
    <row r="7157" spans="1:11" x14ac:dyDescent="0.2">
      <c r="A7157" s="242"/>
      <c r="F7157" s="285" t="str">
        <f t="shared" si="229"/>
        <v/>
      </c>
      <c r="K7157" s="246" t="str">
        <f t="shared" si="228"/>
        <v/>
      </c>
    </row>
    <row r="7158" spans="1:11" x14ac:dyDescent="0.2">
      <c r="A7158" s="242"/>
      <c r="F7158" s="285" t="str">
        <f t="shared" si="229"/>
        <v/>
      </c>
      <c r="K7158" s="246" t="str">
        <f t="shared" si="228"/>
        <v/>
      </c>
    </row>
    <row r="7159" spans="1:11" x14ac:dyDescent="0.2">
      <c r="A7159" s="242"/>
      <c r="F7159" s="285" t="str">
        <f t="shared" si="229"/>
        <v/>
      </c>
      <c r="K7159" s="246" t="str">
        <f t="shared" si="228"/>
        <v/>
      </c>
    </row>
    <row r="7160" spans="1:11" x14ac:dyDescent="0.2">
      <c r="A7160" s="242"/>
      <c r="F7160" s="285" t="str">
        <f t="shared" si="229"/>
        <v/>
      </c>
      <c r="K7160" s="246" t="str">
        <f t="shared" si="228"/>
        <v/>
      </c>
    </row>
    <row r="7161" spans="1:11" x14ac:dyDescent="0.2">
      <c r="A7161" s="242"/>
      <c r="F7161" s="285" t="str">
        <f t="shared" si="229"/>
        <v/>
      </c>
      <c r="K7161" s="246" t="str">
        <f t="shared" si="228"/>
        <v/>
      </c>
    </row>
    <row r="7162" spans="1:11" x14ac:dyDescent="0.2">
      <c r="A7162" s="242"/>
      <c r="F7162" s="285" t="str">
        <f t="shared" si="229"/>
        <v/>
      </c>
      <c r="K7162" s="246" t="str">
        <f t="shared" si="228"/>
        <v/>
      </c>
    </row>
    <row r="7163" spans="1:11" x14ac:dyDescent="0.2">
      <c r="A7163" s="242"/>
      <c r="F7163" s="285" t="str">
        <f t="shared" si="229"/>
        <v/>
      </c>
      <c r="K7163" s="246" t="str">
        <f t="shared" ref="K7163:K7226" si="230">IF(A7163="","",A7163)</f>
        <v/>
      </c>
    </row>
    <row r="7164" spans="1:11" x14ac:dyDescent="0.2">
      <c r="A7164" s="242"/>
      <c r="F7164" s="285" t="str">
        <f t="shared" si="229"/>
        <v/>
      </c>
      <c r="K7164" s="246" t="str">
        <f t="shared" si="230"/>
        <v/>
      </c>
    </row>
    <row r="7165" spans="1:11" x14ac:dyDescent="0.2">
      <c r="A7165" s="242"/>
      <c r="F7165" s="285" t="str">
        <f t="shared" si="229"/>
        <v/>
      </c>
      <c r="K7165" s="246" t="str">
        <f t="shared" si="230"/>
        <v/>
      </c>
    </row>
    <row r="7166" spans="1:11" x14ac:dyDescent="0.2">
      <c r="A7166" s="242"/>
      <c r="F7166" s="285" t="str">
        <f t="shared" si="229"/>
        <v/>
      </c>
      <c r="K7166" s="246" t="str">
        <f t="shared" si="230"/>
        <v/>
      </c>
    </row>
    <row r="7167" spans="1:11" x14ac:dyDescent="0.2">
      <c r="A7167" s="242"/>
      <c r="F7167" s="285" t="str">
        <f t="shared" si="229"/>
        <v/>
      </c>
      <c r="K7167" s="246" t="str">
        <f t="shared" si="230"/>
        <v/>
      </c>
    </row>
    <row r="7168" spans="1:11" x14ac:dyDescent="0.2">
      <c r="A7168" s="242"/>
      <c r="F7168" s="285" t="str">
        <f t="shared" si="229"/>
        <v/>
      </c>
      <c r="K7168" s="246" t="str">
        <f t="shared" si="230"/>
        <v/>
      </c>
    </row>
    <row r="7169" spans="1:11" x14ac:dyDescent="0.2">
      <c r="A7169" s="242"/>
      <c r="F7169" s="285" t="str">
        <f t="shared" si="229"/>
        <v/>
      </c>
      <c r="K7169" s="246" t="str">
        <f t="shared" si="230"/>
        <v/>
      </c>
    </row>
    <row r="7170" spans="1:11" x14ac:dyDescent="0.2">
      <c r="A7170" s="242"/>
      <c r="F7170" s="285" t="str">
        <f t="shared" si="229"/>
        <v/>
      </c>
      <c r="K7170" s="246" t="str">
        <f t="shared" si="230"/>
        <v/>
      </c>
    </row>
    <row r="7171" spans="1:11" x14ac:dyDescent="0.2">
      <c r="A7171" s="242"/>
      <c r="F7171" s="285" t="str">
        <f t="shared" si="229"/>
        <v/>
      </c>
      <c r="K7171" s="246" t="str">
        <f t="shared" si="230"/>
        <v/>
      </c>
    </row>
    <row r="7172" spans="1:11" x14ac:dyDescent="0.2">
      <c r="A7172" s="242"/>
      <c r="F7172" s="285" t="str">
        <f t="shared" si="229"/>
        <v/>
      </c>
      <c r="K7172" s="246" t="str">
        <f t="shared" si="230"/>
        <v/>
      </c>
    </row>
    <row r="7173" spans="1:11" x14ac:dyDescent="0.2">
      <c r="A7173" s="242"/>
      <c r="F7173" s="285" t="str">
        <f t="shared" ref="F7173:F7236" si="231">IF(A7173="","",A7173)</f>
        <v/>
      </c>
      <c r="K7173" s="246" t="str">
        <f t="shared" si="230"/>
        <v/>
      </c>
    </row>
    <row r="7174" spans="1:11" x14ac:dyDescent="0.2">
      <c r="A7174" s="242"/>
      <c r="F7174" s="285" t="str">
        <f t="shared" si="231"/>
        <v/>
      </c>
      <c r="K7174" s="246" t="str">
        <f t="shared" si="230"/>
        <v/>
      </c>
    </row>
    <row r="7175" spans="1:11" x14ac:dyDescent="0.2">
      <c r="A7175" s="242"/>
      <c r="F7175" s="285" t="str">
        <f t="shared" si="231"/>
        <v/>
      </c>
      <c r="K7175" s="246" t="str">
        <f t="shared" si="230"/>
        <v/>
      </c>
    </row>
    <row r="7176" spans="1:11" x14ac:dyDescent="0.2">
      <c r="A7176" s="242"/>
      <c r="F7176" s="285" t="str">
        <f t="shared" si="231"/>
        <v/>
      </c>
      <c r="K7176" s="246" t="str">
        <f t="shared" si="230"/>
        <v/>
      </c>
    </row>
    <row r="7177" spans="1:11" x14ac:dyDescent="0.2">
      <c r="A7177" s="242"/>
      <c r="F7177" s="285" t="str">
        <f t="shared" si="231"/>
        <v/>
      </c>
      <c r="K7177" s="246" t="str">
        <f t="shared" si="230"/>
        <v/>
      </c>
    </row>
    <row r="7178" spans="1:11" x14ac:dyDescent="0.2">
      <c r="A7178" s="242"/>
      <c r="F7178" s="285" t="str">
        <f t="shared" si="231"/>
        <v/>
      </c>
      <c r="K7178" s="246" t="str">
        <f t="shared" si="230"/>
        <v/>
      </c>
    </row>
    <row r="7179" spans="1:11" x14ac:dyDescent="0.2">
      <c r="A7179" s="242"/>
      <c r="F7179" s="285" t="str">
        <f t="shared" si="231"/>
        <v/>
      </c>
      <c r="K7179" s="246" t="str">
        <f t="shared" si="230"/>
        <v/>
      </c>
    </row>
    <row r="7180" spans="1:11" x14ac:dyDescent="0.2">
      <c r="A7180" s="242"/>
      <c r="F7180" s="285" t="str">
        <f t="shared" si="231"/>
        <v/>
      </c>
      <c r="K7180" s="246" t="str">
        <f t="shared" si="230"/>
        <v/>
      </c>
    </row>
    <row r="7181" spans="1:11" x14ac:dyDescent="0.2">
      <c r="A7181" s="242"/>
      <c r="F7181" s="285" t="str">
        <f t="shared" si="231"/>
        <v/>
      </c>
      <c r="K7181" s="246" t="str">
        <f t="shared" si="230"/>
        <v/>
      </c>
    </row>
    <row r="7182" spans="1:11" x14ac:dyDescent="0.2">
      <c r="A7182" s="242"/>
      <c r="F7182" s="285" t="str">
        <f t="shared" si="231"/>
        <v/>
      </c>
      <c r="K7182" s="246" t="str">
        <f t="shared" si="230"/>
        <v/>
      </c>
    </row>
    <row r="7183" spans="1:11" x14ac:dyDescent="0.2">
      <c r="A7183" s="242"/>
      <c r="F7183" s="285" t="str">
        <f t="shared" si="231"/>
        <v/>
      </c>
      <c r="K7183" s="246" t="str">
        <f t="shared" si="230"/>
        <v/>
      </c>
    </row>
    <row r="7184" spans="1:11" x14ac:dyDescent="0.2">
      <c r="A7184" s="242"/>
      <c r="F7184" s="285" t="str">
        <f t="shared" si="231"/>
        <v/>
      </c>
      <c r="K7184" s="246" t="str">
        <f t="shared" si="230"/>
        <v/>
      </c>
    </row>
    <row r="7185" spans="1:11" x14ac:dyDescent="0.2">
      <c r="A7185" s="242"/>
      <c r="F7185" s="285" t="str">
        <f t="shared" si="231"/>
        <v/>
      </c>
      <c r="K7185" s="246" t="str">
        <f t="shared" si="230"/>
        <v/>
      </c>
    </row>
    <row r="7186" spans="1:11" x14ac:dyDescent="0.2">
      <c r="A7186" s="242"/>
      <c r="F7186" s="285" t="str">
        <f t="shared" si="231"/>
        <v/>
      </c>
      <c r="K7186" s="246" t="str">
        <f t="shared" si="230"/>
        <v/>
      </c>
    </row>
    <row r="7187" spans="1:11" x14ac:dyDescent="0.2">
      <c r="A7187" s="242"/>
      <c r="F7187" s="285" t="str">
        <f t="shared" si="231"/>
        <v/>
      </c>
      <c r="K7187" s="246" t="str">
        <f t="shared" si="230"/>
        <v/>
      </c>
    </row>
    <row r="7188" spans="1:11" x14ac:dyDescent="0.2">
      <c r="A7188" s="242"/>
      <c r="F7188" s="285" t="str">
        <f t="shared" si="231"/>
        <v/>
      </c>
      <c r="K7188" s="246" t="str">
        <f t="shared" si="230"/>
        <v/>
      </c>
    </row>
    <row r="7189" spans="1:11" x14ac:dyDescent="0.2">
      <c r="A7189" s="242"/>
      <c r="F7189" s="285" t="str">
        <f t="shared" si="231"/>
        <v/>
      </c>
      <c r="K7189" s="246" t="str">
        <f t="shared" si="230"/>
        <v/>
      </c>
    </row>
    <row r="7190" spans="1:11" x14ac:dyDescent="0.2">
      <c r="A7190" s="242"/>
      <c r="F7190" s="285" t="str">
        <f t="shared" si="231"/>
        <v/>
      </c>
      <c r="K7190" s="246" t="str">
        <f t="shared" si="230"/>
        <v/>
      </c>
    </row>
    <row r="7191" spans="1:11" x14ac:dyDescent="0.2">
      <c r="A7191" s="242"/>
      <c r="F7191" s="285" t="str">
        <f t="shared" si="231"/>
        <v/>
      </c>
      <c r="K7191" s="246" t="str">
        <f t="shared" si="230"/>
        <v/>
      </c>
    </row>
    <row r="7192" spans="1:11" x14ac:dyDescent="0.2">
      <c r="A7192" s="242"/>
      <c r="F7192" s="285" t="str">
        <f t="shared" si="231"/>
        <v/>
      </c>
      <c r="K7192" s="246" t="str">
        <f t="shared" si="230"/>
        <v/>
      </c>
    </row>
    <row r="7193" spans="1:11" x14ac:dyDescent="0.2">
      <c r="A7193" s="242"/>
      <c r="F7193" s="285" t="str">
        <f t="shared" si="231"/>
        <v/>
      </c>
      <c r="K7193" s="246" t="str">
        <f t="shared" si="230"/>
        <v/>
      </c>
    </row>
    <row r="7194" spans="1:11" x14ac:dyDescent="0.2">
      <c r="A7194" s="242"/>
      <c r="F7194" s="285" t="str">
        <f t="shared" si="231"/>
        <v/>
      </c>
      <c r="K7194" s="246" t="str">
        <f t="shared" si="230"/>
        <v/>
      </c>
    </row>
    <row r="7195" spans="1:11" x14ac:dyDescent="0.2">
      <c r="A7195" s="242"/>
      <c r="F7195" s="285" t="str">
        <f t="shared" si="231"/>
        <v/>
      </c>
      <c r="K7195" s="246" t="str">
        <f t="shared" si="230"/>
        <v/>
      </c>
    </row>
    <row r="7196" spans="1:11" x14ac:dyDescent="0.2">
      <c r="A7196" s="242"/>
      <c r="F7196" s="285" t="str">
        <f t="shared" si="231"/>
        <v/>
      </c>
      <c r="K7196" s="246" t="str">
        <f t="shared" si="230"/>
        <v/>
      </c>
    </row>
    <row r="7197" spans="1:11" x14ac:dyDescent="0.2">
      <c r="A7197" s="242"/>
      <c r="F7197" s="285" t="str">
        <f t="shared" si="231"/>
        <v/>
      </c>
      <c r="K7197" s="246" t="str">
        <f t="shared" si="230"/>
        <v/>
      </c>
    </row>
    <row r="7198" spans="1:11" x14ac:dyDescent="0.2">
      <c r="A7198" s="242"/>
      <c r="F7198" s="285" t="str">
        <f t="shared" si="231"/>
        <v/>
      </c>
      <c r="K7198" s="246" t="str">
        <f t="shared" si="230"/>
        <v/>
      </c>
    </row>
    <row r="7199" spans="1:11" x14ac:dyDescent="0.2">
      <c r="A7199" s="242"/>
      <c r="F7199" s="285" t="str">
        <f t="shared" si="231"/>
        <v/>
      </c>
      <c r="K7199" s="246" t="str">
        <f t="shared" si="230"/>
        <v/>
      </c>
    </row>
    <row r="7200" spans="1:11" x14ac:dyDescent="0.2">
      <c r="A7200" s="242"/>
      <c r="F7200" s="285" t="str">
        <f t="shared" si="231"/>
        <v/>
      </c>
      <c r="K7200" s="246" t="str">
        <f t="shared" si="230"/>
        <v/>
      </c>
    </row>
    <row r="7201" spans="1:11" x14ac:dyDescent="0.2">
      <c r="A7201" s="242"/>
      <c r="F7201" s="285" t="str">
        <f t="shared" si="231"/>
        <v/>
      </c>
      <c r="K7201" s="246" t="str">
        <f t="shared" si="230"/>
        <v/>
      </c>
    </row>
    <row r="7202" spans="1:11" x14ac:dyDescent="0.2">
      <c r="A7202" s="242"/>
      <c r="F7202" s="285" t="str">
        <f t="shared" si="231"/>
        <v/>
      </c>
      <c r="K7202" s="246" t="str">
        <f t="shared" si="230"/>
        <v/>
      </c>
    </row>
    <row r="7203" spans="1:11" x14ac:dyDescent="0.2">
      <c r="A7203" s="242"/>
      <c r="F7203" s="285" t="str">
        <f t="shared" si="231"/>
        <v/>
      </c>
      <c r="K7203" s="246" t="str">
        <f t="shared" si="230"/>
        <v/>
      </c>
    </row>
    <row r="7204" spans="1:11" x14ac:dyDescent="0.2">
      <c r="A7204" s="242"/>
      <c r="F7204" s="285" t="str">
        <f t="shared" si="231"/>
        <v/>
      </c>
      <c r="K7204" s="246" t="str">
        <f t="shared" si="230"/>
        <v/>
      </c>
    </row>
    <row r="7205" spans="1:11" x14ac:dyDescent="0.2">
      <c r="A7205" s="242"/>
      <c r="F7205" s="285" t="str">
        <f t="shared" si="231"/>
        <v/>
      </c>
      <c r="K7205" s="246" t="str">
        <f t="shared" si="230"/>
        <v/>
      </c>
    </row>
    <row r="7206" spans="1:11" x14ac:dyDescent="0.2">
      <c r="A7206" s="242"/>
      <c r="F7206" s="285" t="str">
        <f t="shared" si="231"/>
        <v/>
      </c>
      <c r="K7206" s="246" t="str">
        <f t="shared" si="230"/>
        <v/>
      </c>
    </row>
    <row r="7207" spans="1:11" x14ac:dyDescent="0.2">
      <c r="A7207" s="242"/>
      <c r="F7207" s="285" t="str">
        <f t="shared" si="231"/>
        <v/>
      </c>
      <c r="K7207" s="246" t="str">
        <f t="shared" si="230"/>
        <v/>
      </c>
    </row>
    <row r="7208" spans="1:11" x14ac:dyDescent="0.2">
      <c r="A7208" s="242"/>
      <c r="F7208" s="285" t="str">
        <f t="shared" si="231"/>
        <v/>
      </c>
      <c r="K7208" s="246" t="str">
        <f t="shared" si="230"/>
        <v/>
      </c>
    </row>
    <row r="7209" spans="1:11" x14ac:dyDescent="0.2">
      <c r="A7209" s="242"/>
      <c r="F7209" s="285" t="str">
        <f t="shared" si="231"/>
        <v/>
      </c>
      <c r="K7209" s="246" t="str">
        <f t="shared" si="230"/>
        <v/>
      </c>
    </row>
    <row r="7210" spans="1:11" x14ac:dyDescent="0.2">
      <c r="A7210" s="242"/>
      <c r="F7210" s="285" t="str">
        <f t="shared" si="231"/>
        <v/>
      </c>
      <c r="K7210" s="246" t="str">
        <f t="shared" si="230"/>
        <v/>
      </c>
    </row>
    <row r="7211" spans="1:11" x14ac:dyDescent="0.2">
      <c r="A7211" s="242"/>
      <c r="F7211" s="285" t="str">
        <f t="shared" si="231"/>
        <v/>
      </c>
      <c r="K7211" s="246" t="str">
        <f t="shared" si="230"/>
        <v/>
      </c>
    </row>
    <row r="7212" spans="1:11" x14ac:dyDescent="0.2">
      <c r="A7212" s="242"/>
      <c r="F7212" s="285" t="str">
        <f t="shared" si="231"/>
        <v/>
      </c>
      <c r="K7212" s="246" t="str">
        <f t="shared" si="230"/>
        <v/>
      </c>
    </row>
    <row r="7213" spans="1:11" x14ac:dyDescent="0.2">
      <c r="A7213" s="242"/>
      <c r="F7213" s="285" t="str">
        <f t="shared" si="231"/>
        <v/>
      </c>
      <c r="K7213" s="246" t="str">
        <f t="shared" si="230"/>
        <v/>
      </c>
    </row>
    <row r="7214" spans="1:11" x14ac:dyDescent="0.2">
      <c r="A7214" s="242"/>
      <c r="F7214" s="285" t="str">
        <f t="shared" si="231"/>
        <v/>
      </c>
      <c r="K7214" s="246" t="str">
        <f t="shared" si="230"/>
        <v/>
      </c>
    </row>
    <row r="7215" spans="1:11" x14ac:dyDescent="0.2">
      <c r="A7215" s="242"/>
      <c r="F7215" s="285" t="str">
        <f t="shared" si="231"/>
        <v/>
      </c>
      <c r="K7215" s="246" t="str">
        <f t="shared" si="230"/>
        <v/>
      </c>
    </row>
    <row r="7216" spans="1:11" x14ac:dyDescent="0.2">
      <c r="A7216" s="242"/>
      <c r="F7216" s="285" t="str">
        <f t="shared" si="231"/>
        <v/>
      </c>
      <c r="K7216" s="246" t="str">
        <f t="shared" si="230"/>
        <v/>
      </c>
    </row>
    <row r="7217" spans="1:11" x14ac:dyDescent="0.2">
      <c r="A7217" s="242"/>
      <c r="F7217" s="285" t="str">
        <f t="shared" si="231"/>
        <v/>
      </c>
      <c r="K7217" s="246" t="str">
        <f t="shared" si="230"/>
        <v/>
      </c>
    </row>
    <row r="7218" spans="1:11" x14ac:dyDescent="0.2">
      <c r="A7218" s="242"/>
      <c r="F7218" s="285" t="str">
        <f t="shared" si="231"/>
        <v/>
      </c>
      <c r="K7218" s="246" t="str">
        <f t="shared" si="230"/>
        <v/>
      </c>
    </row>
    <row r="7219" spans="1:11" x14ac:dyDescent="0.2">
      <c r="A7219" s="242"/>
      <c r="F7219" s="285" t="str">
        <f t="shared" si="231"/>
        <v/>
      </c>
      <c r="K7219" s="246" t="str">
        <f t="shared" si="230"/>
        <v/>
      </c>
    </row>
    <row r="7220" spans="1:11" x14ac:dyDescent="0.2">
      <c r="A7220" s="242"/>
      <c r="F7220" s="285" t="str">
        <f t="shared" si="231"/>
        <v/>
      </c>
      <c r="K7220" s="246" t="str">
        <f t="shared" si="230"/>
        <v/>
      </c>
    </row>
    <row r="7221" spans="1:11" x14ac:dyDescent="0.2">
      <c r="A7221" s="242"/>
      <c r="F7221" s="285" t="str">
        <f t="shared" si="231"/>
        <v/>
      </c>
      <c r="K7221" s="246" t="str">
        <f t="shared" si="230"/>
        <v/>
      </c>
    </row>
    <row r="7222" spans="1:11" x14ac:dyDescent="0.2">
      <c r="A7222" s="242"/>
      <c r="F7222" s="285" t="str">
        <f t="shared" si="231"/>
        <v/>
      </c>
      <c r="K7222" s="246" t="str">
        <f t="shared" si="230"/>
        <v/>
      </c>
    </row>
    <row r="7223" spans="1:11" x14ac:dyDescent="0.2">
      <c r="A7223" s="242"/>
      <c r="F7223" s="285" t="str">
        <f t="shared" si="231"/>
        <v/>
      </c>
      <c r="K7223" s="246" t="str">
        <f t="shared" si="230"/>
        <v/>
      </c>
    </row>
    <row r="7224" spans="1:11" x14ac:dyDescent="0.2">
      <c r="A7224" s="242"/>
      <c r="F7224" s="285" t="str">
        <f t="shared" si="231"/>
        <v/>
      </c>
      <c r="K7224" s="246" t="str">
        <f t="shared" si="230"/>
        <v/>
      </c>
    </row>
    <row r="7225" spans="1:11" x14ac:dyDescent="0.2">
      <c r="A7225" s="242"/>
      <c r="F7225" s="285" t="str">
        <f t="shared" si="231"/>
        <v/>
      </c>
      <c r="K7225" s="246" t="str">
        <f t="shared" si="230"/>
        <v/>
      </c>
    </row>
    <row r="7226" spans="1:11" x14ac:dyDescent="0.2">
      <c r="A7226" s="242"/>
      <c r="F7226" s="285" t="str">
        <f t="shared" si="231"/>
        <v/>
      </c>
      <c r="K7226" s="246" t="str">
        <f t="shared" si="230"/>
        <v/>
      </c>
    </row>
    <row r="7227" spans="1:11" x14ac:dyDescent="0.2">
      <c r="A7227" s="242"/>
      <c r="F7227" s="285" t="str">
        <f t="shared" si="231"/>
        <v/>
      </c>
      <c r="K7227" s="246" t="str">
        <f t="shared" ref="K7227:K7290" si="232">IF(A7227="","",A7227)</f>
        <v/>
      </c>
    </row>
    <row r="7228" spans="1:11" x14ac:dyDescent="0.2">
      <c r="A7228" s="242"/>
      <c r="F7228" s="285" t="str">
        <f t="shared" si="231"/>
        <v/>
      </c>
      <c r="K7228" s="246" t="str">
        <f t="shared" si="232"/>
        <v/>
      </c>
    </row>
    <row r="7229" spans="1:11" x14ac:dyDescent="0.2">
      <c r="A7229" s="242"/>
      <c r="F7229" s="285" t="str">
        <f t="shared" si="231"/>
        <v/>
      </c>
      <c r="K7229" s="246" t="str">
        <f t="shared" si="232"/>
        <v/>
      </c>
    </row>
    <row r="7230" spans="1:11" x14ac:dyDescent="0.2">
      <c r="A7230" s="242"/>
      <c r="F7230" s="285" t="str">
        <f t="shared" si="231"/>
        <v/>
      </c>
      <c r="K7230" s="246" t="str">
        <f t="shared" si="232"/>
        <v/>
      </c>
    </row>
    <row r="7231" spans="1:11" x14ac:dyDescent="0.2">
      <c r="A7231" s="242"/>
      <c r="F7231" s="285" t="str">
        <f t="shared" si="231"/>
        <v/>
      </c>
      <c r="K7231" s="246" t="str">
        <f t="shared" si="232"/>
        <v/>
      </c>
    </row>
    <row r="7232" spans="1:11" x14ac:dyDescent="0.2">
      <c r="A7232" s="242"/>
      <c r="F7232" s="285" t="str">
        <f t="shared" si="231"/>
        <v/>
      </c>
      <c r="K7232" s="246" t="str">
        <f t="shared" si="232"/>
        <v/>
      </c>
    </row>
    <row r="7233" spans="1:11" x14ac:dyDescent="0.2">
      <c r="A7233" s="242"/>
      <c r="F7233" s="285" t="str">
        <f t="shared" si="231"/>
        <v/>
      </c>
      <c r="K7233" s="246" t="str">
        <f t="shared" si="232"/>
        <v/>
      </c>
    </row>
    <row r="7234" spans="1:11" x14ac:dyDescent="0.2">
      <c r="A7234" s="242"/>
      <c r="F7234" s="285" t="str">
        <f t="shared" si="231"/>
        <v/>
      </c>
      <c r="K7234" s="246" t="str">
        <f t="shared" si="232"/>
        <v/>
      </c>
    </row>
    <row r="7235" spans="1:11" x14ac:dyDescent="0.2">
      <c r="A7235" s="242"/>
      <c r="F7235" s="285" t="str">
        <f t="shared" si="231"/>
        <v/>
      </c>
      <c r="K7235" s="246" t="str">
        <f t="shared" si="232"/>
        <v/>
      </c>
    </row>
    <row r="7236" spans="1:11" x14ac:dyDescent="0.2">
      <c r="A7236" s="242"/>
      <c r="F7236" s="285" t="str">
        <f t="shared" si="231"/>
        <v/>
      </c>
      <c r="K7236" s="246" t="str">
        <f t="shared" si="232"/>
        <v/>
      </c>
    </row>
    <row r="7237" spans="1:11" x14ac:dyDescent="0.2">
      <c r="A7237" s="242"/>
      <c r="F7237" s="285" t="str">
        <f t="shared" ref="F7237:F7300" si="233">IF(A7237="","",A7237)</f>
        <v/>
      </c>
      <c r="K7237" s="246" t="str">
        <f t="shared" si="232"/>
        <v/>
      </c>
    </row>
    <row r="7238" spans="1:11" x14ac:dyDescent="0.2">
      <c r="A7238" s="242"/>
      <c r="F7238" s="285" t="str">
        <f t="shared" si="233"/>
        <v/>
      </c>
      <c r="K7238" s="246" t="str">
        <f t="shared" si="232"/>
        <v/>
      </c>
    </row>
    <row r="7239" spans="1:11" x14ac:dyDescent="0.2">
      <c r="A7239" s="242"/>
      <c r="F7239" s="285" t="str">
        <f t="shared" si="233"/>
        <v/>
      </c>
      <c r="K7239" s="246" t="str">
        <f t="shared" si="232"/>
        <v/>
      </c>
    </row>
    <row r="7240" spans="1:11" x14ac:dyDescent="0.2">
      <c r="A7240" s="242"/>
      <c r="F7240" s="285" t="str">
        <f t="shared" si="233"/>
        <v/>
      </c>
      <c r="K7240" s="246" t="str">
        <f t="shared" si="232"/>
        <v/>
      </c>
    </row>
    <row r="7241" spans="1:11" x14ac:dyDescent="0.2">
      <c r="A7241" s="242"/>
      <c r="F7241" s="285" t="str">
        <f t="shared" si="233"/>
        <v/>
      </c>
      <c r="K7241" s="246" t="str">
        <f t="shared" si="232"/>
        <v/>
      </c>
    </row>
    <row r="7242" spans="1:11" x14ac:dyDescent="0.2">
      <c r="A7242" s="242"/>
      <c r="F7242" s="285" t="str">
        <f t="shared" si="233"/>
        <v/>
      </c>
      <c r="K7242" s="246" t="str">
        <f t="shared" si="232"/>
        <v/>
      </c>
    </row>
    <row r="7243" spans="1:11" x14ac:dyDescent="0.2">
      <c r="A7243" s="242"/>
      <c r="F7243" s="285" t="str">
        <f t="shared" si="233"/>
        <v/>
      </c>
      <c r="K7243" s="246" t="str">
        <f t="shared" si="232"/>
        <v/>
      </c>
    </row>
    <row r="7244" spans="1:11" x14ac:dyDescent="0.2">
      <c r="A7244" s="242"/>
      <c r="F7244" s="285" t="str">
        <f t="shared" si="233"/>
        <v/>
      </c>
      <c r="K7244" s="246" t="str">
        <f t="shared" si="232"/>
        <v/>
      </c>
    </row>
    <row r="7245" spans="1:11" x14ac:dyDescent="0.2">
      <c r="A7245" s="242"/>
      <c r="F7245" s="285" t="str">
        <f t="shared" si="233"/>
        <v/>
      </c>
      <c r="K7245" s="246" t="str">
        <f t="shared" si="232"/>
        <v/>
      </c>
    </row>
    <row r="7246" spans="1:11" x14ac:dyDescent="0.2">
      <c r="A7246" s="242"/>
      <c r="F7246" s="285" t="str">
        <f t="shared" si="233"/>
        <v/>
      </c>
      <c r="K7246" s="246" t="str">
        <f t="shared" si="232"/>
        <v/>
      </c>
    </row>
    <row r="7247" spans="1:11" x14ac:dyDescent="0.2">
      <c r="A7247" s="242"/>
      <c r="F7247" s="285" t="str">
        <f t="shared" si="233"/>
        <v/>
      </c>
      <c r="K7247" s="246" t="str">
        <f t="shared" si="232"/>
        <v/>
      </c>
    </row>
    <row r="7248" spans="1:11" x14ac:dyDescent="0.2">
      <c r="A7248" s="242"/>
      <c r="F7248" s="285" t="str">
        <f t="shared" si="233"/>
        <v/>
      </c>
      <c r="K7248" s="246" t="str">
        <f t="shared" si="232"/>
        <v/>
      </c>
    </row>
    <row r="7249" spans="1:11" x14ac:dyDescent="0.2">
      <c r="A7249" s="242"/>
      <c r="F7249" s="285" t="str">
        <f t="shared" si="233"/>
        <v/>
      </c>
      <c r="K7249" s="246" t="str">
        <f t="shared" si="232"/>
        <v/>
      </c>
    </row>
    <row r="7250" spans="1:11" x14ac:dyDescent="0.2">
      <c r="A7250" s="242"/>
      <c r="F7250" s="285" t="str">
        <f t="shared" si="233"/>
        <v/>
      </c>
      <c r="K7250" s="246" t="str">
        <f t="shared" si="232"/>
        <v/>
      </c>
    </row>
    <row r="7251" spans="1:11" x14ac:dyDescent="0.2">
      <c r="A7251" s="242"/>
      <c r="F7251" s="285" t="str">
        <f t="shared" si="233"/>
        <v/>
      </c>
      <c r="K7251" s="246" t="str">
        <f t="shared" si="232"/>
        <v/>
      </c>
    </row>
    <row r="7252" spans="1:11" x14ac:dyDescent="0.2">
      <c r="A7252" s="242"/>
      <c r="F7252" s="285" t="str">
        <f t="shared" si="233"/>
        <v/>
      </c>
      <c r="K7252" s="246" t="str">
        <f t="shared" si="232"/>
        <v/>
      </c>
    </row>
    <row r="7253" spans="1:11" x14ac:dyDescent="0.2">
      <c r="A7253" s="242"/>
      <c r="F7253" s="285" t="str">
        <f t="shared" si="233"/>
        <v/>
      </c>
      <c r="K7253" s="246" t="str">
        <f t="shared" si="232"/>
        <v/>
      </c>
    </row>
    <row r="7254" spans="1:11" x14ac:dyDescent="0.2">
      <c r="A7254" s="242"/>
      <c r="F7254" s="285" t="str">
        <f t="shared" si="233"/>
        <v/>
      </c>
      <c r="K7254" s="246" t="str">
        <f t="shared" si="232"/>
        <v/>
      </c>
    </row>
    <row r="7255" spans="1:11" x14ac:dyDescent="0.2">
      <c r="A7255" s="242"/>
      <c r="F7255" s="285" t="str">
        <f t="shared" si="233"/>
        <v/>
      </c>
      <c r="K7255" s="246" t="str">
        <f t="shared" si="232"/>
        <v/>
      </c>
    </row>
    <row r="7256" spans="1:11" x14ac:dyDescent="0.2">
      <c r="A7256" s="242"/>
      <c r="F7256" s="285" t="str">
        <f t="shared" si="233"/>
        <v/>
      </c>
      <c r="K7256" s="246" t="str">
        <f t="shared" si="232"/>
        <v/>
      </c>
    </row>
    <row r="7257" spans="1:11" x14ac:dyDescent="0.2">
      <c r="A7257" s="242"/>
      <c r="F7257" s="285" t="str">
        <f t="shared" si="233"/>
        <v/>
      </c>
      <c r="K7257" s="246" t="str">
        <f t="shared" si="232"/>
        <v/>
      </c>
    </row>
    <row r="7258" spans="1:11" x14ac:dyDescent="0.2">
      <c r="A7258" s="242"/>
      <c r="F7258" s="285" t="str">
        <f t="shared" si="233"/>
        <v/>
      </c>
      <c r="K7258" s="246" t="str">
        <f t="shared" si="232"/>
        <v/>
      </c>
    </row>
    <row r="7259" spans="1:11" x14ac:dyDescent="0.2">
      <c r="A7259" s="242"/>
      <c r="F7259" s="285" t="str">
        <f t="shared" si="233"/>
        <v/>
      </c>
      <c r="K7259" s="246" t="str">
        <f t="shared" si="232"/>
        <v/>
      </c>
    </row>
    <row r="7260" spans="1:11" x14ac:dyDescent="0.2">
      <c r="A7260" s="242"/>
      <c r="F7260" s="285" t="str">
        <f t="shared" si="233"/>
        <v/>
      </c>
      <c r="K7260" s="246" t="str">
        <f t="shared" si="232"/>
        <v/>
      </c>
    </row>
    <row r="7261" spans="1:11" x14ac:dyDescent="0.2">
      <c r="A7261" s="242"/>
      <c r="F7261" s="285" t="str">
        <f t="shared" si="233"/>
        <v/>
      </c>
      <c r="K7261" s="246" t="str">
        <f t="shared" si="232"/>
        <v/>
      </c>
    </row>
    <row r="7262" spans="1:11" x14ac:dyDescent="0.2">
      <c r="A7262" s="242"/>
      <c r="F7262" s="285" t="str">
        <f t="shared" si="233"/>
        <v/>
      </c>
      <c r="K7262" s="246" t="str">
        <f t="shared" si="232"/>
        <v/>
      </c>
    </row>
    <row r="7263" spans="1:11" x14ac:dyDescent="0.2">
      <c r="A7263" s="242"/>
      <c r="F7263" s="285" t="str">
        <f t="shared" si="233"/>
        <v/>
      </c>
      <c r="K7263" s="246" t="str">
        <f t="shared" si="232"/>
        <v/>
      </c>
    </row>
    <row r="7264" spans="1:11" x14ac:dyDescent="0.2">
      <c r="A7264" s="242"/>
      <c r="F7264" s="285" t="str">
        <f t="shared" si="233"/>
        <v/>
      </c>
      <c r="K7264" s="246" t="str">
        <f t="shared" si="232"/>
        <v/>
      </c>
    </row>
    <row r="7265" spans="1:11" x14ac:dyDescent="0.2">
      <c r="A7265" s="242"/>
      <c r="F7265" s="285" t="str">
        <f t="shared" si="233"/>
        <v/>
      </c>
      <c r="K7265" s="246" t="str">
        <f t="shared" si="232"/>
        <v/>
      </c>
    </row>
    <row r="7266" spans="1:11" x14ac:dyDescent="0.2">
      <c r="A7266" s="242"/>
      <c r="F7266" s="285" t="str">
        <f t="shared" si="233"/>
        <v/>
      </c>
      <c r="K7266" s="246" t="str">
        <f t="shared" si="232"/>
        <v/>
      </c>
    </row>
    <row r="7267" spans="1:11" x14ac:dyDescent="0.2">
      <c r="A7267" s="242"/>
      <c r="F7267" s="285" t="str">
        <f t="shared" si="233"/>
        <v/>
      </c>
      <c r="K7267" s="246" t="str">
        <f t="shared" si="232"/>
        <v/>
      </c>
    </row>
    <row r="7268" spans="1:11" x14ac:dyDescent="0.2">
      <c r="A7268" s="242"/>
      <c r="F7268" s="285" t="str">
        <f t="shared" si="233"/>
        <v/>
      </c>
      <c r="K7268" s="246" t="str">
        <f t="shared" si="232"/>
        <v/>
      </c>
    </row>
    <row r="7269" spans="1:11" x14ac:dyDescent="0.2">
      <c r="A7269" s="242"/>
      <c r="F7269" s="285" t="str">
        <f t="shared" si="233"/>
        <v/>
      </c>
      <c r="K7269" s="246" t="str">
        <f t="shared" si="232"/>
        <v/>
      </c>
    </row>
    <row r="7270" spans="1:11" x14ac:dyDescent="0.2">
      <c r="A7270" s="242"/>
      <c r="F7270" s="285" t="str">
        <f t="shared" si="233"/>
        <v/>
      </c>
      <c r="K7270" s="246" t="str">
        <f t="shared" si="232"/>
        <v/>
      </c>
    </row>
    <row r="7271" spans="1:11" x14ac:dyDescent="0.2">
      <c r="A7271" s="242"/>
      <c r="F7271" s="285" t="str">
        <f t="shared" si="233"/>
        <v/>
      </c>
      <c r="K7271" s="246" t="str">
        <f t="shared" si="232"/>
        <v/>
      </c>
    </row>
    <row r="7272" spans="1:11" x14ac:dyDescent="0.2">
      <c r="A7272" s="242"/>
      <c r="F7272" s="285" t="str">
        <f t="shared" si="233"/>
        <v/>
      </c>
      <c r="K7272" s="246" t="str">
        <f t="shared" si="232"/>
        <v/>
      </c>
    </row>
    <row r="7273" spans="1:11" x14ac:dyDescent="0.2">
      <c r="A7273" s="242"/>
      <c r="F7273" s="285" t="str">
        <f t="shared" si="233"/>
        <v/>
      </c>
      <c r="K7273" s="246" t="str">
        <f t="shared" si="232"/>
        <v/>
      </c>
    </row>
    <row r="7274" spans="1:11" x14ac:dyDescent="0.2">
      <c r="A7274" s="242"/>
      <c r="F7274" s="285" t="str">
        <f t="shared" si="233"/>
        <v/>
      </c>
      <c r="K7274" s="246" t="str">
        <f t="shared" si="232"/>
        <v/>
      </c>
    </row>
    <row r="7275" spans="1:11" x14ac:dyDescent="0.2">
      <c r="A7275" s="242"/>
      <c r="F7275" s="285" t="str">
        <f t="shared" si="233"/>
        <v/>
      </c>
      <c r="K7275" s="246" t="str">
        <f t="shared" si="232"/>
        <v/>
      </c>
    </row>
    <row r="7276" spans="1:11" x14ac:dyDescent="0.2">
      <c r="A7276" s="242"/>
      <c r="F7276" s="285" t="str">
        <f t="shared" si="233"/>
        <v/>
      </c>
      <c r="K7276" s="246" t="str">
        <f t="shared" si="232"/>
        <v/>
      </c>
    </row>
    <row r="7277" spans="1:11" x14ac:dyDescent="0.2">
      <c r="A7277" s="242"/>
      <c r="F7277" s="285" t="str">
        <f t="shared" si="233"/>
        <v/>
      </c>
      <c r="K7277" s="246" t="str">
        <f t="shared" si="232"/>
        <v/>
      </c>
    </row>
    <row r="7278" spans="1:11" x14ac:dyDescent="0.2">
      <c r="A7278" s="242"/>
      <c r="F7278" s="285" t="str">
        <f t="shared" si="233"/>
        <v/>
      </c>
      <c r="K7278" s="246" t="str">
        <f t="shared" si="232"/>
        <v/>
      </c>
    </row>
    <row r="7279" spans="1:11" x14ac:dyDescent="0.2">
      <c r="A7279" s="242"/>
      <c r="F7279" s="285" t="str">
        <f t="shared" si="233"/>
        <v/>
      </c>
      <c r="K7279" s="246" t="str">
        <f t="shared" si="232"/>
        <v/>
      </c>
    </row>
    <row r="7280" spans="1:11" x14ac:dyDescent="0.2">
      <c r="A7280" s="242"/>
      <c r="F7280" s="285" t="str">
        <f t="shared" si="233"/>
        <v/>
      </c>
      <c r="K7280" s="246" t="str">
        <f t="shared" si="232"/>
        <v/>
      </c>
    </row>
    <row r="7281" spans="1:11" x14ac:dyDescent="0.2">
      <c r="A7281" s="242"/>
      <c r="F7281" s="285" t="str">
        <f t="shared" si="233"/>
        <v/>
      </c>
      <c r="K7281" s="246" t="str">
        <f t="shared" si="232"/>
        <v/>
      </c>
    </row>
    <row r="7282" spans="1:11" x14ac:dyDescent="0.2">
      <c r="A7282" s="242"/>
      <c r="F7282" s="285" t="str">
        <f t="shared" si="233"/>
        <v/>
      </c>
      <c r="K7282" s="246" t="str">
        <f t="shared" si="232"/>
        <v/>
      </c>
    </row>
    <row r="7283" spans="1:11" x14ac:dyDescent="0.2">
      <c r="A7283" s="242"/>
      <c r="F7283" s="285" t="str">
        <f t="shared" si="233"/>
        <v/>
      </c>
      <c r="K7283" s="246" t="str">
        <f t="shared" si="232"/>
        <v/>
      </c>
    </row>
    <row r="7284" spans="1:11" x14ac:dyDescent="0.2">
      <c r="A7284" s="242"/>
      <c r="F7284" s="285" t="str">
        <f t="shared" si="233"/>
        <v/>
      </c>
      <c r="K7284" s="246" t="str">
        <f t="shared" si="232"/>
        <v/>
      </c>
    </row>
    <row r="7285" spans="1:11" x14ac:dyDescent="0.2">
      <c r="A7285" s="242"/>
      <c r="F7285" s="285" t="str">
        <f t="shared" si="233"/>
        <v/>
      </c>
      <c r="K7285" s="246" t="str">
        <f t="shared" si="232"/>
        <v/>
      </c>
    </row>
    <row r="7286" spans="1:11" x14ac:dyDescent="0.2">
      <c r="A7286" s="242"/>
      <c r="F7286" s="285" t="str">
        <f t="shared" si="233"/>
        <v/>
      </c>
      <c r="K7286" s="246" t="str">
        <f t="shared" si="232"/>
        <v/>
      </c>
    </row>
    <row r="7287" spans="1:11" x14ac:dyDescent="0.2">
      <c r="A7287" s="242"/>
      <c r="F7287" s="285" t="str">
        <f t="shared" si="233"/>
        <v/>
      </c>
      <c r="K7287" s="246" t="str">
        <f t="shared" si="232"/>
        <v/>
      </c>
    </row>
    <row r="7288" spans="1:11" x14ac:dyDescent="0.2">
      <c r="A7288" s="242"/>
      <c r="F7288" s="285" t="str">
        <f t="shared" si="233"/>
        <v/>
      </c>
      <c r="K7288" s="246" t="str">
        <f t="shared" si="232"/>
        <v/>
      </c>
    </row>
    <row r="7289" spans="1:11" x14ac:dyDescent="0.2">
      <c r="A7289" s="242"/>
      <c r="F7289" s="285" t="str">
        <f t="shared" si="233"/>
        <v/>
      </c>
      <c r="K7289" s="246" t="str">
        <f t="shared" si="232"/>
        <v/>
      </c>
    </row>
    <row r="7290" spans="1:11" x14ac:dyDescent="0.2">
      <c r="A7290" s="242"/>
      <c r="F7290" s="285" t="str">
        <f t="shared" si="233"/>
        <v/>
      </c>
      <c r="K7290" s="246" t="str">
        <f t="shared" si="232"/>
        <v/>
      </c>
    </row>
    <row r="7291" spans="1:11" x14ac:dyDescent="0.2">
      <c r="A7291" s="242"/>
      <c r="F7291" s="285" t="str">
        <f t="shared" si="233"/>
        <v/>
      </c>
      <c r="K7291" s="246" t="str">
        <f t="shared" ref="K7291:K7354" si="234">IF(A7291="","",A7291)</f>
        <v/>
      </c>
    </row>
    <row r="7292" spans="1:11" x14ac:dyDescent="0.2">
      <c r="A7292" s="242"/>
      <c r="F7292" s="285" t="str">
        <f t="shared" si="233"/>
        <v/>
      </c>
      <c r="K7292" s="246" t="str">
        <f t="shared" si="234"/>
        <v/>
      </c>
    </row>
    <row r="7293" spans="1:11" x14ac:dyDescent="0.2">
      <c r="A7293" s="242"/>
      <c r="F7293" s="285" t="str">
        <f t="shared" si="233"/>
        <v/>
      </c>
      <c r="K7293" s="246" t="str">
        <f t="shared" si="234"/>
        <v/>
      </c>
    </row>
    <row r="7294" spans="1:11" x14ac:dyDescent="0.2">
      <c r="A7294" s="242"/>
      <c r="F7294" s="285" t="str">
        <f t="shared" si="233"/>
        <v/>
      </c>
      <c r="K7294" s="246" t="str">
        <f t="shared" si="234"/>
        <v/>
      </c>
    </row>
    <row r="7295" spans="1:11" x14ac:dyDescent="0.2">
      <c r="A7295" s="242"/>
      <c r="F7295" s="285" t="str">
        <f t="shared" si="233"/>
        <v/>
      </c>
      <c r="K7295" s="246" t="str">
        <f t="shared" si="234"/>
        <v/>
      </c>
    </row>
    <row r="7296" spans="1:11" x14ac:dyDescent="0.2">
      <c r="A7296" s="242"/>
      <c r="F7296" s="285" t="str">
        <f t="shared" si="233"/>
        <v/>
      </c>
      <c r="K7296" s="246" t="str">
        <f t="shared" si="234"/>
        <v/>
      </c>
    </row>
    <row r="7297" spans="1:11" x14ac:dyDescent="0.2">
      <c r="A7297" s="242"/>
      <c r="F7297" s="285" t="str">
        <f t="shared" si="233"/>
        <v/>
      </c>
      <c r="K7297" s="246" t="str">
        <f t="shared" si="234"/>
        <v/>
      </c>
    </row>
    <row r="7298" spans="1:11" x14ac:dyDescent="0.2">
      <c r="A7298" s="242"/>
      <c r="F7298" s="285" t="str">
        <f t="shared" si="233"/>
        <v/>
      </c>
      <c r="K7298" s="246" t="str">
        <f t="shared" si="234"/>
        <v/>
      </c>
    </row>
    <row r="7299" spans="1:11" x14ac:dyDescent="0.2">
      <c r="A7299" s="242"/>
      <c r="F7299" s="285" t="str">
        <f t="shared" si="233"/>
        <v/>
      </c>
      <c r="K7299" s="246" t="str">
        <f t="shared" si="234"/>
        <v/>
      </c>
    </row>
    <row r="7300" spans="1:11" x14ac:dyDescent="0.2">
      <c r="A7300" s="242"/>
      <c r="F7300" s="285" t="str">
        <f t="shared" si="233"/>
        <v/>
      </c>
      <c r="K7300" s="246" t="str">
        <f t="shared" si="234"/>
        <v/>
      </c>
    </row>
    <row r="7301" spans="1:11" x14ac:dyDescent="0.2">
      <c r="A7301" s="242"/>
      <c r="F7301" s="285" t="str">
        <f t="shared" ref="F7301:F7364" si="235">IF(A7301="","",A7301)</f>
        <v/>
      </c>
      <c r="K7301" s="246" t="str">
        <f t="shared" si="234"/>
        <v/>
      </c>
    </row>
    <row r="7302" spans="1:11" x14ac:dyDescent="0.2">
      <c r="A7302" s="242"/>
      <c r="F7302" s="285" t="str">
        <f t="shared" si="235"/>
        <v/>
      </c>
      <c r="K7302" s="246" t="str">
        <f t="shared" si="234"/>
        <v/>
      </c>
    </row>
    <row r="7303" spans="1:11" x14ac:dyDescent="0.2">
      <c r="A7303" s="242"/>
      <c r="F7303" s="285" t="str">
        <f t="shared" si="235"/>
        <v/>
      </c>
      <c r="K7303" s="246" t="str">
        <f t="shared" si="234"/>
        <v/>
      </c>
    </row>
    <row r="7304" spans="1:11" x14ac:dyDescent="0.2">
      <c r="A7304" s="242"/>
      <c r="F7304" s="285" t="str">
        <f t="shared" si="235"/>
        <v/>
      </c>
      <c r="K7304" s="246" t="str">
        <f t="shared" si="234"/>
        <v/>
      </c>
    </row>
    <row r="7305" spans="1:11" x14ac:dyDescent="0.2">
      <c r="A7305" s="242"/>
      <c r="F7305" s="285" t="str">
        <f t="shared" si="235"/>
        <v/>
      </c>
      <c r="K7305" s="246" t="str">
        <f t="shared" si="234"/>
        <v/>
      </c>
    </row>
    <row r="7306" spans="1:11" x14ac:dyDescent="0.2">
      <c r="A7306" s="242"/>
      <c r="F7306" s="285" t="str">
        <f t="shared" si="235"/>
        <v/>
      </c>
      <c r="K7306" s="246" t="str">
        <f t="shared" si="234"/>
        <v/>
      </c>
    </row>
    <row r="7307" spans="1:11" x14ac:dyDescent="0.2">
      <c r="A7307" s="242"/>
      <c r="F7307" s="285" t="str">
        <f t="shared" si="235"/>
        <v/>
      </c>
      <c r="K7307" s="246" t="str">
        <f t="shared" si="234"/>
        <v/>
      </c>
    </row>
    <row r="7308" spans="1:11" x14ac:dyDescent="0.2">
      <c r="A7308" s="242"/>
      <c r="F7308" s="285" t="str">
        <f t="shared" si="235"/>
        <v/>
      </c>
      <c r="K7308" s="246" t="str">
        <f t="shared" si="234"/>
        <v/>
      </c>
    </row>
    <row r="7309" spans="1:11" x14ac:dyDescent="0.2">
      <c r="A7309" s="242"/>
      <c r="F7309" s="285" t="str">
        <f t="shared" si="235"/>
        <v/>
      </c>
      <c r="K7309" s="246" t="str">
        <f t="shared" si="234"/>
        <v/>
      </c>
    </row>
    <row r="7310" spans="1:11" x14ac:dyDescent="0.2">
      <c r="A7310" s="242"/>
      <c r="F7310" s="285" t="str">
        <f t="shared" si="235"/>
        <v/>
      </c>
      <c r="K7310" s="246" t="str">
        <f t="shared" si="234"/>
        <v/>
      </c>
    </row>
    <row r="7311" spans="1:11" x14ac:dyDescent="0.2">
      <c r="A7311" s="242"/>
      <c r="F7311" s="285" t="str">
        <f t="shared" si="235"/>
        <v/>
      </c>
      <c r="K7311" s="246" t="str">
        <f t="shared" si="234"/>
        <v/>
      </c>
    </row>
    <row r="7312" spans="1:11" x14ac:dyDescent="0.2">
      <c r="A7312" s="242"/>
      <c r="F7312" s="285" t="str">
        <f t="shared" si="235"/>
        <v/>
      </c>
      <c r="K7312" s="246" t="str">
        <f t="shared" si="234"/>
        <v/>
      </c>
    </row>
    <row r="7313" spans="1:11" x14ac:dyDescent="0.2">
      <c r="A7313" s="242"/>
      <c r="F7313" s="285" t="str">
        <f t="shared" si="235"/>
        <v/>
      </c>
      <c r="K7313" s="246" t="str">
        <f t="shared" si="234"/>
        <v/>
      </c>
    </row>
    <row r="7314" spans="1:11" x14ac:dyDescent="0.2">
      <c r="A7314" s="242"/>
      <c r="F7314" s="285" t="str">
        <f t="shared" si="235"/>
        <v/>
      </c>
      <c r="K7314" s="246" t="str">
        <f t="shared" si="234"/>
        <v/>
      </c>
    </row>
    <row r="7315" spans="1:11" x14ac:dyDescent="0.2">
      <c r="A7315" s="242"/>
      <c r="F7315" s="285" t="str">
        <f t="shared" si="235"/>
        <v/>
      </c>
      <c r="K7315" s="246" t="str">
        <f t="shared" si="234"/>
        <v/>
      </c>
    </row>
    <row r="7316" spans="1:11" x14ac:dyDescent="0.2">
      <c r="A7316" s="242"/>
      <c r="F7316" s="285" t="str">
        <f t="shared" si="235"/>
        <v/>
      </c>
      <c r="K7316" s="246" t="str">
        <f t="shared" si="234"/>
        <v/>
      </c>
    </row>
    <row r="7317" spans="1:11" x14ac:dyDescent="0.2">
      <c r="A7317" s="242"/>
      <c r="F7317" s="285" t="str">
        <f t="shared" si="235"/>
        <v/>
      </c>
      <c r="K7317" s="246" t="str">
        <f t="shared" si="234"/>
        <v/>
      </c>
    </row>
    <row r="7318" spans="1:11" x14ac:dyDescent="0.2">
      <c r="A7318" s="242"/>
      <c r="F7318" s="285" t="str">
        <f t="shared" si="235"/>
        <v/>
      </c>
      <c r="K7318" s="246" t="str">
        <f t="shared" si="234"/>
        <v/>
      </c>
    </row>
    <row r="7319" spans="1:11" x14ac:dyDescent="0.2">
      <c r="A7319" s="242"/>
      <c r="F7319" s="285" t="str">
        <f t="shared" si="235"/>
        <v/>
      </c>
      <c r="K7319" s="246" t="str">
        <f t="shared" si="234"/>
        <v/>
      </c>
    </row>
    <row r="7320" spans="1:11" x14ac:dyDescent="0.2">
      <c r="A7320" s="242"/>
      <c r="F7320" s="285" t="str">
        <f t="shared" si="235"/>
        <v/>
      </c>
      <c r="K7320" s="246" t="str">
        <f t="shared" si="234"/>
        <v/>
      </c>
    </row>
    <row r="7321" spans="1:11" x14ac:dyDescent="0.2">
      <c r="A7321" s="242"/>
      <c r="F7321" s="285" t="str">
        <f t="shared" si="235"/>
        <v/>
      </c>
      <c r="K7321" s="246" t="str">
        <f t="shared" si="234"/>
        <v/>
      </c>
    </row>
    <row r="7322" spans="1:11" x14ac:dyDescent="0.2">
      <c r="A7322" s="242"/>
      <c r="F7322" s="285" t="str">
        <f t="shared" si="235"/>
        <v/>
      </c>
      <c r="K7322" s="246" t="str">
        <f t="shared" si="234"/>
        <v/>
      </c>
    </row>
    <row r="7323" spans="1:11" x14ac:dyDescent="0.2">
      <c r="A7323" s="242"/>
      <c r="F7323" s="285" t="str">
        <f t="shared" si="235"/>
        <v/>
      </c>
      <c r="K7323" s="246" t="str">
        <f t="shared" si="234"/>
        <v/>
      </c>
    </row>
    <row r="7324" spans="1:11" x14ac:dyDescent="0.2">
      <c r="A7324" s="242"/>
      <c r="F7324" s="285" t="str">
        <f t="shared" si="235"/>
        <v/>
      </c>
      <c r="K7324" s="246" t="str">
        <f t="shared" si="234"/>
        <v/>
      </c>
    </row>
    <row r="7325" spans="1:11" x14ac:dyDescent="0.2">
      <c r="A7325" s="242"/>
      <c r="F7325" s="285" t="str">
        <f t="shared" si="235"/>
        <v/>
      </c>
      <c r="K7325" s="246" t="str">
        <f t="shared" si="234"/>
        <v/>
      </c>
    </row>
    <row r="7326" spans="1:11" x14ac:dyDescent="0.2">
      <c r="A7326" s="242"/>
      <c r="F7326" s="285" t="str">
        <f t="shared" si="235"/>
        <v/>
      </c>
      <c r="K7326" s="246" t="str">
        <f t="shared" si="234"/>
        <v/>
      </c>
    </row>
    <row r="7327" spans="1:11" x14ac:dyDescent="0.2">
      <c r="A7327" s="242"/>
      <c r="F7327" s="285" t="str">
        <f t="shared" si="235"/>
        <v/>
      </c>
      <c r="K7327" s="246" t="str">
        <f t="shared" si="234"/>
        <v/>
      </c>
    </row>
    <row r="7328" spans="1:11" x14ac:dyDescent="0.2">
      <c r="A7328" s="242"/>
      <c r="F7328" s="285" t="str">
        <f t="shared" si="235"/>
        <v/>
      </c>
      <c r="K7328" s="246" t="str">
        <f t="shared" si="234"/>
        <v/>
      </c>
    </row>
    <row r="7329" spans="1:11" x14ac:dyDescent="0.2">
      <c r="A7329" s="242"/>
      <c r="F7329" s="285" t="str">
        <f t="shared" si="235"/>
        <v/>
      </c>
      <c r="K7329" s="246" t="str">
        <f t="shared" si="234"/>
        <v/>
      </c>
    </row>
    <row r="7330" spans="1:11" x14ac:dyDescent="0.2">
      <c r="A7330" s="242"/>
      <c r="F7330" s="285" t="str">
        <f t="shared" si="235"/>
        <v/>
      </c>
      <c r="K7330" s="246" t="str">
        <f t="shared" si="234"/>
        <v/>
      </c>
    </row>
    <row r="7331" spans="1:11" x14ac:dyDescent="0.2">
      <c r="A7331" s="242"/>
      <c r="F7331" s="285" t="str">
        <f t="shared" si="235"/>
        <v/>
      </c>
      <c r="K7331" s="246" t="str">
        <f t="shared" si="234"/>
        <v/>
      </c>
    </row>
    <row r="7332" spans="1:11" x14ac:dyDescent="0.2">
      <c r="A7332" s="242"/>
      <c r="F7332" s="285" t="str">
        <f t="shared" si="235"/>
        <v/>
      </c>
      <c r="K7332" s="246" t="str">
        <f t="shared" si="234"/>
        <v/>
      </c>
    </row>
    <row r="7333" spans="1:11" x14ac:dyDescent="0.2">
      <c r="A7333" s="242"/>
      <c r="F7333" s="285" t="str">
        <f t="shared" si="235"/>
        <v/>
      </c>
      <c r="K7333" s="246" t="str">
        <f t="shared" si="234"/>
        <v/>
      </c>
    </row>
    <row r="7334" spans="1:11" x14ac:dyDescent="0.2">
      <c r="A7334" s="242"/>
      <c r="F7334" s="285" t="str">
        <f t="shared" si="235"/>
        <v/>
      </c>
      <c r="K7334" s="246" t="str">
        <f t="shared" si="234"/>
        <v/>
      </c>
    </row>
    <row r="7335" spans="1:11" x14ac:dyDescent="0.2">
      <c r="A7335" s="242"/>
      <c r="F7335" s="285" t="str">
        <f t="shared" si="235"/>
        <v/>
      </c>
      <c r="K7335" s="246" t="str">
        <f t="shared" si="234"/>
        <v/>
      </c>
    </row>
    <row r="7336" spans="1:11" x14ac:dyDescent="0.2">
      <c r="A7336" s="242"/>
      <c r="F7336" s="285" t="str">
        <f t="shared" si="235"/>
        <v/>
      </c>
      <c r="K7336" s="246" t="str">
        <f t="shared" si="234"/>
        <v/>
      </c>
    </row>
    <row r="7337" spans="1:11" x14ac:dyDescent="0.2">
      <c r="A7337" s="242"/>
      <c r="F7337" s="285" t="str">
        <f t="shared" si="235"/>
        <v/>
      </c>
      <c r="K7337" s="246" t="str">
        <f t="shared" si="234"/>
        <v/>
      </c>
    </row>
    <row r="7338" spans="1:11" x14ac:dyDescent="0.2">
      <c r="A7338" s="242"/>
      <c r="F7338" s="285" t="str">
        <f t="shared" si="235"/>
        <v/>
      </c>
      <c r="K7338" s="246" t="str">
        <f t="shared" si="234"/>
        <v/>
      </c>
    </row>
    <row r="7339" spans="1:11" x14ac:dyDescent="0.2">
      <c r="A7339" s="242"/>
      <c r="F7339" s="285" t="str">
        <f t="shared" si="235"/>
        <v/>
      </c>
      <c r="K7339" s="246" t="str">
        <f t="shared" si="234"/>
        <v/>
      </c>
    </row>
    <row r="7340" spans="1:11" x14ac:dyDescent="0.2">
      <c r="A7340" s="242"/>
      <c r="F7340" s="285" t="str">
        <f t="shared" si="235"/>
        <v/>
      </c>
      <c r="K7340" s="246" t="str">
        <f t="shared" si="234"/>
        <v/>
      </c>
    </row>
    <row r="7341" spans="1:11" x14ac:dyDescent="0.2">
      <c r="A7341" s="242"/>
      <c r="F7341" s="285" t="str">
        <f t="shared" si="235"/>
        <v/>
      </c>
      <c r="K7341" s="246" t="str">
        <f t="shared" si="234"/>
        <v/>
      </c>
    </row>
    <row r="7342" spans="1:11" x14ac:dyDescent="0.2">
      <c r="A7342" s="242"/>
      <c r="F7342" s="285" t="str">
        <f t="shared" si="235"/>
        <v/>
      </c>
      <c r="K7342" s="246" t="str">
        <f t="shared" si="234"/>
        <v/>
      </c>
    </row>
    <row r="7343" spans="1:11" x14ac:dyDescent="0.2">
      <c r="A7343" s="242"/>
      <c r="F7343" s="285" t="str">
        <f t="shared" si="235"/>
        <v/>
      </c>
      <c r="K7343" s="246" t="str">
        <f t="shared" si="234"/>
        <v/>
      </c>
    </row>
    <row r="7344" spans="1:11" x14ac:dyDescent="0.2">
      <c r="A7344" s="242"/>
      <c r="F7344" s="285" t="str">
        <f t="shared" si="235"/>
        <v/>
      </c>
      <c r="K7344" s="246" t="str">
        <f t="shared" si="234"/>
        <v/>
      </c>
    </row>
    <row r="7345" spans="1:11" x14ac:dyDescent="0.2">
      <c r="A7345" s="242"/>
      <c r="F7345" s="285" t="str">
        <f t="shared" si="235"/>
        <v/>
      </c>
      <c r="K7345" s="246" t="str">
        <f t="shared" si="234"/>
        <v/>
      </c>
    </row>
    <row r="7346" spans="1:11" x14ac:dyDescent="0.2">
      <c r="A7346" s="242"/>
      <c r="F7346" s="285" t="str">
        <f t="shared" si="235"/>
        <v/>
      </c>
      <c r="K7346" s="246" t="str">
        <f t="shared" si="234"/>
        <v/>
      </c>
    </row>
    <row r="7347" spans="1:11" x14ac:dyDescent="0.2">
      <c r="A7347" s="242"/>
      <c r="F7347" s="285" t="str">
        <f t="shared" si="235"/>
        <v/>
      </c>
      <c r="K7347" s="246" t="str">
        <f t="shared" si="234"/>
        <v/>
      </c>
    </row>
    <row r="7348" spans="1:11" x14ac:dyDescent="0.2">
      <c r="A7348" s="242"/>
      <c r="F7348" s="285" t="str">
        <f t="shared" si="235"/>
        <v/>
      </c>
      <c r="K7348" s="246" t="str">
        <f t="shared" si="234"/>
        <v/>
      </c>
    </row>
    <row r="7349" spans="1:11" x14ac:dyDescent="0.2">
      <c r="A7349" s="242"/>
      <c r="F7349" s="285" t="str">
        <f t="shared" si="235"/>
        <v/>
      </c>
      <c r="K7349" s="246" t="str">
        <f t="shared" si="234"/>
        <v/>
      </c>
    </row>
    <row r="7350" spans="1:11" x14ac:dyDescent="0.2">
      <c r="A7350" s="242"/>
      <c r="F7350" s="285" t="str">
        <f t="shared" si="235"/>
        <v/>
      </c>
      <c r="K7350" s="246" t="str">
        <f t="shared" si="234"/>
        <v/>
      </c>
    </row>
    <row r="7351" spans="1:11" x14ac:dyDescent="0.2">
      <c r="A7351" s="242"/>
      <c r="F7351" s="285" t="str">
        <f t="shared" si="235"/>
        <v/>
      </c>
      <c r="K7351" s="246" t="str">
        <f t="shared" si="234"/>
        <v/>
      </c>
    </row>
    <row r="7352" spans="1:11" x14ac:dyDescent="0.2">
      <c r="A7352" s="242"/>
      <c r="F7352" s="285" t="str">
        <f t="shared" si="235"/>
        <v/>
      </c>
      <c r="K7352" s="246" t="str">
        <f t="shared" si="234"/>
        <v/>
      </c>
    </row>
    <row r="7353" spans="1:11" x14ac:dyDescent="0.2">
      <c r="A7353" s="242"/>
      <c r="F7353" s="285" t="str">
        <f t="shared" si="235"/>
        <v/>
      </c>
      <c r="K7353" s="246" t="str">
        <f t="shared" si="234"/>
        <v/>
      </c>
    </row>
    <row r="7354" spans="1:11" x14ac:dyDescent="0.2">
      <c r="A7354" s="242"/>
      <c r="F7354" s="285" t="str">
        <f t="shared" si="235"/>
        <v/>
      </c>
      <c r="K7354" s="246" t="str">
        <f t="shared" si="234"/>
        <v/>
      </c>
    </row>
    <row r="7355" spans="1:11" x14ac:dyDescent="0.2">
      <c r="A7355" s="242"/>
      <c r="F7355" s="285" t="str">
        <f t="shared" si="235"/>
        <v/>
      </c>
      <c r="K7355" s="246" t="str">
        <f t="shared" ref="K7355:K7418" si="236">IF(A7355="","",A7355)</f>
        <v/>
      </c>
    </row>
    <row r="7356" spans="1:11" x14ac:dyDescent="0.2">
      <c r="A7356" s="242"/>
      <c r="F7356" s="285" t="str">
        <f t="shared" si="235"/>
        <v/>
      </c>
      <c r="K7356" s="246" t="str">
        <f t="shared" si="236"/>
        <v/>
      </c>
    </row>
    <row r="7357" spans="1:11" x14ac:dyDescent="0.2">
      <c r="A7357" s="242"/>
      <c r="F7357" s="285" t="str">
        <f t="shared" si="235"/>
        <v/>
      </c>
      <c r="K7357" s="246" t="str">
        <f t="shared" si="236"/>
        <v/>
      </c>
    </row>
    <row r="7358" spans="1:11" x14ac:dyDescent="0.2">
      <c r="A7358" s="242"/>
      <c r="F7358" s="285" t="str">
        <f t="shared" si="235"/>
        <v/>
      </c>
      <c r="K7358" s="246" t="str">
        <f t="shared" si="236"/>
        <v/>
      </c>
    </row>
    <row r="7359" spans="1:11" x14ac:dyDescent="0.2">
      <c r="A7359" s="242"/>
      <c r="F7359" s="285" t="str">
        <f t="shared" si="235"/>
        <v/>
      </c>
      <c r="K7359" s="246" t="str">
        <f t="shared" si="236"/>
        <v/>
      </c>
    </row>
    <row r="7360" spans="1:11" x14ac:dyDescent="0.2">
      <c r="A7360" s="242"/>
      <c r="F7360" s="285" t="str">
        <f t="shared" si="235"/>
        <v/>
      </c>
      <c r="K7360" s="246" t="str">
        <f t="shared" si="236"/>
        <v/>
      </c>
    </row>
    <row r="7361" spans="1:11" x14ac:dyDescent="0.2">
      <c r="A7361" s="242"/>
      <c r="F7361" s="285" t="str">
        <f t="shared" si="235"/>
        <v/>
      </c>
      <c r="K7361" s="246" t="str">
        <f t="shared" si="236"/>
        <v/>
      </c>
    </row>
    <row r="7362" spans="1:11" x14ac:dyDescent="0.2">
      <c r="A7362" s="242"/>
      <c r="F7362" s="285" t="str">
        <f t="shared" si="235"/>
        <v/>
      </c>
      <c r="K7362" s="246" t="str">
        <f t="shared" si="236"/>
        <v/>
      </c>
    </row>
    <row r="7363" spans="1:11" x14ac:dyDescent="0.2">
      <c r="A7363" s="242"/>
      <c r="F7363" s="285" t="str">
        <f t="shared" si="235"/>
        <v/>
      </c>
      <c r="K7363" s="246" t="str">
        <f t="shared" si="236"/>
        <v/>
      </c>
    </row>
    <row r="7364" spans="1:11" x14ac:dyDescent="0.2">
      <c r="A7364" s="242"/>
      <c r="F7364" s="285" t="str">
        <f t="shared" si="235"/>
        <v/>
      </c>
      <c r="K7364" s="246" t="str">
        <f t="shared" si="236"/>
        <v/>
      </c>
    </row>
    <row r="7365" spans="1:11" x14ac:dyDescent="0.2">
      <c r="A7365" s="242"/>
      <c r="F7365" s="285" t="str">
        <f t="shared" ref="F7365:F7428" si="237">IF(A7365="","",A7365)</f>
        <v/>
      </c>
      <c r="K7365" s="246" t="str">
        <f t="shared" si="236"/>
        <v/>
      </c>
    </row>
    <row r="7366" spans="1:11" x14ac:dyDescent="0.2">
      <c r="A7366" s="242"/>
      <c r="F7366" s="285" t="str">
        <f t="shared" si="237"/>
        <v/>
      </c>
      <c r="K7366" s="246" t="str">
        <f t="shared" si="236"/>
        <v/>
      </c>
    </row>
    <row r="7367" spans="1:11" x14ac:dyDescent="0.2">
      <c r="A7367" s="242"/>
      <c r="F7367" s="285" t="str">
        <f t="shared" si="237"/>
        <v/>
      </c>
      <c r="K7367" s="246" t="str">
        <f t="shared" si="236"/>
        <v/>
      </c>
    </row>
    <row r="7368" spans="1:11" x14ac:dyDescent="0.2">
      <c r="A7368" s="242"/>
      <c r="F7368" s="285" t="str">
        <f t="shared" si="237"/>
        <v/>
      </c>
      <c r="K7368" s="246" t="str">
        <f t="shared" si="236"/>
        <v/>
      </c>
    </row>
    <row r="7369" spans="1:11" x14ac:dyDescent="0.2">
      <c r="A7369" s="242"/>
      <c r="F7369" s="285" t="str">
        <f t="shared" si="237"/>
        <v/>
      </c>
      <c r="K7369" s="246" t="str">
        <f t="shared" si="236"/>
        <v/>
      </c>
    </row>
    <row r="7370" spans="1:11" x14ac:dyDescent="0.2">
      <c r="A7370" s="242"/>
      <c r="F7370" s="285" t="str">
        <f t="shared" si="237"/>
        <v/>
      </c>
      <c r="K7370" s="246" t="str">
        <f t="shared" si="236"/>
        <v/>
      </c>
    </row>
    <row r="7371" spans="1:11" x14ac:dyDescent="0.2">
      <c r="A7371" s="242"/>
      <c r="F7371" s="285" t="str">
        <f t="shared" si="237"/>
        <v/>
      </c>
      <c r="K7371" s="246" t="str">
        <f t="shared" si="236"/>
        <v/>
      </c>
    </row>
    <row r="7372" spans="1:11" x14ac:dyDescent="0.2">
      <c r="A7372" s="242"/>
      <c r="F7372" s="285" t="str">
        <f t="shared" si="237"/>
        <v/>
      </c>
      <c r="K7372" s="246" t="str">
        <f t="shared" si="236"/>
        <v/>
      </c>
    </row>
    <row r="7373" spans="1:11" x14ac:dyDescent="0.2">
      <c r="A7373" s="242"/>
      <c r="F7373" s="285" t="str">
        <f t="shared" si="237"/>
        <v/>
      </c>
      <c r="K7373" s="246" t="str">
        <f t="shared" si="236"/>
        <v/>
      </c>
    </row>
    <row r="7374" spans="1:11" x14ac:dyDescent="0.2">
      <c r="A7374" s="242"/>
      <c r="F7374" s="285" t="str">
        <f t="shared" si="237"/>
        <v/>
      </c>
      <c r="K7374" s="246" t="str">
        <f t="shared" si="236"/>
        <v/>
      </c>
    </row>
    <row r="7375" spans="1:11" x14ac:dyDescent="0.2">
      <c r="A7375" s="242"/>
      <c r="F7375" s="285" t="str">
        <f t="shared" si="237"/>
        <v/>
      </c>
      <c r="K7375" s="246" t="str">
        <f t="shared" si="236"/>
        <v/>
      </c>
    </row>
    <row r="7376" spans="1:11" x14ac:dyDescent="0.2">
      <c r="A7376" s="242"/>
      <c r="F7376" s="285" t="str">
        <f t="shared" si="237"/>
        <v/>
      </c>
      <c r="K7376" s="246" t="str">
        <f t="shared" si="236"/>
        <v/>
      </c>
    </row>
    <row r="7377" spans="1:11" x14ac:dyDescent="0.2">
      <c r="A7377" s="242"/>
      <c r="F7377" s="285" t="str">
        <f t="shared" si="237"/>
        <v/>
      </c>
      <c r="K7377" s="246" t="str">
        <f t="shared" si="236"/>
        <v/>
      </c>
    </row>
    <row r="7378" spans="1:11" x14ac:dyDescent="0.2">
      <c r="A7378" s="242"/>
      <c r="F7378" s="285" t="str">
        <f t="shared" si="237"/>
        <v/>
      </c>
      <c r="K7378" s="246" t="str">
        <f t="shared" si="236"/>
        <v/>
      </c>
    </row>
    <row r="7379" spans="1:11" x14ac:dyDescent="0.2">
      <c r="A7379" s="242"/>
      <c r="F7379" s="285" t="str">
        <f t="shared" si="237"/>
        <v/>
      </c>
      <c r="K7379" s="246" t="str">
        <f t="shared" si="236"/>
        <v/>
      </c>
    </row>
    <row r="7380" spans="1:11" x14ac:dyDescent="0.2">
      <c r="A7380" s="242"/>
      <c r="F7380" s="285" t="str">
        <f t="shared" si="237"/>
        <v/>
      </c>
      <c r="K7380" s="246" t="str">
        <f t="shared" si="236"/>
        <v/>
      </c>
    </row>
    <row r="7381" spans="1:11" x14ac:dyDescent="0.2">
      <c r="A7381" s="242"/>
      <c r="F7381" s="285" t="str">
        <f t="shared" si="237"/>
        <v/>
      </c>
      <c r="K7381" s="246" t="str">
        <f t="shared" si="236"/>
        <v/>
      </c>
    </row>
    <row r="7382" spans="1:11" x14ac:dyDescent="0.2">
      <c r="A7382" s="242"/>
      <c r="F7382" s="285" t="str">
        <f t="shared" si="237"/>
        <v/>
      </c>
      <c r="K7382" s="246" t="str">
        <f t="shared" si="236"/>
        <v/>
      </c>
    </row>
    <row r="7383" spans="1:11" x14ac:dyDescent="0.2">
      <c r="A7383" s="242"/>
      <c r="F7383" s="285" t="str">
        <f t="shared" si="237"/>
        <v/>
      </c>
      <c r="K7383" s="246" t="str">
        <f t="shared" si="236"/>
        <v/>
      </c>
    </row>
    <row r="7384" spans="1:11" x14ac:dyDescent="0.2">
      <c r="A7384" s="242"/>
      <c r="F7384" s="285" t="str">
        <f t="shared" si="237"/>
        <v/>
      </c>
      <c r="K7384" s="246" t="str">
        <f t="shared" si="236"/>
        <v/>
      </c>
    </row>
    <row r="7385" spans="1:11" x14ac:dyDescent="0.2">
      <c r="A7385" s="242"/>
      <c r="F7385" s="285" t="str">
        <f t="shared" si="237"/>
        <v/>
      </c>
      <c r="K7385" s="246" t="str">
        <f t="shared" si="236"/>
        <v/>
      </c>
    </row>
    <row r="7386" spans="1:11" x14ac:dyDescent="0.2">
      <c r="A7386" s="242"/>
      <c r="F7386" s="285" t="str">
        <f t="shared" si="237"/>
        <v/>
      </c>
      <c r="K7386" s="246" t="str">
        <f t="shared" si="236"/>
        <v/>
      </c>
    </row>
    <row r="7387" spans="1:11" x14ac:dyDescent="0.2">
      <c r="A7387" s="242"/>
      <c r="F7387" s="285" t="str">
        <f t="shared" si="237"/>
        <v/>
      </c>
      <c r="K7387" s="246" t="str">
        <f t="shared" si="236"/>
        <v/>
      </c>
    </row>
    <row r="7388" spans="1:11" x14ac:dyDescent="0.2">
      <c r="A7388" s="242"/>
      <c r="F7388" s="285" t="str">
        <f t="shared" si="237"/>
        <v/>
      </c>
      <c r="K7388" s="246" t="str">
        <f t="shared" si="236"/>
        <v/>
      </c>
    </row>
    <row r="7389" spans="1:11" x14ac:dyDescent="0.2">
      <c r="A7389" s="242"/>
      <c r="F7389" s="285" t="str">
        <f t="shared" si="237"/>
        <v/>
      </c>
      <c r="K7389" s="246" t="str">
        <f t="shared" si="236"/>
        <v/>
      </c>
    </row>
    <row r="7390" spans="1:11" x14ac:dyDescent="0.2">
      <c r="A7390" s="242"/>
      <c r="F7390" s="285" t="str">
        <f t="shared" si="237"/>
        <v/>
      </c>
      <c r="K7390" s="246" t="str">
        <f t="shared" si="236"/>
        <v/>
      </c>
    </row>
    <row r="7391" spans="1:11" x14ac:dyDescent="0.2">
      <c r="A7391" s="242"/>
      <c r="F7391" s="285" t="str">
        <f t="shared" si="237"/>
        <v/>
      </c>
      <c r="K7391" s="246" t="str">
        <f t="shared" si="236"/>
        <v/>
      </c>
    </row>
    <row r="7392" spans="1:11" x14ac:dyDescent="0.2">
      <c r="A7392" s="242"/>
      <c r="F7392" s="285" t="str">
        <f t="shared" si="237"/>
        <v/>
      </c>
      <c r="K7392" s="246" t="str">
        <f t="shared" si="236"/>
        <v/>
      </c>
    </row>
    <row r="7393" spans="1:11" x14ac:dyDescent="0.2">
      <c r="A7393" s="242"/>
      <c r="F7393" s="285" t="str">
        <f t="shared" si="237"/>
        <v/>
      </c>
      <c r="K7393" s="246" t="str">
        <f t="shared" si="236"/>
        <v/>
      </c>
    </row>
    <row r="7394" spans="1:11" x14ac:dyDescent="0.2">
      <c r="A7394" s="242"/>
      <c r="F7394" s="285" t="str">
        <f t="shared" si="237"/>
        <v/>
      </c>
      <c r="K7394" s="246" t="str">
        <f t="shared" si="236"/>
        <v/>
      </c>
    </row>
    <row r="7395" spans="1:11" x14ac:dyDescent="0.2">
      <c r="A7395" s="242"/>
      <c r="F7395" s="285" t="str">
        <f t="shared" si="237"/>
        <v/>
      </c>
      <c r="K7395" s="246" t="str">
        <f t="shared" si="236"/>
        <v/>
      </c>
    </row>
    <row r="7396" spans="1:11" x14ac:dyDescent="0.2">
      <c r="A7396" s="242"/>
      <c r="F7396" s="285" t="str">
        <f t="shared" si="237"/>
        <v/>
      </c>
      <c r="K7396" s="246" t="str">
        <f t="shared" si="236"/>
        <v/>
      </c>
    </row>
    <row r="7397" spans="1:11" x14ac:dyDescent="0.2">
      <c r="A7397" s="242"/>
      <c r="F7397" s="285" t="str">
        <f t="shared" si="237"/>
        <v/>
      </c>
      <c r="K7397" s="246" t="str">
        <f t="shared" si="236"/>
        <v/>
      </c>
    </row>
    <row r="7398" spans="1:11" x14ac:dyDescent="0.2">
      <c r="A7398" s="242"/>
      <c r="F7398" s="285" t="str">
        <f t="shared" si="237"/>
        <v/>
      </c>
      <c r="K7398" s="246" t="str">
        <f t="shared" si="236"/>
        <v/>
      </c>
    </row>
    <row r="7399" spans="1:11" x14ac:dyDescent="0.2">
      <c r="A7399" s="242"/>
      <c r="F7399" s="285" t="str">
        <f t="shared" si="237"/>
        <v/>
      </c>
      <c r="K7399" s="246" t="str">
        <f t="shared" si="236"/>
        <v/>
      </c>
    </row>
    <row r="7400" spans="1:11" x14ac:dyDescent="0.2">
      <c r="A7400" s="242"/>
      <c r="F7400" s="285" t="str">
        <f t="shared" si="237"/>
        <v/>
      </c>
      <c r="K7400" s="246" t="str">
        <f t="shared" si="236"/>
        <v/>
      </c>
    </row>
    <row r="7401" spans="1:11" x14ac:dyDescent="0.2">
      <c r="A7401" s="242"/>
      <c r="F7401" s="285" t="str">
        <f t="shared" si="237"/>
        <v/>
      </c>
      <c r="K7401" s="246" t="str">
        <f t="shared" si="236"/>
        <v/>
      </c>
    </row>
    <row r="7402" spans="1:11" x14ac:dyDescent="0.2">
      <c r="A7402" s="242"/>
      <c r="F7402" s="285" t="str">
        <f t="shared" si="237"/>
        <v/>
      </c>
      <c r="K7402" s="246" t="str">
        <f t="shared" si="236"/>
        <v/>
      </c>
    </row>
    <row r="7403" spans="1:11" x14ac:dyDescent="0.2">
      <c r="A7403" s="242"/>
      <c r="F7403" s="285" t="str">
        <f t="shared" si="237"/>
        <v/>
      </c>
      <c r="K7403" s="246" t="str">
        <f t="shared" si="236"/>
        <v/>
      </c>
    </row>
    <row r="7404" spans="1:11" x14ac:dyDescent="0.2">
      <c r="A7404" s="242"/>
      <c r="F7404" s="285" t="str">
        <f t="shared" si="237"/>
        <v/>
      </c>
      <c r="K7404" s="246" t="str">
        <f t="shared" si="236"/>
        <v/>
      </c>
    </row>
    <row r="7405" spans="1:11" x14ac:dyDescent="0.2">
      <c r="A7405" s="242"/>
      <c r="F7405" s="285" t="str">
        <f t="shared" si="237"/>
        <v/>
      </c>
      <c r="K7405" s="246" t="str">
        <f t="shared" si="236"/>
        <v/>
      </c>
    </row>
    <row r="7406" spans="1:11" x14ac:dyDescent="0.2">
      <c r="A7406" s="242"/>
      <c r="F7406" s="285" t="str">
        <f t="shared" si="237"/>
        <v/>
      </c>
      <c r="K7406" s="246" t="str">
        <f t="shared" si="236"/>
        <v/>
      </c>
    </row>
    <row r="7407" spans="1:11" x14ac:dyDescent="0.2">
      <c r="A7407" s="242"/>
      <c r="F7407" s="285" t="str">
        <f t="shared" si="237"/>
        <v/>
      </c>
      <c r="K7407" s="246" t="str">
        <f t="shared" si="236"/>
        <v/>
      </c>
    </row>
    <row r="7408" spans="1:11" x14ac:dyDescent="0.2">
      <c r="A7408" s="242"/>
      <c r="F7408" s="285" t="str">
        <f t="shared" si="237"/>
        <v/>
      </c>
      <c r="K7408" s="246" t="str">
        <f t="shared" si="236"/>
        <v/>
      </c>
    </row>
    <row r="7409" spans="1:11" x14ac:dyDescent="0.2">
      <c r="A7409" s="242"/>
      <c r="F7409" s="285" t="str">
        <f t="shared" si="237"/>
        <v/>
      </c>
      <c r="K7409" s="246" t="str">
        <f t="shared" si="236"/>
        <v/>
      </c>
    </row>
    <row r="7410" spans="1:11" x14ac:dyDescent="0.2">
      <c r="A7410" s="242"/>
      <c r="F7410" s="285" t="str">
        <f t="shared" si="237"/>
        <v/>
      </c>
      <c r="K7410" s="246" t="str">
        <f t="shared" si="236"/>
        <v/>
      </c>
    </row>
    <row r="7411" spans="1:11" x14ac:dyDescent="0.2">
      <c r="A7411" s="242"/>
      <c r="F7411" s="285" t="str">
        <f t="shared" si="237"/>
        <v/>
      </c>
      <c r="K7411" s="246" t="str">
        <f t="shared" si="236"/>
        <v/>
      </c>
    </row>
    <row r="7412" spans="1:11" x14ac:dyDescent="0.2">
      <c r="A7412" s="242"/>
      <c r="F7412" s="285" t="str">
        <f t="shared" si="237"/>
        <v/>
      </c>
      <c r="K7412" s="246" t="str">
        <f t="shared" si="236"/>
        <v/>
      </c>
    </row>
    <row r="7413" spans="1:11" x14ac:dyDescent="0.2">
      <c r="A7413" s="242"/>
      <c r="F7413" s="285" t="str">
        <f t="shared" si="237"/>
        <v/>
      </c>
      <c r="K7413" s="246" t="str">
        <f t="shared" si="236"/>
        <v/>
      </c>
    </row>
    <row r="7414" spans="1:11" x14ac:dyDescent="0.2">
      <c r="A7414" s="242"/>
      <c r="F7414" s="285" t="str">
        <f t="shared" si="237"/>
        <v/>
      </c>
      <c r="K7414" s="246" t="str">
        <f t="shared" si="236"/>
        <v/>
      </c>
    </row>
    <row r="7415" spans="1:11" x14ac:dyDescent="0.2">
      <c r="A7415" s="242"/>
      <c r="F7415" s="285" t="str">
        <f t="shared" si="237"/>
        <v/>
      </c>
      <c r="K7415" s="246" t="str">
        <f t="shared" si="236"/>
        <v/>
      </c>
    </row>
    <row r="7416" spans="1:11" x14ac:dyDescent="0.2">
      <c r="A7416" s="242"/>
      <c r="F7416" s="285" t="str">
        <f t="shared" si="237"/>
        <v/>
      </c>
      <c r="K7416" s="246" t="str">
        <f t="shared" si="236"/>
        <v/>
      </c>
    </row>
    <row r="7417" spans="1:11" x14ac:dyDescent="0.2">
      <c r="A7417" s="242"/>
      <c r="F7417" s="285" t="str">
        <f t="shared" si="237"/>
        <v/>
      </c>
      <c r="K7417" s="246" t="str">
        <f t="shared" si="236"/>
        <v/>
      </c>
    </row>
    <row r="7418" spans="1:11" x14ac:dyDescent="0.2">
      <c r="A7418" s="242"/>
      <c r="F7418" s="285" t="str">
        <f t="shared" si="237"/>
        <v/>
      </c>
      <c r="K7418" s="246" t="str">
        <f t="shared" si="236"/>
        <v/>
      </c>
    </row>
    <row r="7419" spans="1:11" x14ac:dyDescent="0.2">
      <c r="A7419" s="242"/>
      <c r="F7419" s="285" t="str">
        <f t="shared" si="237"/>
        <v/>
      </c>
      <c r="K7419" s="246" t="str">
        <f t="shared" ref="K7419:K7482" si="238">IF(A7419="","",A7419)</f>
        <v/>
      </c>
    </row>
    <row r="7420" spans="1:11" x14ac:dyDescent="0.2">
      <c r="A7420" s="242"/>
      <c r="F7420" s="285" t="str">
        <f t="shared" si="237"/>
        <v/>
      </c>
      <c r="K7420" s="246" t="str">
        <f t="shared" si="238"/>
        <v/>
      </c>
    </row>
    <row r="7421" spans="1:11" x14ac:dyDescent="0.2">
      <c r="A7421" s="242"/>
      <c r="F7421" s="285" t="str">
        <f t="shared" si="237"/>
        <v/>
      </c>
      <c r="K7421" s="246" t="str">
        <f t="shared" si="238"/>
        <v/>
      </c>
    </row>
    <row r="7422" spans="1:11" x14ac:dyDescent="0.2">
      <c r="A7422" s="242"/>
      <c r="F7422" s="285" t="str">
        <f t="shared" si="237"/>
        <v/>
      </c>
      <c r="K7422" s="246" t="str">
        <f t="shared" si="238"/>
        <v/>
      </c>
    </row>
    <row r="7423" spans="1:11" x14ac:dyDescent="0.2">
      <c r="A7423" s="242"/>
      <c r="F7423" s="285" t="str">
        <f t="shared" si="237"/>
        <v/>
      </c>
      <c r="K7423" s="246" t="str">
        <f t="shared" si="238"/>
        <v/>
      </c>
    </row>
    <row r="7424" spans="1:11" x14ac:dyDescent="0.2">
      <c r="A7424" s="242"/>
      <c r="F7424" s="285" t="str">
        <f t="shared" si="237"/>
        <v/>
      </c>
      <c r="K7424" s="246" t="str">
        <f t="shared" si="238"/>
        <v/>
      </c>
    </row>
    <row r="7425" spans="1:11" x14ac:dyDescent="0.2">
      <c r="A7425" s="242"/>
      <c r="F7425" s="285" t="str">
        <f t="shared" si="237"/>
        <v/>
      </c>
      <c r="K7425" s="246" t="str">
        <f t="shared" si="238"/>
        <v/>
      </c>
    </row>
    <row r="7426" spans="1:11" x14ac:dyDescent="0.2">
      <c r="A7426" s="242"/>
      <c r="F7426" s="285" t="str">
        <f t="shared" si="237"/>
        <v/>
      </c>
      <c r="K7426" s="246" t="str">
        <f t="shared" si="238"/>
        <v/>
      </c>
    </row>
    <row r="7427" spans="1:11" x14ac:dyDescent="0.2">
      <c r="A7427" s="242"/>
      <c r="F7427" s="285" t="str">
        <f t="shared" si="237"/>
        <v/>
      </c>
      <c r="K7427" s="246" t="str">
        <f t="shared" si="238"/>
        <v/>
      </c>
    </row>
    <row r="7428" spans="1:11" x14ac:dyDescent="0.2">
      <c r="A7428" s="242"/>
      <c r="F7428" s="285" t="str">
        <f t="shared" si="237"/>
        <v/>
      </c>
      <c r="K7428" s="246" t="str">
        <f t="shared" si="238"/>
        <v/>
      </c>
    </row>
    <row r="7429" spans="1:11" x14ac:dyDescent="0.2">
      <c r="A7429" s="242"/>
      <c r="F7429" s="285" t="str">
        <f t="shared" ref="F7429:F7492" si="239">IF(A7429="","",A7429)</f>
        <v/>
      </c>
      <c r="K7429" s="246" t="str">
        <f t="shared" si="238"/>
        <v/>
      </c>
    </row>
    <row r="7430" spans="1:11" x14ac:dyDescent="0.2">
      <c r="A7430" s="242"/>
      <c r="F7430" s="285" t="str">
        <f t="shared" si="239"/>
        <v/>
      </c>
      <c r="K7430" s="246" t="str">
        <f t="shared" si="238"/>
        <v/>
      </c>
    </row>
    <row r="7431" spans="1:11" x14ac:dyDescent="0.2">
      <c r="A7431" s="242"/>
      <c r="F7431" s="285" t="str">
        <f t="shared" si="239"/>
        <v/>
      </c>
      <c r="K7431" s="246" t="str">
        <f t="shared" si="238"/>
        <v/>
      </c>
    </row>
    <row r="7432" spans="1:11" x14ac:dyDescent="0.2">
      <c r="A7432" s="242"/>
      <c r="F7432" s="285" t="str">
        <f t="shared" si="239"/>
        <v/>
      </c>
      <c r="K7432" s="246" t="str">
        <f t="shared" si="238"/>
        <v/>
      </c>
    </row>
    <row r="7433" spans="1:11" x14ac:dyDescent="0.2">
      <c r="A7433" s="242"/>
      <c r="F7433" s="285" t="str">
        <f t="shared" si="239"/>
        <v/>
      </c>
      <c r="K7433" s="246" t="str">
        <f t="shared" si="238"/>
        <v/>
      </c>
    </row>
    <row r="7434" spans="1:11" x14ac:dyDescent="0.2">
      <c r="A7434" s="242"/>
      <c r="F7434" s="285" t="str">
        <f t="shared" si="239"/>
        <v/>
      </c>
      <c r="K7434" s="246" t="str">
        <f t="shared" si="238"/>
        <v/>
      </c>
    </row>
    <row r="7435" spans="1:11" x14ac:dyDescent="0.2">
      <c r="A7435" s="242"/>
      <c r="F7435" s="285" t="str">
        <f t="shared" si="239"/>
        <v/>
      </c>
      <c r="K7435" s="246" t="str">
        <f t="shared" si="238"/>
        <v/>
      </c>
    </row>
    <row r="7436" spans="1:11" x14ac:dyDescent="0.2">
      <c r="A7436" s="242"/>
      <c r="F7436" s="285" t="str">
        <f t="shared" si="239"/>
        <v/>
      </c>
      <c r="K7436" s="246" t="str">
        <f t="shared" si="238"/>
        <v/>
      </c>
    </row>
    <row r="7437" spans="1:11" x14ac:dyDescent="0.2">
      <c r="A7437" s="242"/>
      <c r="F7437" s="285" t="str">
        <f t="shared" si="239"/>
        <v/>
      </c>
      <c r="K7437" s="246" t="str">
        <f t="shared" si="238"/>
        <v/>
      </c>
    </row>
    <row r="7438" spans="1:11" x14ac:dyDescent="0.2">
      <c r="A7438" s="242"/>
      <c r="F7438" s="285" t="str">
        <f t="shared" si="239"/>
        <v/>
      </c>
      <c r="K7438" s="246" t="str">
        <f t="shared" si="238"/>
        <v/>
      </c>
    </row>
    <row r="7439" spans="1:11" x14ac:dyDescent="0.2">
      <c r="A7439" s="242"/>
      <c r="F7439" s="285" t="str">
        <f t="shared" si="239"/>
        <v/>
      </c>
      <c r="K7439" s="246" t="str">
        <f t="shared" si="238"/>
        <v/>
      </c>
    </row>
    <row r="7440" spans="1:11" x14ac:dyDescent="0.2">
      <c r="A7440" s="242"/>
      <c r="F7440" s="285" t="str">
        <f t="shared" si="239"/>
        <v/>
      </c>
      <c r="K7440" s="246" t="str">
        <f t="shared" si="238"/>
        <v/>
      </c>
    </row>
    <row r="7441" spans="1:11" x14ac:dyDescent="0.2">
      <c r="A7441" s="242"/>
      <c r="F7441" s="285" t="str">
        <f t="shared" si="239"/>
        <v/>
      </c>
      <c r="K7441" s="246" t="str">
        <f t="shared" si="238"/>
        <v/>
      </c>
    </row>
    <row r="7442" spans="1:11" x14ac:dyDescent="0.2">
      <c r="A7442" s="242"/>
      <c r="F7442" s="285" t="str">
        <f t="shared" si="239"/>
        <v/>
      </c>
      <c r="K7442" s="246" t="str">
        <f t="shared" si="238"/>
        <v/>
      </c>
    </row>
    <row r="7443" spans="1:11" x14ac:dyDescent="0.2">
      <c r="A7443" s="242"/>
      <c r="F7443" s="285" t="str">
        <f t="shared" si="239"/>
        <v/>
      </c>
      <c r="K7443" s="246" t="str">
        <f t="shared" si="238"/>
        <v/>
      </c>
    </row>
    <row r="7444" spans="1:11" x14ac:dyDescent="0.2">
      <c r="A7444" s="242"/>
      <c r="F7444" s="285" t="str">
        <f t="shared" si="239"/>
        <v/>
      </c>
      <c r="K7444" s="246" t="str">
        <f t="shared" si="238"/>
        <v/>
      </c>
    </row>
    <row r="7445" spans="1:11" x14ac:dyDescent="0.2">
      <c r="A7445" s="242"/>
      <c r="F7445" s="285" t="str">
        <f t="shared" si="239"/>
        <v/>
      </c>
      <c r="K7445" s="246" t="str">
        <f t="shared" si="238"/>
        <v/>
      </c>
    </row>
    <row r="7446" spans="1:11" x14ac:dyDescent="0.2">
      <c r="A7446" s="242"/>
      <c r="F7446" s="285" t="str">
        <f t="shared" si="239"/>
        <v/>
      </c>
      <c r="K7446" s="246" t="str">
        <f t="shared" si="238"/>
        <v/>
      </c>
    </row>
    <row r="7447" spans="1:11" x14ac:dyDescent="0.2">
      <c r="A7447" s="242"/>
      <c r="F7447" s="285" t="str">
        <f t="shared" si="239"/>
        <v/>
      </c>
      <c r="K7447" s="246" t="str">
        <f t="shared" si="238"/>
        <v/>
      </c>
    </row>
    <row r="7448" spans="1:11" x14ac:dyDescent="0.2">
      <c r="A7448" s="242"/>
      <c r="F7448" s="285" t="str">
        <f t="shared" si="239"/>
        <v/>
      </c>
      <c r="K7448" s="246" t="str">
        <f t="shared" si="238"/>
        <v/>
      </c>
    </row>
    <row r="7449" spans="1:11" x14ac:dyDescent="0.2">
      <c r="A7449" s="242"/>
      <c r="F7449" s="285" t="str">
        <f t="shared" si="239"/>
        <v/>
      </c>
      <c r="K7449" s="246" t="str">
        <f t="shared" si="238"/>
        <v/>
      </c>
    </row>
    <row r="7450" spans="1:11" x14ac:dyDescent="0.2">
      <c r="A7450" s="242"/>
      <c r="F7450" s="285" t="str">
        <f t="shared" si="239"/>
        <v/>
      </c>
      <c r="K7450" s="246" t="str">
        <f t="shared" si="238"/>
        <v/>
      </c>
    </row>
    <row r="7451" spans="1:11" x14ac:dyDescent="0.2">
      <c r="A7451" s="242"/>
      <c r="F7451" s="285" t="str">
        <f t="shared" si="239"/>
        <v/>
      </c>
      <c r="K7451" s="246" t="str">
        <f t="shared" si="238"/>
        <v/>
      </c>
    </row>
    <row r="7452" spans="1:11" x14ac:dyDescent="0.2">
      <c r="A7452" s="242"/>
      <c r="F7452" s="285" t="str">
        <f t="shared" si="239"/>
        <v/>
      </c>
      <c r="K7452" s="246" t="str">
        <f t="shared" si="238"/>
        <v/>
      </c>
    </row>
    <row r="7453" spans="1:11" x14ac:dyDescent="0.2">
      <c r="A7453" s="242"/>
      <c r="F7453" s="285" t="str">
        <f t="shared" si="239"/>
        <v/>
      </c>
      <c r="K7453" s="246" t="str">
        <f t="shared" si="238"/>
        <v/>
      </c>
    </row>
    <row r="7454" spans="1:11" x14ac:dyDescent="0.2">
      <c r="A7454" s="242"/>
      <c r="F7454" s="285" t="str">
        <f t="shared" si="239"/>
        <v/>
      </c>
      <c r="K7454" s="246" t="str">
        <f t="shared" si="238"/>
        <v/>
      </c>
    </row>
    <row r="7455" spans="1:11" x14ac:dyDescent="0.2">
      <c r="A7455" s="242"/>
      <c r="F7455" s="285" t="str">
        <f t="shared" si="239"/>
        <v/>
      </c>
      <c r="K7455" s="246" t="str">
        <f t="shared" si="238"/>
        <v/>
      </c>
    </row>
    <row r="7456" spans="1:11" x14ac:dyDescent="0.2">
      <c r="A7456" s="242"/>
      <c r="F7456" s="285" t="str">
        <f t="shared" si="239"/>
        <v/>
      </c>
      <c r="K7456" s="246" t="str">
        <f t="shared" si="238"/>
        <v/>
      </c>
    </row>
    <row r="7457" spans="1:11" x14ac:dyDescent="0.2">
      <c r="A7457" s="242"/>
      <c r="F7457" s="285" t="str">
        <f t="shared" si="239"/>
        <v/>
      </c>
      <c r="K7457" s="246" t="str">
        <f t="shared" si="238"/>
        <v/>
      </c>
    </row>
    <row r="7458" spans="1:11" x14ac:dyDescent="0.2">
      <c r="A7458" s="242"/>
      <c r="F7458" s="285" t="str">
        <f t="shared" si="239"/>
        <v/>
      </c>
      <c r="K7458" s="246" t="str">
        <f t="shared" si="238"/>
        <v/>
      </c>
    </row>
    <row r="7459" spans="1:11" x14ac:dyDescent="0.2">
      <c r="A7459" s="242"/>
      <c r="F7459" s="285" t="str">
        <f t="shared" si="239"/>
        <v/>
      </c>
      <c r="K7459" s="246" t="str">
        <f t="shared" si="238"/>
        <v/>
      </c>
    </row>
    <row r="7460" spans="1:11" x14ac:dyDescent="0.2">
      <c r="A7460" s="242"/>
      <c r="F7460" s="285" t="str">
        <f t="shared" si="239"/>
        <v/>
      </c>
      <c r="K7460" s="246" t="str">
        <f t="shared" si="238"/>
        <v/>
      </c>
    </row>
    <row r="7461" spans="1:11" x14ac:dyDescent="0.2">
      <c r="A7461" s="242"/>
      <c r="F7461" s="285" t="str">
        <f t="shared" si="239"/>
        <v/>
      </c>
      <c r="K7461" s="246" t="str">
        <f t="shared" si="238"/>
        <v/>
      </c>
    </row>
    <row r="7462" spans="1:11" x14ac:dyDescent="0.2">
      <c r="A7462" s="242"/>
      <c r="F7462" s="285" t="str">
        <f t="shared" si="239"/>
        <v/>
      </c>
      <c r="K7462" s="246" t="str">
        <f t="shared" si="238"/>
        <v/>
      </c>
    </row>
    <row r="7463" spans="1:11" x14ac:dyDescent="0.2">
      <c r="A7463" s="242"/>
      <c r="F7463" s="285" t="str">
        <f t="shared" si="239"/>
        <v/>
      </c>
      <c r="K7463" s="246" t="str">
        <f t="shared" si="238"/>
        <v/>
      </c>
    </row>
    <row r="7464" spans="1:11" x14ac:dyDescent="0.2">
      <c r="A7464" s="242"/>
      <c r="F7464" s="285" t="str">
        <f t="shared" si="239"/>
        <v/>
      </c>
      <c r="K7464" s="246" t="str">
        <f t="shared" si="238"/>
        <v/>
      </c>
    </row>
    <row r="7465" spans="1:11" x14ac:dyDescent="0.2">
      <c r="A7465" s="242"/>
      <c r="F7465" s="285" t="str">
        <f t="shared" si="239"/>
        <v/>
      </c>
      <c r="K7465" s="246" t="str">
        <f t="shared" si="238"/>
        <v/>
      </c>
    </row>
    <row r="7466" spans="1:11" x14ac:dyDescent="0.2">
      <c r="A7466" s="242"/>
      <c r="F7466" s="285" t="str">
        <f t="shared" si="239"/>
        <v/>
      </c>
      <c r="K7466" s="246" t="str">
        <f t="shared" si="238"/>
        <v/>
      </c>
    </row>
    <row r="7467" spans="1:11" x14ac:dyDescent="0.2">
      <c r="A7467" s="242"/>
      <c r="F7467" s="285" t="str">
        <f t="shared" si="239"/>
        <v/>
      </c>
      <c r="K7467" s="246" t="str">
        <f t="shared" si="238"/>
        <v/>
      </c>
    </row>
    <row r="7468" spans="1:11" x14ac:dyDescent="0.2">
      <c r="A7468" s="242"/>
      <c r="F7468" s="285" t="str">
        <f t="shared" si="239"/>
        <v/>
      </c>
      <c r="K7468" s="246" t="str">
        <f t="shared" si="238"/>
        <v/>
      </c>
    </row>
    <row r="7469" spans="1:11" x14ac:dyDescent="0.2">
      <c r="A7469" s="242"/>
      <c r="F7469" s="285" t="str">
        <f t="shared" si="239"/>
        <v/>
      </c>
      <c r="K7469" s="246" t="str">
        <f t="shared" si="238"/>
        <v/>
      </c>
    </row>
    <row r="7470" spans="1:11" x14ac:dyDescent="0.2">
      <c r="A7470" s="242"/>
      <c r="F7470" s="285" t="str">
        <f t="shared" si="239"/>
        <v/>
      </c>
      <c r="K7470" s="246" t="str">
        <f t="shared" si="238"/>
        <v/>
      </c>
    </row>
    <row r="7471" spans="1:11" x14ac:dyDescent="0.2">
      <c r="A7471" s="242"/>
      <c r="F7471" s="285" t="str">
        <f t="shared" si="239"/>
        <v/>
      </c>
      <c r="K7471" s="246" t="str">
        <f t="shared" si="238"/>
        <v/>
      </c>
    </row>
    <row r="7472" spans="1:11" x14ac:dyDescent="0.2">
      <c r="A7472" s="242"/>
      <c r="F7472" s="285" t="str">
        <f t="shared" si="239"/>
        <v/>
      </c>
      <c r="K7472" s="246" t="str">
        <f t="shared" si="238"/>
        <v/>
      </c>
    </row>
    <row r="7473" spans="1:11" x14ac:dyDescent="0.2">
      <c r="A7473" s="242"/>
      <c r="F7473" s="285" t="str">
        <f t="shared" si="239"/>
        <v/>
      </c>
      <c r="K7473" s="246" t="str">
        <f t="shared" si="238"/>
        <v/>
      </c>
    </row>
    <row r="7474" spans="1:11" x14ac:dyDescent="0.2">
      <c r="A7474" s="242"/>
      <c r="F7474" s="285" t="str">
        <f t="shared" si="239"/>
        <v/>
      </c>
      <c r="K7474" s="246" t="str">
        <f t="shared" si="238"/>
        <v/>
      </c>
    </row>
    <row r="7475" spans="1:11" x14ac:dyDescent="0.2">
      <c r="A7475" s="242"/>
      <c r="F7475" s="285" t="str">
        <f t="shared" si="239"/>
        <v/>
      </c>
      <c r="K7475" s="246" t="str">
        <f t="shared" si="238"/>
        <v/>
      </c>
    </row>
    <row r="7476" spans="1:11" x14ac:dyDescent="0.2">
      <c r="A7476" s="242"/>
      <c r="F7476" s="285" t="str">
        <f t="shared" si="239"/>
        <v/>
      </c>
      <c r="K7476" s="246" t="str">
        <f t="shared" si="238"/>
        <v/>
      </c>
    </row>
    <row r="7477" spans="1:11" x14ac:dyDescent="0.2">
      <c r="A7477" s="242"/>
      <c r="F7477" s="285" t="str">
        <f t="shared" si="239"/>
        <v/>
      </c>
      <c r="K7477" s="246" t="str">
        <f t="shared" si="238"/>
        <v/>
      </c>
    </row>
    <row r="7478" spans="1:11" x14ac:dyDescent="0.2">
      <c r="A7478" s="242"/>
      <c r="F7478" s="285" t="str">
        <f t="shared" si="239"/>
        <v/>
      </c>
      <c r="K7478" s="246" t="str">
        <f t="shared" si="238"/>
        <v/>
      </c>
    </row>
    <row r="7479" spans="1:11" x14ac:dyDescent="0.2">
      <c r="A7479" s="242"/>
      <c r="F7479" s="285" t="str">
        <f t="shared" si="239"/>
        <v/>
      </c>
      <c r="K7479" s="246" t="str">
        <f t="shared" si="238"/>
        <v/>
      </c>
    </row>
    <row r="7480" spans="1:11" x14ac:dyDescent="0.2">
      <c r="A7480" s="242"/>
      <c r="F7480" s="285" t="str">
        <f t="shared" si="239"/>
        <v/>
      </c>
      <c r="K7480" s="246" t="str">
        <f t="shared" si="238"/>
        <v/>
      </c>
    </row>
    <row r="7481" spans="1:11" x14ac:dyDescent="0.2">
      <c r="A7481" s="242"/>
      <c r="F7481" s="285" t="str">
        <f t="shared" si="239"/>
        <v/>
      </c>
      <c r="K7481" s="246" t="str">
        <f t="shared" si="238"/>
        <v/>
      </c>
    </row>
    <row r="7482" spans="1:11" x14ac:dyDescent="0.2">
      <c r="A7482" s="242"/>
      <c r="F7482" s="285" t="str">
        <f t="shared" si="239"/>
        <v/>
      </c>
      <c r="K7482" s="246" t="str">
        <f t="shared" si="238"/>
        <v/>
      </c>
    </row>
    <row r="7483" spans="1:11" x14ac:dyDescent="0.2">
      <c r="A7483" s="242"/>
      <c r="F7483" s="285" t="str">
        <f t="shared" si="239"/>
        <v/>
      </c>
      <c r="K7483" s="246" t="str">
        <f t="shared" ref="K7483:K7546" si="240">IF(A7483="","",A7483)</f>
        <v/>
      </c>
    </row>
    <row r="7484" spans="1:11" x14ac:dyDescent="0.2">
      <c r="A7484" s="242"/>
      <c r="F7484" s="285" t="str">
        <f t="shared" si="239"/>
        <v/>
      </c>
      <c r="K7484" s="246" t="str">
        <f t="shared" si="240"/>
        <v/>
      </c>
    </row>
    <row r="7485" spans="1:11" x14ac:dyDescent="0.2">
      <c r="A7485" s="242"/>
      <c r="F7485" s="285" t="str">
        <f t="shared" si="239"/>
        <v/>
      </c>
      <c r="K7485" s="246" t="str">
        <f t="shared" si="240"/>
        <v/>
      </c>
    </row>
    <row r="7486" spans="1:11" x14ac:dyDescent="0.2">
      <c r="A7486" s="242"/>
      <c r="F7486" s="285" t="str">
        <f t="shared" si="239"/>
        <v/>
      </c>
      <c r="K7486" s="246" t="str">
        <f t="shared" si="240"/>
        <v/>
      </c>
    </row>
    <row r="7487" spans="1:11" x14ac:dyDescent="0.2">
      <c r="A7487" s="242"/>
      <c r="F7487" s="285" t="str">
        <f t="shared" si="239"/>
        <v/>
      </c>
      <c r="K7487" s="246" t="str">
        <f t="shared" si="240"/>
        <v/>
      </c>
    </row>
    <row r="7488" spans="1:11" x14ac:dyDescent="0.2">
      <c r="A7488" s="242"/>
      <c r="F7488" s="285" t="str">
        <f t="shared" si="239"/>
        <v/>
      </c>
      <c r="K7488" s="246" t="str">
        <f t="shared" si="240"/>
        <v/>
      </c>
    </row>
    <row r="7489" spans="1:11" x14ac:dyDescent="0.2">
      <c r="A7489" s="242"/>
      <c r="F7489" s="285" t="str">
        <f t="shared" si="239"/>
        <v/>
      </c>
      <c r="K7489" s="246" t="str">
        <f t="shared" si="240"/>
        <v/>
      </c>
    </row>
    <row r="7490" spans="1:11" x14ac:dyDescent="0.2">
      <c r="A7490" s="242"/>
      <c r="F7490" s="285" t="str">
        <f t="shared" si="239"/>
        <v/>
      </c>
      <c r="K7490" s="246" t="str">
        <f t="shared" si="240"/>
        <v/>
      </c>
    </row>
    <row r="7491" spans="1:11" x14ac:dyDescent="0.2">
      <c r="A7491" s="242"/>
      <c r="F7491" s="285" t="str">
        <f t="shared" si="239"/>
        <v/>
      </c>
      <c r="K7491" s="246" t="str">
        <f t="shared" si="240"/>
        <v/>
      </c>
    </row>
    <row r="7492" spans="1:11" x14ac:dyDescent="0.2">
      <c r="A7492" s="242"/>
      <c r="F7492" s="285" t="str">
        <f t="shared" si="239"/>
        <v/>
      </c>
      <c r="K7492" s="246" t="str">
        <f t="shared" si="240"/>
        <v/>
      </c>
    </row>
    <row r="7493" spans="1:11" x14ac:dyDescent="0.2">
      <c r="A7493" s="242"/>
      <c r="F7493" s="285" t="str">
        <f t="shared" ref="F7493:F7556" si="241">IF(A7493="","",A7493)</f>
        <v/>
      </c>
      <c r="K7493" s="246" t="str">
        <f t="shared" si="240"/>
        <v/>
      </c>
    </row>
    <row r="7494" spans="1:11" x14ac:dyDescent="0.2">
      <c r="A7494" s="242"/>
      <c r="F7494" s="285" t="str">
        <f t="shared" si="241"/>
        <v/>
      </c>
      <c r="K7494" s="246" t="str">
        <f t="shared" si="240"/>
        <v/>
      </c>
    </row>
    <row r="7495" spans="1:11" x14ac:dyDescent="0.2">
      <c r="A7495" s="242"/>
      <c r="F7495" s="285" t="str">
        <f t="shared" si="241"/>
        <v/>
      </c>
      <c r="K7495" s="246" t="str">
        <f t="shared" si="240"/>
        <v/>
      </c>
    </row>
    <row r="7496" spans="1:11" x14ac:dyDescent="0.2">
      <c r="A7496" s="242"/>
      <c r="F7496" s="285" t="str">
        <f t="shared" si="241"/>
        <v/>
      </c>
      <c r="K7496" s="246" t="str">
        <f t="shared" si="240"/>
        <v/>
      </c>
    </row>
    <row r="7497" spans="1:11" x14ac:dyDescent="0.2">
      <c r="A7497" s="242"/>
      <c r="F7497" s="285" t="str">
        <f t="shared" si="241"/>
        <v/>
      </c>
      <c r="K7497" s="246" t="str">
        <f t="shared" si="240"/>
        <v/>
      </c>
    </row>
    <row r="7498" spans="1:11" x14ac:dyDescent="0.2">
      <c r="A7498" s="242"/>
      <c r="F7498" s="285" t="str">
        <f t="shared" si="241"/>
        <v/>
      </c>
      <c r="K7498" s="246" t="str">
        <f t="shared" si="240"/>
        <v/>
      </c>
    </row>
    <row r="7499" spans="1:11" x14ac:dyDescent="0.2">
      <c r="A7499" s="242"/>
      <c r="F7499" s="285" t="str">
        <f t="shared" si="241"/>
        <v/>
      </c>
      <c r="K7499" s="246" t="str">
        <f t="shared" si="240"/>
        <v/>
      </c>
    </row>
    <row r="7500" spans="1:11" x14ac:dyDescent="0.2">
      <c r="A7500" s="242"/>
      <c r="F7500" s="285" t="str">
        <f t="shared" si="241"/>
        <v/>
      </c>
      <c r="K7500" s="246" t="str">
        <f t="shared" si="240"/>
        <v/>
      </c>
    </row>
    <row r="7501" spans="1:11" x14ac:dyDescent="0.2">
      <c r="A7501" s="242"/>
      <c r="F7501" s="285" t="str">
        <f t="shared" si="241"/>
        <v/>
      </c>
      <c r="K7501" s="246" t="str">
        <f t="shared" si="240"/>
        <v/>
      </c>
    </row>
    <row r="7502" spans="1:11" x14ac:dyDescent="0.2">
      <c r="A7502" s="242"/>
      <c r="F7502" s="285" t="str">
        <f t="shared" si="241"/>
        <v/>
      </c>
      <c r="K7502" s="246" t="str">
        <f t="shared" si="240"/>
        <v/>
      </c>
    </row>
    <row r="7503" spans="1:11" x14ac:dyDescent="0.2">
      <c r="A7503" s="242"/>
      <c r="F7503" s="285" t="str">
        <f t="shared" si="241"/>
        <v/>
      </c>
      <c r="K7503" s="246" t="str">
        <f t="shared" si="240"/>
        <v/>
      </c>
    </row>
    <row r="7504" spans="1:11" x14ac:dyDescent="0.2">
      <c r="A7504" s="242"/>
      <c r="F7504" s="285" t="str">
        <f t="shared" si="241"/>
        <v/>
      </c>
      <c r="K7504" s="246" t="str">
        <f t="shared" si="240"/>
        <v/>
      </c>
    </row>
    <row r="7505" spans="1:11" x14ac:dyDescent="0.2">
      <c r="A7505" s="242"/>
      <c r="F7505" s="285" t="str">
        <f t="shared" si="241"/>
        <v/>
      </c>
      <c r="K7505" s="246" t="str">
        <f t="shared" si="240"/>
        <v/>
      </c>
    </row>
    <row r="7506" spans="1:11" x14ac:dyDescent="0.2">
      <c r="A7506" s="242"/>
      <c r="F7506" s="285" t="str">
        <f t="shared" si="241"/>
        <v/>
      </c>
      <c r="K7506" s="246" t="str">
        <f t="shared" si="240"/>
        <v/>
      </c>
    </row>
    <row r="7507" spans="1:11" x14ac:dyDescent="0.2">
      <c r="A7507" s="242"/>
      <c r="F7507" s="285" t="str">
        <f t="shared" si="241"/>
        <v/>
      </c>
      <c r="K7507" s="246" t="str">
        <f t="shared" si="240"/>
        <v/>
      </c>
    </row>
    <row r="7508" spans="1:11" x14ac:dyDescent="0.2">
      <c r="A7508" s="242"/>
      <c r="F7508" s="285" t="str">
        <f t="shared" si="241"/>
        <v/>
      </c>
      <c r="K7508" s="246" t="str">
        <f t="shared" si="240"/>
        <v/>
      </c>
    </row>
    <row r="7509" spans="1:11" x14ac:dyDescent="0.2">
      <c r="A7509" s="242"/>
      <c r="F7509" s="285" t="str">
        <f t="shared" si="241"/>
        <v/>
      </c>
      <c r="K7509" s="246" t="str">
        <f t="shared" si="240"/>
        <v/>
      </c>
    </row>
    <row r="7510" spans="1:11" x14ac:dyDescent="0.2">
      <c r="A7510" s="242"/>
      <c r="F7510" s="285" t="str">
        <f t="shared" si="241"/>
        <v/>
      </c>
      <c r="K7510" s="246" t="str">
        <f t="shared" si="240"/>
        <v/>
      </c>
    </row>
    <row r="7511" spans="1:11" x14ac:dyDescent="0.2">
      <c r="A7511" s="242"/>
      <c r="F7511" s="285" t="str">
        <f t="shared" si="241"/>
        <v/>
      </c>
      <c r="K7511" s="246" t="str">
        <f t="shared" si="240"/>
        <v/>
      </c>
    </row>
    <row r="7512" spans="1:11" x14ac:dyDescent="0.2">
      <c r="A7512" s="242"/>
      <c r="F7512" s="285" t="str">
        <f t="shared" si="241"/>
        <v/>
      </c>
      <c r="K7512" s="246" t="str">
        <f t="shared" si="240"/>
        <v/>
      </c>
    </row>
    <row r="7513" spans="1:11" x14ac:dyDescent="0.2">
      <c r="A7513" s="242"/>
      <c r="F7513" s="285" t="str">
        <f t="shared" si="241"/>
        <v/>
      </c>
      <c r="K7513" s="246" t="str">
        <f t="shared" si="240"/>
        <v/>
      </c>
    </row>
    <row r="7514" spans="1:11" x14ac:dyDescent="0.2">
      <c r="A7514" s="242"/>
      <c r="F7514" s="285" t="str">
        <f t="shared" si="241"/>
        <v/>
      </c>
      <c r="K7514" s="246" t="str">
        <f t="shared" si="240"/>
        <v/>
      </c>
    </row>
    <row r="7515" spans="1:11" x14ac:dyDescent="0.2">
      <c r="A7515" s="242"/>
      <c r="F7515" s="285" t="str">
        <f t="shared" si="241"/>
        <v/>
      </c>
      <c r="K7515" s="246" t="str">
        <f t="shared" si="240"/>
        <v/>
      </c>
    </row>
    <row r="7516" spans="1:11" x14ac:dyDescent="0.2">
      <c r="A7516" s="242"/>
      <c r="F7516" s="285" t="str">
        <f t="shared" si="241"/>
        <v/>
      </c>
      <c r="K7516" s="246" t="str">
        <f t="shared" si="240"/>
        <v/>
      </c>
    </row>
    <row r="7517" spans="1:11" x14ac:dyDescent="0.2">
      <c r="A7517" s="242"/>
      <c r="F7517" s="285" t="str">
        <f t="shared" si="241"/>
        <v/>
      </c>
      <c r="K7517" s="246" t="str">
        <f t="shared" si="240"/>
        <v/>
      </c>
    </row>
    <row r="7518" spans="1:11" x14ac:dyDescent="0.2">
      <c r="A7518" s="242"/>
      <c r="F7518" s="285" t="str">
        <f t="shared" si="241"/>
        <v/>
      </c>
      <c r="K7518" s="246" t="str">
        <f t="shared" si="240"/>
        <v/>
      </c>
    </row>
    <row r="7519" spans="1:11" x14ac:dyDescent="0.2">
      <c r="A7519" s="242"/>
      <c r="F7519" s="285" t="str">
        <f t="shared" si="241"/>
        <v/>
      </c>
      <c r="K7519" s="246" t="str">
        <f t="shared" si="240"/>
        <v/>
      </c>
    </row>
    <row r="7520" spans="1:11" x14ac:dyDescent="0.2">
      <c r="A7520" s="242"/>
      <c r="F7520" s="285" t="str">
        <f t="shared" si="241"/>
        <v/>
      </c>
      <c r="K7520" s="246" t="str">
        <f t="shared" si="240"/>
        <v/>
      </c>
    </row>
    <row r="7521" spans="1:11" x14ac:dyDescent="0.2">
      <c r="A7521" s="242"/>
      <c r="F7521" s="285" t="str">
        <f t="shared" si="241"/>
        <v/>
      </c>
      <c r="K7521" s="246" t="str">
        <f t="shared" si="240"/>
        <v/>
      </c>
    </row>
    <row r="7522" spans="1:11" x14ac:dyDescent="0.2">
      <c r="A7522" s="242"/>
      <c r="F7522" s="285" t="str">
        <f t="shared" si="241"/>
        <v/>
      </c>
      <c r="K7522" s="246" t="str">
        <f t="shared" si="240"/>
        <v/>
      </c>
    </row>
    <row r="7523" spans="1:11" x14ac:dyDescent="0.2">
      <c r="A7523" s="242"/>
      <c r="F7523" s="285" t="str">
        <f t="shared" si="241"/>
        <v/>
      </c>
      <c r="K7523" s="246" t="str">
        <f t="shared" si="240"/>
        <v/>
      </c>
    </row>
    <row r="7524" spans="1:11" x14ac:dyDescent="0.2">
      <c r="A7524" s="242"/>
      <c r="F7524" s="285" t="str">
        <f t="shared" si="241"/>
        <v/>
      </c>
      <c r="K7524" s="246" t="str">
        <f t="shared" si="240"/>
        <v/>
      </c>
    </row>
    <row r="7525" spans="1:11" x14ac:dyDescent="0.2">
      <c r="A7525" s="242"/>
      <c r="F7525" s="285" t="str">
        <f t="shared" si="241"/>
        <v/>
      </c>
      <c r="K7525" s="246" t="str">
        <f t="shared" si="240"/>
        <v/>
      </c>
    </row>
    <row r="7526" spans="1:11" x14ac:dyDescent="0.2">
      <c r="A7526" s="242"/>
      <c r="F7526" s="285" t="str">
        <f t="shared" si="241"/>
        <v/>
      </c>
      <c r="K7526" s="246" t="str">
        <f t="shared" si="240"/>
        <v/>
      </c>
    </row>
    <row r="7527" spans="1:11" x14ac:dyDescent="0.2">
      <c r="A7527" s="242"/>
      <c r="F7527" s="285" t="str">
        <f t="shared" si="241"/>
        <v/>
      </c>
      <c r="K7527" s="246" t="str">
        <f t="shared" si="240"/>
        <v/>
      </c>
    </row>
    <row r="7528" spans="1:11" x14ac:dyDescent="0.2">
      <c r="A7528" s="242"/>
      <c r="F7528" s="285" t="str">
        <f t="shared" si="241"/>
        <v/>
      </c>
      <c r="K7528" s="246" t="str">
        <f t="shared" si="240"/>
        <v/>
      </c>
    </row>
    <row r="7529" spans="1:11" x14ac:dyDescent="0.2">
      <c r="A7529" s="242"/>
      <c r="F7529" s="285" t="str">
        <f t="shared" si="241"/>
        <v/>
      </c>
      <c r="K7529" s="246" t="str">
        <f t="shared" si="240"/>
        <v/>
      </c>
    </row>
    <row r="7530" spans="1:11" x14ac:dyDescent="0.2">
      <c r="A7530" s="242"/>
      <c r="F7530" s="285" t="str">
        <f t="shared" si="241"/>
        <v/>
      </c>
      <c r="K7530" s="246" t="str">
        <f t="shared" si="240"/>
        <v/>
      </c>
    </row>
    <row r="7531" spans="1:11" x14ac:dyDescent="0.2">
      <c r="A7531" s="242"/>
      <c r="F7531" s="285" t="str">
        <f t="shared" si="241"/>
        <v/>
      </c>
      <c r="K7531" s="246" t="str">
        <f t="shared" si="240"/>
        <v/>
      </c>
    </row>
    <row r="7532" spans="1:11" x14ac:dyDescent="0.2">
      <c r="A7532" s="242"/>
      <c r="F7532" s="285" t="str">
        <f t="shared" si="241"/>
        <v/>
      </c>
      <c r="K7532" s="246" t="str">
        <f t="shared" si="240"/>
        <v/>
      </c>
    </row>
    <row r="7533" spans="1:11" x14ac:dyDescent="0.2">
      <c r="A7533" s="242"/>
      <c r="F7533" s="285" t="str">
        <f t="shared" si="241"/>
        <v/>
      </c>
      <c r="K7533" s="246" t="str">
        <f t="shared" si="240"/>
        <v/>
      </c>
    </row>
    <row r="7534" spans="1:11" x14ac:dyDescent="0.2">
      <c r="A7534" s="242"/>
      <c r="F7534" s="285" t="str">
        <f t="shared" si="241"/>
        <v/>
      </c>
      <c r="K7534" s="246" t="str">
        <f t="shared" si="240"/>
        <v/>
      </c>
    </row>
    <row r="7535" spans="1:11" x14ac:dyDescent="0.2">
      <c r="A7535" s="242"/>
      <c r="F7535" s="285" t="str">
        <f t="shared" si="241"/>
        <v/>
      </c>
      <c r="K7535" s="246" t="str">
        <f t="shared" si="240"/>
        <v/>
      </c>
    </row>
    <row r="7536" spans="1:11" x14ac:dyDescent="0.2">
      <c r="A7536" s="242"/>
      <c r="F7536" s="285" t="str">
        <f t="shared" si="241"/>
        <v/>
      </c>
      <c r="K7536" s="246" t="str">
        <f t="shared" si="240"/>
        <v/>
      </c>
    </row>
    <row r="7537" spans="1:11" x14ac:dyDescent="0.2">
      <c r="A7537" s="242"/>
      <c r="F7537" s="285" t="str">
        <f t="shared" si="241"/>
        <v/>
      </c>
      <c r="K7537" s="246" t="str">
        <f t="shared" si="240"/>
        <v/>
      </c>
    </row>
    <row r="7538" spans="1:11" x14ac:dyDescent="0.2">
      <c r="A7538" s="242"/>
      <c r="F7538" s="285" t="str">
        <f t="shared" si="241"/>
        <v/>
      </c>
      <c r="K7538" s="246" t="str">
        <f t="shared" si="240"/>
        <v/>
      </c>
    </row>
    <row r="7539" spans="1:11" x14ac:dyDescent="0.2">
      <c r="A7539" s="242"/>
      <c r="F7539" s="285" t="str">
        <f t="shared" si="241"/>
        <v/>
      </c>
      <c r="K7539" s="246" t="str">
        <f t="shared" si="240"/>
        <v/>
      </c>
    </row>
    <row r="7540" spans="1:11" x14ac:dyDescent="0.2">
      <c r="A7540" s="242"/>
      <c r="F7540" s="285" t="str">
        <f t="shared" si="241"/>
        <v/>
      </c>
      <c r="K7540" s="246" t="str">
        <f t="shared" si="240"/>
        <v/>
      </c>
    </row>
    <row r="7541" spans="1:11" x14ac:dyDescent="0.2">
      <c r="A7541" s="242"/>
      <c r="F7541" s="285" t="str">
        <f t="shared" si="241"/>
        <v/>
      </c>
      <c r="K7541" s="246" t="str">
        <f t="shared" si="240"/>
        <v/>
      </c>
    </row>
    <row r="7542" spans="1:11" x14ac:dyDescent="0.2">
      <c r="A7542" s="242"/>
      <c r="F7542" s="285" t="str">
        <f t="shared" si="241"/>
        <v/>
      </c>
      <c r="K7542" s="246" t="str">
        <f t="shared" si="240"/>
        <v/>
      </c>
    </row>
    <row r="7543" spans="1:11" x14ac:dyDescent="0.2">
      <c r="A7543" s="242"/>
      <c r="F7543" s="285" t="str">
        <f t="shared" si="241"/>
        <v/>
      </c>
      <c r="K7543" s="246" t="str">
        <f t="shared" si="240"/>
        <v/>
      </c>
    </row>
    <row r="7544" spans="1:11" x14ac:dyDescent="0.2">
      <c r="A7544" s="242"/>
      <c r="F7544" s="285" t="str">
        <f t="shared" si="241"/>
        <v/>
      </c>
      <c r="K7544" s="246" t="str">
        <f t="shared" si="240"/>
        <v/>
      </c>
    </row>
    <row r="7545" spans="1:11" x14ac:dyDescent="0.2">
      <c r="A7545" s="242"/>
      <c r="F7545" s="285" t="str">
        <f t="shared" si="241"/>
        <v/>
      </c>
      <c r="K7545" s="246" t="str">
        <f t="shared" si="240"/>
        <v/>
      </c>
    </row>
    <row r="7546" spans="1:11" x14ac:dyDescent="0.2">
      <c r="A7546" s="242"/>
      <c r="F7546" s="285" t="str">
        <f t="shared" si="241"/>
        <v/>
      </c>
      <c r="K7546" s="246" t="str">
        <f t="shared" si="240"/>
        <v/>
      </c>
    </row>
    <row r="7547" spans="1:11" x14ac:dyDescent="0.2">
      <c r="A7547" s="242"/>
      <c r="F7547" s="285" t="str">
        <f t="shared" si="241"/>
        <v/>
      </c>
      <c r="K7547" s="246" t="str">
        <f t="shared" ref="K7547:K7610" si="242">IF(A7547="","",A7547)</f>
        <v/>
      </c>
    </row>
    <row r="7548" spans="1:11" x14ac:dyDescent="0.2">
      <c r="A7548" s="242"/>
      <c r="F7548" s="285" t="str">
        <f t="shared" si="241"/>
        <v/>
      </c>
      <c r="K7548" s="246" t="str">
        <f t="shared" si="242"/>
        <v/>
      </c>
    </row>
    <row r="7549" spans="1:11" x14ac:dyDescent="0.2">
      <c r="A7549" s="242"/>
      <c r="F7549" s="285" t="str">
        <f t="shared" si="241"/>
        <v/>
      </c>
      <c r="K7549" s="246" t="str">
        <f t="shared" si="242"/>
        <v/>
      </c>
    </row>
    <row r="7550" spans="1:11" x14ac:dyDescent="0.2">
      <c r="A7550" s="242"/>
      <c r="F7550" s="285" t="str">
        <f t="shared" si="241"/>
        <v/>
      </c>
      <c r="K7550" s="246" t="str">
        <f t="shared" si="242"/>
        <v/>
      </c>
    </row>
    <row r="7551" spans="1:11" x14ac:dyDescent="0.2">
      <c r="A7551" s="242"/>
      <c r="F7551" s="285" t="str">
        <f t="shared" si="241"/>
        <v/>
      </c>
      <c r="K7551" s="246" t="str">
        <f t="shared" si="242"/>
        <v/>
      </c>
    </row>
    <row r="7552" spans="1:11" x14ac:dyDescent="0.2">
      <c r="A7552" s="242"/>
      <c r="F7552" s="285" t="str">
        <f t="shared" si="241"/>
        <v/>
      </c>
      <c r="K7552" s="246" t="str">
        <f t="shared" si="242"/>
        <v/>
      </c>
    </row>
    <row r="7553" spans="1:11" x14ac:dyDescent="0.2">
      <c r="A7553" s="242"/>
      <c r="F7553" s="285" t="str">
        <f t="shared" si="241"/>
        <v/>
      </c>
      <c r="K7553" s="246" t="str">
        <f t="shared" si="242"/>
        <v/>
      </c>
    </row>
    <row r="7554" spans="1:11" x14ac:dyDescent="0.2">
      <c r="A7554" s="242"/>
      <c r="F7554" s="285" t="str">
        <f t="shared" si="241"/>
        <v/>
      </c>
      <c r="K7554" s="246" t="str">
        <f t="shared" si="242"/>
        <v/>
      </c>
    </row>
    <row r="7555" spans="1:11" x14ac:dyDescent="0.2">
      <c r="A7555" s="242"/>
      <c r="F7555" s="285" t="str">
        <f t="shared" si="241"/>
        <v/>
      </c>
      <c r="K7555" s="246" t="str">
        <f t="shared" si="242"/>
        <v/>
      </c>
    </row>
    <row r="7556" spans="1:11" x14ac:dyDescent="0.2">
      <c r="A7556" s="242"/>
      <c r="F7556" s="285" t="str">
        <f t="shared" si="241"/>
        <v/>
      </c>
      <c r="K7556" s="246" t="str">
        <f t="shared" si="242"/>
        <v/>
      </c>
    </row>
    <row r="7557" spans="1:11" x14ac:dyDescent="0.2">
      <c r="A7557" s="242"/>
      <c r="F7557" s="285" t="str">
        <f t="shared" ref="F7557:F7620" si="243">IF(A7557="","",A7557)</f>
        <v/>
      </c>
      <c r="K7557" s="246" t="str">
        <f t="shared" si="242"/>
        <v/>
      </c>
    </row>
    <row r="7558" spans="1:11" x14ac:dyDescent="0.2">
      <c r="A7558" s="242"/>
      <c r="F7558" s="285" t="str">
        <f t="shared" si="243"/>
        <v/>
      </c>
      <c r="K7558" s="246" t="str">
        <f t="shared" si="242"/>
        <v/>
      </c>
    </row>
    <row r="7559" spans="1:11" x14ac:dyDescent="0.2">
      <c r="A7559" s="242"/>
      <c r="F7559" s="285" t="str">
        <f t="shared" si="243"/>
        <v/>
      </c>
      <c r="K7559" s="246" t="str">
        <f t="shared" si="242"/>
        <v/>
      </c>
    </row>
    <row r="7560" spans="1:11" x14ac:dyDescent="0.2">
      <c r="A7560" s="242"/>
      <c r="F7560" s="285" t="str">
        <f t="shared" si="243"/>
        <v/>
      </c>
      <c r="K7560" s="246" t="str">
        <f t="shared" si="242"/>
        <v/>
      </c>
    </row>
    <row r="7561" spans="1:11" x14ac:dyDescent="0.2">
      <c r="A7561" s="242"/>
      <c r="F7561" s="285" t="str">
        <f t="shared" si="243"/>
        <v/>
      </c>
      <c r="K7561" s="246" t="str">
        <f t="shared" si="242"/>
        <v/>
      </c>
    </row>
    <row r="7562" spans="1:11" x14ac:dyDescent="0.2">
      <c r="A7562" s="242"/>
      <c r="F7562" s="285" t="str">
        <f t="shared" si="243"/>
        <v/>
      </c>
      <c r="K7562" s="246" t="str">
        <f t="shared" si="242"/>
        <v/>
      </c>
    </row>
    <row r="7563" spans="1:11" x14ac:dyDescent="0.2">
      <c r="A7563" s="242"/>
      <c r="F7563" s="285" t="str">
        <f t="shared" si="243"/>
        <v/>
      </c>
      <c r="K7563" s="246" t="str">
        <f t="shared" si="242"/>
        <v/>
      </c>
    </row>
    <row r="7564" spans="1:11" x14ac:dyDescent="0.2">
      <c r="A7564" s="242"/>
      <c r="F7564" s="285" t="str">
        <f t="shared" si="243"/>
        <v/>
      </c>
      <c r="K7564" s="246" t="str">
        <f t="shared" si="242"/>
        <v/>
      </c>
    </row>
    <row r="7565" spans="1:11" x14ac:dyDescent="0.2">
      <c r="A7565" s="242"/>
      <c r="F7565" s="285" t="str">
        <f t="shared" si="243"/>
        <v/>
      </c>
      <c r="K7565" s="246" t="str">
        <f t="shared" si="242"/>
        <v/>
      </c>
    </row>
    <row r="7566" spans="1:11" x14ac:dyDescent="0.2">
      <c r="A7566" s="242"/>
      <c r="F7566" s="285" t="str">
        <f t="shared" si="243"/>
        <v/>
      </c>
      <c r="K7566" s="246" t="str">
        <f t="shared" si="242"/>
        <v/>
      </c>
    </row>
    <row r="7567" spans="1:11" x14ac:dyDescent="0.2">
      <c r="A7567" s="242"/>
      <c r="F7567" s="285" t="str">
        <f t="shared" si="243"/>
        <v/>
      </c>
      <c r="K7567" s="246" t="str">
        <f t="shared" si="242"/>
        <v/>
      </c>
    </row>
    <row r="7568" spans="1:11" x14ac:dyDescent="0.2">
      <c r="A7568" s="242"/>
      <c r="F7568" s="285" t="str">
        <f t="shared" si="243"/>
        <v/>
      </c>
      <c r="K7568" s="246" t="str">
        <f t="shared" si="242"/>
        <v/>
      </c>
    </row>
    <row r="7569" spans="1:11" x14ac:dyDescent="0.2">
      <c r="A7569" s="242"/>
      <c r="F7569" s="285" t="str">
        <f t="shared" si="243"/>
        <v/>
      </c>
      <c r="K7569" s="246" t="str">
        <f t="shared" si="242"/>
        <v/>
      </c>
    </row>
    <row r="7570" spans="1:11" x14ac:dyDescent="0.2">
      <c r="A7570" s="242"/>
      <c r="F7570" s="285" t="str">
        <f t="shared" si="243"/>
        <v/>
      </c>
      <c r="K7570" s="246" t="str">
        <f t="shared" si="242"/>
        <v/>
      </c>
    </row>
    <row r="7571" spans="1:11" x14ac:dyDescent="0.2">
      <c r="A7571" s="242"/>
      <c r="F7571" s="285" t="str">
        <f t="shared" si="243"/>
        <v/>
      </c>
      <c r="K7571" s="246" t="str">
        <f t="shared" si="242"/>
        <v/>
      </c>
    </row>
    <row r="7572" spans="1:11" x14ac:dyDescent="0.2">
      <c r="A7572" s="242"/>
      <c r="F7572" s="285" t="str">
        <f t="shared" si="243"/>
        <v/>
      </c>
      <c r="K7572" s="246" t="str">
        <f t="shared" si="242"/>
        <v/>
      </c>
    </row>
    <row r="7573" spans="1:11" x14ac:dyDescent="0.2">
      <c r="A7573" s="242"/>
      <c r="F7573" s="285" t="str">
        <f t="shared" si="243"/>
        <v/>
      </c>
      <c r="K7573" s="246" t="str">
        <f t="shared" si="242"/>
        <v/>
      </c>
    </row>
    <row r="7574" spans="1:11" x14ac:dyDescent="0.2">
      <c r="A7574" s="242"/>
      <c r="F7574" s="285" t="str">
        <f t="shared" si="243"/>
        <v/>
      </c>
      <c r="K7574" s="246" t="str">
        <f t="shared" si="242"/>
        <v/>
      </c>
    </row>
    <row r="7575" spans="1:11" x14ac:dyDescent="0.2">
      <c r="A7575" s="242"/>
      <c r="F7575" s="285" t="str">
        <f t="shared" si="243"/>
        <v/>
      </c>
      <c r="K7575" s="246" t="str">
        <f t="shared" si="242"/>
        <v/>
      </c>
    </row>
    <row r="7576" spans="1:11" x14ac:dyDescent="0.2">
      <c r="A7576" s="242"/>
      <c r="F7576" s="285" t="str">
        <f t="shared" si="243"/>
        <v/>
      </c>
      <c r="K7576" s="246" t="str">
        <f t="shared" si="242"/>
        <v/>
      </c>
    </row>
    <row r="7577" spans="1:11" x14ac:dyDescent="0.2">
      <c r="A7577" s="242"/>
      <c r="F7577" s="285" t="str">
        <f t="shared" si="243"/>
        <v/>
      </c>
      <c r="K7577" s="246" t="str">
        <f t="shared" si="242"/>
        <v/>
      </c>
    </row>
    <row r="7578" spans="1:11" x14ac:dyDescent="0.2">
      <c r="A7578" s="242"/>
      <c r="F7578" s="285" t="str">
        <f t="shared" si="243"/>
        <v/>
      </c>
      <c r="K7578" s="246" t="str">
        <f t="shared" si="242"/>
        <v/>
      </c>
    </row>
    <row r="7579" spans="1:11" x14ac:dyDescent="0.2">
      <c r="A7579" s="242"/>
      <c r="F7579" s="285" t="str">
        <f t="shared" si="243"/>
        <v/>
      </c>
      <c r="K7579" s="246" t="str">
        <f t="shared" si="242"/>
        <v/>
      </c>
    </row>
    <row r="7580" spans="1:11" x14ac:dyDescent="0.2">
      <c r="A7580" s="242"/>
      <c r="F7580" s="285" t="str">
        <f t="shared" si="243"/>
        <v/>
      </c>
      <c r="K7580" s="246" t="str">
        <f t="shared" si="242"/>
        <v/>
      </c>
    </row>
    <row r="7581" spans="1:11" x14ac:dyDescent="0.2">
      <c r="A7581" s="242"/>
      <c r="F7581" s="285" t="str">
        <f t="shared" si="243"/>
        <v/>
      </c>
      <c r="K7581" s="246" t="str">
        <f t="shared" si="242"/>
        <v/>
      </c>
    </row>
    <row r="7582" spans="1:11" x14ac:dyDescent="0.2">
      <c r="A7582" s="242"/>
      <c r="F7582" s="285" t="str">
        <f t="shared" si="243"/>
        <v/>
      </c>
      <c r="K7582" s="246" t="str">
        <f t="shared" si="242"/>
        <v/>
      </c>
    </row>
    <row r="7583" spans="1:11" x14ac:dyDescent="0.2">
      <c r="A7583" s="242"/>
      <c r="F7583" s="285" t="str">
        <f t="shared" si="243"/>
        <v/>
      </c>
      <c r="K7583" s="246" t="str">
        <f t="shared" si="242"/>
        <v/>
      </c>
    </row>
    <row r="7584" spans="1:11" x14ac:dyDescent="0.2">
      <c r="A7584" s="242"/>
      <c r="F7584" s="285" t="str">
        <f t="shared" si="243"/>
        <v/>
      </c>
      <c r="K7584" s="246" t="str">
        <f t="shared" si="242"/>
        <v/>
      </c>
    </row>
    <row r="7585" spans="1:11" x14ac:dyDescent="0.2">
      <c r="A7585" s="242"/>
      <c r="F7585" s="285" t="str">
        <f t="shared" si="243"/>
        <v/>
      </c>
      <c r="K7585" s="246" t="str">
        <f t="shared" si="242"/>
        <v/>
      </c>
    </row>
    <row r="7586" spans="1:11" x14ac:dyDescent="0.2">
      <c r="A7586" s="242"/>
      <c r="F7586" s="285" t="str">
        <f t="shared" si="243"/>
        <v/>
      </c>
      <c r="K7586" s="246" t="str">
        <f t="shared" si="242"/>
        <v/>
      </c>
    </row>
    <row r="7587" spans="1:11" x14ac:dyDescent="0.2">
      <c r="A7587" s="242"/>
      <c r="F7587" s="285" t="str">
        <f t="shared" si="243"/>
        <v/>
      </c>
      <c r="K7587" s="246" t="str">
        <f t="shared" si="242"/>
        <v/>
      </c>
    </row>
    <row r="7588" spans="1:11" x14ac:dyDescent="0.2">
      <c r="A7588" s="242"/>
      <c r="F7588" s="285" t="str">
        <f t="shared" si="243"/>
        <v/>
      </c>
      <c r="K7588" s="246" t="str">
        <f t="shared" si="242"/>
        <v/>
      </c>
    </row>
    <row r="7589" spans="1:11" x14ac:dyDescent="0.2">
      <c r="A7589" s="242"/>
      <c r="F7589" s="285" t="str">
        <f t="shared" si="243"/>
        <v/>
      </c>
      <c r="K7589" s="246" t="str">
        <f t="shared" si="242"/>
        <v/>
      </c>
    </row>
    <row r="7590" spans="1:11" x14ac:dyDescent="0.2">
      <c r="A7590" s="242"/>
      <c r="F7590" s="285" t="str">
        <f t="shared" si="243"/>
        <v/>
      </c>
      <c r="K7590" s="246" t="str">
        <f t="shared" si="242"/>
        <v/>
      </c>
    </row>
    <row r="7591" spans="1:11" x14ac:dyDescent="0.2">
      <c r="A7591" s="242"/>
      <c r="F7591" s="285" t="str">
        <f t="shared" si="243"/>
        <v/>
      </c>
      <c r="K7591" s="246" t="str">
        <f t="shared" si="242"/>
        <v/>
      </c>
    </row>
    <row r="7592" spans="1:11" x14ac:dyDescent="0.2">
      <c r="A7592" s="242"/>
      <c r="F7592" s="285" t="str">
        <f t="shared" si="243"/>
        <v/>
      </c>
      <c r="K7592" s="246" t="str">
        <f t="shared" si="242"/>
        <v/>
      </c>
    </row>
    <row r="7593" spans="1:11" x14ac:dyDescent="0.2">
      <c r="A7593" s="242"/>
      <c r="F7593" s="285" t="str">
        <f t="shared" si="243"/>
        <v/>
      </c>
      <c r="K7593" s="246" t="str">
        <f t="shared" si="242"/>
        <v/>
      </c>
    </row>
    <row r="7594" spans="1:11" x14ac:dyDescent="0.2">
      <c r="A7594" s="242"/>
      <c r="F7594" s="285" t="str">
        <f t="shared" si="243"/>
        <v/>
      </c>
      <c r="K7594" s="246" t="str">
        <f t="shared" si="242"/>
        <v/>
      </c>
    </row>
    <row r="7595" spans="1:11" x14ac:dyDescent="0.2">
      <c r="A7595" s="242"/>
      <c r="F7595" s="285" t="str">
        <f t="shared" si="243"/>
        <v/>
      </c>
      <c r="K7595" s="246" t="str">
        <f t="shared" si="242"/>
        <v/>
      </c>
    </row>
    <row r="7596" spans="1:11" x14ac:dyDescent="0.2">
      <c r="A7596" s="242"/>
      <c r="F7596" s="285" t="str">
        <f t="shared" si="243"/>
        <v/>
      </c>
      <c r="K7596" s="246" t="str">
        <f t="shared" si="242"/>
        <v/>
      </c>
    </row>
    <row r="7597" spans="1:11" x14ac:dyDescent="0.2">
      <c r="A7597" s="242"/>
      <c r="F7597" s="285" t="str">
        <f t="shared" si="243"/>
        <v/>
      </c>
      <c r="K7597" s="246" t="str">
        <f t="shared" si="242"/>
        <v/>
      </c>
    </row>
    <row r="7598" spans="1:11" x14ac:dyDescent="0.2">
      <c r="A7598" s="242"/>
      <c r="F7598" s="285" t="str">
        <f t="shared" si="243"/>
        <v/>
      </c>
      <c r="K7598" s="246" t="str">
        <f t="shared" si="242"/>
        <v/>
      </c>
    </row>
    <row r="7599" spans="1:11" x14ac:dyDescent="0.2">
      <c r="A7599" s="242"/>
      <c r="F7599" s="285" t="str">
        <f t="shared" si="243"/>
        <v/>
      </c>
      <c r="K7599" s="246" t="str">
        <f t="shared" si="242"/>
        <v/>
      </c>
    </row>
    <row r="7600" spans="1:11" x14ac:dyDescent="0.2">
      <c r="A7600" s="242"/>
      <c r="F7600" s="285" t="str">
        <f t="shared" si="243"/>
        <v/>
      </c>
      <c r="K7600" s="246" t="str">
        <f t="shared" si="242"/>
        <v/>
      </c>
    </row>
    <row r="7601" spans="1:11" x14ac:dyDescent="0.2">
      <c r="A7601" s="242"/>
      <c r="F7601" s="285" t="str">
        <f t="shared" si="243"/>
        <v/>
      </c>
      <c r="K7601" s="246" t="str">
        <f t="shared" si="242"/>
        <v/>
      </c>
    </row>
    <row r="7602" spans="1:11" x14ac:dyDescent="0.2">
      <c r="A7602" s="242"/>
      <c r="F7602" s="285" t="str">
        <f t="shared" si="243"/>
        <v/>
      </c>
      <c r="K7602" s="246" t="str">
        <f t="shared" si="242"/>
        <v/>
      </c>
    </row>
    <row r="7603" spans="1:11" x14ac:dyDescent="0.2">
      <c r="A7603" s="242"/>
      <c r="F7603" s="285" t="str">
        <f t="shared" si="243"/>
        <v/>
      </c>
      <c r="K7603" s="246" t="str">
        <f t="shared" si="242"/>
        <v/>
      </c>
    </row>
    <row r="7604" spans="1:11" x14ac:dyDescent="0.2">
      <c r="A7604" s="242"/>
      <c r="F7604" s="285" t="str">
        <f t="shared" si="243"/>
        <v/>
      </c>
      <c r="K7604" s="246" t="str">
        <f t="shared" si="242"/>
        <v/>
      </c>
    </row>
    <row r="7605" spans="1:11" x14ac:dyDescent="0.2">
      <c r="A7605" s="242"/>
      <c r="F7605" s="285" t="str">
        <f t="shared" si="243"/>
        <v/>
      </c>
      <c r="K7605" s="246" t="str">
        <f t="shared" si="242"/>
        <v/>
      </c>
    </row>
    <row r="7606" spans="1:11" x14ac:dyDescent="0.2">
      <c r="A7606" s="242"/>
      <c r="F7606" s="285" t="str">
        <f t="shared" si="243"/>
        <v/>
      </c>
      <c r="K7606" s="246" t="str">
        <f t="shared" si="242"/>
        <v/>
      </c>
    </row>
    <row r="7607" spans="1:11" x14ac:dyDescent="0.2">
      <c r="A7607" s="242"/>
      <c r="F7607" s="285" t="str">
        <f t="shared" si="243"/>
        <v/>
      </c>
      <c r="K7607" s="246" t="str">
        <f t="shared" si="242"/>
        <v/>
      </c>
    </row>
    <row r="7608" spans="1:11" x14ac:dyDescent="0.2">
      <c r="A7608" s="242"/>
      <c r="F7608" s="285" t="str">
        <f t="shared" si="243"/>
        <v/>
      </c>
      <c r="K7608" s="246" t="str">
        <f t="shared" si="242"/>
        <v/>
      </c>
    </row>
    <row r="7609" spans="1:11" x14ac:dyDescent="0.2">
      <c r="A7609" s="242"/>
      <c r="F7609" s="285" t="str">
        <f t="shared" si="243"/>
        <v/>
      </c>
      <c r="K7609" s="246" t="str">
        <f t="shared" si="242"/>
        <v/>
      </c>
    </row>
    <row r="7610" spans="1:11" x14ac:dyDescent="0.2">
      <c r="A7610" s="242"/>
      <c r="F7610" s="285" t="str">
        <f t="shared" si="243"/>
        <v/>
      </c>
      <c r="K7610" s="246" t="str">
        <f t="shared" si="242"/>
        <v/>
      </c>
    </row>
    <row r="7611" spans="1:11" x14ac:dyDescent="0.2">
      <c r="A7611" s="242"/>
      <c r="F7611" s="285" t="str">
        <f t="shared" si="243"/>
        <v/>
      </c>
      <c r="K7611" s="246" t="str">
        <f t="shared" ref="K7611:K7674" si="244">IF(A7611="","",A7611)</f>
        <v/>
      </c>
    </row>
    <row r="7612" spans="1:11" x14ac:dyDescent="0.2">
      <c r="A7612" s="242"/>
      <c r="F7612" s="285" t="str">
        <f t="shared" si="243"/>
        <v/>
      </c>
      <c r="K7612" s="246" t="str">
        <f t="shared" si="244"/>
        <v/>
      </c>
    </row>
    <row r="7613" spans="1:11" x14ac:dyDescent="0.2">
      <c r="A7613" s="242"/>
      <c r="F7613" s="285" t="str">
        <f t="shared" si="243"/>
        <v/>
      </c>
      <c r="K7613" s="246" t="str">
        <f t="shared" si="244"/>
        <v/>
      </c>
    </row>
    <row r="7614" spans="1:11" x14ac:dyDescent="0.2">
      <c r="A7614" s="242"/>
      <c r="F7614" s="285" t="str">
        <f t="shared" si="243"/>
        <v/>
      </c>
      <c r="K7614" s="246" t="str">
        <f t="shared" si="244"/>
        <v/>
      </c>
    </row>
    <row r="7615" spans="1:11" x14ac:dyDescent="0.2">
      <c r="A7615" s="242"/>
      <c r="F7615" s="285" t="str">
        <f t="shared" si="243"/>
        <v/>
      </c>
      <c r="K7615" s="246" t="str">
        <f t="shared" si="244"/>
        <v/>
      </c>
    </row>
    <row r="7616" spans="1:11" x14ac:dyDescent="0.2">
      <c r="A7616" s="242"/>
      <c r="F7616" s="285" t="str">
        <f t="shared" si="243"/>
        <v/>
      </c>
      <c r="K7616" s="246" t="str">
        <f t="shared" si="244"/>
        <v/>
      </c>
    </row>
    <row r="7617" spans="1:11" x14ac:dyDescent="0.2">
      <c r="A7617" s="242"/>
      <c r="F7617" s="285" t="str">
        <f t="shared" si="243"/>
        <v/>
      </c>
      <c r="K7617" s="246" t="str">
        <f t="shared" si="244"/>
        <v/>
      </c>
    </row>
    <row r="7618" spans="1:11" x14ac:dyDescent="0.2">
      <c r="A7618" s="242"/>
      <c r="F7618" s="285" t="str">
        <f t="shared" si="243"/>
        <v/>
      </c>
      <c r="K7618" s="246" t="str">
        <f t="shared" si="244"/>
        <v/>
      </c>
    </row>
    <row r="7619" spans="1:11" x14ac:dyDescent="0.2">
      <c r="A7619" s="242"/>
      <c r="F7619" s="285" t="str">
        <f t="shared" si="243"/>
        <v/>
      </c>
      <c r="K7619" s="246" t="str">
        <f t="shared" si="244"/>
        <v/>
      </c>
    </row>
    <row r="7620" spans="1:11" x14ac:dyDescent="0.2">
      <c r="A7620" s="242"/>
      <c r="F7620" s="285" t="str">
        <f t="shared" si="243"/>
        <v/>
      </c>
      <c r="K7620" s="246" t="str">
        <f t="shared" si="244"/>
        <v/>
      </c>
    </row>
    <row r="7621" spans="1:11" x14ac:dyDescent="0.2">
      <c r="A7621" s="242"/>
      <c r="F7621" s="285" t="str">
        <f t="shared" ref="F7621:F7684" si="245">IF(A7621="","",A7621)</f>
        <v/>
      </c>
      <c r="K7621" s="246" t="str">
        <f t="shared" si="244"/>
        <v/>
      </c>
    </row>
    <row r="7622" spans="1:11" x14ac:dyDescent="0.2">
      <c r="A7622" s="242"/>
      <c r="F7622" s="285" t="str">
        <f t="shared" si="245"/>
        <v/>
      </c>
      <c r="K7622" s="246" t="str">
        <f t="shared" si="244"/>
        <v/>
      </c>
    </row>
    <row r="7623" spans="1:11" x14ac:dyDescent="0.2">
      <c r="A7623" s="242"/>
      <c r="F7623" s="285" t="str">
        <f t="shared" si="245"/>
        <v/>
      </c>
      <c r="K7623" s="246" t="str">
        <f t="shared" si="244"/>
        <v/>
      </c>
    </row>
    <row r="7624" spans="1:11" x14ac:dyDescent="0.2">
      <c r="A7624" s="242"/>
      <c r="F7624" s="285" t="str">
        <f t="shared" si="245"/>
        <v/>
      </c>
      <c r="K7624" s="246" t="str">
        <f t="shared" si="244"/>
        <v/>
      </c>
    </row>
    <row r="7625" spans="1:11" x14ac:dyDescent="0.2">
      <c r="A7625" s="242"/>
      <c r="F7625" s="285" t="str">
        <f t="shared" si="245"/>
        <v/>
      </c>
      <c r="K7625" s="246" t="str">
        <f t="shared" si="244"/>
        <v/>
      </c>
    </row>
    <row r="7626" spans="1:11" x14ac:dyDescent="0.2">
      <c r="A7626" s="242"/>
      <c r="F7626" s="285" t="str">
        <f t="shared" si="245"/>
        <v/>
      </c>
      <c r="K7626" s="246" t="str">
        <f t="shared" si="244"/>
        <v/>
      </c>
    </row>
    <row r="7627" spans="1:11" x14ac:dyDescent="0.2">
      <c r="A7627" s="242"/>
      <c r="F7627" s="285" t="str">
        <f t="shared" si="245"/>
        <v/>
      </c>
      <c r="K7627" s="246" t="str">
        <f t="shared" si="244"/>
        <v/>
      </c>
    </row>
    <row r="7628" spans="1:11" x14ac:dyDescent="0.2">
      <c r="A7628" s="242"/>
      <c r="F7628" s="285" t="str">
        <f t="shared" si="245"/>
        <v/>
      </c>
      <c r="K7628" s="246" t="str">
        <f t="shared" si="244"/>
        <v/>
      </c>
    </row>
    <row r="7629" spans="1:11" x14ac:dyDescent="0.2">
      <c r="A7629" s="242"/>
      <c r="F7629" s="285" t="str">
        <f t="shared" si="245"/>
        <v/>
      </c>
      <c r="K7629" s="246" t="str">
        <f t="shared" si="244"/>
        <v/>
      </c>
    </row>
    <row r="7630" spans="1:11" x14ac:dyDescent="0.2">
      <c r="A7630" s="242"/>
      <c r="F7630" s="285" t="str">
        <f t="shared" si="245"/>
        <v/>
      </c>
      <c r="K7630" s="246" t="str">
        <f t="shared" si="244"/>
        <v/>
      </c>
    </row>
    <row r="7631" spans="1:11" x14ac:dyDescent="0.2">
      <c r="A7631" s="242"/>
      <c r="F7631" s="285" t="str">
        <f t="shared" si="245"/>
        <v/>
      </c>
      <c r="K7631" s="246" t="str">
        <f t="shared" si="244"/>
        <v/>
      </c>
    </row>
    <row r="7632" spans="1:11" x14ac:dyDescent="0.2">
      <c r="A7632" s="242"/>
      <c r="F7632" s="285" t="str">
        <f t="shared" si="245"/>
        <v/>
      </c>
      <c r="K7632" s="246" t="str">
        <f t="shared" si="244"/>
        <v/>
      </c>
    </row>
    <row r="7633" spans="1:11" x14ac:dyDescent="0.2">
      <c r="A7633" s="242"/>
      <c r="F7633" s="285" t="str">
        <f t="shared" si="245"/>
        <v/>
      </c>
      <c r="K7633" s="246" t="str">
        <f t="shared" si="244"/>
        <v/>
      </c>
    </row>
    <row r="7634" spans="1:11" x14ac:dyDescent="0.2">
      <c r="A7634" s="242"/>
      <c r="F7634" s="285" t="str">
        <f t="shared" si="245"/>
        <v/>
      </c>
      <c r="K7634" s="246" t="str">
        <f t="shared" si="244"/>
        <v/>
      </c>
    </row>
    <row r="7635" spans="1:11" x14ac:dyDescent="0.2">
      <c r="A7635" s="242"/>
      <c r="F7635" s="285" t="str">
        <f t="shared" si="245"/>
        <v/>
      </c>
      <c r="K7635" s="246" t="str">
        <f t="shared" si="244"/>
        <v/>
      </c>
    </row>
    <row r="7636" spans="1:11" x14ac:dyDescent="0.2">
      <c r="A7636" s="242"/>
      <c r="F7636" s="285" t="str">
        <f t="shared" si="245"/>
        <v/>
      </c>
      <c r="K7636" s="246" t="str">
        <f t="shared" si="244"/>
        <v/>
      </c>
    </row>
    <row r="7637" spans="1:11" x14ac:dyDescent="0.2">
      <c r="A7637" s="242"/>
      <c r="F7637" s="285" t="str">
        <f t="shared" si="245"/>
        <v/>
      </c>
      <c r="K7637" s="246" t="str">
        <f t="shared" si="244"/>
        <v/>
      </c>
    </row>
    <row r="7638" spans="1:11" x14ac:dyDescent="0.2">
      <c r="A7638" s="242"/>
      <c r="F7638" s="285" t="str">
        <f t="shared" si="245"/>
        <v/>
      </c>
      <c r="K7638" s="246" t="str">
        <f t="shared" si="244"/>
        <v/>
      </c>
    </row>
    <row r="7639" spans="1:11" x14ac:dyDescent="0.2">
      <c r="A7639" s="242"/>
      <c r="F7639" s="285" t="str">
        <f t="shared" si="245"/>
        <v/>
      </c>
      <c r="K7639" s="246" t="str">
        <f t="shared" si="244"/>
        <v/>
      </c>
    </row>
    <row r="7640" spans="1:11" x14ac:dyDescent="0.2">
      <c r="A7640" s="242"/>
      <c r="F7640" s="285" t="str">
        <f t="shared" si="245"/>
        <v/>
      </c>
      <c r="K7640" s="246" t="str">
        <f t="shared" si="244"/>
        <v/>
      </c>
    </row>
    <row r="7641" spans="1:11" x14ac:dyDescent="0.2">
      <c r="A7641" s="242"/>
      <c r="F7641" s="285" t="str">
        <f t="shared" si="245"/>
        <v/>
      </c>
      <c r="K7641" s="246" t="str">
        <f t="shared" si="244"/>
        <v/>
      </c>
    </row>
    <row r="7642" spans="1:11" x14ac:dyDescent="0.2">
      <c r="A7642" s="242"/>
      <c r="F7642" s="285" t="str">
        <f t="shared" si="245"/>
        <v/>
      </c>
      <c r="K7642" s="246" t="str">
        <f t="shared" si="244"/>
        <v/>
      </c>
    </row>
    <row r="7643" spans="1:11" x14ac:dyDescent="0.2">
      <c r="A7643" s="242"/>
      <c r="F7643" s="285" t="str">
        <f t="shared" si="245"/>
        <v/>
      </c>
      <c r="K7643" s="246" t="str">
        <f t="shared" si="244"/>
        <v/>
      </c>
    </row>
    <row r="7644" spans="1:11" x14ac:dyDescent="0.2">
      <c r="A7644" s="242"/>
      <c r="F7644" s="285" t="str">
        <f t="shared" si="245"/>
        <v/>
      </c>
      <c r="K7644" s="246" t="str">
        <f t="shared" si="244"/>
        <v/>
      </c>
    </row>
    <row r="7645" spans="1:11" x14ac:dyDescent="0.2">
      <c r="A7645" s="242"/>
      <c r="F7645" s="285" t="str">
        <f t="shared" si="245"/>
        <v/>
      </c>
      <c r="K7645" s="246" t="str">
        <f t="shared" si="244"/>
        <v/>
      </c>
    </row>
    <row r="7646" spans="1:11" x14ac:dyDescent="0.2">
      <c r="A7646" s="242"/>
      <c r="F7646" s="285" t="str">
        <f t="shared" si="245"/>
        <v/>
      </c>
      <c r="K7646" s="246" t="str">
        <f t="shared" si="244"/>
        <v/>
      </c>
    </row>
    <row r="7647" spans="1:11" x14ac:dyDescent="0.2">
      <c r="A7647" s="242"/>
      <c r="F7647" s="285" t="str">
        <f t="shared" si="245"/>
        <v/>
      </c>
      <c r="K7647" s="246" t="str">
        <f t="shared" si="244"/>
        <v/>
      </c>
    </row>
    <row r="7648" spans="1:11" x14ac:dyDescent="0.2">
      <c r="A7648" s="242"/>
      <c r="F7648" s="285" t="str">
        <f t="shared" si="245"/>
        <v/>
      </c>
      <c r="K7648" s="246" t="str">
        <f t="shared" si="244"/>
        <v/>
      </c>
    </row>
    <row r="7649" spans="1:11" x14ac:dyDescent="0.2">
      <c r="A7649" s="242"/>
      <c r="F7649" s="285" t="str">
        <f t="shared" si="245"/>
        <v/>
      </c>
      <c r="K7649" s="246" t="str">
        <f t="shared" si="244"/>
        <v/>
      </c>
    </row>
    <row r="7650" spans="1:11" x14ac:dyDescent="0.2">
      <c r="A7650" s="242"/>
      <c r="F7650" s="285" t="str">
        <f t="shared" si="245"/>
        <v/>
      </c>
      <c r="K7650" s="246" t="str">
        <f t="shared" si="244"/>
        <v/>
      </c>
    </row>
    <row r="7651" spans="1:11" x14ac:dyDescent="0.2">
      <c r="A7651" s="242"/>
      <c r="F7651" s="285" t="str">
        <f t="shared" si="245"/>
        <v/>
      </c>
      <c r="K7651" s="246" t="str">
        <f t="shared" si="244"/>
        <v/>
      </c>
    </row>
    <row r="7652" spans="1:11" x14ac:dyDescent="0.2">
      <c r="A7652" s="242"/>
      <c r="F7652" s="285" t="str">
        <f t="shared" si="245"/>
        <v/>
      </c>
      <c r="K7652" s="246" t="str">
        <f t="shared" si="244"/>
        <v/>
      </c>
    </row>
    <row r="7653" spans="1:11" x14ac:dyDescent="0.2">
      <c r="A7653" s="242"/>
      <c r="F7653" s="285" t="str">
        <f t="shared" si="245"/>
        <v/>
      </c>
      <c r="K7653" s="246" t="str">
        <f t="shared" si="244"/>
        <v/>
      </c>
    </row>
    <row r="7654" spans="1:11" x14ac:dyDescent="0.2">
      <c r="A7654" s="242"/>
      <c r="F7654" s="285" t="str">
        <f t="shared" si="245"/>
        <v/>
      </c>
      <c r="K7654" s="246" t="str">
        <f t="shared" si="244"/>
        <v/>
      </c>
    </row>
    <row r="7655" spans="1:11" x14ac:dyDescent="0.2">
      <c r="A7655" s="242"/>
      <c r="F7655" s="285" t="str">
        <f t="shared" si="245"/>
        <v/>
      </c>
      <c r="K7655" s="246" t="str">
        <f t="shared" si="244"/>
        <v/>
      </c>
    </row>
    <row r="7656" spans="1:11" x14ac:dyDescent="0.2">
      <c r="A7656" s="242"/>
      <c r="F7656" s="285" t="str">
        <f t="shared" si="245"/>
        <v/>
      </c>
      <c r="K7656" s="246" t="str">
        <f t="shared" si="244"/>
        <v/>
      </c>
    </row>
    <row r="7657" spans="1:11" x14ac:dyDescent="0.2">
      <c r="A7657" s="242"/>
      <c r="F7657" s="285" t="str">
        <f t="shared" si="245"/>
        <v/>
      </c>
      <c r="K7657" s="246" t="str">
        <f t="shared" si="244"/>
        <v/>
      </c>
    </row>
    <row r="7658" spans="1:11" x14ac:dyDescent="0.2">
      <c r="A7658" s="242"/>
      <c r="F7658" s="285" t="str">
        <f t="shared" si="245"/>
        <v/>
      </c>
      <c r="K7658" s="246" t="str">
        <f t="shared" si="244"/>
        <v/>
      </c>
    </row>
    <row r="7659" spans="1:11" x14ac:dyDescent="0.2">
      <c r="A7659" s="242"/>
      <c r="F7659" s="285" t="str">
        <f t="shared" si="245"/>
        <v/>
      </c>
      <c r="K7659" s="246" t="str">
        <f t="shared" si="244"/>
        <v/>
      </c>
    </row>
    <row r="7660" spans="1:11" x14ac:dyDescent="0.2">
      <c r="A7660" s="242"/>
      <c r="F7660" s="285" t="str">
        <f t="shared" si="245"/>
        <v/>
      </c>
      <c r="K7660" s="246" t="str">
        <f t="shared" si="244"/>
        <v/>
      </c>
    </row>
    <row r="7661" spans="1:11" x14ac:dyDescent="0.2">
      <c r="A7661" s="242"/>
      <c r="F7661" s="285" t="str">
        <f t="shared" si="245"/>
        <v/>
      </c>
      <c r="K7661" s="246" t="str">
        <f t="shared" si="244"/>
        <v/>
      </c>
    </row>
    <row r="7662" spans="1:11" x14ac:dyDescent="0.2">
      <c r="A7662" s="242"/>
      <c r="F7662" s="285" t="str">
        <f t="shared" si="245"/>
        <v/>
      </c>
      <c r="K7662" s="246" t="str">
        <f t="shared" si="244"/>
        <v/>
      </c>
    </row>
    <row r="7663" spans="1:11" x14ac:dyDescent="0.2">
      <c r="A7663" s="242"/>
      <c r="F7663" s="285" t="str">
        <f t="shared" si="245"/>
        <v/>
      </c>
      <c r="K7663" s="246" t="str">
        <f t="shared" si="244"/>
        <v/>
      </c>
    </row>
    <row r="7664" spans="1:11" x14ac:dyDescent="0.2">
      <c r="A7664" s="242"/>
      <c r="F7664" s="285" t="str">
        <f t="shared" si="245"/>
        <v/>
      </c>
      <c r="K7664" s="246" t="str">
        <f t="shared" si="244"/>
        <v/>
      </c>
    </row>
    <row r="7665" spans="1:11" x14ac:dyDescent="0.2">
      <c r="A7665" s="242"/>
      <c r="F7665" s="285" t="str">
        <f t="shared" si="245"/>
        <v/>
      </c>
      <c r="K7665" s="246" t="str">
        <f t="shared" si="244"/>
        <v/>
      </c>
    </row>
    <row r="7666" spans="1:11" x14ac:dyDescent="0.2">
      <c r="A7666" s="242"/>
      <c r="F7666" s="285" t="str">
        <f t="shared" si="245"/>
        <v/>
      </c>
      <c r="K7666" s="246" t="str">
        <f t="shared" si="244"/>
        <v/>
      </c>
    </row>
    <row r="7667" spans="1:11" x14ac:dyDescent="0.2">
      <c r="A7667" s="242"/>
      <c r="F7667" s="285" t="str">
        <f t="shared" si="245"/>
        <v/>
      </c>
      <c r="K7667" s="246" t="str">
        <f t="shared" si="244"/>
        <v/>
      </c>
    </row>
    <row r="7668" spans="1:11" x14ac:dyDescent="0.2">
      <c r="A7668" s="242"/>
      <c r="F7668" s="285" t="str">
        <f t="shared" si="245"/>
        <v/>
      </c>
      <c r="K7668" s="246" t="str">
        <f t="shared" si="244"/>
        <v/>
      </c>
    </row>
    <row r="7669" spans="1:11" x14ac:dyDescent="0.2">
      <c r="A7669" s="242"/>
      <c r="F7669" s="285" t="str">
        <f t="shared" si="245"/>
        <v/>
      </c>
      <c r="K7669" s="246" t="str">
        <f t="shared" si="244"/>
        <v/>
      </c>
    </row>
    <row r="7670" spans="1:11" x14ac:dyDescent="0.2">
      <c r="A7670" s="242"/>
      <c r="F7670" s="285" t="str">
        <f t="shared" si="245"/>
        <v/>
      </c>
      <c r="K7670" s="246" t="str">
        <f t="shared" si="244"/>
        <v/>
      </c>
    </row>
    <row r="7671" spans="1:11" x14ac:dyDescent="0.2">
      <c r="A7671" s="242"/>
      <c r="F7671" s="285" t="str">
        <f t="shared" si="245"/>
        <v/>
      </c>
      <c r="K7671" s="246" t="str">
        <f t="shared" si="244"/>
        <v/>
      </c>
    </row>
    <row r="7672" spans="1:11" x14ac:dyDescent="0.2">
      <c r="A7672" s="242"/>
      <c r="F7672" s="285" t="str">
        <f t="shared" si="245"/>
        <v/>
      </c>
      <c r="K7672" s="246" t="str">
        <f t="shared" si="244"/>
        <v/>
      </c>
    </row>
    <row r="7673" spans="1:11" x14ac:dyDescent="0.2">
      <c r="A7673" s="242"/>
      <c r="F7673" s="285" t="str">
        <f t="shared" si="245"/>
        <v/>
      </c>
      <c r="K7673" s="246" t="str">
        <f t="shared" si="244"/>
        <v/>
      </c>
    </row>
    <row r="7674" spans="1:11" x14ac:dyDescent="0.2">
      <c r="A7674" s="242"/>
      <c r="F7674" s="285" t="str">
        <f t="shared" si="245"/>
        <v/>
      </c>
      <c r="K7674" s="246" t="str">
        <f t="shared" si="244"/>
        <v/>
      </c>
    </row>
    <row r="7675" spans="1:11" x14ac:dyDescent="0.2">
      <c r="A7675" s="242"/>
      <c r="F7675" s="285" t="str">
        <f t="shared" si="245"/>
        <v/>
      </c>
      <c r="K7675" s="246" t="str">
        <f t="shared" ref="K7675:K7738" si="246">IF(A7675="","",A7675)</f>
        <v/>
      </c>
    </row>
    <row r="7676" spans="1:11" x14ac:dyDescent="0.2">
      <c r="A7676" s="242"/>
      <c r="F7676" s="285" t="str">
        <f t="shared" si="245"/>
        <v/>
      </c>
      <c r="K7676" s="246" t="str">
        <f t="shared" si="246"/>
        <v/>
      </c>
    </row>
    <row r="7677" spans="1:11" x14ac:dyDescent="0.2">
      <c r="A7677" s="242"/>
      <c r="F7677" s="285" t="str">
        <f t="shared" si="245"/>
        <v/>
      </c>
      <c r="K7677" s="246" t="str">
        <f t="shared" si="246"/>
        <v/>
      </c>
    </row>
    <row r="7678" spans="1:11" x14ac:dyDescent="0.2">
      <c r="A7678" s="242"/>
      <c r="F7678" s="285" t="str">
        <f t="shared" si="245"/>
        <v/>
      </c>
      <c r="K7678" s="246" t="str">
        <f t="shared" si="246"/>
        <v/>
      </c>
    </row>
    <row r="7679" spans="1:11" x14ac:dyDescent="0.2">
      <c r="A7679" s="242"/>
      <c r="F7679" s="285" t="str">
        <f t="shared" si="245"/>
        <v/>
      </c>
      <c r="K7679" s="246" t="str">
        <f t="shared" si="246"/>
        <v/>
      </c>
    </row>
    <row r="7680" spans="1:11" x14ac:dyDescent="0.2">
      <c r="A7680" s="242"/>
      <c r="F7680" s="285" t="str">
        <f t="shared" si="245"/>
        <v/>
      </c>
      <c r="K7680" s="246" t="str">
        <f t="shared" si="246"/>
        <v/>
      </c>
    </row>
    <row r="7681" spans="1:11" x14ac:dyDescent="0.2">
      <c r="A7681" s="242"/>
      <c r="F7681" s="285" t="str">
        <f t="shared" si="245"/>
        <v/>
      </c>
      <c r="K7681" s="246" t="str">
        <f t="shared" si="246"/>
        <v/>
      </c>
    </row>
    <row r="7682" spans="1:11" x14ac:dyDescent="0.2">
      <c r="A7682" s="242"/>
      <c r="F7682" s="285" t="str">
        <f t="shared" si="245"/>
        <v/>
      </c>
      <c r="K7682" s="246" t="str">
        <f t="shared" si="246"/>
        <v/>
      </c>
    </row>
    <row r="7683" spans="1:11" x14ac:dyDescent="0.2">
      <c r="A7683" s="242"/>
      <c r="F7683" s="285" t="str">
        <f t="shared" si="245"/>
        <v/>
      </c>
      <c r="K7683" s="246" t="str">
        <f t="shared" si="246"/>
        <v/>
      </c>
    </row>
    <row r="7684" spans="1:11" x14ac:dyDescent="0.2">
      <c r="A7684" s="242"/>
      <c r="F7684" s="285" t="str">
        <f t="shared" si="245"/>
        <v/>
      </c>
      <c r="K7684" s="246" t="str">
        <f t="shared" si="246"/>
        <v/>
      </c>
    </row>
    <row r="7685" spans="1:11" x14ac:dyDescent="0.2">
      <c r="A7685" s="242"/>
      <c r="F7685" s="285" t="str">
        <f t="shared" ref="F7685:F7748" si="247">IF(A7685="","",A7685)</f>
        <v/>
      </c>
      <c r="K7685" s="246" t="str">
        <f t="shared" si="246"/>
        <v/>
      </c>
    </row>
    <row r="7686" spans="1:11" x14ac:dyDescent="0.2">
      <c r="A7686" s="242"/>
      <c r="F7686" s="285" t="str">
        <f t="shared" si="247"/>
        <v/>
      </c>
      <c r="K7686" s="246" t="str">
        <f t="shared" si="246"/>
        <v/>
      </c>
    </row>
    <row r="7687" spans="1:11" x14ac:dyDescent="0.2">
      <c r="A7687" s="242"/>
      <c r="F7687" s="285" t="str">
        <f t="shared" si="247"/>
        <v/>
      </c>
      <c r="K7687" s="246" t="str">
        <f t="shared" si="246"/>
        <v/>
      </c>
    </row>
    <row r="7688" spans="1:11" x14ac:dyDescent="0.2">
      <c r="A7688" s="242"/>
      <c r="F7688" s="285" t="str">
        <f t="shared" si="247"/>
        <v/>
      </c>
      <c r="K7688" s="246" t="str">
        <f t="shared" si="246"/>
        <v/>
      </c>
    </row>
    <row r="7689" spans="1:11" x14ac:dyDescent="0.2">
      <c r="A7689" s="242"/>
      <c r="F7689" s="285" t="str">
        <f t="shared" si="247"/>
        <v/>
      </c>
      <c r="K7689" s="246" t="str">
        <f t="shared" si="246"/>
        <v/>
      </c>
    </row>
    <row r="7690" spans="1:11" x14ac:dyDescent="0.2">
      <c r="A7690" s="242"/>
      <c r="F7690" s="285" t="str">
        <f t="shared" si="247"/>
        <v/>
      </c>
      <c r="K7690" s="246" t="str">
        <f t="shared" si="246"/>
        <v/>
      </c>
    </row>
    <row r="7691" spans="1:11" x14ac:dyDescent="0.2">
      <c r="A7691" s="242"/>
      <c r="F7691" s="285" t="str">
        <f t="shared" si="247"/>
        <v/>
      </c>
      <c r="K7691" s="246" t="str">
        <f t="shared" si="246"/>
        <v/>
      </c>
    </row>
    <row r="7692" spans="1:11" x14ac:dyDescent="0.2">
      <c r="A7692" s="242"/>
      <c r="F7692" s="285" t="str">
        <f t="shared" si="247"/>
        <v/>
      </c>
      <c r="K7692" s="246" t="str">
        <f t="shared" si="246"/>
        <v/>
      </c>
    </row>
    <row r="7693" spans="1:11" x14ac:dyDescent="0.2">
      <c r="A7693" s="242"/>
      <c r="F7693" s="285" t="str">
        <f t="shared" si="247"/>
        <v/>
      </c>
      <c r="K7693" s="246" t="str">
        <f t="shared" si="246"/>
        <v/>
      </c>
    </row>
    <row r="7694" spans="1:11" x14ac:dyDescent="0.2">
      <c r="A7694" s="242"/>
      <c r="F7694" s="285" t="str">
        <f t="shared" si="247"/>
        <v/>
      </c>
      <c r="K7694" s="246" t="str">
        <f t="shared" si="246"/>
        <v/>
      </c>
    </row>
    <row r="7695" spans="1:11" x14ac:dyDescent="0.2">
      <c r="A7695" s="242"/>
      <c r="F7695" s="285" t="str">
        <f t="shared" si="247"/>
        <v/>
      </c>
      <c r="K7695" s="246" t="str">
        <f t="shared" si="246"/>
        <v/>
      </c>
    </row>
    <row r="7696" spans="1:11" x14ac:dyDescent="0.2">
      <c r="A7696" s="242"/>
      <c r="F7696" s="285" t="str">
        <f t="shared" si="247"/>
        <v/>
      </c>
      <c r="K7696" s="246" t="str">
        <f t="shared" si="246"/>
        <v/>
      </c>
    </row>
    <row r="7697" spans="1:11" x14ac:dyDescent="0.2">
      <c r="A7697" s="242"/>
      <c r="F7697" s="285" t="str">
        <f t="shared" si="247"/>
        <v/>
      </c>
      <c r="K7697" s="246" t="str">
        <f t="shared" si="246"/>
        <v/>
      </c>
    </row>
    <row r="7698" spans="1:11" x14ac:dyDescent="0.2">
      <c r="A7698" s="242"/>
      <c r="F7698" s="285" t="str">
        <f t="shared" si="247"/>
        <v/>
      </c>
      <c r="K7698" s="246" t="str">
        <f t="shared" si="246"/>
        <v/>
      </c>
    </row>
    <row r="7699" spans="1:11" x14ac:dyDescent="0.2">
      <c r="A7699" s="242"/>
      <c r="F7699" s="285" t="str">
        <f t="shared" si="247"/>
        <v/>
      </c>
      <c r="K7699" s="246" t="str">
        <f t="shared" si="246"/>
        <v/>
      </c>
    </row>
    <row r="7700" spans="1:11" x14ac:dyDescent="0.2">
      <c r="A7700" s="242"/>
      <c r="F7700" s="285" t="str">
        <f t="shared" si="247"/>
        <v/>
      </c>
      <c r="K7700" s="246" t="str">
        <f t="shared" si="246"/>
        <v/>
      </c>
    </row>
    <row r="7701" spans="1:11" x14ac:dyDescent="0.2">
      <c r="A7701" s="242"/>
      <c r="F7701" s="285" t="str">
        <f t="shared" si="247"/>
        <v/>
      </c>
      <c r="K7701" s="246" t="str">
        <f t="shared" si="246"/>
        <v/>
      </c>
    </row>
    <row r="7702" spans="1:11" x14ac:dyDescent="0.2">
      <c r="A7702" s="242"/>
      <c r="F7702" s="285" t="str">
        <f t="shared" si="247"/>
        <v/>
      </c>
      <c r="K7702" s="246" t="str">
        <f t="shared" si="246"/>
        <v/>
      </c>
    </row>
    <row r="7703" spans="1:11" x14ac:dyDescent="0.2">
      <c r="A7703" s="242"/>
      <c r="F7703" s="285" t="str">
        <f t="shared" si="247"/>
        <v/>
      </c>
      <c r="K7703" s="246" t="str">
        <f t="shared" si="246"/>
        <v/>
      </c>
    </row>
    <row r="7704" spans="1:11" x14ac:dyDescent="0.2">
      <c r="A7704" s="242"/>
      <c r="F7704" s="285" t="str">
        <f t="shared" si="247"/>
        <v/>
      </c>
      <c r="K7704" s="246" t="str">
        <f t="shared" si="246"/>
        <v/>
      </c>
    </row>
    <row r="7705" spans="1:11" x14ac:dyDescent="0.2">
      <c r="A7705" s="242"/>
      <c r="F7705" s="285" t="str">
        <f t="shared" si="247"/>
        <v/>
      </c>
      <c r="K7705" s="246" t="str">
        <f t="shared" si="246"/>
        <v/>
      </c>
    </row>
    <row r="7706" spans="1:11" x14ac:dyDescent="0.2">
      <c r="A7706" s="242"/>
      <c r="F7706" s="285" t="str">
        <f t="shared" si="247"/>
        <v/>
      </c>
      <c r="K7706" s="246" t="str">
        <f t="shared" si="246"/>
        <v/>
      </c>
    </row>
    <row r="7707" spans="1:11" x14ac:dyDescent="0.2">
      <c r="A7707" s="242"/>
      <c r="F7707" s="285" t="str">
        <f t="shared" si="247"/>
        <v/>
      </c>
      <c r="K7707" s="246" t="str">
        <f t="shared" si="246"/>
        <v/>
      </c>
    </row>
    <row r="7708" spans="1:11" x14ac:dyDescent="0.2">
      <c r="A7708" s="242"/>
      <c r="F7708" s="285" t="str">
        <f t="shared" si="247"/>
        <v/>
      </c>
      <c r="K7708" s="246" t="str">
        <f t="shared" si="246"/>
        <v/>
      </c>
    </row>
    <row r="7709" spans="1:11" x14ac:dyDescent="0.2">
      <c r="A7709" s="242"/>
      <c r="F7709" s="285" t="str">
        <f t="shared" si="247"/>
        <v/>
      </c>
      <c r="K7709" s="246" t="str">
        <f t="shared" si="246"/>
        <v/>
      </c>
    </row>
    <row r="7710" spans="1:11" x14ac:dyDescent="0.2">
      <c r="A7710" s="242"/>
      <c r="F7710" s="285" t="str">
        <f t="shared" si="247"/>
        <v/>
      </c>
      <c r="K7710" s="246" t="str">
        <f t="shared" si="246"/>
        <v/>
      </c>
    </row>
    <row r="7711" spans="1:11" x14ac:dyDescent="0.2">
      <c r="A7711" s="242"/>
      <c r="F7711" s="285" t="str">
        <f t="shared" si="247"/>
        <v/>
      </c>
      <c r="K7711" s="246" t="str">
        <f t="shared" si="246"/>
        <v/>
      </c>
    </row>
    <row r="7712" spans="1:11" x14ac:dyDescent="0.2">
      <c r="A7712" s="242"/>
      <c r="F7712" s="285" t="str">
        <f t="shared" si="247"/>
        <v/>
      </c>
      <c r="K7712" s="246" t="str">
        <f t="shared" si="246"/>
        <v/>
      </c>
    </row>
    <row r="7713" spans="1:11" x14ac:dyDescent="0.2">
      <c r="A7713" s="242"/>
      <c r="F7713" s="285" t="str">
        <f t="shared" si="247"/>
        <v/>
      </c>
      <c r="K7713" s="246" t="str">
        <f t="shared" si="246"/>
        <v/>
      </c>
    </row>
    <row r="7714" spans="1:11" x14ac:dyDescent="0.2">
      <c r="A7714" s="242"/>
      <c r="F7714" s="285" t="str">
        <f t="shared" si="247"/>
        <v/>
      </c>
      <c r="K7714" s="246" t="str">
        <f t="shared" si="246"/>
        <v/>
      </c>
    </row>
    <row r="7715" spans="1:11" x14ac:dyDescent="0.2">
      <c r="A7715" s="242"/>
      <c r="F7715" s="285" t="str">
        <f t="shared" si="247"/>
        <v/>
      </c>
      <c r="K7715" s="246" t="str">
        <f t="shared" si="246"/>
        <v/>
      </c>
    </row>
    <row r="7716" spans="1:11" x14ac:dyDescent="0.2">
      <c r="A7716" s="242"/>
      <c r="F7716" s="285" t="str">
        <f t="shared" si="247"/>
        <v/>
      </c>
      <c r="K7716" s="246" t="str">
        <f t="shared" si="246"/>
        <v/>
      </c>
    </row>
    <row r="7717" spans="1:11" x14ac:dyDescent="0.2">
      <c r="A7717" s="242"/>
      <c r="F7717" s="285" t="str">
        <f t="shared" si="247"/>
        <v/>
      </c>
      <c r="K7717" s="246" t="str">
        <f t="shared" si="246"/>
        <v/>
      </c>
    </row>
    <row r="7718" spans="1:11" x14ac:dyDescent="0.2">
      <c r="A7718" s="242"/>
      <c r="F7718" s="285" t="str">
        <f t="shared" si="247"/>
        <v/>
      </c>
      <c r="K7718" s="246" t="str">
        <f t="shared" si="246"/>
        <v/>
      </c>
    </row>
    <row r="7719" spans="1:11" x14ac:dyDescent="0.2">
      <c r="A7719" s="242"/>
      <c r="F7719" s="285" t="str">
        <f t="shared" si="247"/>
        <v/>
      </c>
      <c r="K7719" s="246" t="str">
        <f t="shared" si="246"/>
        <v/>
      </c>
    </row>
    <row r="7720" spans="1:11" x14ac:dyDescent="0.2">
      <c r="A7720" s="242"/>
      <c r="F7720" s="285" t="str">
        <f t="shared" si="247"/>
        <v/>
      </c>
      <c r="K7720" s="246" t="str">
        <f t="shared" si="246"/>
        <v/>
      </c>
    </row>
    <row r="7721" spans="1:11" x14ac:dyDescent="0.2">
      <c r="A7721" s="242"/>
      <c r="F7721" s="285" t="str">
        <f t="shared" si="247"/>
        <v/>
      </c>
      <c r="K7721" s="246" t="str">
        <f t="shared" si="246"/>
        <v/>
      </c>
    </row>
    <row r="7722" spans="1:11" x14ac:dyDescent="0.2">
      <c r="A7722" s="242"/>
      <c r="F7722" s="285" t="str">
        <f t="shared" si="247"/>
        <v/>
      </c>
      <c r="K7722" s="246" t="str">
        <f t="shared" si="246"/>
        <v/>
      </c>
    </row>
    <row r="7723" spans="1:11" x14ac:dyDescent="0.2">
      <c r="A7723" s="242"/>
      <c r="F7723" s="285" t="str">
        <f t="shared" si="247"/>
        <v/>
      </c>
      <c r="K7723" s="246" t="str">
        <f t="shared" si="246"/>
        <v/>
      </c>
    </row>
    <row r="7724" spans="1:11" x14ac:dyDescent="0.2">
      <c r="A7724" s="242"/>
      <c r="F7724" s="285" t="str">
        <f t="shared" si="247"/>
        <v/>
      </c>
      <c r="K7724" s="246" t="str">
        <f t="shared" si="246"/>
        <v/>
      </c>
    </row>
    <row r="7725" spans="1:11" x14ac:dyDescent="0.2">
      <c r="A7725" s="242"/>
      <c r="F7725" s="285" t="str">
        <f t="shared" si="247"/>
        <v/>
      </c>
      <c r="K7725" s="246" t="str">
        <f t="shared" si="246"/>
        <v/>
      </c>
    </row>
    <row r="7726" spans="1:11" x14ac:dyDescent="0.2">
      <c r="A7726" s="242"/>
      <c r="F7726" s="285" t="str">
        <f t="shared" si="247"/>
        <v/>
      </c>
      <c r="K7726" s="246" t="str">
        <f t="shared" si="246"/>
        <v/>
      </c>
    </row>
    <row r="7727" spans="1:11" x14ac:dyDescent="0.2">
      <c r="A7727" s="242"/>
      <c r="F7727" s="285" t="str">
        <f t="shared" si="247"/>
        <v/>
      </c>
      <c r="K7727" s="246" t="str">
        <f t="shared" si="246"/>
        <v/>
      </c>
    </row>
    <row r="7728" spans="1:11" x14ac:dyDescent="0.2">
      <c r="A7728" s="242"/>
      <c r="F7728" s="285" t="str">
        <f t="shared" si="247"/>
        <v/>
      </c>
      <c r="K7728" s="246" t="str">
        <f t="shared" si="246"/>
        <v/>
      </c>
    </row>
    <row r="7729" spans="1:11" x14ac:dyDescent="0.2">
      <c r="A7729" s="242"/>
      <c r="F7729" s="285" t="str">
        <f t="shared" si="247"/>
        <v/>
      </c>
      <c r="K7729" s="246" t="str">
        <f t="shared" si="246"/>
        <v/>
      </c>
    </row>
    <row r="7730" spans="1:11" x14ac:dyDescent="0.2">
      <c r="A7730" s="242"/>
      <c r="F7730" s="285" t="str">
        <f t="shared" si="247"/>
        <v/>
      </c>
      <c r="K7730" s="246" t="str">
        <f t="shared" si="246"/>
        <v/>
      </c>
    </row>
    <row r="7731" spans="1:11" x14ac:dyDescent="0.2">
      <c r="A7731" s="242"/>
      <c r="F7731" s="285" t="str">
        <f t="shared" si="247"/>
        <v/>
      </c>
      <c r="K7731" s="246" t="str">
        <f t="shared" si="246"/>
        <v/>
      </c>
    </row>
    <row r="7732" spans="1:11" x14ac:dyDescent="0.2">
      <c r="A7732" s="242"/>
      <c r="F7732" s="285" t="str">
        <f t="shared" si="247"/>
        <v/>
      </c>
      <c r="K7732" s="246" t="str">
        <f t="shared" si="246"/>
        <v/>
      </c>
    </row>
    <row r="7733" spans="1:11" x14ac:dyDescent="0.2">
      <c r="A7733" s="242"/>
      <c r="F7733" s="285" t="str">
        <f t="shared" si="247"/>
        <v/>
      </c>
      <c r="K7733" s="246" t="str">
        <f t="shared" si="246"/>
        <v/>
      </c>
    </row>
    <row r="7734" spans="1:11" x14ac:dyDescent="0.2">
      <c r="A7734" s="242"/>
      <c r="F7734" s="285" t="str">
        <f t="shared" si="247"/>
        <v/>
      </c>
      <c r="K7734" s="246" t="str">
        <f t="shared" si="246"/>
        <v/>
      </c>
    </row>
    <row r="7735" spans="1:11" x14ac:dyDescent="0.2">
      <c r="A7735" s="242"/>
      <c r="F7735" s="285" t="str">
        <f t="shared" si="247"/>
        <v/>
      </c>
      <c r="K7735" s="246" t="str">
        <f t="shared" si="246"/>
        <v/>
      </c>
    </row>
    <row r="7736" spans="1:11" x14ac:dyDescent="0.2">
      <c r="A7736" s="242"/>
      <c r="F7736" s="285" t="str">
        <f t="shared" si="247"/>
        <v/>
      </c>
      <c r="K7736" s="246" t="str">
        <f t="shared" si="246"/>
        <v/>
      </c>
    </row>
    <row r="7737" spans="1:11" x14ac:dyDescent="0.2">
      <c r="A7737" s="242"/>
      <c r="F7737" s="285" t="str">
        <f t="shared" si="247"/>
        <v/>
      </c>
      <c r="K7737" s="246" t="str">
        <f t="shared" si="246"/>
        <v/>
      </c>
    </row>
    <row r="7738" spans="1:11" x14ac:dyDescent="0.2">
      <c r="A7738" s="242"/>
      <c r="F7738" s="285" t="str">
        <f t="shared" si="247"/>
        <v/>
      </c>
      <c r="K7738" s="246" t="str">
        <f t="shared" si="246"/>
        <v/>
      </c>
    </row>
    <row r="7739" spans="1:11" x14ac:dyDescent="0.2">
      <c r="A7739" s="242"/>
      <c r="F7739" s="285" t="str">
        <f t="shared" si="247"/>
        <v/>
      </c>
      <c r="K7739" s="246" t="str">
        <f t="shared" ref="K7739:K7802" si="248">IF(A7739="","",A7739)</f>
        <v/>
      </c>
    </row>
    <row r="7740" spans="1:11" x14ac:dyDescent="0.2">
      <c r="A7740" s="242"/>
      <c r="F7740" s="285" t="str">
        <f t="shared" si="247"/>
        <v/>
      </c>
      <c r="K7740" s="246" t="str">
        <f t="shared" si="248"/>
        <v/>
      </c>
    </row>
    <row r="7741" spans="1:11" x14ac:dyDescent="0.2">
      <c r="A7741" s="242"/>
      <c r="F7741" s="285" t="str">
        <f t="shared" si="247"/>
        <v/>
      </c>
      <c r="K7741" s="246" t="str">
        <f t="shared" si="248"/>
        <v/>
      </c>
    </row>
    <row r="7742" spans="1:11" x14ac:dyDescent="0.2">
      <c r="A7742" s="242"/>
      <c r="F7742" s="285" t="str">
        <f t="shared" si="247"/>
        <v/>
      </c>
      <c r="K7742" s="246" t="str">
        <f t="shared" si="248"/>
        <v/>
      </c>
    </row>
    <row r="7743" spans="1:11" x14ac:dyDescent="0.2">
      <c r="A7743" s="242"/>
      <c r="F7743" s="285" t="str">
        <f t="shared" si="247"/>
        <v/>
      </c>
      <c r="K7743" s="246" t="str">
        <f t="shared" si="248"/>
        <v/>
      </c>
    </row>
    <row r="7744" spans="1:11" x14ac:dyDescent="0.2">
      <c r="A7744" s="242"/>
      <c r="F7744" s="285" t="str">
        <f t="shared" si="247"/>
        <v/>
      </c>
      <c r="K7744" s="246" t="str">
        <f t="shared" si="248"/>
        <v/>
      </c>
    </row>
    <row r="7745" spans="1:11" x14ac:dyDescent="0.2">
      <c r="A7745" s="242"/>
      <c r="F7745" s="285" t="str">
        <f t="shared" si="247"/>
        <v/>
      </c>
      <c r="K7745" s="246" t="str">
        <f t="shared" si="248"/>
        <v/>
      </c>
    </row>
    <row r="7746" spans="1:11" x14ac:dyDescent="0.2">
      <c r="A7746" s="242"/>
      <c r="F7746" s="285" t="str">
        <f t="shared" si="247"/>
        <v/>
      </c>
      <c r="K7746" s="246" t="str">
        <f t="shared" si="248"/>
        <v/>
      </c>
    </row>
    <row r="7747" spans="1:11" x14ac:dyDescent="0.2">
      <c r="A7747" s="242"/>
      <c r="F7747" s="285" t="str">
        <f t="shared" si="247"/>
        <v/>
      </c>
      <c r="K7747" s="246" t="str">
        <f t="shared" si="248"/>
        <v/>
      </c>
    </row>
    <row r="7748" spans="1:11" x14ac:dyDescent="0.2">
      <c r="A7748" s="242"/>
      <c r="F7748" s="285" t="str">
        <f t="shared" si="247"/>
        <v/>
      </c>
      <c r="K7748" s="246" t="str">
        <f t="shared" si="248"/>
        <v/>
      </c>
    </row>
    <row r="7749" spans="1:11" x14ac:dyDescent="0.2">
      <c r="A7749" s="242"/>
      <c r="F7749" s="285" t="str">
        <f t="shared" ref="F7749:F7812" si="249">IF(A7749="","",A7749)</f>
        <v/>
      </c>
      <c r="K7749" s="246" t="str">
        <f t="shared" si="248"/>
        <v/>
      </c>
    </row>
    <row r="7750" spans="1:11" x14ac:dyDescent="0.2">
      <c r="A7750" s="242"/>
      <c r="F7750" s="285" t="str">
        <f t="shared" si="249"/>
        <v/>
      </c>
      <c r="K7750" s="246" t="str">
        <f t="shared" si="248"/>
        <v/>
      </c>
    </row>
    <row r="7751" spans="1:11" x14ac:dyDescent="0.2">
      <c r="A7751" s="242"/>
      <c r="F7751" s="285" t="str">
        <f t="shared" si="249"/>
        <v/>
      </c>
      <c r="K7751" s="246" t="str">
        <f t="shared" si="248"/>
        <v/>
      </c>
    </row>
    <row r="7752" spans="1:11" x14ac:dyDescent="0.2">
      <c r="A7752" s="242"/>
      <c r="F7752" s="285" t="str">
        <f t="shared" si="249"/>
        <v/>
      </c>
      <c r="K7752" s="246" t="str">
        <f t="shared" si="248"/>
        <v/>
      </c>
    </row>
    <row r="7753" spans="1:11" x14ac:dyDescent="0.2">
      <c r="A7753" s="242"/>
      <c r="F7753" s="285" t="str">
        <f t="shared" si="249"/>
        <v/>
      </c>
      <c r="K7753" s="246" t="str">
        <f t="shared" si="248"/>
        <v/>
      </c>
    </row>
    <row r="7754" spans="1:11" x14ac:dyDescent="0.2">
      <c r="A7754" s="242"/>
      <c r="F7754" s="285" t="str">
        <f t="shared" si="249"/>
        <v/>
      </c>
      <c r="K7754" s="246" t="str">
        <f t="shared" si="248"/>
        <v/>
      </c>
    </row>
    <row r="7755" spans="1:11" x14ac:dyDescent="0.2">
      <c r="A7755" s="242"/>
      <c r="F7755" s="285" t="str">
        <f t="shared" si="249"/>
        <v/>
      </c>
      <c r="K7755" s="246" t="str">
        <f t="shared" si="248"/>
        <v/>
      </c>
    </row>
    <row r="7756" spans="1:11" x14ac:dyDescent="0.2">
      <c r="A7756" s="242"/>
      <c r="F7756" s="285" t="str">
        <f t="shared" si="249"/>
        <v/>
      </c>
      <c r="K7756" s="246" t="str">
        <f t="shared" si="248"/>
        <v/>
      </c>
    </row>
    <row r="7757" spans="1:11" x14ac:dyDescent="0.2">
      <c r="A7757" s="242"/>
      <c r="F7757" s="285" t="str">
        <f t="shared" si="249"/>
        <v/>
      </c>
      <c r="K7757" s="246" t="str">
        <f t="shared" si="248"/>
        <v/>
      </c>
    </row>
    <row r="7758" spans="1:11" x14ac:dyDescent="0.2">
      <c r="A7758" s="242"/>
      <c r="F7758" s="285" t="str">
        <f t="shared" si="249"/>
        <v/>
      </c>
      <c r="K7758" s="246" t="str">
        <f t="shared" si="248"/>
        <v/>
      </c>
    </row>
    <row r="7759" spans="1:11" x14ac:dyDescent="0.2">
      <c r="A7759" s="242"/>
      <c r="F7759" s="285" t="str">
        <f t="shared" si="249"/>
        <v/>
      </c>
      <c r="K7759" s="246" t="str">
        <f t="shared" si="248"/>
        <v/>
      </c>
    </row>
    <row r="7760" spans="1:11" x14ac:dyDescent="0.2">
      <c r="A7760" s="242"/>
      <c r="F7760" s="285" t="str">
        <f t="shared" si="249"/>
        <v/>
      </c>
      <c r="K7760" s="246" t="str">
        <f t="shared" si="248"/>
        <v/>
      </c>
    </row>
    <row r="7761" spans="1:11" x14ac:dyDescent="0.2">
      <c r="A7761" s="242"/>
      <c r="F7761" s="285" t="str">
        <f t="shared" si="249"/>
        <v/>
      </c>
      <c r="K7761" s="246" t="str">
        <f t="shared" si="248"/>
        <v/>
      </c>
    </row>
    <row r="7762" spans="1:11" x14ac:dyDescent="0.2">
      <c r="A7762" s="242"/>
      <c r="F7762" s="285" t="str">
        <f t="shared" si="249"/>
        <v/>
      </c>
      <c r="K7762" s="246" t="str">
        <f t="shared" si="248"/>
        <v/>
      </c>
    </row>
    <row r="7763" spans="1:11" x14ac:dyDescent="0.2">
      <c r="A7763" s="242"/>
      <c r="F7763" s="285" t="str">
        <f t="shared" si="249"/>
        <v/>
      </c>
      <c r="K7763" s="246" t="str">
        <f t="shared" si="248"/>
        <v/>
      </c>
    </row>
    <row r="7764" spans="1:11" x14ac:dyDescent="0.2">
      <c r="A7764" s="242"/>
      <c r="F7764" s="285" t="str">
        <f t="shared" si="249"/>
        <v/>
      </c>
      <c r="K7764" s="246" t="str">
        <f t="shared" si="248"/>
        <v/>
      </c>
    </row>
    <row r="7765" spans="1:11" x14ac:dyDescent="0.2">
      <c r="A7765" s="242"/>
      <c r="F7765" s="285" t="str">
        <f t="shared" si="249"/>
        <v/>
      </c>
      <c r="K7765" s="246" t="str">
        <f t="shared" si="248"/>
        <v/>
      </c>
    </row>
    <row r="7766" spans="1:11" x14ac:dyDescent="0.2">
      <c r="A7766" s="242"/>
      <c r="F7766" s="285" t="str">
        <f t="shared" si="249"/>
        <v/>
      </c>
      <c r="K7766" s="246" t="str">
        <f t="shared" si="248"/>
        <v/>
      </c>
    </row>
    <row r="7767" spans="1:11" x14ac:dyDescent="0.2">
      <c r="A7767" s="242"/>
      <c r="F7767" s="285" t="str">
        <f t="shared" si="249"/>
        <v/>
      </c>
      <c r="K7767" s="246" t="str">
        <f t="shared" si="248"/>
        <v/>
      </c>
    </row>
    <row r="7768" spans="1:11" x14ac:dyDescent="0.2">
      <c r="A7768" s="242"/>
      <c r="F7768" s="285" t="str">
        <f t="shared" si="249"/>
        <v/>
      </c>
      <c r="K7768" s="246" t="str">
        <f t="shared" si="248"/>
        <v/>
      </c>
    </row>
    <row r="7769" spans="1:11" x14ac:dyDescent="0.2">
      <c r="A7769" s="242"/>
      <c r="F7769" s="285" t="str">
        <f t="shared" si="249"/>
        <v/>
      </c>
      <c r="K7769" s="246" t="str">
        <f t="shared" si="248"/>
        <v/>
      </c>
    </row>
    <row r="7770" spans="1:11" x14ac:dyDescent="0.2">
      <c r="A7770" s="242"/>
      <c r="F7770" s="285" t="str">
        <f t="shared" si="249"/>
        <v/>
      </c>
      <c r="K7770" s="246" t="str">
        <f t="shared" si="248"/>
        <v/>
      </c>
    </row>
    <row r="7771" spans="1:11" x14ac:dyDescent="0.2">
      <c r="A7771" s="242"/>
      <c r="F7771" s="285" t="str">
        <f t="shared" si="249"/>
        <v/>
      </c>
      <c r="K7771" s="246" t="str">
        <f t="shared" si="248"/>
        <v/>
      </c>
    </row>
    <row r="7772" spans="1:11" x14ac:dyDescent="0.2">
      <c r="A7772" s="242"/>
      <c r="F7772" s="285" t="str">
        <f t="shared" si="249"/>
        <v/>
      </c>
      <c r="K7772" s="246" t="str">
        <f t="shared" si="248"/>
        <v/>
      </c>
    </row>
    <row r="7773" spans="1:11" x14ac:dyDescent="0.2">
      <c r="A7773" s="242"/>
      <c r="F7773" s="285" t="str">
        <f t="shared" si="249"/>
        <v/>
      </c>
      <c r="K7773" s="246" t="str">
        <f t="shared" si="248"/>
        <v/>
      </c>
    </row>
    <row r="7774" spans="1:11" x14ac:dyDescent="0.2">
      <c r="A7774" s="242"/>
      <c r="F7774" s="285" t="str">
        <f t="shared" si="249"/>
        <v/>
      </c>
      <c r="K7774" s="246" t="str">
        <f t="shared" si="248"/>
        <v/>
      </c>
    </row>
    <row r="7775" spans="1:11" x14ac:dyDescent="0.2">
      <c r="A7775" s="242"/>
      <c r="F7775" s="285" t="str">
        <f t="shared" si="249"/>
        <v/>
      </c>
      <c r="K7775" s="246" t="str">
        <f t="shared" si="248"/>
        <v/>
      </c>
    </row>
    <row r="7776" spans="1:11" x14ac:dyDescent="0.2">
      <c r="A7776" s="242"/>
      <c r="F7776" s="285" t="str">
        <f t="shared" si="249"/>
        <v/>
      </c>
      <c r="K7776" s="246" t="str">
        <f t="shared" si="248"/>
        <v/>
      </c>
    </row>
    <row r="7777" spans="1:11" x14ac:dyDescent="0.2">
      <c r="A7777" s="242"/>
      <c r="F7777" s="285" t="str">
        <f t="shared" si="249"/>
        <v/>
      </c>
      <c r="K7777" s="246" t="str">
        <f t="shared" si="248"/>
        <v/>
      </c>
    </row>
    <row r="7778" spans="1:11" x14ac:dyDescent="0.2">
      <c r="A7778" s="242"/>
      <c r="F7778" s="285" t="str">
        <f t="shared" si="249"/>
        <v/>
      </c>
      <c r="K7778" s="246" t="str">
        <f t="shared" si="248"/>
        <v/>
      </c>
    </row>
    <row r="7779" spans="1:11" x14ac:dyDescent="0.2">
      <c r="A7779" s="242"/>
      <c r="F7779" s="285" t="str">
        <f t="shared" si="249"/>
        <v/>
      </c>
      <c r="K7779" s="246" t="str">
        <f t="shared" si="248"/>
        <v/>
      </c>
    </row>
    <row r="7780" spans="1:11" x14ac:dyDescent="0.2">
      <c r="A7780" s="242"/>
      <c r="F7780" s="285" t="str">
        <f t="shared" si="249"/>
        <v/>
      </c>
      <c r="K7780" s="246" t="str">
        <f t="shared" si="248"/>
        <v/>
      </c>
    </row>
    <row r="7781" spans="1:11" x14ac:dyDescent="0.2">
      <c r="A7781" s="242"/>
      <c r="F7781" s="285" t="str">
        <f t="shared" si="249"/>
        <v/>
      </c>
      <c r="K7781" s="246" t="str">
        <f t="shared" si="248"/>
        <v/>
      </c>
    </row>
    <row r="7782" spans="1:11" x14ac:dyDescent="0.2">
      <c r="A7782" s="242"/>
      <c r="F7782" s="285" t="str">
        <f t="shared" si="249"/>
        <v/>
      </c>
      <c r="K7782" s="246" t="str">
        <f t="shared" si="248"/>
        <v/>
      </c>
    </row>
    <row r="7783" spans="1:11" x14ac:dyDescent="0.2">
      <c r="A7783" s="242"/>
      <c r="F7783" s="285" t="str">
        <f t="shared" si="249"/>
        <v/>
      </c>
      <c r="K7783" s="246" t="str">
        <f t="shared" si="248"/>
        <v/>
      </c>
    </row>
    <row r="7784" spans="1:11" x14ac:dyDescent="0.2">
      <c r="A7784" s="242"/>
      <c r="F7784" s="285" t="str">
        <f t="shared" si="249"/>
        <v/>
      </c>
      <c r="K7784" s="246" t="str">
        <f t="shared" si="248"/>
        <v/>
      </c>
    </row>
    <row r="7785" spans="1:11" x14ac:dyDescent="0.2">
      <c r="A7785" s="242"/>
      <c r="F7785" s="285" t="str">
        <f t="shared" si="249"/>
        <v/>
      </c>
      <c r="K7785" s="246" t="str">
        <f t="shared" si="248"/>
        <v/>
      </c>
    </row>
    <row r="7786" spans="1:11" x14ac:dyDescent="0.2">
      <c r="A7786" s="242"/>
      <c r="F7786" s="285" t="str">
        <f t="shared" si="249"/>
        <v/>
      </c>
      <c r="K7786" s="246" t="str">
        <f t="shared" si="248"/>
        <v/>
      </c>
    </row>
    <row r="7787" spans="1:11" x14ac:dyDescent="0.2">
      <c r="A7787" s="242"/>
      <c r="F7787" s="285" t="str">
        <f t="shared" si="249"/>
        <v/>
      </c>
      <c r="K7787" s="246" t="str">
        <f t="shared" si="248"/>
        <v/>
      </c>
    </row>
    <row r="7788" spans="1:11" x14ac:dyDescent="0.2">
      <c r="A7788" s="242"/>
      <c r="F7788" s="285" t="str">
        <f t="shared" si="249"/>
        <v/>
      </c>
      <c r="K7788" s="246" t="str">
        <f t="shared" si="248"/>
        <v/>
      </c>
    </row>
    <row r="7789" spans="1:11" x14ac:dyDescent="0.2">
      <c r="A7789" s="242"/>
      <c r="F7789" s="285" t="str">
        <f t="shared" si="249"/>
        <v/>
      </c>
      <c r="K7789" s="246" t="str">
        <f t="shared" si="248"/>
        <v/>
      </c>
    </row>
    <row r="7790" spans="1:11" x14ac:dyDescent="0.2">
      <c r="A7790" s="242"/>
      <c r="F7790" s="285" t="str">
        <f t="shared" si="249"/>
        <v/>
      </c>
      <c r="K7790" s="246" t="str">
        <f t="shared" si="248"/>
        <v/>
      </c>
    </row>
    <row r="7791" spans="1:11" x14ac:dyDescent="0.2">
      <c r="A7791" s="242"/>
      <c r="F7791" s="285" t="str">
        <f t="shared" si="249"/>
        <v/>
      </c>
      <c r="K7791" s="246" t="str">
        <f t="shared" si="248"/>
        <v/>
      </c>
    </row>
    <row r="7792" spans="1:11" x14ac:dyDescent="0.2">
      <c r="A7792" s="242"/>
      <c r="F7792" s="285" t="str">
        <f t="shared" si="249"/>
        <v/>
      </c>
      <c r="K7792" s="246" t="str">
        <f t="shared" si="248"/>
        <v/>
      </c>
    </row>
    <row r="7793" spans="1:11" x14ac:dyDescent="0.2">
      <c r="A7793" s="242"/>
      <c r="F7793" s="285" t="str">
        <f t="shared" si="249"/>
        <v/>
      </c>
      <c r="K7793" s="246" t="str">
        <f t="shared" si="248"/>
        <v/>
      </c>
    </row>
    <row r="7794" spans="1:11" x14ac:dyDescent="0.2">
      <c r="A7794" s="242"/>
      <c r="F7794" s="285" t="str">
        <f t="shared" si="249"/>
        <v/>
      </c>
      <c r="K7794" s="246" t="str">
        <f t="shared" si="248"/>
        <v/>
      </c>
    </row>
    <row r="7795" spans="1:11" x14ac:dyDescent="0.2">
      <c r="A7795" s="242"/>
      <c r="F7795" s="285" t="str">
        <f t="shared" si="249"/>
        <v/>
      </c>
      <c r="K7795" s="246" t="str">
        <f t="shared" si="248"/>
        <v/>
      </c>
    </row>
    <row r="7796" spans="1:11" x14ac:dyDescent="0.2">
      <c r="A7796" s="242"/>
      <c r="F7796" s="285" t="str">
        <f t="shared" si="249"/>
        <v/>
      </c>
      <c r="K7796" s="246" t="str">
        <f t="shared" si="248"/>
        <v/>
      </c>
    </row>
    <row r="7797" spans="1:11" x14ac:dyDescent="0.2">
      <c r="A7797" s="242"/>
      <c r="F7797" s="285" t="str">
        <f t="shared" si="249"/>
        <v/>
      </c>
      <c r="K7797" s="246" t="str">
        <f t="shared" si="248"/>
        <v/>
      </c>
    </row>
    <row r="7798" spans="1:11" x14ac:dyDescent="0.2">
      <c r="A7798" s="242"/>
      <c r="F7798" s="285" t="str">
        <f t="shared" si="249"/>
        <v/>
      </c>
      <c r="K7798" s="246" t="str">
        <f t="shared" si="248"/>
        <v/>
      </c>
    </row>
    <row r="7799" spans="1:11" x14ac:dyDescent="0.2">
      <c r="A7799" s="242"/>
      <c r="F7799" s="285" t="str">
        <f t="shared" si="249"/>
        <v/>
      </c>
      <c r="K7799" s="246" t="str">
        <f t="shared" si="248"/>
        <v/>
      </c>
    </row>
    <row r="7800" spans="1:11" x14ac:dyDescent="0.2">
      <c r="A7800" s="242"/>
      <c r="F7800" s="285" t="str">
        <f t="shared" si="249"/>
        <v/>
      </c>
      <c r="K7800" s="246" t="str">
        <f t="shared" si="248"/>
        <v/>
      </c>
    </row>
    <row r="7801" spans="1:11" x14ac:dyDescent="0.2">
      <c r="A7801" s="242"/>
      <c r="F7801" s="285" t="str">
        <f t="shared" si="249"/>
        <v/>
      </c>
      <c r="K7801" s="246" t="str">
        <f t="shared" si="248"/>
        <v/>
      </c>
    </row>
    <row r="7802" spans="1:11" x14ac:dyDescent="0.2">
      <c r="A7802" s="242"/>
      <c r="F7802" s="285" t="str">
        <f t="shared" si="249"/>
        <v/>
      </c>
      <c r="K7802" s="246" t="str">
        <f t="shared" si="248"/>
        <v/>
      </c>
    </row>
    <row r="7803" spans="1:11" x14ac:dyDescent="0.2">
      <c r="A7803" s="242"/>
      <c r="F7803" s="285" t="str">
        <f t="shared" si="249"/>
        <v/>
      </c>
      <c r="K7803" s="246" t="str">
        <f t="shared" ref="K7803:K7866" si="250">IF(A7803="","",A7803)</f>
        <v/>
      </c>
    </row>
    <row r="7804" spans="1:11" x14ac:dyDescent="0.2">
      <c r="A7804" s="242"/>
      <c r="F7804" s="285" t="str">
        <f t="shared" si="249"/>
        <v/>
      </c>
      <c r="K7804" s="246" t="str">
        <f t="shared" si="250"/>
        <v/>
      </c>
    </row>
    <row r="7805" spans="1:11" x14ac:dyDescent="0.2">
      <c r="A7805" s="242"/>
      <c r="F7805" s="285" t="str">
        <f t="shared" si="249"/>
        <v/>
      </c>
      <c r="K7805" s="246" t="str">
        <f t="shared" si="250"/>
        <v/>
      </c>
    </row>
    <row r="7806" spans="1:11" x14ac:dyDescent="0.2">
      <c r="A7806" s="242"/>
      <c r="F7806" s="285" t="str">
        <f t="shared" si="249"/>
        <v/>
      </c>
      <c r="K7806" s="246" t="str">
        <f t="shared" si="250"/>
        <v/>
      </c>
    </row>
    <row r="7807" spans="1:11" x14ac:dyDescent="0.2">
      <c r="A7807" s="242"/>
      <c r="F7807" s="285" t="str">
        <f t="shared" si="249"/>
        <v/>
      </c>
      <c r="K7807" s="246" t="str">
        <f t="shared" si="250"/>
        <v/>
      </c>
    </row>
    <row r="7808" spans="1:11" x14ac:dyDescent="0.2">
      <c r="A7808" s="242"/>
      <c r="F7808" s="285" t="str">
        <f t="shared" si="249"/>
        <v/>
      </c>
      <c r="K7808" s="246" t="str">
        <f t="shared" si="250"/>
        <v/>
      </c>
    </row>
    <row r="7809" spans="1:11" x14ac:dyDescent="0.2">
      <c r="A7809" s="242"/>
      <c r="F7809" s="285" t="str">
        <f t="shared" si="249"/>
        <v/>
      </c>
      <c r="K7809" s="246" t="str">
        <f t="shared" si="250"/>
        <v/>
      </c>
    </row>
    <row r="7810" spans="1:11" x14ac:dyDescent="0.2">
      <c r="A7810" s="242"/>
      <c r="F7810" s="285" t="str">
        <f t="shared" si="249"/>
        <v/>
      </c>
      <c r="K7810" s="246" t="str">
        <f t="shared" si="250"/>
        <v/>
      </c>
    </row>
    <row r="7811" spans="1:11" x14ac:dyDescent="0.2">
      <c r="A7811" s="242"/>
      <c r="F7811" s="285" t="str">
        <f t="shared" si="249"/>
        <v/>
      </c>
      <c r="K7811" s="246" t="str">
        <f t="shared" si="250"/>
        <v/>
      </c>
    </row>
    <row r="7812" spans="1:11" x14ac:dyDescent="0.2">
      <c r="A7812" s="242"/>
      <c r="F7812" s="285" t="str">
        <f t="shared" si="249"/>
        <v/>
      </c>
      <c r="K7812" s="246" t="str">
        <f t="shared" si="250"/>
        <v/>
      </c>
    </row>
    <row r="7813" spans="1:11" x14ac:dyDescent="0.2">
      <c r="A7813" s="242"/>
      <c r="F7813" s="285" t="str">
        <f t="shared" ref="F7813:F7876" si="251">IF(A7813="","",A7813)</f>
        <v/>
      </c>
      <c r="K7813" s="246" t="str">
        <f t="shared" si="250"/>
        <v/>
      </c>
    </row>
    <row r="7814" spans="1:11" x14ac:dyDescent="0.2">
      <c r="A7814" s="242"/>
      <c r="F7814" s="285" t="str">
        <f t="shared" si="251"/>
        <v/>
      </c>
      <c r="K7814" s="246" t="str">
        <f t="shared" si="250"/>
        <v/>
      </c>
    </row>
    <row r="7815" spans="1:11" x14ac:dyDescent="0.2">
      <c r="A7815" s="242"/>
      <c r="F7815" s="285" t="str">
        <f t="shared" si="251"/>
        <v/>
      </c>
      <c r="K7815" s="246" t="str">
        <f t="shared" si="250"/>
        <v/>
      </c>
    </row>
    <row r="7816" spans="1:11" x14ac:dyDescent="0.2">
      <c r="A7816" s="242"/>
      <c r="F7816" s="285" t="str">
        <f t="shared" si="251"/>
        <v/>
      </c>
      <c r="K7816" s="246" t="str">
        <f t="shared" si="250"/>
        <v/>
      </c>
    </row>
    <row r="7817" spans="1:11" x14ac:dyDescent="0.2">
      <c r="A7817" s="242"/>
      <c r="F7817" s="285" t="str">
        <f t="shared" si="251"/>
        <v/>
      </c>
      <c r="K7817" s="246" t="str">
        <f t="shared" si="250"/>
        <v/>
      </c>
    </row>
    <row r="7818" spans="1:11" x14ac:dyDescent="0.2">
      <c r="A7818" s="242"/>
      <c r="F7818" s="285" t="str">
        <f t="shared" si="251"/>
        <v/>
      </c>
      <c r="K7818" s="246" t="str">
        <f t="shared" si="250"/>
        <v/>
      </c>
    </row>
    <row r="7819" spans="1:11" x14ac:dyDescent="0.2">
      <c r="A7819" s="242"/>
      <c r="F7819" s="285" t="str">
        <f t="shared" si="251"/>
        <v/>
      </c>
      <c r="K7819" s="246" t="str">
        <f t="shared" si="250"/>
        <v/>
      </c>
    </row>
    <row r="7820" spans="1:11" x14ac:dyDescent="0.2">
      <c r="A7820" s="242"/>
      <c r="F7820" s="285" t="str">
        <f t="shared" si="251"/>
        <v/>
      </c>
      <c r="K7820" s="246" t="str">
        <f t="shared" si="250"/>
        <v/>
      </c>
    </row>
    <row r="7821" spans="1:11" x14ac:dyDescent="0.2">
      <c r="A7821" s="242"/>
      <c r="F7821" s="285" t="str">
        <f t="shared" si="251"/>
        <v/>
      </c>
      <c r="K7821" s="246" t="str">
        <f t="shared" si="250"/>
        <v/>
      </c>
    </row>
    <row r="7822" spans="1:11" x14ac:dyDescent="0.2">
      <c r="A7822" s="242"/>
      <c r="F7822" s="285" t="str">
        <f t="shared" si="251"/>
        <v/>
      </c>
      <c r="K7822" s="246" t="str">
        <f t="shared" si="250"/>
        <v/>
      </c>
    </row>
    <row r="7823" spans="1:11" x14ac:dyDescent="0.2">
      <c r="A7823" s="242"/>
      <c r="F7823" s="285" t="str">
        <f t="shared" si="251"/>
        <v/>
      </c>
      <c r="K7823" s="246" t="str">
        <f t="shared" si="250"/>
        <v/>
      </c>
    </row>
    <row r="7824" spans="1:11" x14ac:dyDescent="0.2">
      <c r="A7824" s="242"/>
      <c r="F7824" s="285" t="str">
        <f t="shared" si="251"/>
        <v/>
      </c>
      <c r="K7824" s="246" t="str">
        <f t="shared" si="250"/>
        <v/>
      </c>
    </row>
    <row r="7825" spans="1:11" x14ac:dyDescent="0.2">
      <c r="A7825" s="242"/>
      <c r="F7825" s="285" t="str">
        <f t="shared" si="251"/>
        <v/>
      </c>
      <c r="K7825" s="246" t="str">
        <f t="shared" si="250"/>
        <v/>
      </c>
    </row>
    <row r="7826" spans="1:11" x14ac:dyDescent="0.2">
      <c r="A7826" s="242"/>
      <c r="F7826" s="285" t="str">
        <f t="shared" si="251"/>
        <v/>
      </c>
      <c r="K7826" s="246" t="str">
        <f t="shared" si="250"/>
        <v/>
      </c>
    </row>
    <row r="7827" spans="1:11" x14ac:dyDescent="0.2">
      <c r="A7827" s="242"/>
      <c r="F7827" s="285" t="str">
        <f t="shared" si="251"/>
        <v/>
      </c>
      <c r="K7827" s="246" t="str">
        <f t="shared" si="250"/>
        <v/>
      </c>
    </row>
    <row r="7828" spans="1:11" x14ac:dyDescent="0.2">
      <c r="A7828" s="242"/>
      <c r="F7828" s="285" t="str">
        <f t="shared" si="251"/>
        <v/>
      </c>
      <c r="K7828" s="246" t="str">
        <f t="shared" si="250"/>
        <v/>
      </c>
    </row>
    <row r="7829" spans="1:11" x14ac:dyDescent="0.2">
      <c r="A7829" s="242"/>
      <c r="F7829" s="285" t="str">
        <f t="shared" si="251"/>
        <v/>
      </c>
      <c r="K7829" s="246" t="str">
        <f t="shared" si="250"/>
        <v/>
      </c>
    </row>
    <row r="7830" spans="1:11" x14ac:dyDescent="0.2">
      <c r="A7830" s="242"/>
      <c r="F7830" s="285" t="str">
        <f t="shared" si="251"/>
        <v/>
      </c>
      <c r="K7830" s="246" t="str">
        <f t="shared" si="250"/>
        <v/>
      </c>
    </row>
    <row r="7831" spans="1:11" x14ac:dyDescent="0.2">
      <c r="A7831" s="242"/>
      <c r="F7831" s="285" t="str">
        <f t="shared" si="251"/>
        <v/>
      </c>
      <c r="K7831" s="246" t="str">
        <f t="shared" si="250"/>
        <v/>
      </c>
    </row>
    <row r="7832" spans="1:11" x14ac:dyDescent="0.2">
      <c r="A7832" s="242"/>
      <c r="F7832" s="285" t="str">
        <f t="shared" si="251"/>
        <v/>
      </c>
      <c r="K7832" s="246" t="str">
        <f t="shared" si="250"/>
        <v/>
      </c>
    </row>
    <row r="7833" spans="1:11" x14ac:dyDescent="0.2">
      <c r="A7833" s="242"/>
      <c r="F7833" s="285" t="str">
        <f t="shared" si="251"/>
        <v/>
      </c>
      <c r="K7833" s="246" t="str">
        <f t="shared" si="250"/>
        <v/>
      </c>
    </row>
    <row r="7834" spans="1:11" x14ac:dyDescent="0.2">
      <c r="A7834" s="242"/>
      <c r="F7834" s="285" t="str">
        <f t="shared" si="251"/>
        <v/>
      </c>
      <c r="K7834" s="246" t="str">
        <f t="shared" si="250"/>
        <v/>
      </c>
    </row>
    <row r="7835" spans="1:11" x14ac:dyDescent="0.2">
      <c r="A7835" s="242"/>
      <c r="F7835" s="285" t="str">
        <f t="shared" si="251"/>
        <v/>
      </c>
      <c r="K7835" s="246" t="str">
        <f t="shared" si="250"/>
        <v/>
      </c>
    </row>
    <row r="7836" spans="1:11" x14ac:dyDescent="0.2">
      <c r="A7836" s="242"/>
      <c r="F7836" s="285" t="str">
        <f t="shared" si="251"/>
        <v/>
      </c>
      <c r="K7836" s="246" t="str">
        <f t="shared" si="250"/>
        <v/>
      </c>
    </row>
    <row r="7837" spans="1:11" x14ac:dyDescent="0.2">
      <c r="A7837" s="242"/>
      <c r="F7837" s="285" t="str">
        <f t="shared" si="251"/>
        <v/>
      </c>
      <c r="K7837" s="246" t="str">
        <f t="shared" si="250"/>
        <v/>
      </c>
    </row>
    <row r="7838" spans="1:11" x14ac:dyDescent="0.2">
      <c r="A7838" s="242"/>
      <c r="F7838" s="285" t="str">
        <f t="shared" si="251"/>
        <v/>
      </c>
      <c r="K7838" s="246" t="str">
        <f t="shared" si="250"/>
        <v/>
      </c>
    </row>
    <row r="7839" spans="1:11" x14ac:dyDescent="0.2">
      <c r="A7839" s="242"/>
      <c r="F7839" s="285" t="str">
        <f t="shared" si="251"/>
        <v/>
      </c>
      <c r="K7839" s="246" t="str">
        <f t="shared" si="250"/>
        <v/>
      </c>
    </row>
    <row r="7840" spans="1:11" x14ac:dyDescent="0.2">
      <c r="A7840" s="242"/>
      <c r="F7840" s="285" t="str">
        <f t="shared" si="251"/>
        <v/>
      </c>
      <c r="K7840" s="246" t="str">
        <f t="shared" si="250"/>
        <v/>
      </c>
    </row>
    <row r="7841" spans="1:11" x14ac:dyDescent="0.2">
      <c r="A7841" s="242"/>
      <c r="F7841" s="285" t="str">
        <f t="shared" si="251"/>
        <v/>
      </c>
      <c r="K7841" s="246" t="str">
        <f t="shared" si="250"/>
        <v/>
      </c>
    </row>
    <row r="7842" spans="1:11" x14ac:dyDescent="0.2">
      <c r="A7842" s="242"/>
      <c r="F7842" s="285" t="str">
        <f t="shared" si="251"/>
        <v/>
      </c>
      <c r="K7842" s="246" t="str">
        <f t="shared" si="250"/>
        <v/>
      </c>
    </row>
    <row r="7843" spans="1:11" x14ac:dyDescent="0.2">
      <c r="A7843" s="242"/>
      <c r="F7843" s="285" t="str">
        <f t="shared" si="251"/>
        <v/>
      </c>
      <c r="K7843" s="246" t="str">
        <f t="shared" si="250"/>
        <v/>
      </c>
    </row>
    <row r="7844" spans="1:11" x14ac:dyDescent="0.2">
      <c r="A7844" s="242"/>
      <c r="F7844" s="285" t="str">
        <f t="shared" si="251"/>
        <v/>
      </c>
      <c r="K7844" s="246" t="str">
        <f t="shared" si="250"/>
        <v/>
      </c>
    </row>
    <row r="7845" spans="1:11" x14ac:dyDescent="0.2">
      <c r="A7845" s="242"/>
      <c r="F7845" s="285" t="str">
        <f t="shared" si="251"/>
        <v/>
      </c>
      <c r="K7845" s="246" t="str">
        <f t="shared" si="250"/>
        <v/>
      </c>
    </row>
    <row r="7846" spans="1:11" x14ac:dyDescent="0.2">
      <c r="A7846" s="242"/>
      <c r="F7846" s="285" t="str">
        <f t="shared" si="251"/>
        <v/>
      </c>
      <c r="K7846" s="246" t="str">
        <f t="shared" si="250"/>
        <v/>
      </c>
    </row>
    <row r="7847" spans="1:11" x14ac:dyDescent="0.2">
      <c r="A7847" s="242"/>
      <c r="F7847" s="285" t="str">
        <f t="shared" si="251"/>
        <v/>
      </c>
      <c r="K7847" s="246" t="str">
        <f t="shared" si="250"/>
        <v/>
      </c>
    </row>
    <row r="7848" spans="1:11" x14ac:dyDescent="0.2">
      <c r="A7848" s="242"/>
      <c r="F7848" s="285" t="str">
        <f t="shared" si="251"/>
        <v/>
      </c>
      <c r="K7848" s="246" t="str">
        <f t="shared" si="250"/>
        <v/>
      </c>
    </row>
    <row r="7849" spans="1:11" x14ac:dyDescent="0.2">
      <c r="A7849" s="242"/>
      <c r="F7849" s="285" t="str">
        <f t="shared" si="251"/>
        <v/>
      </c>
      <c r="K7849" s="246" t="str">
        <f t="shared" si="250"/>
        <v/>
      </c>
    </row>
    <row r="7850" spans="1:11" x14ac:dyDescent="0.2">
      <c r="A7850" s="242"/>
      <c r="F7850" s="285" t="str">
        <f t="shared" si="251"/>
        <v/>
      </c>
      <c r="K7850" s="246" t="str">
        <f t="shared" si="250"/>
        <v/>
      </c>
    </row>
    <row r="7851" spans="1:11" x14ac:dyDescent="0.2">
      <c r="A7851" s="242"/>
      <c r="F7851" s="285" t="str">
        <f t="shared" si="251"/>
        <v/>
      </c>
      <c r="K7851" s="246" t="str">
        <f t="shared" si="250"/>
        <v/>
      </c>
    </row>
    <row r="7852" spans="1:11" x14ac:dyDescent="0.2">
      <c r="A7852" s="242"/>
      <c r="F7852" s="285" t="str">
        <f t="shared" si="251"/>
        <v/>
      </c>
      <c r="K7852" s="246" t="str">
        <f t="shared" si="250"/>
        <v/>
      </c>
    </row>
    <row r="7853" spans="1:11" x14ac:dyDescent="0.2">
      <c r="A7853" s="242"/>
      <c r="F7853" s="285" t="str">
        <f t="shared" si="251"/>
        <v/>
      </c>
      <c r="K7853" s="246" t="str">
        <f t="shared" si="250"/>
        <v/>
      </c>
    </row>
    <row r="7854" spans="1:11" x14ac:dyDescent="0.2">
      <c r="A7854" s="242"/>
      <c r="F7854" s="285" t="str">
        <f t="shared" si="251"/>
        <v/>
      </c>
      <c r="K7854" s="246" t="str">
        <f t="shared" si="250"/>
        <v/>
      </c>
    </row>
    <row r="7855" spans="1:11" x14ac:dyDescent="0.2">
      <c r="A7855" s="242"/>
      <c r="F7855" s="285" t="str">
        <f t="shared" si="251"/>
        <v/>
      </c>
      <c r="K7855" s="246" t="str">
        <f t="shared" si="250"/>
        <v/>
      </c>
    </row>
    <row r="7856" spans="1:11" x14ac:dyDescent="0.2">
      <c r="A7856" s="242"/>
      <c r="F7856" s="285" t="str">
        <f t="shared" si="251"/>
        <v/>
      </c>
      <c r="K7856" s="246" t="str">
        <f t="shared" si="250"/>
        <v/>
      </c>
    </row>
    <row r="7857" spans="1:11" x14ac:dyDescent="0.2">
      <c r="A7857" s="242"/>
      <c r="F7857" s="285" t="str">
        <f t="shared" si="251"/>
        <v/>
      </c>
      <c r="K7857" s="246" t="str">
        <f t="shared" si="250"/>
        <v/>
      </c>
    </row>
    <row r="7858" spans="1:11" x14ac:dyDescent="0.2">
      <c r="A7858" s="242"/>
      <c r="F7858" s="285" t="str">
        <f t="shared" si="251"/>
        <v/>
      </c>
      <c r="K7858" s="246" t="str">
        <f t="shared" si="250"/>
        <v/>
      </c>
    </row>
    <row r="7859" spans="1:11" x14ac:dyDescent="0.2">
      <c r="A7859" s="242"/>
      <c r="F7859" s="285" t="str">
        <f t="shared" si="251"/>
        <v/>
      </c>
      <c r="K7859" s="246" t="str">
        <f t="shared" si="250"/>
        <v/>
      </c>
    </row>
    <row r="7860" spans="1:11" x14ac:dyDescent="0.2">
      <c r="A7860" s="242"/>
      <c r="F7860" s="285" t="str">
        <f t="shared" si="251"/>
        <v/>
      </c>
      <c r="K7860" s="246" t="str">
        <f t="shared" si="250"/>
        <v/>
      </c>
    </row>
    <row r="7861" spans="1:11" x14ac:dyDescent="0.2">
      <c r="A7861" s="242"/>
      <c r="F7861" s="285" t="str">
        <f t="shared" si="251"/>
        <v/>
      </c>
      <c r="K7861" s="246" t="str">
        <f t="shared" si="250"/>
        <v/>
      </c>
    </row>
    <row r="7862" spans="1:11" x14ac:dyDescent="0.2">
      <c r="A7862" s="242"/>
      <c r="F7862" s="285" t="str">
        <f t="shared" si="251"/>
        <v/>
      </c>
      <c r="K7862" s="246" t="str">
        <f t="shared" si="250"/>
        <v/>
      </c>
    </row>
    <row r="7863" spans="1:11" x14ac:dyDescent="0.2">
      <c r="A7863" s="242"/>
      <c r="F7863" s="285" t="str">
        <f t="shared" si="251"/>
        <v/>
      </c>
      <c r="K7863" s="246" t="str">
        <f t="shared" si="250"/>
        <v/>
      </c>
    </row>
    <row r="7864" spans="1:11" x14ac:dyDescent="0.2">
      <c r="A7864" s="242"/>
      <c r="F7864" s="285" t="str">
        <f t="shared" si="251"/>
        <v/>
      </c>
      <c r="K7864" s="246" t="str">
        <f t="shared" si="250"/>
        <v/>
      </c>
    </row>
    <row r="7865" spans="1:11" x14ac:dyDescent="0.2">
      <c r="A7865" s="242"/>
      <c r="F7865" s="285" t="str">
        <f t="shared" si="251"/>
        <v/>
      </c>
      <c r="K7865" s="246" t="str">
        <f t="shared" si="250"/>
        <v/>
      </c>
    </row>
    <row r="7866" spans="1:11" x14ac:dyDescent="0.2">
      <c r="A7866" s="242"/>
      <c r="F7866" s="285" t="str">
        <f t="shared" si="251"/>
        <v/>
      </c>
      <c r="K7866" s="246" t="str">
        <f t="shared" si="250"/>
        <v/>
      </c>
    </row>
    <row r="7867" spans="1:11" x14ac:dyDescent="0.2">
      <c r="A7867" s="242"/>
      <c r="F7867" s="285" t="str">
        <f t="shared" si="251"/>
        <v/>
      </c>
      <c r="K7867" s="246" t="str">
        <f t="shared" ref="K7867:K7930" si="252">IF(A7867="","",A7867)</f>
        <v/>
      </c>
    </row>
    <row r="7868" spans="1:11" x14ac:dyDescent="0.2">
      <c r="A7868" s="242"/>
      <c r="F7868" s="285" t="str">
        <f t="shared" si="251"/>
        <v/>
      </c>
      <c r="K7868" s="246" t="str">
        <f t="shared" si="252"/>
        <v/>
      </c>
    </row>
    <row r="7869" spans="1:11" x14ac:dyDescent="0.2">
      <c r="A7869" s="242"/>
      <c r="F7869" s="285" t="str">
        <f t="shared" si="251"/>
        <v/>
      </c>
      <c r="K7869" s="246" t="str">
        <f t="shared" si="252"/>
        <v/>
      </c>
    </row>
    <row r="7870" spans="1:11" x14ac:dyDescent="0.2">
      <c r="A7870" s="242"/>
      <c r="F7870" s="285" t="str">
        <f t="shared" si="251"/>
        <v/>
      </c>
      <c r="K7870" s="246" t="str">
        <f t="shared" si="252"/>
        <v/>
      </c>
    </row>
    <row r="7871" spans="1:11" x14ac:dyDescent="0.2">
      <c r="A7871" s="242"/>
      <c r="F7871" s="285" t="str">
        <f t="shared" si="251"/>
        <v/>
      </c>
      <c r="K7871" s="246" t="str">
        <f t="shared" si="252"/>
        <v/>
      </c>
    </row>
    <row r="7872" spans="1:11" x14ac:dyDescent="0.2">
      <c r="A7872" s="242"/>
      <c r="F7872" s="285" t="str">
        <f t="shared" si="251"/>
        <v/>
      </c>
      <c r="K7872" s="246" t="str">
        <f t="shared" si="252"/>
        <v/>
      </c>
    </row>
    <row r="7873" spans="1:11" x14ac:dyDescent="0.2">
      <c r="A7873" s="242"/>
      <c r="F7873" s="285" t="str">
        <f t="shared" si="251"/>
        <v/>
      </c>
      <c r="K7873" s="246" t="str">
        <f t="shared" si="252"/>
        <v/>
      </c>
    </row>
    <row r="7874" spans="1:11" x14ac:dyDescent="0.2">
      <c r="A7874" s="242"/>
      <c r="F7874" s="285" t="str">
        <f t="shared" si="251"/>
        <v/>
      </c>
      <c r="K7874" s="246" t="str">
        <f t="shared" si="252"/>
        <v/>
      </c>
    </row>
    <row r="7875" spans="1:11" x14ac:dyDescent="0.2">
      <c r="A7875" s="242"/>
      <c r="F7875" s="285" t="str">
        <f t="shared" si="251"/>
        <v/>
      </c>
      <c r="K7875" s="246" t="str">
        <f t="shared" si="252"/>
        <v/>
      </c>
    </row>
    <row r="7876" spans="1:11" x14ac:dyDescent="0.2">
      <c r="A7876" s="242"/>
      <c r="F7876" s="285" t="str">
        <f t="shared" si="251"/>
        <v/>
      </c>
      <c r="K7876" s="246" t="str">
        <f t="shared" si="252"/>
        <v/>
      </c>
    </row>
    <row r="7877" spans="1:11" x14ac:dyDescent="0.2">
      <c r="A7877" s="242"/>
      <c r="F7877" s="285" t="str">
        <f t="shared" ref="F7877:F7940" si="253">IF(A7877="","",A7877)</f>
        <v/>
      </c>
      <c r="K7877" s="246" t="str">
        <f t="shared" si="252"/>
        <v/>
      </c>
    </row>
    <row r="7878" spans="1:11" x14ac:dyDescent="0.2">
      <c r="A7878" s="242"/>
      <c r="F7878" s="285" t="str">
        <f t="shared" si="253"/>
        <v/>
      </c>
      <c r="K7878" s="246" t="str">
        <f t="shared" si="252"/>
        <v/>
      </c>
    </row>
    <row r="7879" spans="1:11" x14ac:dyDescent="0.2">
      <c r="A7879" s="242"/>
      <c r="F7879" s="285" t="str">
        <f t="shared" si="253"/>
        <v/>
      </c>
      <c r="K7879" s="246" t="str">
        <f t="shared" si="252"/>
        <v/>
      </c>
    </row>
    <row r="7880" spans="1:11" x14ac:dyDescent="0.2">
      <c r="A7880" s="242"/>
      <c r="F7880" s="285" t="str">
        <f t="shared" si="253"/>
        <v/>
      </c>
      <c r="K7880" s="246" t="str">
        <f t="shared" si="252"/>
        <v/>
      </c>
    </row>
    <row r="7881" spans="1:11" x14ac:dyDescent="0.2">
      <c r="A7881" s="242"/>
      <c r="F7881" s="285" t="str">
        <f t="shared" si="253"/>
        <v/>
      </c>
      <c r="K7881" s="246" t="str">
        <f t="shared" si="252"/>
        <v/>
      </c>
    </row>
    <row r="7882" spans="1:11" x14ac:dyDescent="0.2">
      <c r="A7882" s="242"/>
      <c r="F7882" s="285" t="str">
        <f t="shared" si="253"/>
        <v/>
      </c>
      <c r="K7882" s="246" t="str">
        <f t="shared" si="252"/>
        <v/>
      </c>
    </row>
    <row r="7883" spans="1:11" x14ac:dyDescent="0.2">
      <c r="A7883" s="242"/>
      <c r="F7883" s="285" t="str">
        <f t="shared" si="253"/>
        <v/>
      </c>
      <c r="K7883" s="246" t="str">
        <f t="shared" si="252"/>
        <v/>
      </c>
    </row>
    <row r="7884" spans="1:11" x14ac:dyDescent="0.2">
      <c r="A7884" s="242"/>
      <c r="F7884" s="285" t="str">
        <f t="shared" si="253"/>
        <v/>
      </c>
      <c r="K7884" s="246" t="str">
        <f t="shared" si="252"/>
        <v/>
      </c>
    </row>
    <row r="7885" spans="1:11" x14ac:dyDescent="0.2">
      <c r="A7885" s="242"/>
      <c r="F7885" s="285" t="str">
        <f t="shared" si="253"/>
        <v/>
      </c>
      <c r="K7885" s="246" t="str">
        <f t="shared" si="252"/>
        <v/>
      </c>
    </row>
    <row r="7886" spans="1:11" x14ac:dyDescent="0.2">
      <c r="A7886" s="242"/>
      <c r="F7886" s="285" t="str">
        <f t="shared" si="253"/>
        <v/>
      </c>
      <c r="K7886" s="246" t="str">
        <f t="shared" si="252"/>
        <v/>
      </c>
    </row>
    <row r="7887" spans="1:11" x14ac:dyDescent="0.2">
      <c r="A7887" s="242"/>
      <c r="F7887" s="285" t="str">
        <f t="shared" si="253"/>
        <v/>
      </c>
      <c r="K7887" s="246" t="str">
        <f t="shared" si="252"/>
        <v/>
      </c>
    </row>
    <row r="7888" spans="1:11" x14ac:dyDescent="0.2">
      <c r="A7888" s="242"/>
      <c r="F7888" s="285" t="str">
        <f t="shared" si="253"/>
        <v/>
      </c>
      <c r="K7888" s="246" t="str">
        <f t="shared" si="252"/>
        <v/>
      </c>
    </row>
    <row r="7889" spans="1:11" x14ac:dyDescent="0.2">
      <c r="A7889" s="242"/>
      <c r="F7889" s="285" t="str">
        <f t="shared" si="253"/>
        <v/>
      </c>
      <c r="K7889" s="246" t="str">
        <f t="shared" si="252"/>
        <v/>
      </c>
    </row>
    <row r="7890" spans="1:11" x14ac:dyDescent="0.2">
      <c r="A7890" s="242"/>
      <c r="F7890" s="285" t="str">
        <f t="shared" si="253"/>
        <v/>
      </c>
      <c r="K7890" s="246" t="str">
        <f t="shared" si="252"/>
        <v/>
      </c>
    </row>
    <row r="7891" spans="1:11" x14ac:dyDescent="0.2">
      <c r="A7891" s="242"/>
      <c r="F7891" s="285" t="str">
        <f t="shared" si="253"/>
        <v/>
      </c>
      <c r="K7891" s="246" t="str">
        <f t="shared" si="252"/>
        <v/>
      </c>
    </row>
    <row r="7892" spans="1:11" x14ac:dyDescent="0.2">
      <c r="A7892" s="242"/>
      <c r="F7892" s="285" t="str">
        <f t="shared" si="253"/>
        <v/>
      </c>
      <c r="K7892" s="246" t="str">
        <f t="shared" si="252"/>
        <v/>
      </c>
    </row>
    <row r="7893" spans="1:11" x14ac:dyDescent="0.2">
      <c r="A7893" s="242"/>
      <c r="F7893" s="285" t="str">
        <f t="shared" si="253"/>
        <v/>
      </c>
      <c r="K7893" s="246" t="str">
        <f t="shared" si="252"/>
        <v/>
      </c>
    </row>
    <row r="7894" spans="1:11" x14ac:dyDescent="0.2">
      <c r="A7894" s="242"/>
      <c r="F7894" s="285" t="str">
        <f t="shared" si="253"/>
        <v/>
      </c>
      <c r="K7894" s="246" t="str">
        <f t="shared" si="252"/>
        <v/>
      </c>
    </row>
    <row r="7895" spans="1:11" x14ac:dyDescent="0.2">
      <c r="A7895" s="242"/>
      <c r="F7895" s="285" t="str">
        <f t="shared" si="253"/>
        <v/>
      </c>
      <c r="K7895" s="246" t="str">
        <f t="shared" si="252"/>
        <v/>
      </c>
    </row>
    <row r="7896" spans="1:11" x14ac:dyDescent="0.2">
      <c r="A7896" s="242"/>
      <c r="F7896" s="285" t="str">
        <f t="shared" si="253"/>
        <v/>
      </c>
      <c r="K7896" s="246" t="str">
        <f t="shared" si="252"/>
        <v/>
      </c>
    </row>
    <row r="7897" spans="1:11" x14ac:dyDescent="0.2">
      <c r="A7897" s="242"/>
      <c r="F7897" s="285" t="str">
        <f t="shared" si="253"/>
        <v/>
      </c>
      <c r="K7897" s="246" t="str">
        <f t="shared" si="252"/>
        <v/>
      </c>
    </row>
    <row r="7898" spans="1:11" x14ac:dyDescent="0.2">
      <c r="A7898" s="242"/>
      <c r="F7898" s="285" t="str">
        <f t="shared" si="253"/>
        <v/>
      </c>
      <c r="K7898" s="246" t="str">
        <f t="shared" si="252"/>
        <v/>
      </c>
    </row>
    <row r="7899" spans="1:11" x14ac:dyDescent="0.2">
      <c r="A7899" s="242"/>
      <c r="F7899" s="285" t="str">
        <f t="shared" si="253"/>
        <v/>
      </c>
      <c r="K7899" s="246" t="str">
        <f t="shared" si="252"/>
        <v/>
      </c>
    </row>
    <row r="7900" spans="1:11" x14ac:dyDescent="0.2">
      <c r="A7900" s="242"/>
      <c r="F7900" s="285" t="str">
        <f t="shared" si="253"/>
        <v/>
      </c>
      <c r="K7900" s="246" t="str">
        <f t="shared" si="252"/>
        <v/>
      </c>
    </row>
    <row r="7901" spans="1:11" x14ac:dyDescent="0.2">
      <c r="A7901" s="242"/>
      <c r="F7901" s="285" t="str">
        <f t="shared" si="253"/>
        <v/>
      </c>
      <c r="K7901" s="246" t="str">
        <f t="shared" si="252"/>
        <v/>
      </c>
    </row>
    <row r="7902" spans="1:11" x14ac:dyDescent="0.2">
      <c r="A7902" s="242"/>
      <c r="F7902" s="285" t="str">
        <f t="shared" si="253"/>
        <v/>
      </c>
      <c r="K7902" s="246" t="str">
        <f t="shared" si="252"/>
        <v/>
      </c>
    </row>
    <row r="7903" spans="1:11" x14ac:dyDescent="0.2">
      <c r="A7903" s="242"/>
      <c r="F7903" s="285" t="str">
        <f t="shared" si="253"/>
        <v/>
      </c>
      <c r="K7903" s="246" t="str">
        <f t="shared" si="252"/>
        <v/>
      </c>
    </row>
    <row r="7904" spans="1:11" x14ac:dyDescent="0.2">
      <c r="A7904" s="242"/>
      <c r="F7904" s="285" t="str">
        <f t="shared" si="253"/>
        <v/>
      </c>
      <c r="K7904" s="246" t="str">
        <f t="shared" si="252"/>
        <v/>
      </c>
    </row>
    <row r="7905" spans="1:11" x14ac:dyDescent="0.2">
      <c r="A7905" s="242"/>
      <c r="F7905" s="285" t="str">
        <f t="shared" si="253"/>
        <v/>
      </c>
      <c r="K7905" s="246" t="str">
        <f t="shared" si="252"/>
        <v/>
      </c>
    </row>
    <row r="7906" spans="1:11" x14ac:dyDescent="0.2">
      <c r="A7906" s="242"/>
      <c r="F7906" s="285" t="str">
        <f t="shared" si="253"/>
        <v/>
      </c>
      <c r="K7906" s="246" t="str">
        <f t="shared" si="252"/>
        <v/>
      </c>
    </row>
    <row r="7907" spans="1:11" x14ac:dyDescent="0.2">
      <c r="A7907" s="242"/>
      <c r="F7907" s="285" t="str">
        <f t="shared" si="253"/>
        <v/>
      </c>
      <c r="K7907" s="246" t="str">
        <f t="shared" si="252"/>
        <v/>
      </c>
    </row>
    <row r="7908" spans="1:11" x14ac:dyDescent="0.2">
      <c r="A7908" s="242"/>
      <c r="F7908" s="285" t="str">
        <f t="shared" si="253"/>
        <v/>
      </c>
      <c r="K7908" s="246" t="str">
        <f t="shared" si="252"/>
        <v/>
      </c>
    </row>
    <row r="7909" spans="1:11" x14ac:dyDescent="0.2">
      <c r="A7909" s="242"/>
      <c r="F7909" s="285" t="str">
        <f t="shared" si="253"/>
        <v/>
      </c>
      <c r="K7909" s="246" t="str">
        <f t="shared" si="252"/>
        <v/>
      </c>
    </row>
    <row r="7910" spans="1:11" x14ac:dyDescent="0.2">
      <c r="A7910" s="242"/>
      <c r="F7910" s="285" t="str">
        <f t="shared" si="253"/>
        <v/>
      </c>
      <c r="K7910" s="246" t="str">
        <f t="shared" si="252"/>
        <v/>
      </c>
    </row>
    <row r="7911" spans="1:11" x14ac:dyDescent="0.2">
      <c r="A7911" s="242"/>
      <c r="F7911" s="285" t="str">
        <f t="shared" si="253"/>
        <v/>
      </c>
      <c r="K7911" s="246" t="str">
        <f t="shared" si="252"/>
        <v/>
      </c>
    </row>
    <row r="7912" spans="1:11" x14ac:dyDescent="0.2">
      <c r="A7912" s="242"/>
      <c r="F7912" s="285" t="str">
        <f t="shared" si="253"/>
        <v/>
      </c>
      <c r="K7912" s="246" t="str">
        <f t="shared" si="252"/>
        <v/>
      </c>
    </row>
    <row r="7913" spans="1:11" x14ac:dyDescent="0.2">
      <c r="A7913" s="242"/>
      <c r="F7913" s="285" t="str">
        <f t="shared" si="253"/>
        <v/>
      </c>
      <c r="K7913" s="246" t="str">
        <f t="shared" si="252"/>
        <v/>
      </c>
    </row>
    <row r="7914" spans="1:11" x14ac:dyDescent="0.2">
      <c r="A7914" s="242"/>
      <c r="F7914" s="285" t="str">
        <f t="shared" si="253"/>
        <v/>
      </c>
      <c r="K7914" s="246" t="str">
        <f t="shared" si="252"/>
        <v/>
      </c>
    </row>
    <row r="7915" spans="1:11" x14ac:dyDescent="0.2">
      <c r="A7915" s="242"/>
      <c r="F7915" s="285" t="str">
        <f t="shared" si="253"/>
        <v/>
      </c>
      <c r="K7915" s="246" t="str">
        <f t="shared" si="252"/>
        <v/>
      </c>
    </row>
    <row r="7916" spans="1:11" x14ac:dyDescent="0.2">
      <c r="A7916" s="242"/>
      <c r="F7916" s="285" t="str">
        <f t="shared" si="253"/>
        <v/>
      </c>
      <c r="K7916" s="246" t="str">
        <f t="shared" si="252"/>
        <v/>
      </c>
    </row>
    <row r="7917" spans="1:11" x14ac:dyDescent="0.2">
      <c r="A7917" s="242"/>
      <c r="F7917" s="285" t="str">
        <f t="shared" si="253"/>
        <v/>
      </c>
      <c r="K7917" s="246" t="str">
        <f t="shared" si="252"/>
        <v/>
      </c>
    </row>
    <row r="7918" spans="1:11" x14ac:dyDescent="0.2">
      <c r="A7918" s="242"/>
      <c r="F7918" s="285" t="str">
        <f t="shared" si="253"/>
        <v/>
      </c>
      <c r="K7918" s="246" t="str">
        <f t="shared" si="252"/>
        <v/>
      </c>
    </row>
    <row r="7919" spans="1:11" x14ac:dyDescent="0.2">
      <c r="A7919" s="242"/>
      <c r="F7919" s="285" t="str">
        <f t="shared" si="253"/>
        <v/>
      </c>
      <c r="K7919" s="246" t="str">
        <f t="shared" si="252"/>
        <v/>
      </c>
    </row>
    <row r="7920" spans="1:11" x14ac:dyDescent="0.2">
      <c r="A7920" s="242"/>
      <c r="F7920" s="285" t="str">
        <f t="shared" si="253"/>
        <v/>
      </c>
      <c r="K7920" s="246" t="str">
        <f t="shared" si="252"/>
        <v/>
      </c>
    </row>
    <row r="7921" spans="1:11" x14ac:dyDescent="0.2">
      <c r="A7921" s="242"/>
      <c r="F7921" s="285" t="str">
        <f t="shared" si="253"/>
        <v/>
      </c>
      <c r="K7921" s="246" t="str">
        <f t="shared" si="252"/>
        <v/>
      </c>
    </row>
    <row r="7922" spans="1:11" x14ac:dyDescent="0.2">
      <c r="A7922" s="242"/>
      <c r="F7922" s="285" t="str">
        <f t="shared" si="253"/>
        <v/>
      </c>
      <c r="K7922" s="246" t="str">
        <f t="shared" si="252"/>
        <v/>
      </c>
    </row>
    <row r="7923" spans="1:11" x14ac:dyDescent="0.2">
      <c r="A7923" s="242"/>
      <c r="F7923" s="285" t="str">
        <f t="shared" si="253"/>
        <v/>
      </c>
      <c r="K7923" s="246" t="str">
        <f t="shared" si="252"/>
        <v/>
      </c>
    </row>
    <row r="7924" spans="1:11" x14ac:dyDescent="0.2">
      <c r="A7924" s="242"/>
      <c r="F7924" s="285" t="str">
        <f t="shared" si="253"/>
        <v/>
      </c>
      <c r="K7924" s="246" t="str">
        <f t="shared" si="252"/>
        <v/>
      </c>
    </row>
    <row r="7925" spans="1:11" x14ac:dyDescent="0.2">
      <c r="A7925" s="242"/>
      <c r="F7925" s="285" t="str">
        <f t="shared" si="253"/>
        <v/>
      </c>
      <c r="K7925" s="246" t="str">
        <f t="shared" si="252"/>
        <v/>
      </c>
    </row>
    <row r="7926" spans="1:11" x14ac:dyDescent="0.2">
      <c r="A7926" s="242"/>
      <c r="F7926" s="285" t="str">
        <f t="shared" si="253"/>
        <v/>
      </c>
      <c r="K7926" s="246" t="str">
        <f t="shared" si="252"/>
        <v/>
      </c>
    </row>
    <row r="7927" spans="1:11" x14ac:dyDescent="0.2">
      <c r="A7927" s="242"/>
      <c r="F7927" s="285" t="str">
        <f t="shared" si="253"/>
        <v/>
      </c>
      <c r="K7927" s="246" t="str">
        <f t="shared" si="252"/>
        <v/>
      </c>
    </row>
    <row r="7928" spans="1:11" x14ac:dyDescent="0.2">
      <c r="A7928" s="242"/>
      <c r="F7928" s="285" t="str">
        <f t="shared" si="253"/>
        <v/>
      </c>
      <c r="K7928" s="246" t="str">
        <f t="shared" si="252"/>
        <v/>
      </c>
    </row>
    <row r="7929" spans="1:11" x14ac:dyDescent="0.2">
      <c r="A7929" s="242"/>
      <c r="F7929" s="285" t="str">
        <f t="shared" si="253"/>
        <v/>
      </c>
      <c r="K7929" s="246" t="str">
        <f t="shared" si="252"/>
        <v/>
      </c>
    </row>
    <row r="7930" spans="1:11" x14ac:dyDescent="0.2">
      <c r="A7930" s="242"/>
      <c r="F7930" s="285" t="str">
        <f t="shared" si="253"/>
        <v/>
      </c>
      <c r="K7930" s="246" t="str">
        <f t="shared" si="252"/>
        <v/>
      </c>
    </row>
    <row r="7931" spans="1:11" x14ac:dyDescent="0.2">
      <c r="A7931" s="242"/>
      <c r="F7931" s="285" t="str">
        <f t="shared" si="253"/>
        <v/>
      </c>
      <c r="K7931" s="246" t="str">
        <f t="shared" ref="K7931:K7994" si="254">IF(A7931="","",A7931)</f>
        <v/>
      </c>
    </row>
    <row r="7932" spans="1:11" x14ac:dyDescent="0.2">
      <c r="A7932" s="242"/>
      <c r="F7932" s="285" t="str">
        <f t="shared" si="253"/>
        <v/>
      </c>
      <c r="K7932" s="246" t="str">
        <f t="shared" si="254"/>
        <v/>
      </c>
    </row>
    <row r="7933" spans="1:11" x14ac:dyDescent="0.2">
      <c r="A7933" s="242"/>
      <c r="F7933" s="285" t="str">
        <f t="shared" si="253"/>
        <v/>
      </c>
      <c r="K7933" s="246" t="str">
        <f t="shared" si="254"/>
        <v/>
      </c>
    </row>
    <row r="7934" spans="1:11" x14ac:dyDescent="0.2">
      <c r="A7934" s="242"/>
      <c r="F7934" s="285" t="str">
        <f t="shared" si="253"/>
        <v/>
      </c>
      <c r="K7934" s="246" t="str">
        <f t="shared" si="254"/>
        <v/>
      </c>
    </row>
    <row r="7935" spans="1:11" x14ac:dyDescent="0.2">
      <c r="A7935" s="242"/>
      <c r="F7935" s="285" t="str">
        <f t="shared" si="253"/>
        <v/>
      </c>
      <c r="K7935" s="246" t="str">
        <f t="shared" si="254"/>
        <v/>
      </c>
    </row>
    <row r="7936" spans="1:11" x14ac:dyDescent="0.2">
      <c r="A7936" s="242"/>
      <c r="F7936" s="285" t="str">
        <f t="shared" si="253"/>
        <v/>
      </c>
      <c r="K7936" s="246" t="str">
        <f t="shared" si="254"/>
        <v/>
      </c>
    </row>
    <row r="7937" spans="1:11" x14ac:dyDescent="0.2">
      <c r="A7937" s="242"/>
      <c r="F7937" s="285" t="str">
        <f t="shared" si="253"/>
        <v/>
      </c>
      <c r="K7937" s="246" t="str">
        <f t="shared" si="254"/>
        <v/>
      </c>
    </row>
    <row r="7938" spans="1:11" x14ac:dyDescent="0.2">
      <c r="A7938" s="242"/>
      <c r="F7938" s="285" t="str">
        <f t="shared" si="253"/>
        <v/>
      </c>
      <c r="K7938" s="246" t="str">
        <f t="shared" si="254"/>
        <v/>
      </c>
    </row>
    <row r="7939" spans="1:11" x14ac:dyDescent="0.2">
      <c r="A7939" s="242"/>
      <c r="F7939" s="285" t="str">
        <f t="shared" si="253"/>
        <v/>
      </c>
      <c r="K7939" s="246" t="str">
        <f t="shared" si="254"/>
        <v/>
      </c>
    </row>
    <row r="7940" spans="1:11" x14ac:dyDescent="0.2">
      <c r="A7940" s="242"/>
      <c r="F7940" s="285" t="str">
        <f t="shared" si="253"/>
        <v/>
      </c>
      <c r="K7940" s="246" t="str">
        <f t="shared" si="254"/>
        <v/>
      </c>
    </row>
    <row r="7941" spans="1:11" x14ac:dyDescent="0.2">
      <c r="A7941" s="242"/>
      <c r="F7941" s="285" t="str">
        <f t="shared" ref="F7941:F8004" si="255">IF(A7941="","",A7941)</f>
        <v/>
      </c>
      <c r="K7941" s="246" t="str">
        <f t="shared" si="254"/>
        <v/>
      </c>
    </row>
    <row r="7942" spans="1:11" x14ac:dyDescent="0.2">
      <c r="A7942" s="242"/>
      <c r="F7942" s="285" t="str">
        <f t="shared" si="255"/>
        <v/>
      </c>
      <c r="K7942" s="246" t="str">
        <f t="shared" si="254"/>
        <v/>
      </c>
    </row>
    <row r="7943" spans="1:11" x14ac:dyDescent="0.2">
      <c r="A7943" s="242"/>
      <c r="F7943" s="285" t="str">
        <f t="shared" si="255"/>
        <v/>
      </c>
      <c r="K7943" s="246" t="str">
        <f t="shared" si="254"/>
        <v/>
      </c>
    </row>
    <row r="7944" spans="1:11" x14ac:dyDescent="0.2">
      <c r="A7944" s="242"/>
      <c r="F7944" s="285" t="str">
        <f t="shared" si="255"/>
        <v/>
      </c>
      <c r="K7944" s="246" t="str">
        <f t="shared" si="254"/>
        <v/>
      </c>
    </row>
    <row r="7945" spans="1:11" x14ac:dyDescent="0.2">
      <c r="A7945" s="242"/>
      <c r="F7945" s="285" t="str">
        <f t="shared" si="255"/>
        <v/>
      </c>
      <c r="K7945" s="246" t="str">
        <f t="shared" si="254"/>
        <v/>
      </c>
    </row>
    <row r="7946" spans="1:11" x14ac:dyDescent="0.2">
      <c r="A7946" s="242"/>
      <c r="F7946" s="285" t="str">
        <f t="shared" si="255"/>
        <v/>
      </c>
      <c r="K7946" s="246" t="str">
        <f t="shared" si="254"/>
        <v/>
      </c>
    </row>
    <row r="7947" spans="1:11" x14ac:dyDescent="0.2">
      <c r="A7947" s="242"/>
      <c r="F7947" s="285" t="str">
        <f t="shared" si="255"/>
        <v/>
      </c>
      <c r="K7947" s="246" t="str">
        <f t="shared" si="254"/>
        <v/>
      </c>
    </row>
    <row r="7948" spans="1:11" x14ac:dyDescent="0.2">
      <c r="A7948" s="242"/>
      <c r="F7948" s="285" t="str">
        <f t="shared" si="255"/>
        <v/>
      </c>
      <c r="K7948" s="246" t="str">
        <f t="shared" si="254"/>
        <v/>
      </c>
    </row>
    <row r="7949" spans="1:11" x14ac:dyDescent="0.2">
      <c r="A7949" s="242"/>
      <c r="F7949" s="285" t="str">
        <f t="shared" si="255"/>
        <v/>
      </c>
      <c r="K7949" s="246" t="str">
        <f t="shared" si="254"/>
        <v/>
      </c>
    </row>
    <row r="7950" spans="1:11" x14ac:dyDescent="0.2">
      <c r="A7950" s="242"/>
      <c r="F7950" s="285" t="str">
        <f t="shared" si="255"/>
        <v/>
      </c>
      <c r="K7950" s="246" t="str">
        <f t="shared" si="254"/>
        <v/>
      </c>
    </row>
    <row r="7951" spans="1:11" x14ac:dyDescent="0.2">
      <c r="A7951" s="242"/>
      <c r="F7951" s="285" t="str">
        <f t="shared" si="255"/>
        <v/>
      </c>
      <c r="K7951" s="246" t="str">
        <f t="shared" si="254"/>
        <v/>
      </c>
    </row>
    <row r="7952" spans="1:11" x14ac:dyDescent="0.2">
      <c r="A7952" s="242"/>
      <c r="F7952" s="285" t="str">
        <f t="shared" si="255"/>
        <v/>
      </c>
      <c r="K7952" s="246" t="str">
        <f t="shared" si="254"/>
        <v/>
      </c>
    </row>
    <row r="7953" spans="1:11" x14ac:dyDescent="0.2">
      <c r="A7953" s="242"/>
      <c r="F7953" s="285" t="str">
        <f t="shared" si="255"/>
        <v/>
      </c>
      <c r="K7953" s="246" t="str">
        <f t="shared" si="254"/>
        <v/>
      </c>
    </row>
    <row r="7954" spans="1:11" x14ac:dyDescent="0.2">
      <c r="A7954" s="242"/>
      <c r="F7954" s="285" t="str">
        <f t="shared" si="255"/>
        <v/>
      </c>
      <c r="K7954" s="246" t="str">
        <f t="shared" si="254"/>
        <v/>
      </c>
    </row>
    <row r="7955" spans="1:11" x14ac:dyDescent="0.2">
      <c r="A7955" s="242"/>
      <c r="F7955" s="285" t="str">
        <f t="shared" si="255"/>
        <v/>
      </c>
      <c r="K7955" s="246" t="str">
        <f t="shared" si="254"/>
        <v/>
      </c>
    </row>
    <row r="7956" spans="1:11" x14ac:dyDescent="0.2">
      <c r="A7956" s="242"/>
      <c r="F7956" s="285" t="str">
        <f t="shared" si="255"/>
        <v/>
      </c>
      <c r="K7956" s="246" t="str">
        <f t="shared" si="254"/>
        <v/>
      </c>
    </row>
    <row r="7957" spans="1:11" x14ac:dyDescent="0.2">
      <c r="A7957" s="242"/>
      <c r="F7957" s="285" t="str">
        <f t="shared" si="255"/>
        <v/>
      </c>
      <c r="K7957" s="246" t="str">
        <f t="shared" si="254"/>
        <v/>
      </c>
    </row>
    <row r="7958" spans="1:11" x14ac:dyDescent="0.2">
      <c r="A7958" s="242"/>
      <c r="F7958" s="285" t="str">
        <f t="shared" si="255"/>
        <v/>
      </c>
      <c r="K7958" s="246" t="str">
        <f t="shared" si="254"/>
        <v/>
      </c>
    </row>
    <row r="7959" spans="1:11" x14ac:dyDescent="0.2">
      <c r="A7959" s="242"/>
      <c r="F7959" s="285" t="str">
        <f t="shared" si="255"/>
        <v/>
      </c>
      <c r="K7959" s="246" t="str">
        <f t="shared" si="254"/>
        <v/>
      </c>
    </row>
    <row r="7960" spans="1:11" x14ac:dyDescent="0.2">
      <c r="A7960" s="242"/>
      <c r="F7960" s="285" t="str">
        <f t="shared" si="255"/>
        <v/>
      </c>
      <c r="K7960" s="246" t="str">
        <f t="shared" si="254"/>
        <v/>
      </c>
    </row>
    <row r="7961" spans="1:11" x14ac:dyDescent="0.2">
      <c r="A7961" s="242"/>
      <c r="F7961" s="285" t="str">
        <f t="shared" si="255"/>
        <v/>
      </c>
      <c r="K7961" s="246" t="str">
        <f t="shared" si="254"/>
        <v/>
      </c>
    </row>
    <row r="7962" spans="1:11" x14ac:dyDescent="0.2">
      <c r="A7962" s="242"/>
      <c r="F7962" s="285" t="str">
        <f t="shared" si="255"/>
        <v/>
      </c>
      <c r="K7962" s="246" t="str">
        <f t="shared" si="254"/>
        <v/>
      </c>
    </row>
    <row r="7963" spans="1:11" x14ac:dyDescent="0.2">
      <c r="A7963" s="242"/>
      <c r="F7963" s="285" t="str">
        <f t="shared" si="255"/>
        <v/>
      </c>
      <c r="K7963" s="246" t="str">
        <f t="shared" si="254"/>
        <v/>
      </c>
    </row>
    <row r="7964" spans="1:11" x14ac:dyDescent="0.2">
      <c r="A7964" s="242"/>
      <c r="F7964" s="285" t="str">
        <f t="shared" si="255"/>
        <v/>
      </c>
      <c r="K7964" s="246" t="str">
        <f t="shared" si="254"/>
        <v/>
      </c>
    </row>
    <row r="7965" spans="1:11" x14ac:dyDescent="0.2">
      <c r="A7965" s="242"/>
      <c r="F7965" s="285" t="str">
        <f t="shared" si="255"/>
        <v/>
      </c>
      <c r="K7965" s="246" t="str">
        <f t="shared" si="254"/>
        <v/>
      </c>
    </row>
    <row r="7966" spans="1:11" x14ac:dyDescent="0.2">
      <c r="A7966" s="242"/>
      <c r="F7966" s="285" t="str">
        <f t="shared" si="255"/>
        <v/>
      </c>
      <c r="K7966" s="246" t="str">
        <f t="shared" si="254"/>
        <v/>
      </c>
    </row>
    <row r="7967" spans="1:11" x14ac:dyDescent="0.2">
      <c r="A7967" s="242"/>
      <c r="F7967" s="285" t="str">
        <f t="shared" si="255"/>
        <v/>
      </c>
      <c r="K7967" s="246" t="str">
        <f t="shared" si="254"/>
        <v/>
      </c>
    </row>
    <row r="7968" spans="1:11" x14ac:dyDescent="0.2">
      <c r="A7968" s="242"/>
      <c r="F7968" s="285" t="str">
        <f t="shared" si="255"/>
        <v/>
      </c>
      <c r="K7968" s="246" t="str">
        <f t="shared" si="254"/>
        <v/>
      </c>
    </row>
    <row r="7969" spans="1:11" x14ac:dyDescent="0.2">
      <c r="A7969" s="242"/>
      <c r="F7969" s="285" t="str">
        <f t="shared" si="255"/>
        <v/>
      </c>
      <c r="K7969" s="246" t="str">
        <f t="shared" si="254"/>
        <v/>
      </c>
    </row>
    <row r="7970" spans="1:11" x14ac:dyDescent="0.2">
      <c r="A7970" s="242"/>
      <c r="F7970" s="285" t="str">
        <f t="shared" si="255"/>
        <v/>
      </c>
      <c r="K7970" s="246" t="str">
        <f t="shared" si="254"/>
        <v/>
      </c>
    </row>
    <row r="7971" spans="1:11" x14ac:dyDescent="0.2">
      <c r="A7971" s="242"/>
      <c r="F7971" s="285" t="str">
        <f t="shared" si="255"/>
        <v/>
      </c>
      <c r="K7971" s="246" t="str">
        <f t="shared" si="254"/>
        <v/>
      </c>
    </row>
    <row r="7972" spans="1:11" x14ac:dyDescent="0.2">
      <c r="A7972" s="242"/>
      <c r="F7972" s="285" t="str">
        <f t="shared" si="255"/>
        <v/>
      </c>
      <c r="K7972" s="246" t="str">
        <f t="shared" si="254"/>
        <v/>
      </c>
    </row>
    <row r="7973" spans="1:11" x14ac:dyDescent="0.2">
      <c r="A7973" s="242"/>
      <c r="F7973" s="285" t="str">
        <f t="shared" si="255"/>
        <v/>
      </c>
      <c r="K7973" s="246" t="str">
        <f t="shared" si="254"/>
        <v/>
      </c>
    </row>
    <row r="7974" spans="1:11" x14ac:dyDescent="0.2">
      <c r="A7974" s="242"/>
      <c r="F7974" s="285" t="str">
        <f t="shared" si="255"/>
        <v/>
      </c>
      <c r="K7974" s="246" t="str">
        <f t="shared" si="254"/>
        <v/>
      </c>
    </row>
    <row r="7975" spans="1:11" x14ac:dyDescent="0.2">
      <c r="A7975" s="242"/>
      <c r="F7975" s="285" t="str">
        <f t="shared" si="255"/>
        <v/>
      </c>
      <c r="K7975" s="246" t="str">
        <f t="shared" si="254"/>
        <v/>
      </c>
    </row>
    <row r="7976" spans="1:11" x14ac:dyDescent="0.2">
      <c r="A7976" s="242"/>
      <c r="F7976" s="285" t="str">
        <f t="shared" si="255"/>
        <v/>
      </c>
      <c r="K7976" s="246" t="str">
        <f t="shared" si="254"/>
        <v/>
      </c>
    </row>
    <row r="7977" spans="1:11" x14ac:dyDescent="0.2">
      <c r="A7977" s="242"/>
      <c r="F7977" s="285" t="str">
        <f t="shared" si="255"/>
        <v/>
      </c>
      <c r="K7977" s="246" t="str">
        <f t="shared" si="254"/>
        <v/>
      </c>
    </row>
    <row r="7978" spans="1:11" x14ac:dyDescent="0.2">
      <c r="A7978" s="242"/>
      <c r="F7978" s="285" t="str">
        <f t="shared" si="255"/>
        <v/>
      </c>
      <c r="K7978" s="246" t="str">
        <f t="shared" si="254"/>
        <v/>
      </c>
    </row>
    <row r="7979" spans="1:11" x14ac:dyDescent="0.2">
      <c r="A7979" s="242"/>
      <c r="F7979" s="285" t="str">
        <f t="shared" si="255"/>
        <v/>
      </c>
      <c r="K7979" s="246" t="str">
        <f t="shared" si="254"/>
        <v/>
      </c>
    </row>
    <row r="7980" spans="1:11" x14ac:dyDescent="0.2">
      <c r="A7980" s="242"/>
      <c r="F7980" s="285" t="str">
        <f t="shared" si="255"/>
        <v/>
      </c>
      <c r="K7980" s="246" t="str">
        <f t="shared" si="254"/>
        <v/>
      </c>
    </row>
    <row r="7981" spans="1:11" x14ac:dyDescent="0.2">
      <c r="A7981" s="242"/>
      <c r="F7981" s="285" t="str">
        <f t="shared" si="255"/>
        <v/>
      </c>
      <c r="K7981" s="246" t="str">
        <f t="shared" si="254"/>
        <v/>
      </c>
    </row>
    <row r="7982" spans="1:11" x14ac:dyDescent="0.2">
      <c r="A7982" s="242"/>
      <c r="F7982" s="285" t="str">
        <f t="shared" si="255"/>
        <v/>
      </c>
      <c r="K7982" s="246" t="str">
        <f t="shared" si="254"/>
        <v/>
      </c>
    </row>
    <row r="7983" spans="1:11" x14ac:dyDescent="0.2">
      <c r="A7983" s="242"/>
      <c r="F7983" s="285" t="str">
        <f t="shared" si="255"/>
        <v/>
      </c>
      <c r="K7983" s="246" t="str">
        <f t="shared" si="254"/>
        <v/>
      </c>
    </row>
    <row r="7984" spans="1:11" x14ac:dyDescent="0.2">
      <c r="A7984" s="242"/>
      <c r="F7984" s="285" t="str">
        <f t="shared" si="255"/>
        <v/>
      </c>
      <c r="K7984" s="246" t="str">
        <f t="shared" si="254"/>
        <v/>
      </c>
    </row>
    <row r="7985" spans="1:11" x14ac:dyDescent="0.2">
      <c r="A7985" s="242"/>
      <c r="F7985" s="285" t="str">
        <f t="shared" si="255"/>
        <v/>
      </c>
      <c r="K7985" s="246" t="str">
        <f t="shared" si="254"/>
        <v/>
      </c>
    </row>
    <row r="7986" spans="1:11" x14ac:dyDescent="0.2">
      <c r="A7986" s="242"/>
      <c r="F7986" s="285" t="str">
        <f t="shared" si="255"/>
        <v/>
      </c>
      <c r="K7986" s="246" t="str">
        <f t="shared" si="254"/>
        <v/>
      </c>
    </row>
    <row r="7987" spans="1:11" x14ac:dyDescent="0.2">
      <c r="A7987" s="242"/>
      <c r="F7987" s="285" t="str">
        <f t="shared" si="255"/>
        <v/>
      </c>
      <c r="K7987" s="246" t="str">
        <f t="shared" si="254"/>
        <v/>
      </c>
    </row>
    <row r="7988" spans="1:11" x14ac:dyDescent="0.2">
      <c r="A7988" s="242"/>
      <c r="F7988" s="285" t="str">
        <f t="shared" si="255"/>
        <v/>
      </c>
      <c r="K7988" s="246" t="str">
        <f t="shared" si="254"/>
        <v/>
      </c>
    </row>
    <row r="7989" spans="1:11" x14ac:dyDescent="0.2">
      <c r="A7989" s="242"/>
      <c r="F7989" s="285" t="str">
        <f t="shared" si="255"/>
        <v/>
      </c>
      <c r="K7989" s="246" t="str">
        <f t="shared" si="254"/>
        <v/>
      </c>
    </row>
    <row r="7990" spans="1:11" x14ac:dyDescent="0.2">
      <c r="A7990" s="242"/>
      <c r="F7990" s="285" t="str">
        <f t="shared" si="255"/>
        <v/>
      </c>
      <c r="K7990" s="246" t="str">
        <f t="shared" si="254"/>
        <v/>
      </c>
    </row>
    <row r="7991" spans="1:11" x14ac:dyDescent="0.2">
      <c r="A7991" s="242"/>
      <c r="F7991" s="285" t="str">
        <f t="shared" si="255"/>
        <v/>
      </c>
      <c r="K7991" s="246" t="str">
        <f t="shared" si="254"/>
        <v/>
      </c>
    </row>
    <row r="7992" spans="1:11" x14ac:dyDescent="0.2">
      <c r="A7992" s="242"/>
      <c r="F7992" s="285" t="str">
        <f t="shared" si="255"/>
        <v/>
      </c>
      <c r="K7992" s="246" t="str">
        <f t="shared" si="254"/>
        <v/>
      </c>
    </row>
    <row r="7993" spans="1:11" x14ac:dyDescent="0.2">
      <c r="A7993" s="242"/>
      <c r="F7993" s="285" t="str">
        <f t="shared" si="255"/>
        <v/>
      </c>
      <c r="K7993" s="246" t="str">
        <f t="shared" si="254"/>
        <v/>
      </c>
    </row>
    <row r="7994" spans="1:11" x14ac:dyDescent="0.2">
      <c r="A7994" s="242"/>
      <c r="F7994" s="285" t="str">
        <f t="shared" si="255"/>
        <v/>
      </c>
      <c r="K7994" s="246" t="str">
        <f t="shared" si="254"/>
        <v/>
      </c>
    </row>
    <row r="7995" spans="1:11" x14ac:dyDescent="0.2">
      <c r="A7995" s="242"/>
      <c r="F7995" s="285" t="str">
        <f t="shared" si="255"/>
        <v/>
      </c>
      <c r="K7995" s="246" t="str">
        <f t="shared" ref="K7995:K8058" si="256">IF(A7995="","",A7995)</f>
        <v/>
      </c>
    </row>
    <row r="7996" spans="1:11" x14ac:dyDescent="0.2">
      <c r="A7996" s="242"/>
      <c r="F7996" s="285" t="str">
        <f t="shared" si="255"/>
        <v/>
      </c>
      <c r="K7996" s="246" t="str">
        <f t="shared" si="256"/>
        <v/>
      </c>
    </row>
    <row r="7997" spans="1:11" x14ac:dyDescent="0.2">
      <c r="A7997" s="242"/>
      <c r="F7997" s="285" t="str">
        <f t="shared" si="255"/>
        <v/>
      </c>
      <c r="K7997" s="246" t="str">
        <f t="shared" si="256"/>
        <v/>
      </c>
    </row>
    <row r="7998" spans="1:11" x14ac:dyDescent="0.2">
      <c r="A7998" s="242"/>
      <c r="F7998" s="285" t="str">
        <f t="shared" si="255"/>
        <v/>
      </c>
      <c r="K7998" s="246" t="str">
        <f t="shared" si="256"/>
        <v/>
      </c>
    </row>
    <row r="7999" spans="1:11" x14ac:dyDescent="0.2">
      <c r="A7999" s="242"/>
      <c r="F7999" s="285" t="str">
        <f t="shared" si="255"/>
        <v/>
      </c>
      <c r="K7999" s="246" t="str">
        <f t="shared" si="256"/>
        <v/>
      </c>
    </row>
    <row r="8000" spans="1:11" x14ac:dyDescent="0.2">
      <c r="A8000" s="242"/>
      <c r="F8000" s="285" t="str">
        <f t="shared" si="255"/>
        <v/>
      </c>
      <c r="K8000" s="246" t="str">
        <f t="shared" si="256"/>
        <v/>
      </c>
    </row>
    <row r="8001" spans="1:11" x14ac:dyDescent="0.2">
      <c r="A8001" s="242"/>
      <c r="F8001" s="285" t="str">
        <f t="shared" si="255"/>
        <v/>
      </c>
      <c r="K8001" s="246" t="str">
        <f t="shared" si="256"/>
        <v/>
      </c>
    </row>
    <row r="8002" spans="1:11" x14ac:dyDescent="0.2">
      <c r="A8002" s="242"/>
      <c r="F8002" s="285" t="str">
        <f t="shared" si="255"/>
        <v/>
      </c>
      <c r="K8002" s="246" t="str">
        <f t="shared" si="256"/>
        <v/>
      </c>
    </row>
    <row r="8003" spans="1:11" x14ac:dyDescent="0.2">
      <c r="A8003" s="242"/>
      <c r="F8003" s="285" t="str">
        <f t="shared" si="255"/>
        <v/>
      </c>
      <c r="K8003" s="246" t="str">
        <f t="shared" si="256"/>
        <v/>
      </c>
    </row>
    <row r="8004" spans="1:11" x14ac:dyDescent="0.2">
      <c r="A8004" s="242"/>
      <c r="F8004" s="285" t="str">
        <f t="shared" si="255"/>
        <v/>
      </c>
      <c r="K8004" s="246" t="str">
        <f t="shared" si="256"/>
        <v/>
      </c>
    </row>
    <row r="8005" spans="1:11" x14ac:dyDescent="0.2">
      <c r="A8005" s="242"/>
      <c r="F8005" s="285" t="str">
        <f t="shared" ref="F8005:F8068" si="257">IF(A8005="","",A8005)</f>
        <v/>
      </c>
      <c r="K8005" s="246" t="str">
        <f t="shared" si="256"/>
        <v/>
      </c>
    </row>
    <row r="8006" spans="1:11" x14ac:dyDescent="0.2">
      <c r="A8006" s="242"/>
      <c r="F8006" s="285" t="str">
        <f t="shared" si="257"/>
        <v/>
      </c>
      <c r="K8006" s="246" t="str">
        <f t="shared" si="256"/>
        <v/>
      </c>
    </row>
    <row r="8007" spans="1:11" x14ac:dyDescent="0.2">
      <c r="A8007" s="242"/>
      <c r="F8007" s="285" t="str">
        <f t="shared" si="257"/>
        <v/>
      </c>
      <c r="K8007" s="246" t="str">
        <f t="shared" si="256"/>
        <v/>
      </c>
    </row>
    <row r="8008" spans="1:11" x14ac:dyDescent="0.2">
      <c r="A8008" s="242"/>
      <c r="F8008" s="285" t="str">
        <f t="shared" si="257"/>
        <v/>
      </c>
      <c r="K8008" s="246" t="str">
        <f t="shared" si="256"/>
        <v/>
      </c>
    </row>
    <row r="8009" spans="1:11" x14ac:dyDescent="0.2">
      <c r="A8009" s="242"/>
      <c r="F8009" s="285" t="str">
        <f t="shared" si="257"/>
        <v/>
      </c>
      <c r="K8009" s="246" t="str">
        <f t="shared" si="256"/>
        <v/>
      </c>
    </row>
    <row r="8010" spans="1:11" x14ac:dyDescent="0.2">
      <c r="A8010" s="242"/>
      <c r="F8010" s="285" t="str">
        <f t="shared" si="257"/>
        <v/>
      </c>
      <c r="K8010" s="246" t="str">
        <f t="shared" si="256"/>
        <v/>
      </c>
    </row>
    <row r="8011" spans="1:11" x14ac:dyDescent="0.2">
      <c r="A8011" s="242"/>
      <c r="F8011" s="285" t="str">
        <f t="shared" si="257"/>
        <v/>
      </c>
      <c r="K8011" s="246" t="str">
        <f t="shared" si="256"/>
        <v/>
      </c>
    </row>
    <row r="8012" spans="1:11" x14ac:dyDescent="0.2">
      <c r="A8012" s="242"/>
      <c r="F8012" s="285" t="str">
        <f t="shared" si="257"/>
        <v/>
      </c>
      <c r="K8012" s="246" t="str">
        <f t="shared" si="256"/>
        <v/>
      </c>
    </row>
    <row r="8013" spans="1:11" x14ac:dyDescent="0.2">
      <c r="A8013" s="242"/>
      <c r="F8013" s="285" t="str">
        <f t="shared" si="257"/>
        <v/>
      </c>
      <c r="K8013" s="246" t="str">
        <f t="shared" si="256"/>
        <v/>
      </c>
    </row>
    <row r="8014" spans="1:11" x14ac:dyDescent="0.2">
      <c r="A8014" s="242"/>
      <c r="F8014" s="285" t="str">
        <f t="shared" si="257"/>
        <v/>
      </c>
      <c r="K8014" s="246" t="str">
        <f t="shared" si="256"/>
        <v/>
      </c>
    </row>
    <row r="8015" spans="1:11" x14ac:dyDescent="0.2">
      <c r="A8015" s="242"/>
      <c r="F8015" s="285" t="str">
        <f t="shared" si="257"/>
        <v/>
      </c>
      <c r="K8015" s="246" t="str">
        <f t="shared" si="256"/>
        <v/>
      </c>
    </row>
    <row r="8016" spans="1:11" x14ac:dyDescent="0.2">
      <c r="A8016" s="242"/>
      <c r="F8016" s="285" t="str">
        <f t="shared" si="257"/>
        <v/>
      </c>
      <c r="K8016" s="246" t="str">
        <f t="shared" si="256"/>
        <v/>
      </c>
    </row>
    <row r="8017" spans="1:11" x14ac:dyDescent="0.2">
      <c r="A8017" s="242"/>
      <c r="F8017" s="285" t="str">
        <f t="shared" si="257"/>
        <v/>
      </c>
      <c r="K8017" s="246" t="str">
        <f t="shared" si="256"/>
        <v/>
      </c>
    </row>
    <row r="8018" spans="1:11" x14ac:dyDescent="0.2">
      <c r="A8018" s="242"/>
      <c r="F8018" s="285" t="str">
        <f t="shared" si="257"/>
        <v/>
      </c>
      <c r="K8018" s="246" t="str">
        <f t="shared" si="256"/>
        <v/>
      </c>
    </row>
    <row r="8019" spans="1:11" x14ac:dyDescent="0.2">
      <c r="A8019" s="242"/>
      <c r="F8019" s="285" t="str">
        <f t="shared" si="257"/>
        <v/>
      </c>
      <c r="K8019" s="246" t="str">
        <f t="shared" si="256"/>
        <v/>
      </c>
    </row>
    <row r="8020" spans="1:11" x14ac:dyDescent="0.2">
      <c r="A8020" s="242"/>
      <c r="F8020" s="285" t="str">
        <f t="shared" si="257"/>
        <v/>
      </c>
      <c r="K8020" s="246" t="str">
        <f t="shared" si="256"/>
        <v/>
      </c>
    </row>
    <row r="8021" spans="1:11" x14ac:dyDescent="0.2">
      <c r="A8021" s="242"/>
      <c r="F8021" s="285" t="str">
        <f t="shared" si="257"/>
        <v/>
      </c>
      <c r="K8021" s="246" t="str">
        <f t="shared" si="256"/>
        <v/>
      </c>
    </row>
    <row r="8022" spans="1:11" x14ac:dyDescent="0.2">
      <c r="A8022" s="242"/>
      <c r="F8022" s="285" t="str">
        <f t="shared" si="257"/>
        <v/>
      </c>
      <c r="K8022" s="246" t="str">
        <f t="shared" si="256"/>
        <v/>
      </c>
    </row>
    <row r="8023" spans="1:11" x14ac:dyDescent="0.2">
      <c r="A8023" s="242"/>
      <c r="F8023" s="285" t="str">
        <f t="shared" si="257"/>
        <v/>
      </c>
      <c r="K8023" s="246" t="str">
        <f t="shared" si="256"/>
        <v/>
      </c>
    </row>
    <row r="8024" spans="1:11" x14ac:dyDescent="0.2">
      <c r="A8024" s="242"/>
      <c r="F8024" s="285" t="str">
        <f t="shared" si="257"/>
        <v/>
      </c>
      <c r="K8024" s="246" t="str">
        <f t="shared" si="256"/>
        <v/>
      </c>
    </row>
    <row r="8025" spans="1:11" x14ac:dyDescent="0.2">
      <c r="A8025" s="242"/>
      <c r="F8025" s="285" t="str">
        <f t="shared" si="257"/>
        <v/>
      </c>
      <c r="K8025" s="246" t="str">
        <f t="shared" si="256"/>
        <v/>
      </c>
    </row>
    <row r="8026" spans="1:11" x14ac:dyDescent="0.2">
      <c r="A8026" s="242"/>
      <c r="F8026" s="285" t="str">
        <f t="shared" si="257"/>
        <v/>
      </c>
      <c r="K8026" s="246" t="str">
        <f t="shared" si="256"/>
        <v/>
      </c>
    </row>
    <row r="8027" spans="1:11" x14ac:dyDescent="0.2">
      <c r="A8027" s="242"/>
      <c r="F8027" s="285" t="str">
        <f t="shared" si="257"/>
        <v/>
      </c>
      <c r="K8027" s="246" t="str">
        <f t="shared" si="256"/>
        <v/>
      </c>
    </row>
    <row r="8028" spans="1:11" x14ac:dyDescent="0.2">
      <c r="A8028" s="242"/>
      <c r="F8028" s="285" t="str">
        <f t="shared" si="257"/>
        <v/>
      </c>
      <c r="K8028" s="246" t="str">
        <f t="shared" si="256"/>
        <v/>
      </c>
    </row>
    <row r="8029" spans="1:11" x14ac:dyDescent="0.2">
      <c r="A8029" s="242"/>
      <c r="F8029" s="285" t="str">
        <f t="shared" si="257"/>
        <v/>
      </c>
      <c r="K8029" s="246" t="str">
        <f t="shared" si="256"/>
        <v/>
      </c>
    </row>
    <row r="8030" spans="1:11" x14ac:dyDescent="0.2">
      <c r="A8030" s="242"/>
      <c r="F8030" s="285" t="str">
        <f t="shared" si="257"/>
        <v/>
      </c>
      <c r="K8030" s="246" t="str">
        <f t="shared" si="256"/>
        <v/>
      </c>
    </row>
    <row r="8031" spans="1:11" x14ac:dyDescent="0.2">
      <c r="A8031" s="242"/>
      <c r="F8031" s="285" t="str">
        <f t="shared" si="257"/>
        <v/>
      </c>
      <c r="K8031" s="246" t="str">
        <f t="shared" si="256"/>
        <v/>
      </c>
    </row>
    <row r="8032" spans="1:11" x14ac:dyDescent="0.2">
      <c r="A8032" s="242"/>
      <c r="F8032" s="285" t="str">
        <f t="shared" si="257"/>
        <v/>
      </c>
      <c r="K8032" s="246" t="str">
        <f t="shared" si="256"/>
        <v/>
      </c>
    </row>
    <row r="8033" spans="1:11" x14ac:dyDescent="0.2">
      <c r="A8033" s="242"/>
      <c r="F8033" s="285" t="str">
        <f t="shared" si="257"/>
        <v/>
      </c>
      <c r="K8033" s="246" t="str">
        <f t="shared" si="256"/>
        <v/>
      </c>
    </row>
    <row r="8034" spans="1:11" x14ac:dyDescent="0.2">
      <c r="A8034" s="242"/>
      <c r="F8034" s="285" t="str">
        <f t="shared" si="257"/>
        <v/>
      </c>
      <c r="K8034" s="246" t="str">
        <f t="shared" si="256"/>
        <v/>
      </c>
    </row>
    <row r="8035" spans="1:11" x14ac:dyDescent="0.2">
      <c r="A8035" s="242"/>
      <c r="F8035" s="285" t="str">
        <f t="shared" si="257"/>
        <v/>
      </c>
      <c r="K8035" s="246" t="str">
        <f t="shared" si="256"/>
        <v/>
      </c>
    </row>
    <row r="8036" spans="1:11" x14ac:dyDescent="0.2">
      <c r="A8036" s="242"/>
      <c r="F8036" s="285" t="str">
        <f t="shared" si="257"/>
        <v/>
      </c>
      <c r="K8036" s="246" t="str">
        <f t="shared" si="256"/>
        <v/>
      </c>
    </row>
    <row r="8037" spans="1:11" x14ac:dyDescent="0.2">
      <c r="A8037" s="242"/>
      <c r="F8037" s="285" t="str">
        <f t="shared" si="257"/>
        <v/>
      </c>
      <c r="K8037" s="246" t="str">
        <f t="shared" si="256"/>
        <v/>
      </c>
    </row>
    <row r="8038" spans="1:11" x14ac:dyDescent="0.2">
      <c r="A8038" s="242"/>
      <c r="F8038" s="285" t="str">
        <f t="shared" si="257"/>
        <v/>
      </c>
      <c r="K8038" s="246" t="str">
        <f t="shared" si="256"/>
        <v/>
      </c>
    </row>
    <row r="8039" spans="1:11" x14ac:dyDescent="0.2">
      <c r="A8039" s="242"/>
      <c r="F8039" s="285" t="str">
        <f t="shared" si="257"/>
        <v/>
      </c>
      <c r="K8039" s="246" t="str">
        <f t="shared" si="256"/>
        <v/>
      </c>
    </row>
    <row r="8040" spans="1:11" x14ac:dyDescent="0.2">
      <c r="A8040" s="242"/>
      <c r="F8040" s="285" t="str">
        <f t="shared" si="257"/>
        <v/>
      </c>
      <c r="K8040" s="246" t="str">
        <f t="shared" si="256"/>
        <v/>
      </c>
    </row>
    <row r="8041" spans="1:11" x14ac:dyDescent="0.2">
      <c r="A8041" s="242"/>
      <c r="F8041" s="285" t="str">
        <f t="shared" si="257"/>
        <v/>
      </c>
      <c r="K8041" s="246" t="str">
        <f t="shared" si="256"/>
        <v/>
      </c>
    </row>
    <row r="8042" spans="1:11" x14ac:dyDescent="0.2">
      <c r="A8042" s="242"/>
      <c r="F8042" s="285" t="str">
        <f t="shared" si="257"/>
        <v/>
      </c>
      <c r="K8042" s="246" t="str">
        <f t="shared" si="256"/>
        <v/>
      </c>
    </row>
    <row r="8043" spans="1:11" x14ac:dyDescent="0.2">
      <c r="A8043" s="242"/>
      <c r="F8043" s="285" t="str">
        <f t="shared" si="257"/>
        <v/>
      </c>
      <c r="K8043" s="246" t="str">
        <f t="shared" si="256"/>
        <v/>
      </c>
    </row>
    <row r="8044" spans="1:11" x14ac:dyDescent="0.2">
      <c r="A8044" s="242"/>
      <c r="F8044" s="285" t="str">
        <f t="shared" si="257"/>
        <v/>
      </c>
      <c r="K8044" s="246" t="str">
        <f t="shared" si="256"/>
        <v/>
      </c>
    </row>
    <row r="8045" spans="1:11" x14ac:dyDescent="0.2">
      <c r="A8045" s="242"/>
      <c r="F8045" s="285" t="str">
        <f t="shared" si="257"/>
        <v/>
      </c>
      <c r="K8045" s="246" t="str">
        <f t="shared" si="256"/>
        <v/>
      </c>
    </row>
    <row r="8046" spans="1:11" x14ac:dyDescent="0.2">
      <c r="A8046" s="242"/>
      <c r="F8046" s="285" t="str">
        <f t="shared" si="257"/>
        <v/>
      </c>
      <c r="K8046" s="246" t="str">
        <f t="shared" si="256"/>
        <v/>
      </c>
    </row>
    <row r="8047" spans="1:11" x14ac:dyDescent="0.2">
      <c r="A8047" s="242"/>
      <c r="F8047" s="285" t="str">
        <f t="shared" si="257"/>
        <v/>
      </c>
      <c r="K8047" s="246" t="str">
        <f t="shared" si="256"/>
        <v/>
      </c>
    </row>
    <row r="8048" spans="1:11" x14ac:dyDescent="0.2">
      <c r="A8048" s="242"/>
      <c r="F8048" s="285" t="str">
        <f t="shared" si="257"/>
        <v/>
      </c>
      <c r="K8048" s="246" t="str">
        <f t="shared" si="256"/>
        <v/>
      </c>
    </row>
    <row r="8049" spans="1:11" x14ac:dyDescent="0.2">
      <c r="A8049" s="242"/>
      <c r="F8049" s="285" t="str">
        <f t="shared" si="257"/>
        <v/>
      </c>
      <c r="K8049" s="246" t="str">
        <f t="shared" si="256"/>
        <v/>
      </c>
    </row>
    <row r="8050" spans="1:11" x14ac:dyDescent="0.2">
      <c r="A8050" s="242"/>
      <c r="F8050" s="285" t="str">
        <f t="shared" si="257"/>
        <v/>
      </c>
      <c r="K8050" s="246" t="str">
        <f t="shared" si="256"/>
        <v/>
      </c>
    </row>
    <row r="8051" spans="1:11" x14ac:dyDescent="0.2">
      <c r="A8051" s="242"/>
      <c r="F8051" s="285" t="str">
        <f t="shared" si="257"/>
        <v/>
      </c>
      <c r="K8051" s="246" t="str">
        <f t="shared" si="256"/>
        <v/>
      </c>
    </row>
    <row r="8052" spans="1:11" x14ac:dyDescent="0.2">
      <c r="A8052" s="242"/>
      <c r="F8052" s="285" t="str">
        <f t="shared" si="257"/>
        <v/>
      </c>
      <c r="K8052" s="246" t="str">
        <f t="shared" si="256"/>
        <v/>
      </c>
    </row>
    <row r="8053" spans="1:11" x14ac:dyDescent="0.2">
      <c r="A8053" s="242"/>
      <c r="F8053" s="285" t="str">
        <f t="shared" si="257"/>
        <v/>
      </c>
      <c r="K8053" s="246" t="str">
        <f t="shared" si="256"/>
        <v/>
      </c>
    </row>
    <row r="8054" spans="1:11" x14ac:dyDescent="0.2">
      <c r="A8054" s="242"/>
      <c r="F8054" s="285" t="str">
        <f t="shared" si="257"/>
        <v/>
      </c>
      <c r="K8054" s="246" t="str">
        <f t="shared" si="256"/>
        <v/>
      </c>
    </row>
    <row r="8055" spans="1:11" x14ac:dyDescent="0.2">
      <c r="A8055" s="242"/>
      <c r="F8055" s="285" t="str">
        <f t="shared" si="257"/>
        <v/>
      </c>
      <c r="K8055" s="246" t="str">
        <f t="shared" si="256"/>
        <v/>
      </c>
    </row>
    <row r="8056" spans="1:11" x14ac:dyDescent="0.2">
      <c r="A8056" s="242"/>
      <c r="F8056" s="285" t="str">
        <f t="shared" si="257"/>
        <v/>
      </c>
      <c r="K8056" s="246" t="str">
        <f t="shared" si="256"/>
        <v/>
      </c>
    </row>
    <row r="8057" spans="1:11" x14ac:dyDescent="0.2">
      <c r="A8057" s="242"/>
      <c r="F8057" s="285" t="str">
        <f t="shared" si="257"/>
        <v/>
      </c>
      <c r="K8057" s="246" t="str">
        <f t="shared" si="256"/>
        <v/>
      </c>
    </row>
    <row r="8058" spans="1:11" x14ac:dyDescent="0.2">
      <c r="A8058" s="242"/>
      <c r="F8058" s="285" t="str">
        <f t="shared" si="257"/>
        <v/>
      </c>
      <c r="K8058" s="246" t="str">
        <f t="shared" si="256"/>
        <v/>
      </c>
    </row>
    <row r="8059" spans="1:11" x14ac:dyDescent="0.2">
      <c r="A8059" s="242"/>
      <c r="F8059" s="285" t="str">
        <f t="shared" si="257"/>
        <v/>
      </c>
      <c r="K8059" s="246" t="str">
        <f t="shared" ref="K8059:K8122" si="258">IF(A8059="","",A8059)</f>
        <v/>
      </c>
    </row>
    <row r="8060" spans="1:11" x14ac:dyDescent="0.2">
      <c r="A8060" s="242"/>
      <c r="F8060" s="285" t="str">
        <f t="shared" si="257"/>
        <v/>
      </c>
      <c r="K8060" s="246" t="str">
        <f t="shared" si="258"/>
        <v/>
      </c>
    </row>
    <row r="8061" spans="1:11" x14ac:dyDescent="0.2">
      <c r="A8061" s="242"/>
      <c r="F8061" s="285" t="str">
        <f t="shared" si="257"/>
        <v/>
      </c>
      <c r="K8061" s="246" t="str">
        <f t="shared" si="258"/>
        <v/>
      </c>
    </row>
    <row r="8062" spans="1:11" x14ac:dyDescent="0.2">
      <c r="A8062" s="242"/>
      <c r="F8062" s="285" t="str">
        <f t="shared" si="257"/>
        <v/>
      </c>
      <c r="K8062" s="246" t="str">
        <f t="shared" si="258"/>
        <v/>
      </c>
    </row>
    <row r="8063" spans="1:11" x14ac:dyDescent="0.2">
      <c r="A8063" s="242"/>
      <c r="F8063" s="285" t="str">
        <f t="shared" si="257"/>
        <v/>
      </c>
      <c r="K8063" s="246" t="str">
        <f t="shared" si="258"/>
        <v/>
      </c>
    </row>
    <row r="8064" spans="1:11" x14ac:dyDescent="0.2">
      <c r="A8064" s="242"/>
      <c r="F8064" s="285" t="str">
        <f t="shared" si="257"/>
        <v/>
      </c>
      <c r="K8064" s="246" t="str">
        <f t="shared" si="258"/>
        <v/>
      </c>
    </row>
    <row r="8065" spans="1:11" x14ac:dyDescent="0.2">
      <c r="A8065" s="242"/>
      <c r="F8065" s="285" t="str">
        <f t="shared" si="257"/>
        <v/>
      </c>
      <c r="K8065" s="246" t="str">
        <f t="shared" si="258"/>
        <v/>
      </c>
    </row>
    <row r="8066" spans="1:11" x14ac:dyDescent="0.2">
      <c r="A8066" s="242"/>
      <c r="F8066" s="285" t="str">
        <f t="shared" si="257"/>
        <v/>
      </c>
      <c r="K8066" s="246" t="str">
        <f t="shared" si="258"/>
        <v/>
      </c>
    </row>
    <row r="8067" spans="1:11" x14ac:dyDescent="0.2">
      <c r="A8067" s="242"/>
      <c r="F8067" s="285" t="str">
        <f t="shared" si="257"/>
        <v/>
      </c>
      <c r="K8067" s="246" t="str">
        <f t="shared" si="258"/>
        <v/>
      </c>
    </row>
    <row r="8068" spans="1:11" x14ac:dyDescent="0.2">
      <c r="A8068" s="242"/>
      <c r="F8068" s="285" t="str">
        <f t="shared" si="257"/>
        <v/>
      </c>
      <c r="K8068" s="246" t="str">
        <f t="shared" si="258"/>
        <v/>
      </c>
    </row>
    <row r="8069" spans="1:11" x14ac:dyDescent="0.2">
      <c r="A8069" s="242"/>
      <c r="F8069" s="285" t="str">
        <f t="shared" ref="F8069:F8132" si="259">IF(A8069="","",A8069)</f>
        <v/>
      </c>
      <c r="K8069" s="246" t="str">
        <f t="shared" si="258"/>
        <v/>
      </c>
    </row>
    <row r="8070" spans="1:11" x14ac:dyDescent="0.2">
      <c r="A8070" s="242"/>
      <c r="F8070" s="285" t="str">
        <f t="shared" si="259"/>
        <v/>
      </c>
      <c r="K8070" s="246" t="str">
        <f t="shared" si="258"/>
        <v/>
      </c>
    </row>
    <row r="8071" spans="1:11" x14ac:dyDescent="0.2">
      <c r="A8071" s="242"/>
      <c r="F8071" s="285" t="str">
        <f t="shared" si="259"/>
        <v/>
      </c>
      <c r="K8071" s="246" t="str">
        <f t="shared" si="258"/>
        <v/>
      </c>
    </row>
    <row r="8072" spans="1:11" x14ac:dyDescent="0.2">
      <c r="A8072" s="242"/>
      <c r="F8072" s="285" t="str">
        <f t="shared" si="259"/>
        <v/>
      </c>
      <c r="K8072" s="246" t="str">
        <f t="shared" si="258"/>
        <v/>
      </c>
    </row>
    <row r="8073" spans="1:11" x14ac:dyDescent="0.2">
      <c r="A8073" s="242"/>
      <c r="F8073" s="285" t="str">
        <f t="shared" si="259"/>
        <v/>
      </c>
      <c r="K8073" s="246" t="str">
        <f t="shared" si="258"/>
        <v/>
      </c>
    </row>
    <row r="8074" spans="1:11" x14ac:dyDescent="0.2">
      <c r="A8074" s="242"/>
      <c r="F8074" s="285" t="str">
        <f t="shared" si="259"/>
        <v/>
      </c>
      <c r="K8074" s="246" t="str">
        <f t="shared" si="258"/>
        <v/>
      </c>
    </row>
    <row r="8075" spans="1:11" x14ac:dyDescent="0.2">
      <c r="A8075" s="242"/>
      <c r="F8075" s="285" t="str">
        <f t="shared" si="259"/>
        <v/>
      </c>
      <c r="K8075" s="246" t="str">
        <f t="shared" si="258"/>
        <v/>
      </c>
    </row>
    <row r="8076" spans="1:11" x14ac:dyDescent="0.2">
      <c r="A8076" s="242"/>
      <c r="F8076" s="285" t="str">
        <f t="shared" si="259"/>
        <v/>
      </c>
      <c r="K8076" s="246" t="str">
        <f t="shared" si="258"/>
        <v/>
      </c>
    </row>
    <row r="8077" spans="1:11" x14ac:dyDescent="0.2">
      <c r="A8077" s="242"/>
      <c r="F8077" s="285" t="str">
        <f t="shared" si="259"/>
        <v/>
      </c>
      <c r="K8077" s="246" t="str">
        <f t="shared" si="258"/>
        <v/>
      </c>
    </row>
    <row r="8078" spans="1:11" x14ac:dyDescent="0.2">
      <c r="A8078" s="242"/>
      <c r="F8078" s="285" t="str">
        <f t="shared" si="259"/>
        <v/>
      </c>
      <c r="K8078" s="246" t="str">
        <f t="shared" si="258"/>
        <v/>
      </c>
    </row>
    <row r="8079" spans="1:11" x14ac:dyDescent="0.2">
      <c r="A8079" s="242"/>
      <c r="F8079" s="285" t="str">
        <f t="shared" si="259"/>
        <v/>
      </c>
      <c r="K8079" s="246" t="str">
        <f t="shared" si="258"/>
        <v/>
      </c>
    </row>
    <row r="8080" spans="1:11" x14ac:dyDescent="0.2">
      <c r="A8080" s="242"/>
      <c r="F8080" s="285" t="str">
        <f t="shared" si="259"/>
        <v/>
      </c>
      <c r="K8080" s="246" t="str">
        <f t="shared" si="258"/>
        <v/>
      </c>
    </row>
    <row r="8081" spans="1:11" x14ac:dyDescent="0.2">
      <c r="A8081" s="242"/>
      <c r="F8081" s="285" t="str">
        <f t="shared" si="259"/>
        <v/>
      </c>
      <c r="K8081" s="246" t="str">
        <f t="shared" si="258"/>
        <v/>
      </c>
    </row>
    <row r="8082" spans="1:11" x14ac:dyDescent="0.2">
      <c r="A8082" s="242"/>
      <c r="F8082" s="285" t="str">
        <f t="shared" si="259"/>
        <v/>
      </c>
      <c r="K8082" s="246" t="str">
        <f t="shared" si="258"/>
        <v/>
      </c>
    </row>
    <row r="8083" spans="1:11" x14ac:dyDescent="0.2">
      <c r="A8083" s="242"/>
      <c r="F8083" s="285" t="str">
        <f t="shared" si="259"/>
        <v/>
      </c>
      <c r="K8083" s="246" t="str">
        <f t="shared" si="258"/>
        <v/>
      </c>
    </row>
    <row r="8084" spans="1:11" x14ac:dyDescent="0.2">
      <c r="A8084" s="242"/>
      <c r="F8084" s="285" t="str">
        <f t="shared" si="259"/>
        <v/>
      </c>
      <c r="K8084" s="246" t="str">
        <f t="shared" si="258"/>
        <v/>
      </c>
    </row>
    <row r="8085" spans="1:11" x14ac:dyDescent="0.2">
      <c r="A8085" s="242"/>
      <c r="F8085" s="285" t="str">
        <f t="shared" si="259"/>
        <v/>
      </c>
      <c r="K8085" s="246" t="str">
        <f t="shared" si="258"/>
        <v/>
      </c>
    </row>
    <row r="8086" spans="1:11" x14ac:dyDescent="0.2">
      <c r="A8086" s="242"/>
      <c r="F8086" s="285" t="str">
        <f t="shared" si="259"/>
        <v/>
      </c>
      <c r="K8086" s="246" t="str">
        <f t="shared" si="258"/>
        <v/>
      </c>
    </row>
    <row r="8087" spans="1:11" x14ac:dyDescent="0.2">
      <c r="A8087" s="242"/>
      <c r="F8087" s="285" t="str">
        <f t="shared" si="259"/>
        <v/>
      </c>
      <c r="K8087" s="246" t="str">
        <f t="shared" si="258"/>
        <v/>
      </c>
    </row>
    <row r="8088" spans="1:11" x14ac:dyDescent="0.2">
      <c r="A8088" s="242"/>
      <c r="F8088" s="285" t="str">
        <f t="shared" si="259"/>
        <v/>
      </c>
      <c r="K8088" s="246" t="str">
        <f t="shared" si="258"/>
        <v/>
      </c>
    </row>
    <row r="8089" spans="1:11" x14ac:dyDescent="0.2">
      <c r="A8089" s="242"/>
      <c r="F8089" s="285" t="str">
        <f t="shared" si="259"/>
        <v/>
      </c>
      <c r="K8089" s="246" t="str">
        <f t="shared" si="258"/>
        <v/>
      </c>
    </row>
    <row r="8090" spans="1:11" x14ac:dyDescent="0.2">
      <c r="A8090" s="242"/>
      <c r="F8090" s="285" t="str">
        <f t="shared" si="259"/>
        <v/>
      </c>
      <c r="K8090" s="246" t="str">
        <f t="shared" si="258"/>
        <v/>
      </c>
    </row>
    <row r="8091" spans="1:11" x14ac:dyDescent="0.2">
      <c r="A8091" s="242"/>
      <c r="F8091" s="285" t="str">
        <f t="shared" si="259"/>
        <v/>
      </c>
      <c r="K8091" s="246" t="str">
        <f t="shared" si="258"/>
        <v/>
      </c>
    </row>
    <row r="8092" spans="1:11" x14ac:dyDescent="0.2">
      <c r="A8092" s="242"/>
      <c r="F8092" s="285" t="str">
        <f t="shared" si="259"/>
        <v/>
      </c>
      <c r="K8092" s="246" t="str">
        <f t="shared" si="258"/>
        <v/>
      </c>
    </row>
    <row r="8093" spans="1:11" x14ac:dyDescent="0.2">
      <c r="A8093" s="242"/>
      <c r="F8093" s="285" t="str">
        <f t="shared" si="259"/>
        <v/>
      </c>
      <c r="K8093" s="246" t="str">
        <f t="shared" si="258"/>
        <v/>
      </c>
    </row>
    <row r="8094" spans="1:11" x14ac:dyDescent="0.2">
      <c r="A8094" s="242"/>
      <c r="F8094" s="285" t="str">
        <f t="shared" si="259"/>
        <v/>
      </c>
      <c r="K8094" s="246" t="str">
        <f t="shared" si="258"/>
        <v/>
      </c>
    </row>
    <row r="8095" spans="1:11" x14ac:dyDescent="0.2">
      <c r="A8095" s="242"/>
      <c r="F8095" s="285" t="str">
        <f t="shared" si="259"/>
        <v/>
      </c>
      <c r="K8095" s="246" t="str">
        <f t="shared" si="258"/>
        <v/>
      </c>
    </row>
    <row r="8096" spans="1:11" x14ac:dyDescent="0.2">
      <c r="A8096" s="242"/>
      <c r="F8096" s="285" t="str">
        <f t="shared" si="259"/>
        <v/>
      </c>
      <c r="K8096" s="246" t="str">
        <f t="shared" si="258"/>
        <v/>
      </c>
    </row>
    <row r="8097" spans="1:11" x14ac:dyDescent="0.2">
      <c r="A8097" s="242"/>
      <c r="F8097" s="285" t="str">
        <f t="shared" si="259"/>
        <v/>
      </c>
      <c r="K8097" s="246" t="str">
        <f t="shared" si="258"/>
        <v/>
      </c>
    </row>
    <row r="8098" spans="1:11" x14ac:dyDescent="0.2">
      <c r="A8098" s="242"/>
      <c r="F8098" s="285" t="str">
        <f t="shared" si="259"/>
        <v/>
      </c>
      <c r="K8098" s="246" t="str">
        <f t="shared" si="258"/>
        <v/>
      </c>
    </row>
    <row r="8099" spans="1:11" x14ac:dyDescent="0.2">
      <c r="A8099" s="242"/>
      <c r="F8099" s="285" t="str">
        <f t="shared" si="259"/>
        <v/>
      </c>
      <c r="K8099" s="246" t="str">
        <f t="shared" si="258"/>
        <v/>
      </c>
    </row>
    <row r="8100" spans="1:11" x14ac:dyDescent="0.2">
      <c r="A8100" s="242"/>
      <c r="F8100" s="285" t="str">
        <f t="shared" si="259"/>
        <v/>
      </c>
      <c r="K8100" s="246" t="str">
        <f t="shared" si="258"/>
        <v/>
      </c>
    </row>
    <row r="8101" spans="1:11" x14ac:dyDescent="0.2">
      <c r="A8101" s="242"/>
      <c r="F8101" s="285" t="str">
        <f t="shared" si="259"/>
        <v/>
      </c>
      <c r="K8101" s="246" t="str">
        <f t="shared" si="258"/>
        <v/>
      </c>
    </row>
    <row r="8102" spans="1:11" x14ac:dyDescent="0.2">
      <c r="A8102" s="242"/>
      <c r="F8102" s="285" t="str">
        <f t="shared" si="259"/>
        <v/>
      </c>
      <c r="K8102" s="246" t="str">
        <f t="shared" si="258"/>
        <v/>
      </c>
    </row>
    <row r="8103" spans="1:11" x14ac:dyDescent="0.2">
      <c r="A8103" s="242"/>
      <c r="F8103" s="285" t="str">
        <f t="shared" si="259"/>
        <v/>
      </c>
      <c r="K8103" s="246" t="str">
        <f t="shared" si="258"/>
        <v/>
      </c>
    </row>
    <row r="8104" spans="1:11" x14ac:dyDescent="0.2">
      <c r="A8104" s="242"/>
      <c r="F8104" s="285" t="str">
        <f t="shared" si="259"/>
        <v/>
      </c>
      <c r="K8104" s="246" t="str">
        <f t="shared" si="258"/>
        <v/>
      </c>
    </row>
    <row r="8105" spans="1:11" x14ac:dyDescent="0.2">
      <c r="A8105" s="242"/>
      <c r="F8105" s="285" t="str">
        <f t="shared" si="259"/>
        <v/>
      </c>
      <c r="K8105" s="246" t="str">
        <f t="shared" si="258"/>
        <v/>
      </c>
    </row>
    <row r="8106" spans="1:11" x14ac:dyDescent="0.2">
      <c r="A8106" s="242"/>
      <c r="F8106" s="285" t="str">
        <f t="shared" si="259"/>
        <v/>
      </c>
      <c r="K8106" s="246" t="str">
        <f t="shared" si="258"/>
        <v/>
      </c>
    </row>
    <row r="8107" spans="1:11" x14ac:dyDescent="0.2">
      <c r="A8107" s="242"/>
      <c r="F8107" s="285" t="str">
        <f t="shared" si="259"/>
        <v/>
      </c>
      <c r="K8107" s="246" t="str">
        <f t="shared" si="258"/>
        <v/>
      </c>
    </row>
    <row r="8108" spans="1:11" x14ac:dyDescent="0.2">
      <c r="A8108" s="242"/>
      <c r="F8108" s="285" t="str">
        <f t="shared" si="259"/>
        <v/>
      </c>
      <c r="K8108" s="246" t="str">
        <f t="shared" si="258"/>
        <v/>
      </c>
    </row>
    <row r="8109" spans="1:11" x14ac:dyDescent="0.2">
      <c r="A8109" s="242"/>
      <c r="F8109" s="285" t="str">
        <f t="shared" si="259"/>
        <v/>
      </c>
      <c r="K8109" s="246" t="str">
        <f t="shared" si="258"/>
        <v/>
      </c>
    </row>
    <row r="8110" spans="1:11" x14ac:dyDescent="0.2">
      <c r="A8110" s="242"/>
      <c r="F8110" s="285" t="str">
        <f t="shared" si="259"/>
        <v/>
      </c>
      <c r="K8110" s="246" t="str">
        <f t="shared" si="258"/>
        <v/>
      </c>
    </row>
    <row r="8111" spans="1:11" x14ac:dyDescent="0.2">
      <c r="A8111" s="242"/>
      <c r="F8111" s="285" t="str">
        <f t="shared" si="259"/>
        <v/>
      </c>
      <c r="K8111" s="246" t="str">
        <f t="shared" si="258"/>
        <v/>
      </c>
    </row>
    <row r="8112" spans="1:11" x14ac:dyDescent="0.2">
      <c r="A8112" s="242"/>
      <c r="F8112" s="285" t="str">
        <f t="shared" si="259"/>
        <v/>
      </c>
      <c r="K8112" s="246" t="str">
        <f t="shared" si="258"/>
        <v/>
      </c>
    </row>
    <row r="8113" spans="1:11" x14ac:dyDescent="0.2">
      <c r="A8113" s="242"/>
      <c r="F8113" s="285" t="str">
        <f t="shared" si="259"/>
        <v/>
      </c>
      <c r="K8113" s="246" t="str">
        <f t="shared" si="258"/>
        <v/>
      </c>
    </row>
    <row r="8114" spans="1:11" x14ac:dyDescent="0.2">
      <c r="A8114" s="242"/>
      <c r="F8114" s="285" t="str">
        <f t="shared" si="259"/>
        <v/>
      </c>
      <c r="K8114" s="246" t="str">
        <f t="shared" si="258"/>
        <v/>
      </c>
    </row>
    <row r="8115" spans="1:11" x14ac:dyDescent="0.2">
      <c r="A8115" s="242"/>
      <c r="F8115" s="285" t="str">
        <f t="shared" si="259"/>
        <v/>
      </c>
      <c r="K8115" s="246" t="str">
        <f t="shared" si="258"/>
        <v/>
      </c>
    </row>
    <row r="8116" spans="1:11" x14ac:dyDescent="0.2">
      <c r="A8116" s="242"/>
      <c r="F8116" s="285" t="str">
        <f t="shared" si="259"/>
        <v/>
      </c>
      <c r="K8116" s="246" t="str">
        <f t="shared" si="258"/>
        <v/>
      </c>
    </row>
    <row r="8117" spans="1:11" x14ac:dyDescent="0.2">
      <c r="A8117" s="242"/>
      <c r="F8117" s="285" t="str">
        <f t="shared" si="259"/>
        <v/>
      </c>
      <c r="K8117" s="246" t="str">
        <f t="shared" si="258"/>
        <v/>
      </c>
    </row>
    <row r="8118" spans="1:11" x14ac:dyDescent="0.2">
      <c r="A8118" s="242"/>
      <c r="F8118" s="285" t="str">
        <f t="shared" si="259"/>
        <v/>
      </c>
      <c r="K8118" s="246" t="str">
        <f t="shared" si="258"/>
        <v/>
      </c>
    </row>
    <row r="8119" spans="1:11" x14ac:dyDescent="0.2">
      <c r="A8119" s="242"/>
      <c r="F8119" s="285" t="str">
        <f t="shared" si="259"/>
        <v/>
      </c>
      <c r="K8119" s="246" t="str">
        <f t="shared" si="258"/>
        <v/>
      </c>
    </row>
    <row r="8120" spans="1:11" x14ac:dyDescent="0.2">
      <c r="A8120" s="242"/>
      <c r="F8120" s="285" t="str">
        <f t="shared" si="259"/>
        <v/>
      </c>
      <c r="K8120" s="246" t="str">
        <f t="shared" si="258"/>
        <v/>
      </c>
    </row>
    <row r="8121" spans="1:11" x14ac:dyDescent="0.2">
      <c r="A8121" s="242"/>
      <c r="F8121" s="285" t="str">
        <f t="shared" si="259"/>
        <v/>
      </c>
      <c r="K8121" s="246" t="str">
        <f t="shared" si="258"/>
        <v/>
      </c>
    </row>
    <row r="8122" spans="1:11" x14ac:dyDescent="0.2">
      <c r="A8122" s="242"/>
      <c r="F8122" s="285" t="str">
        <f t="shared" si="259"/>
        <v/>
      </c>
      <c r="K8122" s="246" t="str">
        <f t="shared" si="258"/>
        <v/>
      </c>
    </row>
    <row r="8123" spans="1:11" x14ac:dyDescent="0.2">
      <c r="A8123" s="242"/>
      <c r="F8123" s="285" t="str">
        <f t="shared" si="259"/>
        <v/>
      </c>
      <c r="K8123" s="246" t="str">
        <f t="shared" ref="K8123:K8186" si="260">IF(A8123="","",A8123)</f>
        <v/>
      </c>
    </row>
    <row r="8124" spans="1:11" x14ac:dyDescent="0.2">
      <c r="A8124" s="242"/>
      <c r="F8124" s="285" t="str">
        <f t="shared" si="259"/>
        <v/>
      </c>
      <c r="K8124" s="246" t="str">
        <f t="shared" si="260"/>
        <v/>
      </c>
    </row>
    <row r="8125" spans="1:11" x14ac:dyDescent="0.2">
      <c r="A8125" s="242"/>
      <c r="F8125" s="285" t="str">
        <f t="shared" si="259"/>
        <v/>
      </c>
      <c r="K8125" s="246" t="str">
        <f t="shared" si="260"/>
        <v/>
      </c>
    </row>
    <row r="8126" spans="1:11" x14ac:dyDescent="0.2">
      <c r="A8126" s="242"/>
      <c r="F8126" s="285" t="str">
        <f t="shared" si="259"/>
        <v/>
      </c>
      <c r="K8126" s="246" t="str">
        <f t="shared" si="260"/>
        <v/>
      </c>
    </row>
    <row r="8127" spans="1:11" x14ac:dyDescent="0.2">
      <c r="A8127" s="242"/>
      <c r="F8127" s="285" t="str">
        <f t="shared" si="259"/>
        <v/>
      </c>
      <c r="K8127" s="246" t="str">
        <f t="shared" si="260"/>
        <v/>
      </c>
    </row>
    <row r="8128" spans="1:11" x14ac:dyDescent="0.2">
      <c r="A8128" s="242"/>
      <c r="F8128" s="285" t="str">
        <f t="shared" si="259"/>
        <v/>
      </c>
      <c r="K8128" s="246" t="str">
        <f t="shared" si="260"/>
        <v/>
      </c>
    </row>
    <row r="8129" spans="1:11" x14ac:dyDescent="0.2">
      <c r="A8129" s="242"/>
      <c r="F8129" s="285" t="str">
        <f t="shared" si="259"/>
        <v/>
      </c>
      <c r="K8129" s="246" t="str">
        <f t="shared" si="260"/>
        <v/>
      </c>
    </row>
    <row r="8130" spans="1:11" x14ac:dyDescent="0.2">
      <c r="A8130" s="242"/>
      <c r="F8130" s="285" t="str">
        <f t="shared" si="259"/>
        <v/>
      </c>
      <c r="K8130" s="246" t="str">
        <f t="shared" si="260"/>
        <v/>
      </c>
    </row>
    <row r="8131" spans="1:11" x14ac:dyDescent="0.2">
      <c r="A8131" s="242"/>
      <c r="F8131" s="285" t="str">
        <f t="shared" si="259"/>
        <v/>
      </c>
      <c r="K8131" s="246" t="str">
        <f t="shared" si="260"/>
        <v/>
      </c>
    </row>
    <row r="8132" spans="1:11" x14ac:dyDescent="0.2">
      <c r="A8132" s="242"/>
      <c r="F8132" s="285" t="str">
        <f t="shared" si="259"/>
        <v/>
      </c>
      <c r="K8132" s="246" t="str">
        <f t="shared" si="260"/>
        <v/>
      </c>
    </row>
    <row r="8133" spans="1:11" x14ac:dyDescent="0.2">
      <c r="A8133" s="242"/>
      <c r="F8133" s="285" t="str">
        <f t="shared" ref="F8133:F8196" si="261">IF(A8133="","",A8133)</f>
        <v/>
      </c>
      <c r="K8133" s="246" t="str">
        <f t="shared" si="260"/>
        <v/>
      </c>
    </row>
    <row r="8134" spans="1:11" x14ac:dyDescent="0.2">
      <c r="A8134" s="242"/>
      <c r="F8134" s="285" t="str">
        <f t="shared" si="261"/>
        <v/>
      </c>
      <c r="K8134" s="246" t="str">
        <f t="shared" si="260"/>
        <v/>
      </c>
    </row>
    <row r="8135" spans="1:11" x14ac:dyDescent="0.2">
      <c r="A8135" s="242"/>
      <c r="F8135" s="285" t="str">
        <f t="shared" si="261"/>
        <v/>
      </c>
      <c r="K8135" s="246" t="str">
        <f t="shared" si="260"/>
        <v/>
      </c>
    </row>
    <row r="8136" spans="1:11" x14ac:dyDescent="0.2">
      <c r="A8136" s="242"/>
      <c r="F8136" s="285" t="str">
        <f t="shared" si="261"/>
        <v/>
      </c>
      <c r="K8136" s="246" t="str">
        <f t="shared" si="260"/>
        <v/>
      </c>
    </row>
    <row r="8137" spans="1:11" x14ac:dyDescent="0.2">
      <c r="A8137" s="242"/>
      <c r="F8137" s="285" t="str">
        <f t="shared" si="261"/>
        <v/>
      </c>
      <c r="K8137" s="246" t="str">
        <f t="shared" si="260"/>
        <v/>
      </c>
    </row>
    <row r="8138" spans="1:11" x14ac:dyDescent="0.2">
      <c r="A8138" s="242"/>
      <c r="F8138" s="285" t="str">
        <f t="shared" si="261"/>
        <v/>
      </c>
      <c r="K8138" s="246" t="str">
        <f t="shared" si="260"/>
        <v/>
      </c>
    </row>
    <row r="8139" spans="1:11" x14ac:dyDescent="0.2">
      <c r="A8139" s="242"/>
      <c r="F8139" s="285" t="str">
        <f t="shared" si="261"/>
        <v/>
      </c>
      <c r="K8139" s="246" t="str">
        <f t="shared" si="260"/>
        <v/>
      </c>
    </row>
    <row r="8140" spans="1:11" x14ac:dyDescent="0.2">
      <c r="A8140" s="242"/>
      <c r="F8140" s="285" t="str">
        <f t="shared" si="261"/>
        <v/>
      </c>
      <c r="K8140" s="246" t="str">
        <f t="shared" si="260"/>
        <v/>
      </c>
    </row>
    <row r="8141" spans="1:11" x14ac:dyDescent="0.2">
      <c r="A8141" s="242"/>
      <c r="F8141" s="285" t="str">
        <f t="shared" si="261"/>
        <v/>
      </c>
      <c r="K8141" s="246" t="str">
        <f t="shared" si="260"/>
        <v/>
      </c>
    </row>
    <row r="8142" spans="1:11" x14ac:dyDescent="0.2">
      <c r="A8142" s="242"/>
      <c r="F8142" s="285" t="str">
        <f t="shared" si="261"/>
        <v/>
      </c>
      <c r="K8142" s="246" t="str">
        <f t="shared" si="260"/>
        <v/>
      </c>
    </row>
    <row r="8143" spans="1:11" x14ac:dyDescent="0.2">
      <c r="A8143" s="242"/>
      <c r="F8143" s="285" t="str">
        <f t="shared" si="261"/>
        <v/>
      </c>
      <c r="K8143" s="246" t="str">
        <f t="shared" si="260"/>
        <v/>
      </c>
    </row>
    <row r="8144" spans="1:11" x14ac:dyDescent="0.2">
      <c r="A8144" s="242"/>
      <c r="F8144" s="285" t="str">
        <f t="shared" si="261"/>
        <v/>
      </c>
      <c r="K8144" s="246" t="str">
        <f t="shared" si="260"/>
        <v/>
      </c>
    </row>
    <row r="8145" spans="1:11" x14ac:dyDescent="0.2">
      <c r="A8145" s="242"/>
      <c r="F8145" s="285" t="str">
        <f t="shared" si="261"/>
        <v/>
      </c>
      <c r="K8145" s="246" t="str">
        <f t="shared" si="260"/>
        <v/>
      </c>
    </row>
    <row r="8146" spans="1:11" x14ac:dyDescent="0.2">
      <c r="A8146" s="242"/>
      <c r="F8146" s="285" t="str">
        <f t="shared" si="261"/>
        <v/>
      </c>
      <c r="K8146" s="246" t="str">
        <f t="shared" si="260"/>
        <v/>
      </c>
    </row>
    <row r="8147" spans="1:11" x14ac:dyDescent="0.2">
      <c r="A8147" s="242"/>
      <c r="F8147" s="285" t="str">
        <f t="shared" si="261"/>
        <v/>
      </c>
      <c r="K8147" s="246" t="str">
        <f t="shared" si="260"/>
        <v/>
      </c>
    </row>
    <row r="8148" spans="1:11" x14ac:dyDescent="0.2">
      <c r="A8148" s="242"/>
      <c r="F8148" s="285" t="str">
        <f t="shared" si="261"/>
        <v/>
      </c>
      <c r="K8148" s="246" t="str">
        <f t="shared" si="260"/>
        <v/>
      </c>
    </row>
    <row r="8149" spans="1:11" x14ac:dyDescent="0.2">
      <c r="A8149" s="242"/>
      <c r="F8149" s="285" t="str">
        <f t="shared" si="261"/>
        <v/>
      </c>
      <c r="K8149" s="246" t="str">
        <f t="shared" si="260"/>
        <v/>
      </c>
    </row>
    <row r="8150" spans="1:11" x14ac:dyDescent="0.2">
      <c r="A8150" s="242"/>
      <c r="F8150" s="285" t="str">
        <f t="shared" si="261"/>
        <v/>
      </c>
      <c r="K8150" s="246" t="str">
        <f t="shared" si="260"/>
        <v/>
      </c>
    </row>
    <row r="8151" spans="1:11" x14ac:dyDescent="0.2">
      <c r="A8151" s="242"/>
      <c r="F8151" s="285" t="str">
        <f t="shared" si="261"/>
        <v/>
      </c>
      <c r="K8151" s="246" t="str">
        <f t="shared" si="260"/>
        <v/>
      </c>
    </row>
    <row r="8152" spans="1:11" x14ac:dyDescent="0.2">
      <c r="A8152" s="242"/>
      <c r="F8152" s="285" t="str">
        <f t="shared" si="261"/>
        <v/>
      </c>
      <c r="K8152" s="246" t="str">
        <f t="shared" si="260"/>
        <v/>
      </c>
    </row>
    <row r="8153" spans="1:11" x14ac:dyDescent="0.2">
      <c r="A8153" s="242"/>
      <c r="F8153" s="285" t="str">
        <f t="shared" si="261"/>
        <v/>
      </c>
      <c r="K8153" s="246" t="str">
        <f t="shared" si="260"/>
        <v/>
      </c>
    </row>
    <row r="8154" spans="1:11" x14ac:dyDescent="0.2">
      <c r="A8154" s="242"/>
      <c r="F8154" s="285" t="str">
        <f t="shared" si="261"/>
        <v/>
      </c>
      <c r="K8154" s="246" t="str">
        <f t="shared" si="260"/>
        <v/>
      </c>
    </row>
    <row r="8155" spans="1:11" x14ac:dyDescent="0.2">
      <c r="A8155" s="242"/>
      <c r="F8155" s="285" t="str">
        <f t="shared" si="261"/>
        <v/>
      </c>
      <c r="K8155" s="246" t="str">
        <f t="shared" si="260"/>
        <v/>
      </c>
    </row>
    <row r="8156" spans="1:11" x14ac:dyDescent="0.2">
      <c r="A8156" s="242"/>
      <c r="F8156" s="285" t="str">
        <f t="shared" si="261"/>
        <v/>
      </c>
      <c r="K8156" s="246" t="str">
        <f t="shared" si="260"/>
        <v/>
      </c>
    </row>
    <row r="8157" spans="1:11" x14ac:dyDescent="0.2">
      <c r="A8157" s="242"/>
      <c r="F8157" s="285" t="str">
        <f t="shared" si="261"/>
        <v/>
      </c>
      <c r="K8157" s="246" t="str">
        <f t="shared" si="260"/>
        <v/>
      </c>
    </row>
    <row r="8158" spans="1:11" x14ac:dyDescent="0.2">
      <c r="A8158" s="242"/>
      <c r="F8158" s="285" t="str">
        <f t="shared" si="261"/>
        <v/>
      </c>
      <c r="K8158" s="246" t="str">
        <f t="shared" si="260"/>
        <v/>
      </c>
    </row>
    <row r="8159" spans="1:11" x14ac:dyDescent="0.2">
      <c r="A8159" s="242"/>
      <c r="F8159" s="285" t="str">
        <f t="shared" si="261"/>
        <v/>
      </c>
      <c r="K8159" s="246" t="str">
        <f t="shared" si="260"/>
        <v/>
      </c>
    </row>
    <row r="8160" spans="1:11" x14ac:dyDescent="0.2">
      <c r="A8160" s="242"/>
      <c r="F8160" s="285" t="str">
        <f t="shared" si="261"/>
        <v/>
      </c>
      <c r="K8160" s="246" t="str">
        <f t="shared" si="260"/>
        <v/>
      </c>
    </row>
    <row r="8161" spans="1:11" x14ac:dyDescent="0.2">
      <c r="A8161" s="242"/>
      <c r="F8161" s="285" t="str">
        <f t="shared" si="261"/>
        <v/>
      </c>
      <c r="K8161" s="246" t="str">
        <f t="shared" si="260"/>
        <v/>
      </c>
    </row>
    <row r="8162" spans="1:11" x14ac:dyDescent="0.2">
      <c r="A8162" s="242"/>
      <c r="F8162" s="285" t="str">
        <f t="shared" si="261"/>
        <v/>
      </c>
      <c r="K8162" s="246" t="str">
        <f t="shared" si="260"/>
        <v/>
      </c>
    </row>
    <row r="8163" spans="1:11" x14ac:dyDescent="0.2">
      <c r="A8163" s="242"/>
      <c r="F8163" s="285" t="str">
        <f t="shared" si="261"/>
        <v/>
      </c>
      <c r="K8163" s="246" t="str">
        <f t="shared" si="260"/>
        <v/>
      </c>
    </row>
    <row r="8164" spans="1:11" x14ac:dyDescent="0.2">
      <c r="A8164" s="242"/>
      <c r="F8164" s="285" t="str">
        <f t="shared" si="261"/>
        <v/>
      </c>
      <c r="K8164" s="246" t="str">
        <f t="shared" si="260"/>
        <v/>
      </c>
    </row>
    <row r="8165" spans="1:11" x14ac:dyDescent="0.2">
      <c r="A8165" s="242"/>
      <c r="F8165" s="285" t="str">
        <f t="shared" si="261"/>
        <v/>
      </c>
      <c r="K8165" s="246" t="str">
        <f t="shared" si="260"/>
        <v/>
      </c>
    </row>
    <row r="8166" spans="1:11" x14ac:dyDescent="0.2">
      <c r="A8166" s="242"/>
      <c r="F8166" s="285" t="str">
        <f t="shared" si="261"/>
        <v/>
      </c>
      <c r="K8166" s="246" t="str">
        <f t="shared" si="260"/>
        <v/>
      </c>
    </row>
    <row r="8167" spans="1:11" x14ac:dyDescent="0.2">
      <c r="A8167" s="242"/>
      <c r="F8167" s="285" t="str">
        <f t="shared" si="261"/>
        <v/>
      </c>
      <c r="K8167" s="246" t="str">
        <f t="shared" si="260"/>
        <v/>
      </c>
    </row>
    <row r="8168" spans="1:11" x14ac:dyDescent="0.2">
      <c r="A8168" s="242"/>
      <c r="F8168" s="285" t="str">
        <f t="shared" si="261"/>
        <v/>
      </c>
      <c r="K8168" s="246" t="str">
        <f t="shared" si="260"/>
        <v/>
      </c>
    </row>
    <row r="8169" spans="1:11" x14ac:dyDescent="0.2">
      <c r="A8169" s="242"/>
      <c r="F8169" s="285" t="str">
        <f t="shared" si="261"/>
        <v/>
      </c>
      <c r="K8169" s="246" t="str">
        <f t="shared" si="260"/>
        <v/>
      </c>
    </row>
    <row r="8170" spans="1:11" x14ac:dyDescent="0.2">
      <c r="A8170" s="242"/>
      <c r="F8170" s="285" t="str">
        <f t="shared" si="261"/>
        <v/>
      </c>
      <c r="K8170" s="246" t="str">
        <f t="shared" si="260"/>
        <v/>
      </c>
    </row>
    <row r="8171" spans="1:11" x14ac:dyDescent="0.2">
      <c r="A8171" s="242"/>
      <c r="F8171" s="285" t="str">
        <f t="shared" si="261"/>
        <v/>
      </c>
      <c r="K8171" s="246" t="str">
        <f t="shared" si="260"/>
        <v/>
      </c>
    </row>
    <row r="8172" spans="1:11" x14ac:dyDescent="0.2">
      <c r="A8172" s="242"/>
      <c r="F8172" s="285" t="str">
        <f t="shared" si="261"/>
        <v/>
      </c>
      <c r="K8172" s="246" t="str">
        <f t="shared" si="260"/>
        <v/>
      </c>
    </row>
    <row r="8173" spans="1:11" x14ac:dyDescent="0.2">
      <c r="A8173" s="242"/>
      <c r="F8173" s="285" t="str">
        <f t="shared" si="261"/>
        <v/>
      </c>
      <c r="K8173" s="246" t="str">
        <f t="shared" si="260"/>
        <v/>
      </c>
    </row>
    <row r="8174" spans="1:11" x14ac:dyDescent="0.2">
      <c r="A8174" s="242"/>
      <c r="F8174" s="285" t="str">
        <f t="shared" si="261"/>
        <v/>
      </c>
      <c r="K8174" s="246" t="str">
        <f t="shared" si="260"/>
        <v/>
      </c>
    </row>
    <row r="8175" spans="1:11" x14ac:dyDescent="0.2">
      <c r="A8175" s="242"/>
      <c r="F8175" s="285" t="str">
        <f t="shared" si="261"/>
        <v/>
      </c>
      <c r="K8175" s="246" t="str">
        <f t="shared" si="260"/>
        <v/>
      </c>
    </row>
    <row r="8176" spans="1:11" x14ac:dyDescent="0.2">
      <c r="A8176" s="242"/>
      <c r="F8176" s="285" t="str">
        <f t="shared" si="261"/>
        <v/>
      </c>
      <c r="K8176" s="246" t="str">
        <f t="shared" si="260"/>
        <v/>
      </c>
    </row>
    <row r="8177" spans="1:11" x14ac:dyDescent="0.2">
      <c r="A8177" s="242"/>
      <c r="F8177" s="285" t="str">
        <f t="shared" si="261"/>
        <v/>
      </c>
      <c r="K8177" s="246" t="str">
        <f t="shared" si="260"/>
        <v/>
      </c>
    </row>
    <row r="8178" spans="1:11" x14ac:dyDescent="0.2">
      <c r="A8178" s="242"/>
      <c r="F8178" s="285" t="str">
        <f t="shared" si="261"/>
        <v/>
      </c>
      <c r="K8178" s="246" t="str">
        <f t="shared" si="260"/>
        <v/>
      </c>
    </row>
    <row r="8179" spans="1:11" x14ac:dyDescent="0.2">
      <c r="A8179" s="242"/>
      <c r="F8179" s="285" t="str">
        <f t="shared" si="261"/>
        <v/>
      </c>
      <c r="K8179" s="246" t="str">
        <f t="shared" si="260"/>
        <v/>
      </c>
    </row>
    <row r="8180" spans="1:11" x14ac:dyDescent="0.2">
      <c r="A8180" s="242"/>
      <c r="F8180" s="285" t="str">
        <f t="shared" si="261"/>
        <v/>
      </c>
      <c r="K8180" s="246" t="str">
        <f t="shared" si="260"/>
        <v/>
      </c>
    </row>
    <row r="8181" spans="1:11" x14ac:dyDescent="0.2">
      <c r="A8181" s="242"/>
      <c r="F8181" s="285" t="str">
        <f t="shared" si="261"/>
        <v/>
      </c>
      <c r="K8181" s="246" t="str">
        <f t="shared" si="260"/>
        <v/>
      </c>
    </row>
    <row r="8182" spans="1:11" x14ac:dyDescent="0.2">
      <c r="A8182" s="242"/>
      <c r="F8182" s="285" t="str">
        <f t="shared" si="261"/>
        <v/>
      </c>
      <c r="K8182" s="246" t="str">
        <f t="shared" si="260"/>
        <v/>
      </c>
    </row>
    <row r="8183" spans="1:11" x14ac:dyDescent="0.2">
      <c r="A8183" s="242"/>
      <c r="F8183" s="285" t="str">
        <f t="shared" si="261"/>
        <v/>
      </c>
      <c r="K8183" s="246" t="str">
        <f t="shared" si="260"/>
        <v/>
      </c>
    </row>
    <row r="8184" spans="1:11" x14ac:dyDescent="0.2">
      <c r="A8184" s="242"/>
      <c r="F8184" s="285" t="str">
        <f t="shared" si="261"/>
        <v/>
      </c>
      <c r="K8184" s="246" t="str">
        <f t="shared" si="260"/>
        <v/>
      </c>
    </row>
    <row r="8185" spans="1:11" x14ac:dyDescent="0.2">
      <c r="A8185" s="242"/>
      <c r="F8185" s="285" t="str">
        <f t="shared" si="261"/>
        <v/>
      </c>
      <c r="K8185" s="246" t="str">
        <f t="shared" si="260"/>
        <v/>
      </c>
    </row>
    <row r="8186" spans="1:11" x14ac:dyDescent="0.2">
      <c r="A8186" s="242"/>
      <c r="F8186" s="285" t="str">
        <f t="shared" si="261"/>
        <v/>
      </c>
      <c r="K8186" s="246" t="str">
        <f t="shared" si="260"/>
        <v/>
      </c>
    </row>
    <row r="8187" spans="1:11" x14ac:dyDescent="0.2">
      <c r="A8187" s="242"/>
      <c r="F8187" s="285" t="str">
        <f t="shared" si="261"/>
        <v/>
      </c>
      <c r="K8187" s="246" t="str">
        <f t="shared" ref="K8187:K8250" si="262">IF(A8187="","",A8187)</f>
        <v/>
      </c>
    </row>
    <row r="8188" spans="1:11" x14ac:dyDescent="0.2">
      <c r="A8188" s="242"/>
      <c r="F8188" s="285" t="str">
        <f t="shared" si="261"/>
        <v/>
      </c>
      <c r="K8188" s="246" t="str">
        <f t="shared" si="262"/>
        <v/>
      </c>
    </row>
    <row r="8189" spans="1:11" x14ac:dyDescent="0.2">
      <c r="A8189" s="242"/>
      <c r="F8189" s="285" t="str">
        <f t="shared" si="261"/>
        <v/>
      </c>
      <c r="K8189" s="246" t="str">
        <f t="shared" si="262"/>
        <v/>
      </c>
    </row>
    <row r="8190" spans="1:11" x14ac:dyDescent="0.2">
      <c r="A8190" s="242"/>
      <c r="F8190" s="285" t="str">
        <f t="shared" si="261"/>
        <v/>
      </c>
      <c r="K8190" s="246" t="str">
        <f t="shared" si="262"/>
        <v/>
      </c>
    </row>
    <row r="8191" spans="1:11" x14ac:dyDescent="0.2">
      <c r="A8191" s="242"/>
      <c r="F8191" s="285" t="str">
        <f t="shared" si="261"/>
        <v/>
      </c>
      <c r="K8191" s="246" t="str">
        <f t="shared" si="262"/>
        <v/>
      </c>
    </row>
    <row r="8192" spans="1:11" x14ac:dyDescent="0.2">
      <c r="A8192" s="242"/>
      <c r="F8192" s="285" t="str">
        <f t="shared" si="261"/>
        <v/>
      </c>
      <c r="K8192" s="246" t="str">
        <f t="shared" si="262"/>
        <v/>
      </c>
    </row>
    <row r="8193" spans="1:11" x14ac:dyDescent="0.2">
      <c r="A8193" s="242"/>
      <c r="F8193" s="285" t="str">
        <f t="shared" si="261"/>
        <v/>
      </c>
      <c r="K8193" s="246" t="str">
        <f t="shared" si="262"/>
        <v/>
      </c>
    </row>
    <row r="8194" spans="1:11" x14ac:dyDescent="0.2">
      <c r="A8194" s="242"/>
      <c r="F8194" s="285" t="str">
        <f t="shared" si="261"/>
        <v/>
      </c>
      <c r="K8194" s="246" t="str">
        <f t="shared" si="262"/>
        <v/>
      </c>
    </row>
    <row r="8195" spans="1:11" x14ac:dyDescent="0.2">
      <c r="A8195" s="242"/>
      <c r="F8195" s="285" t="str">
        <f t="shared" si="261"/>
        <v/>
      </c>
      <c r="K8195" s="246" t="str">
        <f t="shared" si="262"/>
        <v/>
      </c>
    </row>
    <row r="8196" spans="1:11" x14ac:dyDescent="0.2">
      <c r="A8196" s="242"/>
      <c r="F8196" s="285" t="str">
        <f t="shared" si="261"/>
        <v/>
      </c>
      <c r="K8196" s="246" t="str">
        <f t="shared" si="262"/>
        <v/>
      </c>
    </row>
    <row r="8197" spans="1:11" x14ac:dyDescent="0.2">
      <c r="A8197" s="242"/>
      <c r="F8197" s="285" t="str">
        <f t="shared" ref="F8197:F8260" si="263">IF(A8197="","",A8197)</f>
        <v/>
      </c>
      <c r="K8197" s="246" t="str">
        <f t="shared" si="262"/>
        <v/>
      </c>
    </row>
    <row r="8198" spans="1:11" x14ac:dyDescent="0.2">
      <c r="A8198" s="242"/>
      <c r="F8198" s="285" t="str">
        <f t="shared" si="263"/>
        <v/>
      </c>
      <c r="K8198" s="246" t="str">
        <f t="shared" si="262"/>
        <v/>
      </c>
    </row>
    <row r="8199" spans="1:11" x14ac:dyDescent="0.2">
      <c r="A8199" s="242"/>
      <c r="F8199" s="285" t="str">
        <f t="shared" si="263"/>
        <v/>
      </c>
      <c r="K8199" s="246" t="str">
        <f t="shared" si="262"/>
        <v/>
      </c>
    </row>
    <row r="8200" spans="1:11" x14ac:dyDescent="0.2">
      <c r="A8200" s="242"/>
      <c r="F8200" s="285" t="str">
        <f t="shared" si="263"/>
        <v/>
      </c>
      <c r="K8200" s="246" t="str">
        <f t="shared" si="262"/>
        <v/>
      </c>
    </row>
    <row r="8201" spans="1:11" x14ac:dyDescent="0.2">
      <c r="A8201" s="242"/>
      <c r="F8201" s="285" t="str">
        <f t="shared" si="263"/>
        <v/>
      </c>
      <c r="K8201" s="246" t="str">
        <f t="shared" si="262"/>
        <v/>
      </c>
    </row>
    <row r="8202" spans="1:11" x14ac:dyDescent="0.2">
      <c r="A8202" s="242"/>
      <c r="F8202" s="285" t="str">
        <f t="shared" si="263"/>
        <v/>
      </c>
      <c r="K8202" s="246" t="str">
        <f t="shared" si="262"/>
        <v/>
      </c>
    </row>
    <row r="8203" spans="1:11" x14ac:dyDescent="0.2">
      <c r="A8203" s="242"/>
      <c r="F8203" s="285" t="str">
        <f t="shared" si="263"/>
        <v/>
      </c>
      <c r="K8203" s="246" t="str">
        <f t="shared" si="262"/>
        <v/>
      </c>
    </row>
    <row r="8204" spans="1:11" x14ac:dyDescent="0.2">
      <c r="A8204" s="242"/>
      <c r="F8204" s="285" t="str">
        <f t="shared" si="263"/>
        <v/>
      </c>
      <c r="K8204" s="246" t="str">
        <f t="shared" si="262"/>
        <v/>
      </c>
    </row>
    <row r="8205" spans="1:11" x14ac:dyDescent="0.2">
      <c r="A8205" s="242"/>
      <c r="F8205" s="285" t="str">
        <f t="shared" si="263"/>
        <v/>
      </c>
      <c r="K8205" s="246" t="str">
        <f t="shared" si="262"/>
        <v/>
      </c>
    </row>
    <row r="8206" spans="1:11" x14ac:dyDescent="0.2">
      <c r="A8206" s="242"/>
      <c r="F8206" s="285" t="str">
        <f t="shared" si="263"/>
        <v/>
      </c>
      <c r="K8206" s="246" t="str">
        <f t="shared" si="262"/>
        <v/>
      </c>
    </row>
    <row r="8207" spans="1:11" x14ac:dyDescent="0.2">
      <c r="A8207" s="242"/>
      <c r="F8207" s="285" t="str">
        <f t="shared" si="263"/>
        <v/>
      </c>
      <c r="K8207" s="246" t="str">
        <f t="shared" si="262"/>
        <v/>
      </c>
    </row>
    <row r="8208" spans="1:11" x14ac:dyDescent="0.2">
      <c r="A8208" s="242"/>
      <c r="F8208" s="285" t="str">
        <f t="shared" si="263"/>
        <v/>
      </c>
      <c r="K8208" s="246" t="str">
        <f t="shared" si="262"/>
        <v/>
      </c>
    </row>
    <row r="8209" spans="1:11" x14ac:dyDescent="0.2">
      <c r="A8209" s="242"/>
      <c r="F8209" s="285" t="str">
        <f t="shared" si="263"/>
        <v/>
      </c>
      <c r="K8209" s="246" t="str">
        <f t="shared" si="262"/>
        <v/>
      </c>
    </row>
    <row r="8210" spans="1:11" x14ac:dyDescent="0.2">
      <c r="A8210" s="242"/>
      <c r="F8210" s="285" t="str">
        <f t="shared" si="263"/>
        <v/>
      </c>
      <c r="K8210" s="246" t="str">
        <f t="shared" si="262"/>
        <v/>
      </c>
    </row>
    <row r="8211" spans="1:11" x14ac:dyDescent="0.2">
      <c r="A8211" s="242"/>
      <c r="F8211" s="285" t="str">
        <f t="shared" si="263"/>
        <v/>
      </c>
      <c r="K8211" s="246" t="str">
        <f t="shared" si="262"/>
        <v/>
      </c>
    </row>
    <row r="8212" spans="1:11" x14ac:dyDescent="0.2">
      <c r="A8212" s="242"/>
      <c r="F8212" s="285" t="str">
        <f t="shared" si="263"/>
        <v/>
      </c>
      <c r="K8212" s="246" t="str">
        <f t="shared" si="262"/>
        <v/>
      </c>
    </row>
    <row r="8213" spans="1:11" x14ac:dyDescent="0.2">
      <c r="A8213" s="242"/>
      <c r="F8213" s="285" t="str">
        <f t="shared" si="263"/>
        <v/>
      </c>
      <c r="K8213" s="246" t="str">
        <f t="shared" si="262"/>
        <v/>
      </c>
    </row>
    <row r="8214" spans="1:11" x14ac:dyDescent="0.2">
      <c r="A8214" s="242"/>
      <c r="F8214" s="285" t="str">
        <f t="shared" si="263"/>
        <v/>
      </c>
      <c r="K8214" s="246" t="str">
        <f t="shared" si="262"/>
        <v/>
      </c>
    </row>
    <row r="8215" spans="1:11" x14ac:dyDescent="0.2">
      <c r="A8215" s="242"/>
      <c r="F8215" s="285" t="str">
        <f t="shared" si="263"/>
        <v/>
      </c>
      <c r="K8215" s="246" t="str">
        <f t="shared" si="262"/>
        <v/>
      </c>
    </row>
    <row r="8216" spans="1:11" x14ac:dyDescent="0.2">
      <c r="A8216" s="242"/>
      <c r="F8216" s="285" t="str">
        <f t="shared" si="263"/>
        <v/>
      </c>
      <c r="K8216" s="246" t="str">
        <f t="shared" si="262"/>
        <v/>
      </c>
    </row>
    <row r="8217" spans="1:11" x14ac:dyDescent="0.2">
      <c r="A8217" s="242"/>
      <c r="F8217" s="285" t="str">
        <f t="shared" si="263"/>
        <v/>
      </c>
      <c r="K8217" s="246" t="str">
        <f t="shared" si="262"/>
        <v/>
      </c>
    </row>
    <row r="8218" spans="1:11" x14ac:dyDescent="0.2">
      <c r="A8218" s="242"/>
      <c r="F8218" s="285" t="str">
        <f t="shared" si="263"/>
        <v/>
      </c>
      <c r="K8218" s="246" t="str">
        <f t="shared" si="262"/>
        <v/>
      </c>
    </row>
    <row r="8219" spans="1:11" x14ac:dyDescent="0.2">
      <c r="A8219" s="242"/>
      <c r="F8219" s="285" t="str">
        <f t="shared" si="263"/>
        <v/>
      </c>
      <c r="K8219" s="246" t="str">
        <f t="shared" si="262"/>
        <v/>
      </c>
    </row>
    <row r="8220" spans="1:11" x14ac:dyDescent="0.2">
      <c r="A8220" s="242"/>
      <c r="F8220" s="285" t="str">
        <f t="shared" si="263"/>
        <v/>
      </c>
      <c r="K8220" s="246" t="str">
        <f t="shared" si="262"/>
        <v/>
      </c>
    </row>
    <row r="8221" spans="1:11" x14ac:dyDescent="0.2">
      <c r="A8221" s="242"/>
      <c r="F8221" s="285" t="str">
        <f t="shared" si="263"/>
        <v/>
      </c>
      <c r="K8221" s="246" t="str">
        <f t="shared" si="262"/>
        <v/>
      </c>
    </row>
    <row r="8222" spans="1:11" x14ac:dyDescent="0.2">
      <c r="A8222" s="242"/>
      <c r="F8222" s="285" t="str">
        <f t="shared" si="263"/>
        <v/>
      </c>
      <c r="K8222" s="246" t="str">
        <f t="shared" si="262"/>
        <v/>
      </c>
    </row>
    <row r="8223" spans="1:11" x14ac:dyDescent="0.2">
      <c r="A8223" s="242"/>
      <c r="F8223" s="285" t="str">
        <f t="shared" si="263"/>
        <v/>
      </c>
      <c r="K8223" s="246" t="str">
        <f t="shared" si="262"/>
        <v/>
      </c>
    </row>
    <row r="8224" spans="1:11" x14ac:dyDescent="0.2">
      <c r="A8224" s="242"/>
      <c r="F8224" s="285" t="str">
        <f t="shared" si="263"/>
        <v/>
      </c>
      <c r="K8224" s="246" t="str">
        <f t="shared" si="262"/>
        <v/>
      </c>
    </row>
    <row r="8225" spans="1:11" x14ac:dyDescent="0.2">
      <c r="A8225" s="242"/>
      <c r="F8225" s="285" t="str">
        <f t="shared" si="263"/>
        <v/>
      </c>
      <c r="K8225" s="246" t="str">
        <f t="shared" si="262"/>
        <v/>
      </c>
    </row>
    <row r="8226" spans="1:11" x14ac:dyDescent="0.2">
      <c r="A8226" s="242"/>
      <c r="F8226" s="285" t="str">
        <f t="shared" si="263"/>
        <v/>
      </c>
      <c r="K8226" s="246" t="str">
        <f t="shared" si="262"/>
        <v/>
      </c>
    </row>
    <row r="8227" spans="1:11" x14ac:dyDescent="0.2">
      <c r="A8227" s="242"/>
      <c r="F8227" s="285" t="str">
        <f t="shared" si="263"/>
        <v/>
      </c>
      <c r="K8227" s="246" t="str">
        <f t="shared" si="262"/>
        <v/>
      </c>
    </row>
    <row r="8228" spans="1:11" x14ac:dyDescent="0.2">
      <c r="A8228" s="242"/>
      <c r="F8228" s="285" t="str">
        <f t="shared" si="263"/>
        <v/>
      </c>
      <c r="K8228" s="246" t="str">
        <f t="shared" si="262"/>
        <v/>
      </c>
    </row>
    <row r="8229" spans="1:11" x14ac:dyDescent="0.2">
      <c r="A8229" s="242"/>
      <c r="F8229" s="285" t="str">
        <f t="shared" si="263"/>
        <v/>
      </c>
      <c r="K8229" s="246" t="str">
        <f t="shared" si="262"/>
        <v/>
      </c>
    </row>
    <row r="8230" spans="1:11" x14ac:dyDescent="0.2">
      <c r="A8230" s="242"/>
      <c r="F8230" s="285" t="str">
        <f t="shared" si="263"/>
        <v/>
      </c>
      <c r="K8230" s="246" t="str">
        <f t="shared" si="262"/>
        <v/>
      </c>
    </row>
    <row r="8231" spans="1:11" x14ac:dyDescent="0.2">
      <c r="A8231" s="242"/>
      <c r="F8231" s="285" t="str">
        <f t="shared" si="263"/>
        <v/>
      </c>
      <c r="K8231" s="246" t="str">
        <f t="shared" si="262"/>
        <v/>
      </c>
    </row>
    <row r="8232" spans="1:11" x14ac:dyDescent="0.2">
      <c r="A8232" s="242"/>
      <c r="F8232" s="285" t="str">
        <f t="shared" si="263"/>
        <v/>
      </c>
      <c r="K8232" s="246" t="str">
        <f t="shared" si="262"/>
        <v/>
      </c>
    </row>
    <row r="8233" spans="1:11" x14ac:dyDescent="0.2">
      <c r="A8233" s="242"/>
      <c r="F8233" s="285" t="str">
        <f t="shared" si="263"/>
        <v/>
      </c>
      <c r="K8233" s="246" t="str">
        <f t="shared" si="262"/>
        <v/>
      </c>
    </row>
    <row r="8234" spans="1:11" x14ac:dyDescent="0.2">
      <c r="A8234" s="242"/>
      <c r="F8234" s="285" t="str">
        <f t="shared" si="263"/>
        <v/>
      </c>
      <c r="K8234" s="246" t="str">
        <f t="shared" si="262"/>
        <v/>
      </c>
    </row>
    <row r="8235" spans="1:11" x14ac:dyDescent="0.2">
      <c r="A8235" s="242"/>
      <c r="F8235" s="285" t="str">
        <f t="shared" si="263"/>
        <v/>
      </c>
      <c r="K8235" s="246" t="str">
        <f t="shared" si="262"/>
        <v/>
      </c>
    </row>
    <row r="8236" spans="1:11" x14ac:dyDescent="0.2">
      <c r="A8236" s="242"/>
      <c r="F8236" s="285" t="str">
        <f t="shared" si="263"/>
        <v/>
      </c>
      <c r="K8236" s="246" t="str">
        <f t="shared" si="262"/>
        <v/>
      </c>
    </row>
    <row r="8237" spans="1:11" x14ac:dyDescent="0.2">
      <c r="A8237" s="242"/>
      <c r="F8237" s="285" t="str">
        <f t="shared" si="263"/>
        <v/>
      </c>
      <c r="K8237" s="246" t="str">
        <f t="shared" si="262"/>
        <v/>
      </c>
    </row>
    <row r="8238" spans="1:11" x14ac:dyDescent="0.2">
      <c r="A8238" s="242"/>
      <c r="F8238" s="285" t="str">
        <f t="shared" si="263"/>
        <v/>
      </c>
      <c r="K8238" s="246" t="str">
        <f t="shared" si="262"/>
        <v/>
      </c>
    </row>
    <row r="8239" spans="1:11" x14ac:dyDescent="0.2">
      <c r="A8239" s="242"/>
      <c r="F8239" s="285" t="str">
        <f t="shared" si="263"/>
        <v/>
      </c>
      <c r="K8239" s="246" t="str">
        <f t="shared" si="262"/>
        <v/>
      </c>
    </row>
    <row r="8240" spans="1:11" x14ac:dyDescent="0.2">
      <c r="A8240" s="242"/>
      <c r="F8240" s="285" t="str">
        <f t="shared" si="263"/>
        <v/>
      </c>
      <c r="K8240" s="246" t="str">
        <f t="shared" si="262"/>
        <v/>
      </c>
    </row>
    <row r="8241" spans="1:11" x14ac:dyDescent="0.2">
      <c r="A8241" s="242"/>
      <c r="F8241" s="285" t="str">
        <f t="shared" si="263"/>
        <v/>
      </c>
      <c r="K8241" s="246" t="str">
        <f t="shared" si="262"/>
        <v/>
      </c>
    </row>
    <row r="8242" spans="1:11" x14ac:dyDescent="0.2">
      <c r="A8242" s="242"/>
      <c r="F8242" s="285" t="str">
        <f t="shared" si="263"/>
        <v/>
      </c>
      <c r="K8242" s="246" t="str">
        <f t="shared" si="262"/>
        <v/>
      </c>
    </row>
    <row r="8243" spans="1:11" x14ac:dyDescent="0.2">
      <c r="A8243" s="242"/>
      <c r="F8243" s="285" t="str">
        <f t="shared" si="263"/>
        <v/>
      </c>
      <c r="K8243" s="246" t="str">
        <f t="shared" si="262"/>
        <v/>
      </c>
    </row>
    <row r="8244" spans="1:11" x14ac:dyDescent="0.2">
      <c r="A8244" s="242"/>
      <c r="F8244" s="285" t="str">
        <f t="shared" si="263"/>
        <v/>
      </c>
      <c r="K8244" s="246" t="str">
        <f t="shared" si="262"/>
        <v/>
      </c>
    </row>
    <row r="8245" spans="1:11" x14ac:dyDescent="0.2">
      <c r="A8245" s="242"/>
      <c r="F8245" s="285" t="str">
        <f t="shared" si="263"/>
        <v/>
      </c>
      <c r="K8245" s="246" t="str">
        <f t="shared" si="262"/>
        <v/>
      </c>
    </row>
    <row r="8246" spans="1:11" x14ac:dyDescent="0.2">
      <c r="A8246" s="242"/>
      <c r="F8246" s="285" t="str">
        <f t="shared" si="263"/>
        <v/>
      </c>
      <c r="K8246" s="246" t="str">
        <f t="shared" si="262"/>
        <v/>
      </c>
    </row>
    <row r="8247" spans="1:11" x14ac:dyDescent="0.2">
      <c r="A8247" s="242"/>
      <c r="F8247" s="285" t="str">
        <f t="shared" si="263"/>
        <v/>
      </c>
      <c r="K8247" s="246" t="str">
        <f t="shared" si="262"/>
        <v/>
      </c>
    </row>
    <row r="8248" spans="1:11" x14ac:dyDescent="0.2">
      <c r="A8248" s="242"/>
      <c r="F8248" s="285" t="str">
        <f t="shared" si="263"/>
        <v/>
      </c>
      <c r="K8248" s="246" t="str">
        <f t="shared" si="262"/>
        <v/>
      </c>
    </row>
    <row r="8249" spans="1:11" x14ac:dyDescent="0.2">
      <c r="A8249" s="242"/>
      <c r="F8249" s="285" t="str">
        <f t="shared" si="263"/>
        <v/>
      </c>
      <c r="K8249" s="246" t="str">
        <f t="shared" si="262"/>
        <v/>
      </c>
    </row>
    <row r="8250" spans="1:11" x14ac:dyDescent="0.2">
      <c r="A8250" s="242"/>
      <c r="F8250" s="285" t="str">
        <f t="shared" si="263"/>
        <v/>
      </c>
      <c r="K8250" s="246" t="str">
        <f t="shared" si="262"/>
        <v/>
      </c>
    </row>
    <row r="8251" spans="1:11" x14ac:dyDescent="0.2">
      <c r="A8251" s="242"/>
      <c r="F8251" s="285" t="str">
        <f t="shared" si="263"/>
        <v/>
      </c>
      <c r="K8251" s="246" t="str">
        <f t="shared" ref="K8251:K8314" si="264">IF(A8251="","",A8251)</f>
        <v/>
      </c>
    </row>
    <row r="8252" spans="1:11" x14ac:dyDescent="0.2">
      <c r="A8252" s="242"/>
      <c r="F8252" s="285" t="str">
        <f t="shared" si="263"/>
        <v/>
      </c>
      <c r="K8252" s="246" t="str">
        <f t="shared" si="264"/>
        <v/>
      </c>
    </row>
    <row r="8253" spans="1:11" x14ac:dyDescent="0.2">
      <c r="A8253" s="242"/>
      <c r="F8253" s="285" t="str">
        <f t="shared" si="263"/>
        <v/>
      </c>
      <c r="K8253" s="246" t="str">
        <f t="shared" si="264"/>
        <v/>
      </c>
    </row>
    <row r="8254" spans="1:11" x14ac:dyDescent="0.2">
      <c r="A8254" s="242"/>
      <c r="F8254" s="285" t="str">
        <f t="shared" si="263"/>
        <v/>
      </c>
      <c r="K8254" s="246" t="str">
        <f t="shared" si="264"/>
        <v/>
      </c>
    </row>
    <row r="8255" spans="1:11" x14ac:dyDescent="0.2">
      <c r="A8255" s="242"/>
      <c r="F8255" s="285" t="str">
        <f t="shared" si="263"/>
        <v/>
      </c>
      <c r="K8255" s="246" t="str">
        <f t="shared" si="264"/>
        <v/>
      </c>
    </row>
    <row r="8256" spans="1:11" x14ac:dyDescent="0.2">
      <c r="A8256" s="242"/>
      <c r="F8256" s="285" t="str">
        <f t="shared" si="263"/>
        <v/>
      </c>
      <c r="K8256" s="246" t="str">
        <f t="shared" si="264"/>
        <v/>
      </c>
    </row>
    <row r="8257" spans="1:11" x14ac:dyDescent="0.2">
      <c r="A8257" s="242"/>
      <c r="F8257" s="285" t="str">
        <f t="shared" si="263"/>
        <v/>
      </c>
      <c r="K8257" s="246" t="str">
        <f t="shared" si="264"/>
        <v/>
      </c>
    </row>
    <row r="8258" spans="1:11" x14ac:dyDescent="0.2">
      <c r="A8258" s="242"/>
      <c r="F8258" s="285" t="str">
        <f t="shared" si="263"/>
        <v/>
      </c>
      <c r="K8258" s="246" t="str">
        <f t="shared" si="264"/>
        <v/>
      </c>
    </row>
    <row r="8259" spans="1:11" x14ac:dyDescent="0.2">
      <c r="A8259" s="242"/>
      <c r="F8259" s="285" t="str">
        <f t="shared" si="263"/>
        <v/>
      </c>
      <c r="K8259" s="246" t="str">
        <f t="shared" si="264"/>
        <v/>
      </c>
    </row>
    <row r="8260" spans="1:11" x14ac:dyDescent="0.2">
      <c r="A8260" s="242"/>
      <c r="F8260" s="285" t="str">
        <f t="shared" si="263"/>
        <v/>
      </c>
      <c r="K8260" s="246" t="str">
        <f t="shared" si="264"/>
        <v/>
      </c>
    </row>
    <row r="8261" spans="1:11" x14ac:dyDescent="0.2">
      <c r="A8261" s="242"/>
      <c r="F8261" s="285" t="str">
        <f t="shared" ref="F8261:F8324" si="265">IF(A8261="","",A8261)</f>
        <v/>
      </c>
      <c r="K8261" s="246" t="str">
        <f t="shared" si="264"/>
        <v/>
      </c>
    </row>
    <row r="8262" spans="1:11" x14ac:dyDescent="0.2">
      <c r="A8262" s="242"/>
      <c r="F8262" s="285" t="str">
        <f t="shared" si="265"/>
        <v/>
      </c>
      <c r="K8262" s="246" t="str">
        <f t="shared" si="264"/>
        <v/>
      </c>
    </row>
    <row r="8263" spans="1:11" x14ac:dyDescent="0.2">
      <c r="A8263" s="242"/>
      <c r="F8263" s="285" t="str">
        <f t="shared" si="265"/>
        <v/>
      </c>
      <c r="K8263" s="246" t="str">
        <f t="shared" si="264"/>
        <v/>
      </c>
    </row>
    <row r="8264" spans="1:11" x14ac:dyDescent="0.2">
      <c r="A8264" s="242"/>
      <c r="F8264" s="285" t="str">
        <f t="shared" si="265"/>
        <v/>
      </c>
      <c r="K8264" s="246" t="str">
        <f t="shared" si="264"/>
        <v/>
      </c>
    </row>
    <row r="8265" spans="1:11" x14ac:dyDescent="0.2">
      <c r="A8265" s="242"/>
      <c r="F8265" s="285" t="str">
        <f t="shared" si="265"/>
        <v/>
      </c>
      <c r="K8265" s="246" t="str">
        <f t="shared" si="264"/>
        <v/>
      </c>
    </row>
    <row r="8266" spans="1:11" x14ac:dyDescent="0.2">
      <c r="A8266" s="242"/>
      <c r="F8266" s="285" t="str">
        <f t="shared" si="265"/>
        <v/>
      </c>
      <c r="K8266" s="246" t="str">
        <f t="shared" si="264"/>
        <v/>
      </c>
    </row>
    <row r="8267" spans="1:11" x14ac:dyDescent="0.2">
      <c r="A8267" s="242"/>
      <c r="F8267" s="285" t="str">
        <f t="shared" si="265"/>
        <v/>
      </c>
      <c r="K8267" s="246" t="str">
        <f t="shared" si="264"/>
        <v/>
      </c>
    </row>
    <row r="8268" spans="1:11" x14ac:dyDescent="0.2">
      <c r="A8268" s="242"/>
      <c r="F8268" s="285" t="str">
        <f t="shared" si="265"/>
        <v/>
      </c>
      <c r="K8268" s="246" t="str">
        <f t="shared" si="264"/>
        <v/>
      </c>
    </row>
    <row r="8269" spans="1:11" x14ac:dyDescent="0.2">
      <c r="A8269" s="242"/>
      <c r="F8269" s="285" t="str">
        <f t="shared" si="265"/>
        <v/>
      </c>
      <c r="K8269" s="246" t="str">
        <f t="shared" si="264"/>
        <v/>
      </c>
    </row>
    <row r="8270" spans="1:11" x14ac:dyDescent="0.2">
      <c r="A8270" s="242"/>
      <c r="F8270" s="285" t="str">
        <f t="shared" si="265"/>
        <v/>
      </c>
      <c r="K8270" s="246" t="str">
        <f t="shared" si="264"/>
        <v/>
      </c>
    </row>
    <row r="8271" spans="1:11" x14ac:dyDescent="0.2">
      <c r="A8271" s="242"/>
      <c r="F8271" s="285" t="str">
        <f t="shared" si="265"/>
        <v/>
      </c>
      <c r="K8271" s="246" t="str">
        <f t="shared" si="264"/>
        <v/>
      </c>
    </row>
    <row r="8272" spans="1:11" x14ac:dyDescent="0.2">
      <c r="A8272" s="242"/>
      <c r="F8272" s="285" t="str">
        <f t="shared" si="265"/>
        <v/>
      </c>
      <c r="K8272" s="246" t="str">
        <f t="shared" si="264"/>
        <v/>
      </c>
    </row>
    <row r="8273" spans="1:11" x14ac:dyDescent="0.2">
      <c r="A8273" s="242"/>
      <c r="F8273" s="285" t="str">
        <f t="shared" si="265"/>
        <v/>
      </c>
      <c r="K8273" s="246" t="str">
        <f t="shared" si="264"/>
        <v/>
      </c>
    </row>
    <row r="8274" spans="1:11" x14ac:dyDescent="0.2">
      <c r="A8274" s="242"/>
      <c r="F8274" s="285" t="str">
        <f t="shared" si="265"/>
        <v/>
      </c>
      <c r="K8274" s="246" t="str">
        <f t="shared" si="264"/>
        <v/>
      </c>
    </row>
    <row r="8275" spans="1:11" x14ac:dyDescent="0.2">
      <c r="A8275" s="242"/>
      <c r="F8275" s="285" t="str">
        <f t="shared" si="265"/>
        <v/>
      </c>
      <c r="K8275" s="246" t="str">
        <f t="shared" si="264"/>
        <v/>
      </c>
    </row>
    <row r="8276" spans="1:11" x14ac:dyDescent="0.2">
      <c r="A8276" s="242"/>
      <c r="F8276" s="285" t="str">
        <f t="shared" si="265"/>
        <v/>
      </c>
      <c r="K8276" s="246" t="str">
        <f t="shared" si="264"/>
        <v/>
      </c>
    </row>
    <row r="8277" spans="1:11" x14ac:dyDescent="0.2">
      <c r="A8277" s="242"/>
      <c r="F8277" s="285" t="str">
        <f t="shared" si="265"/>
        <v/>
      </c>
      <c r="K8277" s="246" t="str">
        <f t="shared" si="264"/>
        <v/>
      </c>
    </row>
    <row r="8278" spans="1:11" x14ac:dyDescent="0.2">
      <c r="A8278" s="242"/>
      <c r="F8278" s="285" t="str">
        <f t="shared" si="265"/>
        <v/>
      </c>
      <c r="K8278" s="246" t="str">
        <f t="shared" si="264"/>
        <v/>
      </c>
    </row>
    <row r="8279" spans="1:11" x14ac:dyDescent="0.2">
      <c r="A8279" s="242"/>
      <c r="F8279" s="285" t="str">
        <f t="shared" si="265"/>
        <v/>
      </c>
      <c r="K8279" s="246" t="str">
        <f t="shared" si="264"/>
        <v/>
      </c>
    </row>
    <row r="8280" spans="1:11" x14ac:dyDescent="0.2">
      <c r="A8280" s="242"/>
      <c r="F8280" s="285" t="str">
        <f t="shared" si="265"/>
        <v/>
      </c>
      <c r="K8280" s="246" t="str">
        <f t="shared" si="264"/>
        <v/>
      </c>
    </row>
    <row r="8281" spans="1:11" x14ac:dyDescent="0.2">
      <c r="A8281" s="242"/>
      <c r="F8281" s="285" t="str">
        <f t="shared" si="265"/>
        <v/>
      </c>
      <c r="K8281" s="246" t="str">
        <f t="shared" si="264"/>
        <v/>
      </c>
    </row>
    <row r="8282" spans="1:11" x14ac:dyDescent="0.2">
      <c r="A8282" s="242"/>
      <c r="F8282" s="285" t="str">
        <f t="shared" si="265"/>
        <v/>
      </c>
      <c r="K8282" s="246" t="str">
        <f t="shared" si="264"/>
        <v/>
      </c>
    </row>
    <row r="8283" spans="1:11" x14ac:dyDescent="0.2">
      <c r="A8283" s="242"/>
      <c r="F8283" s="285" t="str">
        <f t="shared" si="265"/>
        <v/>
      </c>
      <c r="K8283" s="246" t="str">
        <f t="shared" si="264"/>
        <v/>
      </c>
    </row>
    <row r="8284" spans="1:11" x14ac:dyDescent="0.2">
      <c r="A8284" s="242"/>
      <c r="F8284" s="285" t="str">
        <f t="shared" si="265"/>
        <v/>
      </c>
      <c r="K8284" s="246" t="str">
        <f t="shared" si="264"/>
        <v/>
      </c>
    </row>
    <row r="8285" spans="1:11" x14ac:dyDescent="0.2">
      <c r="A8285" s="242"/>
      <c r="F8285" s="285" t="str">
        <f t="shared" si="265"/>
        <v/>
      </c>
      <c r="K8285" s="246" t="str">
        <f t="shared" si="264"/>
        <v/>
      </c>
    </row>
    <row r="8286" spans="1:11" x14ac:dyDescent="0.2">
      <c r="A8286" s="242"/>
      <c r="F8286" s="285" t="str">
        <f t="shared" si="265"/>
        <v/>
      </c>
      <c r="K8286" s="246" t="str">
        <f t="shared" si="264"/>
        <v/>
      </c>
    </row>
    <row r="8287" spans="1:11" x14ac:dyDescent="0.2">
      <c r="A8287" s="242"/>
      <c r="F8287" s="285" t="str">
        <f t="shared" si="265"/>
        <v/>
      </c>
      <c r="K8287" s="246" t="str">
        <f t="shared" si="264"/>
        <v/>
      </c>
    </row>
    <row r="8288" spans="1:11" x14ac:dyDescent="0.2">
      <c r="A8288" s="242"/>
      <c r="F8288" s="285" t="str">
        <f t="shared" si="265"/>
        <v/>
      </c>
      <c r="K8288" s="246" t="str">
        <f t="shared" si="264"/>
        <v/>
      </c>
    </row>
    <row r="8289" spans="1:11" x14ac:dyDescent="0.2">
      <c r="A8289" s="242"/>
      <c r="F8289" s="285" t="str">
        <f t="shared" si="265"/>
        <v/>
      </c>
      <c r="K8289" s="246" t="str">
        <f t="shared" si="264"/>
        <v/>
      </c>
    </row>
    <row r="8290" spans="1:11" x14ac:dyDescent="0.2">
      <c r="A8290" s="242"/>
      <c r="F8290" s="285" t="str">
        <f t="shared" si="265"/>
        <v/>
      </c>
      <c r="K8290" s="246" t="str">
        <f t="shared" si="264"/>
        <v/>
      </c>
    </row>
    <row r="8291" spans="1:11" x14ac:dyDescent="0.2">
      <c r="A8291" s="242"/>
      <c r="F8291" s="285" t="str">
        <f t="shared" si="265"/>
        <v/>
      </c>
      <c r="K8291" s="246" t="str">
        <f t="shared" si="264"/>
        <v/>
      </c>
    </row>
    <row r="8292" spans="1:11" x14ac:dyDescent="0.2">
      <c r="A8292" s="242"/>
      <c r="F8292" s="285" t="str">
        <f t="shared" si="265"/>
        <v/>
      </c>
      <c r="K8292" s="246" t="str">
        <f t="shared" si="264"/>
        <v/>
      </c>
    </row>
    <row r="8293" spans="1:11" x14ac:dyDescent="0.2">
      <c r="A8293" s="242"/>
      <c r="F8293" s="285" t="str">
        <f t="shared" si="265"/>
        <v/>
      </c>
      <c r="K8293" s="246" t="str">
        <f t="shared" si="264"/>
        <v/>
      </c>
    </row>
    <row r="8294" spans="1:11" x14ac:dyDescent="0.2">
      <c r="A8294" s="242"/>
      <c r="F8294" s="285" t="str">
        <f t="shared" si="265"/>
        <v/>
      </c>
      <c r="K8294" s="246" t="str">
        <f t="shared" si="264"/>
        <v/>
      </c>
    </row>
    <row r="8295" spans="1:11" x14ac:dyDescent="0.2">
      <c r="F8295" s="285" t="str">
        <f t="shared" si="265"/>
        <v/>
      </c>
      <c r="K8295" s="246" t="str">
        <f t="shared" si="264"/>
        <v/>
      </c>
    </row>
    <row r="8296" spans="1:11" x14ac:dyDescent="0.2">
      <c r="F8296" s="285" t="str">
        <f t="shared" si="265"/>
        <v/>
      </c>
      <c r="K8296" s="246" t="str">
        <f t="shared" si="264"/>
        <v/>
      </c>
    </row>
    <row r="8297" spans="1:11" x14ac:dyDescent="0.2">
      <c r="F8297" s="285" t="str">
        <f t="shared" si="265"/>
        <v/>
      </c>
      <c r="K8297" s="246" t="str">
        <f t="shared" si="264"/>
        <v/>
      </c>
    </row>
    <row r="8298" spans="1:11" x14ac:dyDescent="0.2">
      <c r="F8298" s="285" t="str">
        <f t="shared" si="265"/>
        <v/>
      </c>
      <c r="K8298" s="246" t="str">
        <f t="shared" si="264"/>
        <v/>
      </c>
    </row>
    <row r="8299" spans="1:11" x14ac:dyDescent="0.2">
      <c r="F8299" s="285" t="str">
        <f t="shared" si="265"/>
        <v/>
      </c>
      <c r="K8299" s="246" t="str">
        <f t="shared" si="264"/>
        <v/>
      </c>
    </row>
    <row r="8300" spans="1:11" x14ac:dyDescent="0.2">
      <c r="F8300" s="285" t="str">
        <f t="shared" si="265"/>
        <v/>
      </c>
      <c r="K8300" s="246" t="str">
        <f t="shared" si="264"/>
        <v/>
      </c>
    </row>
    <row r="8301" spans="1:11" x14ac:dyDescent="0.2">
      <c r="F8301" s="285" t="str">
        <f t="shared" si="265"/>
        <v/>
      </c>
      <c r="K8301" s="246" t="str">
        <f t="shared" si="264"/>
        <v/>
      </c>
    </row>
    <row r="8302" spans="1:11" x14ac:dyDescent="0.2">
      <c r="F8302" s="285" t="str">
        <f t="shared" si="265"/>
        <v/>
      </c>
      <c r="K8302" s="246" t="str">
        <f t="shared" si="264"/>
        <v/>
      </c>
    </row>
    <row r="8303" spans="1:11" x14ac:dyDescent="0.2">
      <c r="F8303" s="285" t="str">
        <f t="shared" si="265"/>
        <v/>
      </c>
      <c r="K8303" s="246" t="str">
        <f t="shared" si="264"/>
        <v/>
      </c>
    </row>
    <row r="8304" spans="1:11" x14ac:dyDescent="0.2">
      <c r="F8304" s="285" t="str">
        <f t="shared" si="265"/>
        <v/>
      </c>
      <c r="K8304" s="246" t="str">
        <f t="shared" si="264"/>
        <v/>
      </c>
    </row>
    <row r="8305" spans="6:11" x14ac:dyDescent="0.2">
      <c r="F8305" s="285" t="str">
        <f t="shared" si="265"/>
        <v/>
      </c>
      <c r="K8305" s="246" t="str">
        <f t="shared" si="264"/>
        <v/>
      </c>
    </row>
    <row r="8306" spans="6:11" x14ac:dyDescent="0.2">
      <c r="F8306" s="285" t="str">
        <f t="shared" si="265"/>
        <v/>
      </c>
      <c r="K8306" s="246" t="str">
        <f t="shared" si="264"/>
        <v/>
      </c>
    </row>
    <row r="8307" spans="6:11" x14ac:dyDescent="0.2">
      <c r="F8307" s="285" t="str">
        <f t="shared" si="265"/>
        <v/>
      </c>
      <c r="K8307" s="246" t="str">
        <f t="shared" si="264"/>
        <v/>
      </c>
    </row>
    <row r="8308" spans="6:11" x14ac:dyDescent="0.2">
      <c r="F8308" s="285" t="str">
        <f t="shared" si="265"/>
        <v/>
      </c>
      <c r="K8308" s="246" t="str">
        <f t="shared" si="264"/>
        <v/>
      </c>
    </row>
    <row r="8309" spans="6:11" x14ac:dyDescent="0.2">
      <c r="F8309" s="285" t="str">
        <f t="shared" si="265"/>
        <v/>
      </c>
      <c r="K8309" s="246" t="str">
        <f t="shared" si="264"/>
        <v/>
      </c>
    </row>
    <row r="8310" spans="6:11" x14ac:dyDescent="0.2">
      <c r="F8310" s="285" t="str">
        <f t="shared" si="265"/>
        <v/>
      </c>
      <c r="K8310" s="246" t="str">
        <f t="shared" si="264"/>
        <v/>
      </c>
    </row>
    <row r="8311" spans="6:11" x14ac:dyDescent="0.2">
      <c r="F8311" s="285" t="str">
        <f t="shared" si="265"/>
        <v/>
      </c>
      <c r="K8311" s="246" t="str">
        <f t="shared" si="264"/>
        <v/>
      </c>
    </row>
    <row r="8312" spans="6:11" x14ac:dyDescent="0.2">
      <c r="F8312" s="285" t="str">
        <f t="shared" si="265"/>
        <v/>
      </c>
      <c r="K8312" s="246" t="str">
        <f t="shared" si="264"/>
        <v/>
      </c>
    </row>
    <row r="8313" spans="6:11" x14ac:dyDescent="0.2">
      <c r="F8313" s="285" t="str">
        <f t="shared" si="265"/>
        <v/>
      </c>
      <c r="K8313" s="246" t="str">
        <f t="shared" si="264"/>
        <v/>
      </c>
    </row>
    <row r="8314" spans="6:11" x14ac:dyDescent="0.2">
      <c r="F8314" s="285" t="str">
        <f t="shared" si="265"/>
        <v/>
      </c>
      <c r="K8314" s="246" t="str">
        <f t="shared" si="264"/>
        <v/>
      </c>
    </row>
    <row r="8315" spans="6:11" x14ac:dyDescent="0.2">
      <c r="F8315" s="285" t="str">
        <f t="shared" si="265"/>
        <v/>
      </c>
      <c r="K8315" s="246" t="str">
        <f t="shared" ref="K8315:K8378" si="266">IF(A8315="","",A8315)</f>
        <v/>
      </c>
    </row>
    <row r="8316" spans="6:11" x14ac:dyDescent="0.2">
      <c r="F8316" s="285" t="str">
        <f t="shared" si="265"/>
        <v/>
      </c>
      <c r="K8316" s="246" t="str">
        <f t="shared" si="266"/>
        <v/>
      </c>
    </row>
    <row r="8317" spans="6:11" x14ac:dyDescent="0.2">
      <c r="F8317" s="285" t="str">
        <f t="shared" si="265"/>
        <v/>
      </c>
      <c r="K8317" s="246" t="str">
        <f t="shared" si="266"/>
        <v/>
      </c>
    </row>
    <row r="8318" spans="6:11" x14ac:dyDescent="0.2">
      <c r="F8318" s="285" t="str">
        <f t="shared" si="265"/>
        <v/>
      </c>
      <c r="K8318" s="246" t="str">
        <f t="shared" si="266"/>
        <v/>
      </c>
    </row>
    <row r="8319" spans="6:11" x14ac:dyDescent="0.2">
      <c r="F8319" s="285" t="str">
        <f t="shared" si="265"/>
        <v/>
      </c>
      <c r="K8319" s="246" t="str">
        <f t="shared" si="266"/>
        <v/>
      </c>
    </row>
    <row r="8320" spans="6:11" x14ac:dyDescent="0.2">
      <c r="F8320" s="285" t="str">
        <f t="shared" si="265"/>
        <v/>
      </c>
      <c r="K8320" s="246" t="str">
        <f t="shared" si="266"/>
        <v/>
      </c>
    </row>
    <row r="8321" spans="6:11" x14ac:dyDescent="0.2">
      <c r="F8321" s="285" t="str">
        <f t="shared" si="265"/>
        <v/>
      </c>
      <c r="K8321" s="246" t="str">
        <f t="shared" si="266"/>
        <v/>
      </c>
    </row>
    <row r="8322" spans="6:11" x14ac:dyDescent="0.2">
      <c r="F8322" s="285" t="str">
        <f t="shared" si="265"/>
        <v/>
      </c>
      <c r="K8322" s="246" t="str">
        <f t="shared" si="266"/>
        <v/>
      </c>
    </row>
    <row r="8323" spans="6:11" x14ac:dyDescent="0.2">
      <c r="F8323" s="285" t="str">
        <f t="shared" si="265"/>
        <v/>
      </c>
      <c r="K8323" s="246" t="str">
        <f t="shared" si="266"/>
        <v/>
      </c>
    </row>
    <row r="8324" spans="6:11" x14ac:dyDescent="0.2">
      <c r="F8324" s="285" t="str">
        <f t="shared" si="265"/>
        <v/>
      </c>
      <c r="K8324" s="246" t="str">
        <f t="shared" si="266"/>
        <v/>
      </c>
    </row>
    <row r="8325" spans="6:11" x14ac:dyDescent="0.2">
      <c r="F8325" s="285" t="str">
        <f t="shared" ref="F8325:F8388" si="267">IF(A8325="","",A8325)</f>
        <v/>
      </c>
      <c r="K8325" s="246" t="str">
        <f t="shared" si="266"/>
        <v/>
      </c>
    </row>
    <row r="8326" spans="6:11" x14ac:dyDescent="0.2">
      <c r="F8326" s="285" t="str">
        <f t="shared" si="267"/>
        <v/>
      </c>
      <c r="K8326" s="246" t="str">
        <f t="shared" si="266"/>
        <v/>
      </c>
    </row>
    <row r="8327" spans="6:11" x14ac:dyDescent="0.2">
      <c r="F8327" s="285" t="str">
        <f t="shared" si="267"/>
        <v/>
      </c>
      <c r="K8327" s="246" t="str">
        <f t="shared" si="266"/>
        <v/>
      </c>
    </row>
    <row r="8328" spans="6:11" x14ac:dyDescent="0.2">
      <c r="F8328" s="285" t="str">
        <f t="shared" si="267"/>
        <v/>
      </c>
      <c r="K8328" s="246" t="str">
        <f t="shared" si="266"/>
        <v/>
      </c>
    </row>
    <row r="8329" spans="6:11" x14ac:dyDescent="0.2">
      <c r="F8329" s="285" t="str">
        <f t="shared" si="267"/>
        <v/>
      </c>
      <c r="K8329" s="246" t="str">
        <f t="shared" si="266"/>
        <v/>
      </c>
    </row>
    <row r="8330" spans="6:11" x14ac:dyDescent="0.2">
      <c r="F8330" s="285" t="str">
        <f t="shared" si="267"/>
        <v/>
      </c>
      <c r="K8330" s="246" t="str">
        <f t="shared" si="266"/>
        <v/>
      </c>
    </row>
    <row r="8331" spans="6:11" x14ac:dyDescent="0.2">
      <c r="F8331" s="285" t="str">
        <f t="shared" si="267"/>
        <v/>
      </c>
      <c r="K8331" s="246" t="str">
        <f t="shared" si="266"/>
        <v/>
      </c>
    </row>
    <row r="8332" spans="6:11" x14ac:dyDescent="0.2">
      <c r="F8332" s="285" t="str">
        <f t="shared" si="267"/>
        <v/>
      </c>
      <c r="K8332" s="246" t="str">
        <f t="shared" si="266"/>
        <v/>
      </c>
    </row>
    <row r="8333" spans="6:11" x14ac:dyDescent="0.2">
      <c r="F8333" s="285" t="str">
        <f t="shared" si="267"/>
        <v/>
      </c>
      <c r="K8333" s="246" t="str">
        <f t="shared" si="266"/>
        <v/>
      </c>
    </row>
    <row r="8334" spans="6:11" x14ac:dyDescent="0.2">
      <c r="F8334" s="285" t="str">
        <f t="shared" si="267"/>
        <v/>
      </c>
      <c r="K8334" s="246" t="str">
        <f t="shared" si="266"/>
        <v/>
      </c>
    </row>
    <row r="8335" spans="6:11" x14ac:dyDescent="0.2">
      <c r="F8335" s="285" t="str">
        <f t="shared" si="267"/>
        <v/>
      </c>
      <c r="K8335" s="246" t="str">
        <f t="shared" si="266"/>
        <v/>
      </c>
    </row>
    <row r="8336" spans="6:11" x14ac:dyDescent="0.2">
      <c r="F8336" s="285" t="str">
        <f t="shared" si="267"/>
        <v/>
      </c>
      <c r="K8336" s="246" t="str">
        <f t="shared" si="266"/>
        <v/>
      </c>
    </row>
    <row r="8337" spans="6:11" x14ac:dyDescent="0.2">
      <c r="F8337" s="285" t="str">
        <f t="shared" si="267"/>
        <v/>
      </c>
      <c r="K8337" s="246" t="str">
        <f t="shared" si="266"/>
        <v/>
      </c>
    </row>
    <row r="8338" spans="6:11" x14ac:dyDescent="0.2">
      <c r="F8338" s="285" t="str">
        <f t="shared" si="267"/>
        <v/>
      </c>
      <c r="K8338" s="246" t="str">
        <f t="shared" si="266"/>
        <v/>
      </c>
    </row>
    <row r="8339" spans="6:11" x14ac:dyDescent="0.2">
      <c r="F8339" s="285" t="str">
        <f t="shared" si="267"/>
        <v/>
      </c>
      <c r="K8339" s="246" t="str">
        <f t="shared" si="266"/>
        <v/>
      </c>
    </row>
    <row r="8340" spans="6:11" x14ac:dyDescent="0.2">
      <c r="F8340" s="285" t="str">
        <f t="shared" si="267"/>
        <v/>
      </c>
      <c r="K8340" s="246" t="str">
        <f t="shared" si="266"/>
        <v/>
      </c>
    </row>
    <row r="8341" spans="6:11" x14ac:dyDescent="0.2">
      <c r="F8341" s="285" t="str">
        <f t="shared" si="267"/>
        <v/>
      </c>
      <c r="K8341" s="246" t="str">
        <f t="shared" si="266"/>
        <v/>
      </c>
    </row>
    <row r="8342" spans="6:11" x14ac:dyDescent="0.2">
      <c r="F8342" s="285" t="str">
        <f t="shared" si="267"/>
        <v/>
      </c>
      <c r="K8342" s="246" t="str">
        <f t="shared" si="266"/>
        <v/>
      </c>
    </row>
    <row r="8343" spans="6:11" x14ac:dyDescent="0.2">
      <c r="F8343" s="285" t="str">
        <f t="shared" si="267"/>
        <v/>
      </c>
      <c r="K8343" s="246" t="str">
        <f t="shared" si="266"/>
        <v/>
      </c>
    </row>
    <row r="8344" spans="6:11" x14ac:dyDescent="0.2">
      <c r="F8344" s="285" t="str">
        <f t="shared" si="267"/>
        <v/>
      </c>
      <c r="K8344" s="246" t="str">
        <f t="shared" si="266"/>
        <v/>
      </c>
    </row>
    <row r="8345" spans="6:11" x14ac:dyDescent="0.2">
      <c r="F8345" s="285" t="str">
        <f t="shared" si="267"/>
        <v/>
      </c>
      <c r="K8345" s="246" t="str">
        <f t="shared" si="266"/>
        <v/>
      </c>
    </row>
    <row r="8346" spans="6:11" x14ac:dyDescent="0.2">
      <c r="F8346" s="285" t="str">
        <f t="shared" si="267"/>
        <v/>
      </c>
      <c r="K8346" s="246" t="str">
        <f t="shared" si="266"/>
        <v/>
      </c>
    </row>
    <row r="8347" spans="6:11" x14ac:dyDescent="0.2">
      <c r="F8347" s="285" t="str">
        <f t="shared" si="267"/>
        <v/>
      </c>
      <c r="K8347" s="246" t="str">
        <f t="shared" si="266"/>
        <v/>
      </c>
    </row>
    <row r="8348" spans="6:11" x14ac:dyDescent="0.2">
      <c r="F8348" s="285" t="str">
        <f t="shared" si="267"/>
        <v/>
      </c>
      <c r="K8348" s="246" t="str">
        <f t="shared" si="266"/>
        <v/>
      </c>
    </row>
    <row r="8349" spans="6:11" x14ac:dyDescent="0.2">
      <c r="F8349" s="285" t="str">
        <f t="shared" si="267"/>
        <v/>
      </c>
      <c r="K8349" s="246" t="str">
        <f t="shared" si="266"/>
        <v/>
      </c>
    </row>
    <row r="8350" spans="6:11" x14ac:dyDescent="0.2">
      <c r="F8350" s="285" t="str">
        <f t="shared" si="267"/>
        <v/>
      </c>
      <c r="K8350" s="246" t="str">
        <f t="shared" si="266"/>
        <v/>
      </c>
    </row>
    <row r="8351" spans="6:11" x14ac:dyDescent="0.2">
      <c r="F8351" s="285" t="str">
        <f t="shared" si="267"/>
        <v/>
      </c>
      <c r="K8351" s="246" t="str">
        <f t="shared" si="266"/>
        <v/>
      </c>
    </row>
    <row r="8352" spans="6:11" x14ac:dyDescent="0.2">
      <c r="F8352" s="285" t="str">
        <f t="shared" si="267"/>
        <v/>
      </c>
      <c r="K8352" s="246" t="str">
        <f t="shared" si="266"/>
        <v/>
      </c>
    </row>
    <row r="8353" spans="6:11" x14ac:dyDescent="0.2">
      <c r="F8353" s="285" t="str">
        <f t="shared" si="267"/>
        <v/>
      </c>
      <c r="K8353" s="246" t="str">
        <f t="shared" si="266"/>
        <v/>
      </c>
    </row>
    <row r="8354" spans="6:11" x14ac:dyDescent="0.2">
      <c r="F8354" s="285" t="str">
        <f t="shared" si="267"/>
        <v/>
      </c>
      <c r="K8354" s="246" t="str">
        <f t="shared" si="266"/>
        <v/>
      </c>
    </row>
    <row r="8355" spans="6:11" x14ac:dyDescent="0.2">
      <c r="F8355" s="285" t="str">
        <f t="shared" si="267"/>
        <v/>
      </c>
      <c r="K8355" s="246" t="str">
        <f t="shared" si="266"/>
        <v/>
      </c>
    </row>
    <row r="8356" spans="6:11" x14ac:dyDescent="0.2">
      <c r="F8356" s="285" t="str">
        <f t="shared" si="267"/>
        <v/>
      </c>
      <c r="K8356" s="246" t="str">
        <f t="shared" si="266"/>
        <v/>
      </c>
    </row>
    <row r="8357" spans="6:11" x14ac:dyDescent="0.2">
      <c r="F8357" s="285" t="str">
        <f t="shared" si="267"/>
        <v/>
      </c>
      <c r="K8357" s="246" t="str">
        <f t="shared" si="266"/>
        <v/>
      </c>
    </row>
    <row r="8358" spans="6:11" x14ac:dyDescent="0.2">
      <c r="F8358" s="285" t="str">
        <f t="shared" si="267"/>
        <v/>
      </c>
      <c r="K8358" s="246" t="str">
        <f t="shared" si="266"/>
        <v/>
      </c>
    </row>
    <row r="8359" spans="6:11" x14ac:dyDescent="0.2">
      <c r="F8359" s="285" t="str">
        <f t="shared" si="267"/>
        <v/>
      </c>
      <c r="K8359" s="246" t="str">
        <f t="shared" si="266"/>
        <v/>
      </c>
    </row>
    <row r="8360" spans="6:11" x14ac:dyDescent="0.2">
      <c r="F8360" s="285" t="str">
        <f t="shared" si="267"/>
        <v/>
      </c>
      <c r="K8360" s="246" t="str">
        <f t="shared" si="266"/>
        <v/>
      </c>
    </row>
    <row r="8361" spans="6:11" x14ac:dyDescent="0.2">
      <c r="F8361" s="285" t="str">
        <f t="shared" si="267"/>
        <v/>
      </c>
      <c r="K8361" s="246" t="str">
        <f t="shared" si="266"/>
        <v/>
      </c>
    </row>
    <row r="8362" spans="6:11" x14ac:dyDescent="0.2">
      <c r="F8362" s="285" t="str">
        <f t="shared" si="267"/>
        <v/>
      </c>
      <c r="K8362" s="246" t="str">
        <f t="shared" si="266"/>
        <v/>
      </c>
    </row>
    <row r="8363" spans="6:11" x14ac:dyDescent="0.2">
      <c r="F8363" s="285" t="str">
        <f t="shared" si="267"/>
        <v/>
      </c>
      <c r="K8363" s="246" t="str">
        <f t="shared" si="266"/>
        <v/>
      </c>
    </row>
    <row r="8364" spans="6:11" x14ac:dyDescent="0.2">
      <c r="F8364" s="285" t="str">
        <f t="shared" si="267"/>
        <v/>
      </c>
      <c r="K8364" s="246" t="str">
        <f t="shared" si="266"/>
        <v/>
      </c>
    </row>
    <row r="8365" spans="6:11" x14ac:dyDescent="0.2">
      <c r="F8365" s="285" t="str">
        <f t="shared" si="267"/>
        <v/>
      </c>
      <c r="K8365" s="246" t="str">
        <f t="shared" si="266"/>
        <v/>
      </c>
    </row>
    <row r="8366" spans="6:11" x14ac:dyDescent="0.2">
      <c r="F8366" s="285" t="str">
        <f t="shared" si="267"/>
        <v/>
      </c>
      <c r="K8366" s="246" t="str">
        <f t="shared" si="266"/>
        <v/>
      </c>
    </row>
    <row r="8367" spans="6:11" x14ac:dyDescent="0.2">
      <c r="F8367" s="285" t="str">
        <f t="shared" si="267"/>
        <v/>
      </c>
      <c r="K8367" s="246" t="str">
        <f t="shared" si="266"/>
        <v/>
      </c>
    </row>
    <row r="8368" spans="6:11" x14ac:dyDescent="0.2">
      <c r="F8368" s="285" t="str">
        <f t="shared" si="267"/>
        <v/>
      </c>
      <c r="K8368" s="246" t="str">
        <f t="shared" si="266"/>
        <v/>
      </c>
    </row>
    <row r="8369" spans="6:11" x14ac:dyDescent="0.2">
      <c r="F8369" s="285" t="str">
        <f t="shared" si="267"/>
        <v/>
      </c>
      <c r="K8369" s="246" t="str">
        <f t="shared" si="266"/>
        <v/>
      </c>
    </row>
    <row r="8370" spans="6:11" x14ac:dyDescent="0.2">
      <c r="F8370" s="285" t="str">
        <f t="shared" si="267"/>
        <v/>
      </c>
      <c r="K8370" s="246" t="str">
        <f t="shared" si="266"/>
        <v/>
      </c>
    </row>
    <row r="8371" spans="6:11" x14ac:dyDescent="0.2">
      <c r="F8371" s="285" t="str">
        <f t="shared" si="267"/>
        <v/>
      </c>
      <c r="K8371" s="246" t="str">
        <f t="shared" si="266"/>
        <v/>
      </c>
    </row>
    <row r="8372" spans="6:11" x14ac:dyDescent="0.2">
      <c r="F8372" s="285" t="str">
        <f t="shared" si="267"/>
        <v/>
      </c>
      <c r="K8372" s="246" t="str">
        <f t="shared" si="266"/>
        <v/>
      </c>
    </row>
    <row r="8373" spans="6:11" x14ac:dyDescent="0.2">
      <c r="F8373" s="285" t="str">
        <f t="shared" si="267"/>
        <v/>
      </c>
      <c r="K8373" s="246" t="str">
        <f t="shared" si="266"/>
        <v/>
      </c>
    </row>
    <row r="8374" spans="6:11" x14ac:dyDescent="0.2">
      <c r="F8374" s="285" t="str">
        <f t="shared" si="267"/>
        <v/>
      </c>
      <c r="K8374" s="246" t="str">
        <f t="shared" si="266"/>
        <v/>
      </c>
    </row>
    <row r="8375" spans="6:11" x14ac:dyDescent="0.2">
      <c r="F8375" s="285" t="str">
        <f t="shared" si="267"/>
        <v/>
      </c>
      <c r="K8375" s="246" t="str">
        <f t="shared" si="266"/>
        <v/>
      </c>
    </row>
    <row r="8376" spans="6:11" x14ac:dyDescent="0.2">
      <c r="F8376" s="285" t="str">
        <f t="shared" si="267"/>
        <v/>
      </c>
      <c r="K8376" s="246" t="str">
        <f t="shared" si="266"/>
        <v/>
      </c>
    </row>
    <row r="8377" spans="6:11" x14ac:dyDescent="0.2">
      <c r="F8377" s="285" t="str">
        <f t="shared" si="267"/>
        <v/>
      </c>
      <c r="K8377" s="246" t="str">
        <f t="shared" si="266"/>
        <v/>
      </c>
    </row>
    <row r="8378" spans="6:11" x14ac:dyDescent="0.2">
      <c r="F8378" s="285" t="str">
        <f t="shared" si="267"/>
        <v/>
      </c>
      <c r="K8378" s="246" t="str">
        <f t="shared" si="266"/>
        <v/>
      </c>
    </row>
    <row r="8379" spans="6:11" x14ac:dyDescent="0.2">
      <c r="F8379" s="285" t="str">
        <f t="shared" si="267"/>
        <v/>
      </c>
      <c r="K8379" s="246" t="str">
        <f t="shared" ref="K8379:K8442" si="268">IF(A8379="","",A8379)</f>
        <v/>
      </c>
    </row>
    <row r="8380" spans="6:11" x14ac:dyDescent="0.2">
      <c r="F8380" s="285" t="str">
        <f t="shared" si="267"/>
        <v/>
      </c>
      <c r="K8380" s="246" t="str">
        <f t="shared" si="268"/>
        <v/>
      </c>
    </row>
    <row r="8381" spans="6:11" x14ac:dyDescent="0.2">
      <c r="F8381" s="285" t="str">
        <f t="shared" si="267"/>
        <v/>
      </c>
      <c r="K8381" s="246" t="str">
        <f t="shared" si="268"/>
        <v/>
      </c>
    </row>
    <row r="8382" spans="6:11" x14ac:dyDescent="0.2">
      <c r="F8382" s="285" t="str">
        <f t="shared" si="267"/>
        <v/>
      </c>
      <c r="K8382" s="246" t="str">
        <f t="shared" si="268"/>
        <v/>
      </c>
    </row>
    <row r="8383" spans="6:11" x14ac:dyDescent="0.2">
      <c r="F8383" s="285" t="str">
        <f t="shared" si="267"/>
        <v/>
      </c>
      <c r="K8383" s="246" t="str">
        <f t="shared" si="268"/>
        <v/>
      </c>
    </row>
    <row r="8384" spans="6:11" x14ac:dyDescent="0.2">
      <c r="F8384" s="285" t="str">
        <f t="shared" si="267"/>
        <v/>
      </c>
      <c r="K8384" s="246" t="str">
        <f t="shared" si="268"/>
        <v/>
      </c>
    </row>
    <row r="8385" spans="6:11" x14ac:dyDescent="0.2">
      <c r="F8385" s="285" t="str">
        <f t="shared" si="267"/>
        <v/>
      </c>
      <c r="K8385" s="246" t="str">
        <f t="shared" si="268"/>
        <v/>
      </c>
    </row>
    <row r="8386" spans="6:11" x14ac:dyDescent="0.2">
      <c r="F8386" s="285" t="str">
        <f t="shared" si="267"/>
        <v/>
      </c>
      <c r="K8386" s="246" t="str">
        <f t="shared" si="268"/>
        <v/>
      </c>
    </row>
    <row r="8387" spans="6:11" x14ac:dyDescent="0.2">
      <c r="F8387" s="285" t="str">
        <f t="shared" si="267"/>
        <v/>
      </c>
      <c r="K8387" s="246" t="str">
        <f t="shared" si="268"/>
        <v/>
      </c>
    </row>
    <row r="8388" spans="6:11" x14ac:dyDescent="0.2">
      <c r="F8388" s="285" t="str">
        <f t="shared" si="267"/>
        <v/>
      </c>
      <c r="K8388" s="246" t="str">
        <f t="shared" si="268"/>
        <v/>
      </c>
    </row>
    <row r="8389" spans="6:11" x14ac:dyDescent="0.2">
      <c r="F8389" s="285" t="str">
        <f t="shared" ref="F8389:F8452" si="269">IF(A8389="","",A8389)</f>
        <v/>
      </c>
      <c r="K8389" s="246" t="str">
        <f t="shared" si="268"/>
        <v/>
      </c>
    </row>
    <row r="8390" spans="6:11" x14ac:dyDescent="0.2">
      <c r="F8390" s="285" t="str">
        <f t="shared" si="269"/>
        <v/>
      </c>
      <c r="K8390" s="246" t="str">
        <f t="shared" si="268"/>
        <v/>
      </c>
    </row>
    <row r="8391" spans="6:11" x14ac:dyDescent="0.2">
      <c r="F8391" s="285" t="str">
        <f t="shared" si="269"/>
        <v/>
      </c>
      <c r="K8391" s="246" t="str">
        <f t="shared" si="268"/>
        <v/>
      </c>
    </row>
    <row r="8392" spans="6:11" x14ac:dyDescent="0.2">
      <c r="F8392" s="285" t="str">
        <f t="shared" si="269"/>
        <v/>
      </c>
      <c r="K8392" s="246" t="str">
        <f t="shared" si="268"/>
        <v/>
      </c>
    </row>
    <row r="8393" spans="6:11" x14ac:dyDescent="0.2">
      <c r="F8393" s="285" t="str">
        <f t="shared" si="269"/>
        <v/>
      </c>
      <c r="K8393" s="246" t="str">
        <f t="shared" si="268"/>
        <v/>
      </c>
    </row>
    <row r="8394" spans="6:11" x14ac:dyDescent="0.2">
      <c r="F8394" s="285" t="str">
        <f t="shared" si="269"/>
        <v/>
      </c>
      <c r="K8394" s="246" t="str">
        <f t="shared" si="268"/>
        <v/>
      </c>
    </row>
    <row r="8395" spans="6:11" x14ac:dyDescent="0.2">
      <c r="F8395" s="285" t="str">
        <f t="shared" si="269"/>
        <v/>
      </c>
      <c r="K8395" s="246" t="str">
        <f t="shared" si="268"/>
        <v/>
      </c>
    </row>
    <row r="8396" spans="6:11" x14ac:dyDescent="0.2">
      <c r="F8396" s="285" t="str">
        <f t="shared" si="269"/>
        <v/>
      </c>
      <c r="K8396" s="246" t="str">
        <f t="shared" si="268"/>
        <v/>
      </c>
    </row>
    <row r="8397" spans="6:11" x14ac:dyDescent="0.2">
      <c r="F8397" s="285" t="str">
        <f t="shared" si="269"/>
        <v/>
      </c>
      <c r="K8397" s="246" t="str">
        <f t="shared" si="268"/>
        <v/>
      </c>
    </row>
    <row r="8398" spans="6:11" x14ac:dyDescent="0.2">
      <c r="F8398" s="285" t="str">
        <f t="shared" si="269"/>
        <v/>
      </c>
      <c r="K8398" s="246" t="str">
        <f t="shared" si="268"/>
        <v/>
      </c>
    </row>
    <row r="8399" spans="6:11" x14ac:dyDescent="0.2">
      <c r="F8399" s="285" t="str">
        <f t="shared" si="269"/>
        <v/>
      </c>
      <c r="K8399" s="246" t="str">
        <f t="shared" si="268"/>
        <v/>
      </c>
    </row>
    <row r="8400" spans="6:11" x14ac:dyDescent="0.2">
      <c r="F8400" s="285" t="str">
        <f t="shared" si="269"/>
        <v/>
      </c>
      <c r="K8400" s="246" t="str">
        <f t="shared" si="268"/>
        <v/>
      </c>
    </row>
    <row r="8401" spans="6:11" x14ac:dyDescent="0.2">
      <c r="F8401" s="285" t="str">
        <f t="shared" si="269"/>
        <v/>
      </c>
      <c r="K8401" s="246" t="str">
        <f t="shared" si="268"/>
        <v/>
      </c>
    </row>
    <row r="8402" spans="6:11" x14ac:dyDescent="0.2">
      <c r="F8402" s="285" t="str">
        <f t="shared" si="269"/>
        <v/>
      </c>
      <c r="K8402" s="246" t="str">
        <f t="shared" si="268"/>
        <v/>
      </c>
    </row>
    <row r="8403" spans="6:11" x14ac:dyDescent="0.2">
      <c r="F8403" s="285" t="str">
        <f t="shared" si="269"/>
        <v/>
      </c>
      <c r="K8403" s="246" t="str">
        <f t="shared" si="268"/>
        <v/>
      </c>
    </row>
    <row r="8404" spans="6:11" x14ac:dyDescent="0.2">
      <c r="F8404" s="285" t="str">
        <f t="shared" si="269"/>
        <v/>
      </c>
      <c r="K8404" s="246" t="str">
        <f t="shared" si="268"/>
        <v/>
      </c>
    </row>
    <row r="8405" spans="6:11" x14ac:dyDescent="0.2">
      <c r="F8405" s="285" t="str">
        <f t="shared" si="269"/>
        <v/>
      </c>
      <c r="K8405" s="246" t="str">
        <f t="shared" si="268"/>
        <v/>
      </c>
    </row>
    <row r="8406" spans="6:11" x14ac:dyDescent="0.2">
      <c r="F8406" s="285" t="str">
        <f t="shared" si="269"/>
        <v/>
      </c>
      <c r="K8406" s="246" t="str">
        <f t="shared" si="268"/>
        <v/>
      </c>
    </row>
    <row r="8407" spans="6:11" x14ac:dyDescent="0.2">
      <c r="F8407" s="285" t="str">
        <f t="shared" si="269"/>
        <v/>
      </c>
      <c r="K8407" s="246" t="str">
        <f t="shared" si="268"/>
        <v/>
      </c>
    </row>
    <row r="8408" spans="6:11" x14ac:dyDescent="0.2">
      <c r="F8408" s="285" t="str">
        <f t="shared" si="269"/>
        <v/>
      </c>
      <c r="K8408" s="246" t="str">
        <f t="shared" si="268"/>
        <v/>
      </c>
    </row>
    <row r="8409" spans="6:11" x14ac:dyDescent="0.2">
      <c r="F8409" s="285" t="str">
        <f t="shared" si="269"/>
        <v/>
      </c>
      <c r="K8409" s="246" t="str">
        <f t="shared" si="268"/>
        <v/>
      </c>
    </row>
    <row r="8410" spans="6:11" x14ac:dyDescent="0.2">
      <c r="F8410" s="285" t="str">
        <f t="shared" si="269"/>
        <v/>
      </c>
      <c r="K8410" s="246" t="str">
        <f t="shared" si="268"/>
        <v/>
      </c>
    </row>
    <row r="8411" spans="6:11" x14ac:dyDescent="0.2">
      <c r="F8411" s="285" t="str">
        <f t="shared" si="269"/>
        <v/>
      </c>
      <c r="K8411" s="246" t="str">
        <f t="shared" si="268"/>
        <v/>
      </c>
    </row>
    <row r="8412" spans="6:11" x14ac:dyDescent="0.2">
      <c r="F8412" s="285" t="str">
        <f t="shared" si="269"/>
        <v/>
      </c>
      <c r="K8412" s="246" t="str">
        <f t="shared" si="268"/>
        <v/>
      </c>
    </row>
    <row r="8413" spans="6:11" x14ac:dyDescent="0.2">
      <c r="F8413" s="285" t="str">
        <f t="shared" si="269"/>
        <v/>
      </c>
      <c r="K8413" s="246" t="str">
        <f t="shared" si="268"/>
        <v/>
      </c>
    </row>
    <row r="8414" spans="6:11" x14ac:dyDescent="0.2">
      <c r="F8414" s="285" t="str">
        <f t="shared" si="269"/>
        <v/>
      </c>
      <c r="K8414" s="246" t="str">
        <f t="shared" si="268"/>
        <v/>
      </c>
    </row>
    <row r="8415" spans="6:11" x14ac:dyDescent="0.2">
      <c r="F8415" s="285" t="str">
        <f t="shared" si="269"/>
        <v/>
      </c>
      <c r="K8415" s="246" t="str">
        <f t="shared" si="268"/>
        <v/>
      </c>
    </row>
    <row r="8416" spans="6:11" x14ac:dyDescent="0.2">
      <c r="F8416" s="285" t="str">
        <f t="shared" si="269"/>
        <v/>
      </c>
      <c r="K8416" s="246" t="str">
        <f t="shared" si="268"/>
        <v/>
      </c>
    </row>
    <row r="8417" spans="6:11" x14ac:dyDescent="0.2">
      <c r="F8417" s="285" t="str">
        <f t="shared" si="269"/>
        <v/>
      </c>
      <c r="K8417" s="246" t="str">
        <f t="shared" si="268"/>
        <v/>
      </c>
    </row>
    <row r="8418" spans="6:11" x14ac:dyDescent="0.2">
      <c r="F8418" s="285" t="str">
        <f t="shared" si="269"/>
        <v/>
      </c>
      <c r="K8418" s="246" t="str">
        <f t="shared" si="268"/>
        <v/>
      </c>
    </row>
    <row r="8419" spans="6:11" x14ac:dyDescent="0.2">
      <c r="F8419" s="285" t="str">
        <f t="shared" si="269"/>
        <v/>
      </c>
      <c r="K8419" s="246" t="str">
        <f t="shared" si="268"/>
        <v/>
      </c>
    </row>
    <row r="8420" spans="6:11" x14ac:dyDescent="0.2">
      <c r="F8420" s="285" t="str">
        <f t="shared" si="269"/>
        <v/>
      </c>
      <c r="K8420" s="246" t="str">
        <f t="shared" si="268"/>
        <v/>
      </c>
    </row>
    <row r="8421" spans="6:11" x14ac:dyDescent="0.2">
      <c r="F8421" s="285" t="str">
        <f t="shared" si="269"/>
        <v/>
      </c>
      <c r="K8421" s="246" t="str">
        <f t="shared" si="268"/>
        <v/>
      </c>
    </row>
    <row r="8422" spans="6:11" x14ac:dyDescent="0.2">
      <c r="F8422" s="285" t="str">
        <f t="shared" si="269"/>
        <v/>
      </c>
      <c r="K8422" s="246" t="str">
        <f t="shared" si="268"/>
        <v/>
      </c>
    </row>
    <row r="8423" spans="6:11" x14ac:dyDescent="0.2">
      <c r="F8423" s="285" t="str">
        <f t="shared" si="269"/>
        <v/>
      </c>
      <c r="K8423" s="246" t="str">
        <f t="shared" si="268"/>
        <v/>
      </c>
    </row>
    <row r="8424" spans="6:11" x14ac:dyDescent="0.2">
      <c r="F8424" s="285" t="str">
        <f t="shared" si="269"/>
        <v/>
      </c>
      <c r="K8424" s="246" t="str">
        <f t="shared" si="268"/>
        <v/>
      </c>
    </row>
    <row r="8425" spans="6:11" x14ac:dyDescent="0.2">
      <c r="F8425" s="285" t="str">
        <f t="shared" si="269"/>
        <v/>
      </c>
      <c r="K8425" s="246" t="str">
        <f t="shared" si="268"/>
        <v/>
      </c>
    </row>
    <row r="8426" spans="6:11" x14ac:dyDescent="0.2">
      <c r="F8426" s="285" t="str">
        <f t="shared" si="269"/>
        <v/>
      </c>
      <c r="K8426" s="246" t="str">
        <f t="shared" si="268"/>
        <v/>
      </c>
    </row>
    <row r="8427" spans="6:11" x14ac:dyDescent="0.2">
      <c r="F8427" s="285" t="str">
        <f t="shared" si="269"/>
        <v/>
      </c>
      <c r="K8427" s="246" t="str">
        <f t="shared" si="268"/>
        <v/>
      </c>
    </row>
    <row r="8428" spans="6:11" x14ac:dyDescent="0.2">
      <c r="F8428" s="285" t="str">
        <f t="shared" si="269"/>
        <v/>
      </c>
      <c r="K8428" s="246" t="str">
        <f t="shared" si="268"/>
        <v/>
      </c>
    </row>
    <row r="8429" spans="6:11" x14ac:dyDescent="0.2">
      <c r="F8429" s="285" t="str">
        <f t="shared" si="269"/>
        <v/>
      </c>
      <c r="K8429" s="246" t="str">
        <f t="shared" si="268"/>
        <v/>
      </c>
    </row>
    <row r="8430" spans="6:11" x14ac:dyDescent="0.2">
      <c r="F8430" s="285" t="str">
        <f t="shared" si="269"/>
        <v/>
      </c>
      <c r="K8430" s="246" t="str">
        <f t="shared" si="268"/>
        <v/>
      </c>
    </row>
    <row r="8431" spans="6:11" x14ac:dyDescent="0.2">
      <c r="F8431" s="285" t="str">
        <f t="shared" si="269"/>
        <v/>
      </c>
      <c r="K8431" s="246" t="str">
        <f t="shared" si="268"/>
        <v/>
      </c>
    </row>
    <row r="8432" spans="6:11" x14ac:dyDescent="0.2">
      <c r="F8432" s="285" t="str">
        <f t="shared" si="269"/>
        <v/>
      </c>
      <c r="K8432" s="246" t="str">
        <f t="shared" si="268"/>
        <v/>
      </c>
    </row>
    <row r="8433" spans="6:11" x14ac:dyDescent="0.2">
      <c r="F8433" s="285" t="str">
        <f t="shared" si="269"/>
        <v/>
      </c>
      <c r="K8433" s="246" t="str">
        <f t="shared" si="268"/>
        <v/>
      </c>
    </row>
    <row r="8434" spans="6:11" x14ac:dyDescent="0.2">
      <c r="F8434" s="285" t="str">
        <f t="shared" si="269"/>
        <v/>
      </c>
      <c r="K8434" s="246" t="str">
        <f t="shared" si="268"/>
        <v/>
      </c>
    </row>
    <row r="8435" spans="6:11" x14ac:dyDescent="0.2">
      <c r="F8435" s="285" t="str">
        <f t="shared" si="269"/>
        <v/>
      </c>
      <c r="K8435" s="246" t="str">
        <f t="shared" si="268"/>
        <v/>
      </c>
    </row>
    <row r="8436" spans="6:11" x14ac:dyDescent="0.2">
      <c r="F8436" s="285" t="str">
        <f t="shared" si="269"/>
        <v/>
      </c>
      <c r="K8436" s="246" t="str">
        <f t="shared" si="268"/>
        <v/>
      </c>
    </row>
    <row r="8437" spans="6:11" x14ac:dyDescent="0.2">
      <c r="F8437" s="285" t="str">
        <f t="shared" si="269"/>
        <v/>
      </c>
      <c r="K8437" s="246" t="str">
        <f t="shared" si="268"/>
        <v/>
      </c>
    </row>
    <row r="8438" spans="6:11" x14ac:dyDescent="0.2">
      <c r="F8438" s="285" t="str">
        <f t="shared" si="269"/>
        <v/>
      </c>
      <c r="K8438" s="246" t="str">
        <f t="shared" si="268"/>
        <v/>
      </c>
    </row>
    <row r="8439" spans="6:11" x14ac:dyDescent="0.2">
      <c r="F8439" s="285" t="str">
        <f t="shared" si="269"/>
        <v/>
      </c>
      <c r="K8439" s="246" t="str">
        <f t="shared" si="268"/>
        <v/>
      </c>
    </row>
    <row r="8440" spans="6:11" x14ac:dyDescent="0.2">
      <c r="F8440" s="285" t="str">
        <f t="shared" si="269"/>
        <v/>
      </c>
      <c r="K8440" s="246" t="str">
        <f t="shared" si="268"/>
        <v/>
      </c>
    </row>
    <row r="8441" spans="6:11" x14ac:dyDescent="0.2">
      <c r="F8441" s="285" t="str">
        <f t="shared" si="269"/>
        <v/>
      </c>
      <c r="K8441" s="246" t="str">
        <f t="shared" si="268"/>
        <v/>
      </c>
    </row>
    <row r="8442" spans="6:11" x14ac:dyDescent="0.2">
      <c r="F8442" s="285" t="str">
        <f t="shared" si="269"/>
        <v/>
      </c>
      <c r="K8442" s="246" t="str">
        <f t="shared" si="268"/>
        <v/>
      </c>
    </row>
    <row r="8443" spans="6:11" x14ac:dyDescent="0.2">
      <c r="F8443" s="285" t="str">
        <f t="shared" si="269"/>
        <v/>
      </c>
      <c r="K8443" s="246" t="str">
        <f t="shared" ref="K8443:K8506" si="270">IF(A8443="","",A8443)</f>
        <v/>
      </c>
    </row>
    <row r="8444" spans="6:11" x14ac:dyDescent="0.2">
      <c r="F8444" s="285" t="str">
        <f t="shared" si="269"/>
        <v/>
      </c>
      <c r="K8444" s="246" t="str">
        <f t="shared" si="270"/>
        <v/>
      </c>
    </row>
    <row r="8445" spans="6:11" x14ac:dyDescent="0.2">
      <c r="F8445" s="285" t="str">
        <f t="shared" si="269"/>
        <v/>
      </c>
      <c r="K8445" s="246" t="str">
        <f t="shared" si="270"/>
        <v/>
      </c>
    </row>
    <row r="8446" spans="6:11" x14ac:dyDescent="0.2">
      <c r="F8446" s="285" t="str">
        <f t="shared" si="269"/>
        <v/>
      </c>
      <c r="K8446" s="246" t="str">
        <f t="shared" si="270"/>
        <v/>
      </c>
    </row>
    <row r="8447" spans="6:11" x14ac:dyDescent="0.2">
      <c r="F8447" s="285" t="str">
        <f t="shared" si="269"/>
        <v/>
      </c>
      <c r="K8447" s="246" t="str">
        <f t="shared" si="270"/>
        <v/>
      </c>
    </row>
    <row r="8448" spans="6:11" x14ac:dyDescent="0.2">
      <c r="F8448" s="285" t="str">
        <f t="shared" si="269"/>
        <v/>
      </c>
      <c r="K8448" s="246" t="str">
        <f t="shared" si="270"/>
        <v/>
      </c>
    </row>
    <row r="8449" spans="6:11" x14ac:dyDescent="0.2">
      <c r="F8449" s="285" t="str">
        <f t="shared" si="269"/>
        <v/>
      </c>
      <c r="K8449" s="246" t="str">
        <f t="shared" si="270"/>
        <v/>
      </c>
    </row>
    <row r="8450" spans="6:11" x14ac:dyDescent="0.2">
      <c r="F8450" s="285" t="str">
        <f t="shared" si="269"/>
        <v/>
      </c>
      <c r="K8450" s="246" t="str">
        <f t="shared" si="270"/>
        <v/>
      </c>
    </row>
    <row r="8451" spans="6:11" x14ac:dyDescent="0.2">
      <c r="F8451" s="285" t="str">
        <f t="shared" si="269"/>
        <v/>
      </c>
      <c r="K8451" s="246" t="str">
        <f t="shared" si="270"/>
        <v/>
      </c>
    </row>
    <row r="8452" spans="6:11" x14ac:dyDescent="0.2">
      <c r="F8452" s="285" t="str">
        <f t="shared" si="269"/>
        <v/>
      </c>
      <c r="K8452" s="246" t="str">
        <f t="shared" si="270"/>
        <v/>
      </c>
    </row>
    <row r="8453" spans="6:11" x14ac:dyDescent="0.2">
      <c r="F8453" s="285" t="str">
        <f t="shared" ref="F8453:F8516" si="271">IF(A8453="","",A8453)</f>
        <v/>
      </c>
      <c r="K8453" s="246" t="str">
        <f t="shared" si="270"/>
        <v/>
      </c>
    </row>
    <row r="8454" spans="6:11" x14ac:dyDescent="0.2">
      <c r="F8454" s="285" t="str">
        <f t="shared" si="271"/>
        <v/>
      </c>
      <c r="K8454" s="246" t="str">
        <f t="shared" si="270"/>
        <v/>
      </c>
    </row>
    <row r="8455" spans="6:11" x14ac:dyDescent="0.2">
      <c r="F8455" s="285" t="str">
        <f t="shared" si="271"/>
        <v/>
      </c>
      <c r="K8455" s="246" t="str">
        <f t="shared" si="270"/>
        <v/>
      </c>
    </row>
    <row r="8456" spans="6:11" x14ac:dyDescent="0.2">
      <c r="F8456" s="285" t="str">
        <f t="shared" si="271"/>
        <v/>
      </c>
      <c r="K8456" s="246" t="str">
        <f t="shared" si="270"/>
        <v/>
      </c>
    </row>
    <row r="8457" spans="6:11" x14ac:dyDescent="0.2">
      <c r="F8457" s="285" t="str">
        <f t="shared" si="271"/>
        <v/>
      </c>
      <c r="K8457" s="246" t="str">
        <f t="shared" si="270"/>
        <v/>
      </c>
    </row>
    <row r="8458" spans="6:11" x14ac:dyDescent="0.2">
      <c r="F8458" s="285" t="str">
        <f t="shared" si="271"/>
        <v/>
      </c>
      <c r="K8458" s="246" t="str">
        <f t="shared" si="270"/>
        <v/>
      </c>
    </row>
    <row r="8459" spans="6:11" x14ac:dyDescent="0.2">
      <c r="F8459" s="285" t="str">
        <f t="shared" si="271"/>
        <v/>
      </c>
      <c r="K8459" s="246" t="str">
        <f t="shared" si="270"/>
        <v/>
      </c>
    </row>
    <row r="8460" spans="6:11" x14ac:dyDescent="0.2">
      <c r="F8460" s="285" t="str">
        <f t="shared" si="271"/>
        <v/>
      </c>
      <c r="K8460" s="246" t="str">
        <f t="shared" si="270"/>
        <v/>
      </c>
    </row>
    <row r="8461" spans="6:11" x14ac:dyDescent="0.2">
      <c r="F8461" s="285" t="str">
        <f t="shared" si="271"/>
        <v/>
      </c>
      <c r="K8461" s="246" t="str">
        <f t="shared" si="270"/>
        <v/>
      </c>
    </row>
    <row r="8462" spans="6:11" x14ac:dyDescent="0.2">
      <c r="F8462" s="285" t="str">
        <f t="shared" si="271"/>
        <v/>
      </c>
      <c r="K8462" s="246" t="str">
        <f t="shared" si="270"/>
        <v/>
      </c>
    </row>
    <row r="8463" spans="6:11" x14ac:dyDescent="0.2">
      <c r="F8463" s="285" t="str">
        <f t="shared" si="271"/>
        <v/>
      </c>
      <c r="K8463" s="246" t="str">
        <f t="shared" si="270"/>
        <v/>
      </c>
    </row>
    <row r="8464" spans="6:11" x14ac:dyDescent="0.2">
      <c r="F8464" s="285" t="str">
        <f t="shared" si="271"/>
        <v/>
      </c>
      <c r="K8464" s="246" t="str">
        <f t="shared" si="270"/>
        <v/>
      </c>
    </row>
    <row r="8465" spans="6:11" x14ac:dyDescent="0.2">
      <c r="F8465" s="285" t="str">
        <f t="shared" si="271"/>
        <v/>
      </c>
      <c r="K8465" s="246" t="str">
        <f t="shared" si="270"/>
        <v/>
      </c>
    </row>
    <row r="8466" spans="6:11" x14ac:dyDescent="0.2">
      <c r="F8466" s="285" t="str">
        <f t="shared" si="271"/>
        <v/>
      </c>
      <c r="K8466" s="246" t="str">
        <f t="shared" si="270"/>
        <v/>
      </c>
    </row>
    <row r="8467" spans="6:11" x14ac:dyDescent="0.2">
      <c r="F8467" s="285" t="str">
        <f t="shared" si="271"/>
        <v/>
      </c>
      <c r="K8467" s="246" t="str">
        <f t="shared" si="270"/>
        <v/>
      </c>
    </row>
    <row r="8468" spans="6:11" x14ac:dyDescent="0.2">
      <c r="F8468" s="285" t="str">
        <f t="shared" si="271"/>
        <v/>
      </c>
      <c r="K8468" s="246" t="str">
        <f t="shared" si="270"/>
        <v/>
      </c>
    </row>
    <row r="8469" spans="6:11" x14ac:dyDescent="0.2">
      <c r="F8469" s="285" t="str">
        <f t="shared" si="271"/>
        <v/>
      </c>
      <c r="K8469" s="246" t="str">
        <f t="shared" si="270"/>
        <v/>
      </c>
    </row>
    <row r="8470" spans="6:11" x14ac:dyDescent="0.2">
      <c r="F8470" s="285" t="str">
        <f t="shared" si="271"/>
        <v/>
      </c>
      <c r="K8470" s="246" t="str">
        <f t="shared" si="270"/>
        <v/>
      </c>
    </row>
    <row r="8471" spans="6:11" x14ac:dyDescent="0.2">
      <c r="F8471" s="285" t="str">
        <f t="shared" si="271"/>
        <v/>
      </c>
      <c r="K8471" s="246" t="str">
        <f t="shared" si="270"/>
        <v/>
      </c>
    </row>
    <row r="8472" spans="6:11" x14ac:dyDescent="0.2">
      <c r="F8472" s="285" t="str">
        <f t="shared" si="271"/>
        <v/>
      </c>
      <c r="K8472" s="246" t="str">
        <f t="shared" si="270"/>
        <v/>
      </c>
    </row>
    <row r="8473" spans="6:11" x14ac:dyDescent="0.2">
      <c r="F8473" s="285" t="str">
        <f t="shared" si="271"/>
        <v/>
      </c>
      <c r="K8473" s="246" t="str">
        <f t="shared" si="270"/>
        <v/>
      </c>
    </row>
    <row r="8474" spans="6:11" x14ac:dyDescent="0.2">
      <c r="F8474" s="285" t="str">
        <f t="shared" si="271"/>
        <v/>
      </c>
      <c r="K8474" s="246" t="str">
        <f t="shared" si="270"/>
        <v/>
      </c>
    </row>
    <row r="8475" spans="6:11" x14ac:dyDescent="0.2">
      <c r="F8475" s="285" t="str">
        <f t="shared" si="271"/>
        <v/>
      </c>
      <c r="K8475" s="246" t="str">
        <f t="shared" si="270"/>
        <v/>
      </c>
    </row>
    <row r="8476" spans="6:11" x14ac:dyDescent="0.2">
      <c r="F8476" s="285" t="str">
        <f t="shared" si="271"/>
        <v/>
      </c>
      <c r="K8476" s="246" t="str">
        <f t="shared" si="270"/>
        <v/>
      </c>
    </row>
    <row r="8477" spans="6:11" x14ac:dyDescent="0.2">
      <c r="F8477" s="285" t="str">
        <f t="shared" si="271"/>
        <v/>
      </c>
      <c r="K8477" s="246" t="str">
        <f t="shared" si="270"/>
        <v/>
      </c>
    </row>
    <row r="8478" spans="6:11" x14ac:dyDescent="0.2">
      <c r="F8478" s="285" t="str">
        <f t="shared" si="271"/>
        <v/>
      </c>
      <c r="K8478" s="246" t="str">
        <f t="shared" si="270"/>
        <v/>
      </c>
    </row>
    <row r="8479" spans="6:11" x14ac:dyDescent="0.2">
      <c r="F8479" s="285" t="str">
        <f t="shared" si="271"/>
        <v/>
      </c>
      <c r="K8479" s="246" t="str">
        <f t="shared" si="270"/>
        <v/>
      </c>
    </row>
    <row r="8480" spans="6:11" x14ac:dyDescent="0.2">
      <c r="F8480" s="285" t="str">
        <f t="shared" si="271"/>
        <v/>
      </c>
      <c r="K8480" s="246" t="str">
        <f t="shared" si="270"/>
        <v/>
      </c>
    </row>
    <row r="8481" spans="6:11" x14ac:dyDescent="0.2">
      <c r="F8481" s="285" t="str">
        <f t="shared" si="271"/>
        <v/>
      </c>
      <c r="K8481" s="246" t="str">
        <f t="shared" si="270"/>
        <v/>
      </c>
    </row>
    <row r="8482" spans="6:11" x14ac:dyDescent="0.2">
      <c r="F8482" s="285" t="str">
        <f t="shared" si="271"/>
        <v/>
      </c>
      <c r="K8482" s="246" t="str">
        <f t="shared" si="270"/>
        <v/>
      </c>
    </row>
    <row r="8483" spans="6:11" x14ac:dyDescent="0.2">
      <c r="F8483" s="285" t="str">
        <f t="shared" si="271"/>
        <v/>
      </c>
      <c r="K8483" s="246" t="str">
        <f t="shared" si="270"/>
        <v/>
      </c>
    </row>
    <row r="8484" spans="6:11" x14ac:dyDescent="0.2">
      <c r="F8484" s="285" t="str">
        <f t="shared" si="271"/>
        <v/>
      </c>
      <c r="K8484" s="246" t="str">
        <f t="shared" si="270"/>
        <v/>
      </c>
    </row>
    <row r="8485" spans="6:11" x14ac:dyDescent="0.2">
      <c r="F8485" s="285" t="str">
        <f t="shared" si="271"/>
        <v/>
      </c>
      <c r="K8485" s="246" t="str">
        <f t="shared" si="270"/>
        <v/>
      </c>
    </row>
    <row r="8486" spans="6:11" x14ac:dyDescent="0.2">
      <c r="F8486" s="285" t="str">
        <f t="shared" si="271"/>
        <v/>
      </c>
      <c r="K8486" s="246" t="str">
        <f t="shared" si="270"/>
        <v/>
      </c>
    </row>
    <row r="8487" spans="6:11" x14ac:dyDescent="0.2">
      <c r="F8487" s="285" t="str">
        <f t="shared" si="271"/>
        <v/>
      </c>
      <c r="K8487" s="246" t="str">
        <f t="shared" si="270"/>
        <v/>
      </c>
    </row>
    <row r="8488" spans="6:11" x14ac:dyDescent="0.2">
      <c r="F8488" s="285" t="str">
        <f t="shared" si="271"/>
        <v/>
      </c>
      <c r="K8488" s="246" t="str">
        <f t="shared" si="270"/>
        <v/>
      </c>
    </row>
    <row r="8489" spans="6:11" x14ac:dyDescent="0.2">
      <c r="F8489" s="285" t="str">
        <f t="shared" si="271"/>
        <v/>
      </c>
      <c r="K8489" s="246" t="str">
        <f t="shared" si="270"/>
        <v/>
      </c>
    </row>
    <row r="8490" spans="6:11" x14ac:dyDescent="0.2">
      <c r="F8490" s="285" t="str">
        <f t="shared" si="271"/>
        <v/>
      </c>
      <c r="K8490" s="246" t="str">
        <f t="shared" si="270"/>
        <v/>
      </c>
    </row>
    <row r="8491" spans="6:11" x14ac:dyDescent="0.2">
      <c r="F8491" s="285" t="str">
        <f t="shared" si="271"/>
        <v/>
      </c>
      <c r="K8491" s="246" t="str">
        <f t="shared" si="270"/>
        <v/>
      </c>
    </row>
    <row r="8492" spans="6:11" x14ac:dyDescent="0.2">
      <c r="F8492" s="285" t="str">
        <f t="shared" si="271"/>
        <v/>
      </c>
      <c r="K8492" s="246" t="str">
        <f t="shared" si="270"/>
        <v/>
      </c>
    </row>
    <row r="8493" spans="6:11" x14ac:dyDescent="0.2">
      <c r="F8493" s="285" t="str">
        <f t="shared" si="271"/>
        <v/>
      </c>
      <c r="K8493" s="246" t="str">
        <f t="shared" si="270"/>
        <v/>
      </c>
    </row>
    <row r="8494" spans="6:11" x14ac:dyDescent="0.2">
      <c r="F8494" s="285" t="str">
        <f t="shared" si="271"/>
        <v/>
      </c>
      <c r="K8494" s="246" t="str">
        <f t="shared" si="270"/>
        <v/>
      </c>
    </row>
    <row r="8495" spans="6:11" x14ac:dyDescent="0.2">
      <c r="F8495" s="285" t="str">
        <f t="shared" si="271"/>
        <v/>
      </c>
      <c r="K8495" s="246" t="str">
        <f t="shared" si="270"/>
        <v/>
      </c>
    </row>
    <row r="8496" spans="6:11" x14ac:dyDescent="0.2">
      <c r="F8496" s="285" t="str">
        <f t="shared" si="271"/>
        <v/>
      </c>
      <c r="K8496" s="246" t="str">
        <f t="shared" si="270"/>
        <v/>
      </c>
    </row>
    <row r="8497" spans="6:11" x14ac:dyDescent="0.2">
      <c r="F8497" s="285" t="str">
        <f t="shared" si="271"/>
        <v/>
      </c>
      <c r="K8497" s="246" t="str">
        <f t="shared" si="270"/>
        <v/>
      </c>
    </row>
    <row r="8498" spans="6:11" x14ac:dyDescent="0.2">
      <c r="F8498" s="285" t="str">
        <f t="shared" si="271"/>
        <v/>
      </c>
      <c r="K8498" s="246" t="str">
        <f t="shared" si="270"/>
        <v/>
      </c>
    </row>
    <row r="8499" spans="6:11" x14ac:dyDescent="0.2">
      <c r="F8499" s="285" t="str">
        <f t="shared" si="271"/>
        <v/>
      </c>
      <c r="K8499" s="246" t="str">
        <f t="shared" si="270"/>
        <v/>
      </c>
    </row>
    <row r="8500" spans="6:11" x14ac:dyDescent="0.2">
      <c r="F8500" s="285" t="str">
        <f t="shared" si="271"/>
        <v/>
      </c>
      <c r="K8500" s="246" t="str">
        <f t="shared" si="270"/>
        <v/>
      </c>
    </row>
    <row r="8501" spans="6:11" x14ac:dyDescent="0.2">
      <c r="F8501" s="285" t="str">
        <f t="shared" si="271"/>
        <v/>
      </c>
      <c r="K8501" s="246" t="str">
        <f t="shared" si="270"/>
        <v/>
      </c>
    </row>
    <row r="8502" spans="6:11" x14ac:dyDescent="0.2">
      <c r="F8502" s="285" t="str">
        <f t="shared" si="271"/>
        <v/>
      </c>
      <c r="K8502" s="246" t="str">
        <f t="shared" si="270"/>
        <v/>
      </c>
    </row>
    <row r="8503" spans="6:11" x14ac:dyDescent="0.2">
      <c r="F8503" s="285" t="str">
        <f t="shared" si="271"/>
        <v/>
      </c>
      <c r="K8503" s="246" t="str">
        <f t="shared" si="270"/>
        <v/>
      </c>
    </row>
    <row r="8504" spans="6:11" x14ac:dyDescent="0.2">
      <c r="F8504" s="285" t="str">
        <f t="shared" si="271"/>
        <v/>
      </c>
      <c r="K8504" s="246" t="str">
        <f t="shared" si="270"/>
        <v/>
      </c>
    </row>
    <row r="8505" spans="6:11" x14ac:dyDescent="0.2">
      <c r="F8505" s="285" t="str">
        <f t="shared" si="271"/>
        <v/>
      </c>
      <c r="K8505" s="246" t="str">
        <f t="shared" si="270"/>
        <v/>
      </c>
    </row>
    <row r="8506" spans="6:11" x14ac:dyDescent="0.2">
      <c r="F8506" s="285" t="str">
        <f t="shared" si="271"/>
        <v/>
      </c>
      <c r="K8506" s="246" t="str">
        <f t="shared" si="270"/>
        <v/>
      </c>
    </row>
    <row r="8507" spans="6:11" x14ac:dyDescent="0.2">
      <c r="F8507" s="285" t="str">
        <f t="shared" si="271"/>
        <v/>
      </c>
      <c r="K8507" s="246" t="str">
        <f t="shared" ref="K8507:K8570" si="272">IF(A8507="","",A8507)</f>
        <v/>
      </c>
    </row>
    <row r="8508" spans="6:11" x14ac:dyDescent="0.2">
      <c r="F8508" s="285" t="str">
        <f t="shared" si="271"/>
        <v/>
      </c>
      <c r="K8508" s="246" t="str">
        <f t="shared" si="272"/>
        <v/>
      </c>
    </row>
    <row r="8509" spans="6:11" x14ac:dyDescent="0.2">
      <c r="F8509" s="285" t="str">
        <f t="shared" si="271"/>
        <v/>
      </c>
      <c r="K8509" s="246" t="str">
        <f t="shared" si="272"/>
        <v/>
      </c>
    </row>
    <row r="8510" spans="6:11" x14ac:dyDescent="0.2">
      <c r="F8510" s="285" t="str">
        <f t="shared" si="271"/>
        <v/>
      </c>
      <c r="K8510" s="246" t="str">
        <f t="shared" si="272"/>
        <v/>
      </c>
    </row>
    <row r="8511" spans="6:11" x14ac:dyDescent="0.2">
      <c r="F8511" s="285" t="str">
        <f t="shared" si="271"/>
        <v/>
      </c>
      <c r="K8511" s="246" t="str">
        <f t="shared" si="272"/>
        <v/>
      </c>
    </row>
    <row r="8512" spans="6:11" x14ac:dyDescent="0.2">
      <c r="F8512" s="285" t="str">
        <f t="shared" si="271"/>
        <v/>
      </c>
      <c r="K8512" s="246" t="str">
        <f t="shared" si="272"/>
        <v/>
      </c>
    </row>
    <row r="8513" spans="6:11" x14ac:dyDescent="0.2">
      <c r="F8513" s="285" t="str">
        <f t="shared" si="271"/>
        <v/>
      </c>
      <c r="K8513" s="246" t="str">
        <f t="shared" si="272"/>
        <v/>
      </c>
    </row>
    <row r="8514" spans="6:11" x14ac:dyDescent="0.2">
      <c r="F8514" s="285" t="str">
        <f t="shared" si="271"/>
        <v/>
      </c>
      <c r="K8514" s="246" t="str">
        <f t="shared" si="272"/>
        <v/>
      </c>
    </row>
    <row r="8515" spans="6:11" x14ac:dyDescent="0.2">
      <c r="F8515" s="285" t="str">
        <f t="shared" si="271"/>
        <v/>
      </c>
      <c r="K8515" s="246" t="str">
        <f t="shared" si="272"/>
        <v/>
      </c>
    </row>
    <row r="8516" spans="6:11" x14ac:dyDescent="0.2">
      <c r="F8516" s="285" t="str">
        <f t="shared" si="271"/>
        <v/>
      </c>
      <c r="K8516" s="246" t="str">
        <f t="shared" si="272"/>
        <v/>
      </c>
    </row>
    <row r="8517" spans="6:11" x14ac:dyDescent="0.2">
      <c r="F8517" s="285" t="str">
        <f t="shared" ref="F8517:F8580" si="273">IF(A8517="","",A8517)</f>
        <v/>
      </c>
      <c r="K8517" s="246" t="str">
        <f t="shared" si="272"/>
        <v/>
      </c>
    </row>
    <row r="8518" spans="6:11" x14ac:dyDescent="0.2">
      <c r="F8518" s="285" t="str">
        <f t="shared" si="273"/>
        <v/>
      </c>
      <c r="K8518" s="246" t="str">
        <f t="shared" si="272"/>
        <v/>
      </c>
    </row>
    <row r="8519" spans="6:11" x14ac:dyDescent="0.2">
      <c r="F8519" s="285" t="str">
        <f t="shared" si="273"/>
        <v/>
      </c>
      <c r="K8519" s="246" t="str">
        <f t="shared" si="272"/>
        <v/>
      </c>
    </row>
    <row r="8520" spans="6:11" x14ac:dyDescent="0.2">
      <c r="F8520" s="285" t="str">
        <f t="shared" si="273"/>
        <v/>
      </c>
      <c r="K8520" s="246" t="str">
        <f t="shared" si="272"/>
        <v/>
      </c>
    </row>
    <row r="8521" spans="6:11" x14ac:dyDescent="0.2">
      <c r="F8521" s="285" t="str">
        <f t="shared" si="273"/>
        <v/>
      </c>
      <c r="K8521" s="246" t="str">
        <f t="shared" si="272"/>
        <v/>
      </c>
    </row>
    <row r="8522" spans="6:11" x14ac:dyDescent="0.2">
      <c r="F8522" s="285" t="str">
        <f t="shared" si="273"/>
        <v/>
      </c>
      <c r="K8522" s="246" t="str">
        <f t="shared" si="272"/>
        <v/>
      </c>
    </row>
    <row r="8523" spans="6:11" x14ac:dyDescent="0.2">
      <c r="F8523" s="285" t="str">
        <f t="shared" si="273"/>
        <v/>
      </c>
      <c r="K8523" s="246" t="str">
        <f t="shared" si="272"/>
        <v/>
      </c>
    </row>
    <row r="8524" spans="6:11" x14ac:dyDescent="0.2">
      <c r="F8524" s="285" t="str">
        <f t="shared" si="273"/>
        <v/>
      </c>
      <c r="K8524" s="246" t="str">
        <f t="shared" si="272"/>
        <v/>
      </c>
    </row>
    <row r="8525" spans="6:11" x14ac:dyDescent="0.2">
      <c r="F8525" s="285" t="str">
        <f t="shared" si="273"/>
        <v/>
      </c>
      <c r="K8525" s="246" t="str">
        <f t="shared" si="272"/>
        <v/>
      </c>
    </row>
    <row r="8526" spans="6:11" x14ac:dyDescent="0.2">
      <c r="F8526" s="285" t="str">
        <f t="shared" si="273"/>
        <v/>
      </c>
      <c r="K8526" s="246" t="str">
        <f t="shared" si="272"/>
        <v/>
      </c>
    </row>
    <row r="8527" spans="6:11" x14ac:dyDescent="0.2">
      <c r="F8527" s="285" t="str">
        <f t="shared" si="273"/>
        <v/>
      </c>
      <c r="K8527" s="246" t="str">
        <f t="shared" si="272"/>
        <v/>
      </c>
    </row>
    <row r="8528" spans="6:11" x14ac:dyDescent="0.2">
      <c r="F8528" s="285" t="str">
        <f t="shared" si="273"/>
        <v/>
      </c>
      <c r="K8528" s="246" t="str">
        <f t="shared" si="272"/>
        <v/>
      </c>
    </row>
    <row r="8529" spans="6:11" x14ac:dyDescent="0.2">
      <c r="F8529" s="285" t="str">
        <f t="shared" si="273"/>
        <v/>
      </c>
      <c r="K8529" s="246" t="str">
        <f t="shared" si="272"/>
        <v/>
      </c>
    </row>
    <row r="8530" spans="6:11" x14ac:dyDescent="0.2">
      <c r="F8530" s="285" t="str">
        <f t="shared" si="273"/>
        <v/>
      </c>
      <c r="K8530" s="246" t="str">
        <f t="shared" si="272"/>
        <v/>
      </c>
    </row>
    <row r="8531" spans="6:11" x14ac:dyDescent="0.2">
      <c r="F8531" s="285" t="str">
        <f t="shared" si="273"/>
        <v/>
      </c>
      <c r="K8531" s="246" t="str">
        <f t="shared" si="272"/>
        <v/>
      </c>
    </row>
    <row r="8532" spans="6:11" x14ac:dyDescent="0.2">
      <c r="F8532" s="285" t="str">
        <f t="shared" si="273"/>
        <v/>
      </c>
      <c r="K8532" s="246" t="str">
        <f t="shared" si="272"/>
        <v/>
      </c>
    </row>
    <row r="8533" spans="6:11" x14ac:dyDescent="0.2">
      <c r="F8533" s="285" t="str">
        <f t="shared" si="273"/>
        <v/>
      </c>
      <c r="K8533" s="246" t="str">
        <f t="shared" si="272"/>
        <v/>
      </c>
    </row>
    <row r="8534" spans="6:11" x14ac:dyDescent="0.2">
      <c r="F8534" s="285" t="str">
        <f t="shared" si="273"/>
        <v/>
      </c>
      <c r="K8534" s="246" t="str">
        <f t="shared" si="272"/>
        <v/>
      </c>
    </row>
    <row r="8535" spans="6:11" x14ac:dyDescent="0.2">
      <c r="F8535" s="285" t="str">
        <f t="shared" si="273"/>
        <v/>
      </c>
      <c r="K8535" s="246" t="str">
        <f t="shared" si="272"/>
        <v/>
      </c>
    </row>
    <row r="8536" spans="6:11" x14ac:dyDescent="0.2">
      <c r="F8536" s="285" t="str">
        <f t="shared" si="273"/>
        <v/>
      </c>
      <c r="K8536" s="246" t="str">
        <f t="shared" si="272"/>
        <v/>
      </c>
    </row>
    <row r="8537" spans="6:11" x14ac:dyDescent="0.2">
      <c r="F8537" s="285" t="str">
        <f t="shared" si="273"/>
        <v/>
      </c>
      <c r="K8537" s="246" t="str">
        <f t="shared" si="272"/>
        <v/>
      </c>
    </row>
    <row r="8538" spans="6:11" x14ac:dyDescent="0.2">
      <c r="F8538" s="285" t="str">
        <f t="shared" si="273"/>
        <v/>
      </c>
      <c r="K8538" s="246" t="str">
        <f t="shared" si="272"/>
        <v/>
      </c>
    </row>
    <row r="8539" spans="6:11" x14ac:dyDescent="0.2">
      <c r="F8539" s="285" t="str">
        <f t="shared" si="273"/>
        <v/>
      </c>
      <c r="K8539" s="246" t="str">
        <f t="shared" si="272"/>
        <v/>
      </c>
    </row>
    <row r="8540" spans="6:11" x14ac:dyDescent="0.2">
      <c r="F8540" s="285" t="str">
        <f t="shared" si="273"/>
        <v/>
      </c>
      <c r="K8540" s="246" t="str">
        <f t="shared" si="272"/>
        <v/>
      </c>
    </row>
    <row r="8541" spans="6:11" x14ac:dyDescent="0.2">
      <c r="F8541" s="285" t="str">
        <f t="shared" si="273"/>
        <v/>
      </c>
      <c r="K8541" s="246" t="str">
        <f t="shared" si="272"/>
        <v/>
      </c>
    </row>
    <row r="8542" spans="6:11" x14ac:dyDescent="0.2">
      <c r="F8542" s="285" t="str">
        <f t="shared" si="273"/>
        <v/>
      </c>
      <c r="K8542" s="246" t="str">
        <f t="shared" si="272"/>
        <v/>
      </c>
    </row>
    <row r="8543" spans="6:11" x14ac:dyDescent="0.2">
      <c r="F8543" s="285" t="str">
        <f t="shared" si="273"/>
        <v/>
      </c>
      <c r="K8543" s="246" t="str">
        <f t="shared" si="272"/>
        <v/>
      </c>
    </row>
    <row r="8544" spans="6:11" x14ac:dyDescent="0.2">
      <c r="F8544" s="285" t="str">
        <f t="shared" si="273"/>
        <v/>
      </c>
      <c r="K8544" s="246" t="str">
        <f t="shared" si="272"/>
        <v/>
      </c>
    </row>
    <row r="8545" spans="6:11" x14ac:dyDescent="0.2">
      <c r="F8545" s="285" t="str">
        <f t="shared" si="273"/>
        <v/>
      </c>
      <c r="K8545" s="246" t="str">
        <f t="shared" si="272"/>
        <v/>
      </c>
    </row>
    <row r="8546" spans="6:11" x14ac:dyDescent="0.2">
      <c r="F8546" s="285" t="str">
        <f t="shared" si="273"/>
        <v/>
      </c>
      <c r="K8546" s="246" t="str">
        <f t="shared" si="272"/>
        <v/>
      </c>
    </row>
    <row r="8547" spans="6:11" x14ac:dyDescent="0.2">
      <c r="F8547" s="285" t="str">
        <f t="shared" si="273"/>
        <v/>
      </c>
      <c r="K8547" s="246" t="str">
        <f t="shared" si="272"/>
        <v/>
      </c>
    </row>
    <row r="8548" spans="6:11" x14ac:dyDescent="0.2">
      <c r="F8548" s="285" t="str">
        <f t="shared" si="273"/>
        <v/>
      </c>
      <c r="K8548" s="246" t="str">
        <f t="shared" si="272"/>
        <v/>
      </c>
    </row>
    <row r="8549" spans="6:11" x14ac:dyDescent="0.2">
      <c r="F8549" s="285" t="str">
        <f t="shared" si="273"/>
        <v/>
      </c>
      <c r="K8549" s="246" t="str">
        <f t="shared" si="272"/>
        <v/>
      </c>
    </row>
    <row r="8550" spans="6:11" x14ac:dyDescent="0.2">
      <c r="F8550" s="285" t="str">
        <f t="shared" si="273"/>
        <v/>
      </c>
      <c r="K8550" s="246" t="str">
        <f t="shared" si="272"/>
        <v/>
      </c>
    </row>
    <row r="8551" spans="6:11" x14ac:dyDescent="0.2">
      <c r="F8551" s="285" t="str">
        <f t="shared" si="273"/>
        <v/>
      </c>
      <c r="K8551" s="246" t="str">
        <f t="shared" si="272"/>
        <v/>
      </c>
    </row>
    <row r="8552" spans="6:11" x14ac:dyDescent="0.2">
      <c r="F8552" s="285" t="str">
        <f t="shared" si="273"/>
        <v/>
      </c>
      <c r="K8552" s="246" t="str">
        <f t="shared" si="272"/>
        <v/>
      </c>
    </row>
    <row r="8553" spans="6:11" x14ac:dyDescent="0.2">
      <c r="F8553" s="285" t="str">
        <f t="shared" si="273"/>
        <v/>
      </c>
      <c r="K8553" s="246" t="str">
        <f t="shared" si="272"/>
        <v/>
      </c>
    </row>
    <row r="8554" spans="6:11" x14ac:dyDescent="0.2">
      <c r="F8554" s="285" t="str">
        <f t="shared" si="273"/>
        <v/>
      </c>
      <c r="K8554" s="246" t="str">
        <f t="shared" si="272"/>
        <v/>
      </c>
    </row>
    <row r="8555" spans="6:11" x14ac:dyDescent="0.2">
      <c r="F8555" s="285" t="str">
        <f t="shared" si="273"/>
        <v/>
      </c>
      <c r="K8555" s="246" t="str">
        <f t="shared" si="272"/>
        <v/>
      </c>
    </row>
    <row r="8556" spans="6:11" x14ac:dyDescent="0.2">
      <c r="F8556" s="285" t="str">
        <f t="shared" si="273"/>
        <v/>
      </c>
      <c r="K8556" s="246" t="str">
        <f t="shared" si="272"/>
        <v/>
      </c>
    </row>
    <row r="8557" spans="6:11" x14ac:dyDescent="0.2">
      <c r="F8557" s="285" t="str">
        <f t="shared" si="273"/>
        <v/>
      </c>
      <c r="K8557" s="246" t="str">
        <f t="shared" si="272"/>
        <v/>
      </c>
    </row>
    <row r="8558" spans="6:11" x14ac:dyDescent="0.2">
      <c r="F8558" s="285" t="str">
        <f t="shared" si="273"/>
        <v/>
      </c>
      <c r="K8558" s="246" t="str">
        <f t="shared" si="272"/>
        <v/>
      </c>
    </row>
    <row r="8559" spans="6:11" x14ac:dyDescent="0.2">
      <c r="F8559" s="285" t="str">
        <f t="shared" si="273"/>
        <v/>
      </c>
      <c r="K8559" s="246" t="str">
        <f t="shared" si="272"/>
        <v/>
      </c>
    </row>
    <row r="8560" spans="6:11" x14ac:dyDescent="0.2">
      <c r="F8560" s="285" t="str">
        <f t="shared" si="273"/>
        <v/>
      </c>
      <c r="K8560" s="246" t="str">
        <f t="shared" si="272"/>
        <v/>
      </c>
    </row>
    <row r="8561" spans="6:11" x14ac:dyDescent="0.2">
      <c r="F8561" s="285" t="str">
        <f t="shared" si="273"/>
        <v/>
      </c>
      <c r="K8561" s="246" t="str">
        <f t="shared" si="272"/>
        <v/>
      </c>
    </row>
    <row r="8562" spans="6:11" x14ac:dyDescent="0.2">
      <c r="F8562" s="285" t="str">
        <f t="shared" si="273"/>
        <v/>
      </c>
      <c r="K8562" s="246" t="str">
        <f t="shared" si="272"/>
        <v/>
      </c>
    </row>
    <row r="8563" spans="6:11" x14ac:dyDescent="0.2">
      <c r="F8563" s="285" t="str">
        <f t="shared" si="273"/>
        <v/>
      </c>
      <c r="K8563" s="246" t="str">
        <f t="shared" si="272"/>
        <v/>
      </c>
    </row>
    <row r="8564" spans="6:11" x14ac:dyDescent="0.2">
      <c r="F8564" s="285" t="str">
        <f t="shared" si="273"/>
        <v/>
      </c>
      <c r="K8564" s="246" t="str">
        <f t="shared" si="272"/>
        <v/>
      </c>
    </row>
    <row r="8565" spans="6:11" x14ac:dyDescent="0.2">
      <c r="F8565" s="285" t="str">
        <f t="shared" si="273"/>
        <v/>
      </c>
      <c r="K8565" s="246" t="str">
        <f t="shared" si="272"/>
        <v/>
      </c>
    </row>
    <row r="8566" spans="6:11" x14ac:dyDescent="0.2">
      <c r="F8566" s="285" t="str">
        <f t="shared" si="273"/>
        <v/>
      </c>
      <c r="K8566" s="246" t="str">
        <f t="shared" si="272"/>
        <v/>
      </c>
    </row>
    <row r="8567" spans="6:11" x14ac:dyDescent="0.2">
      <c r="F8567" s="285" t="str">
        <f t="shared" si="273"/>
        <v/>
      </c>
      <c r="K8567" s="246" t="str">
        <f t="shared" si="272"/>
        <v/>
      </c>
    </row>
    <row r="8568" spans="6:11" x14ac:dyDescent="0.2">
      <c r="F8568" s="285" t="str">
        <f t="shared" si="273"/>
        <v/>
      </c>
      <c r="K8568" s="246" t="str">
        <f t="shared" si="272"/>
        <v/>
      </c>
    </row>
    <row r="8569" spans="6:11" x14ac:dyDescent="0.2">
      <c r="F8569" s="285" t="str">
        <f t="shared" si="273"/>
        <v/>
      </c>
      <c r="K8569" s="246" t="str">
        <f t="shared" si="272"/>
        <v/>
      </c>
    </row>
    <row r="8570" spans="6:11" x14ac:dyDescent="0.2">
      <c r="F8570" s="285" t="str">
        <f t="shared" si="273"/>
        <v/>
      </c>
      <c r="K8570" s="246" t="str">
        <f t="shared" si="272"/>
        <v/>
      </c>
    </row>
    <row r="8571" spans="6:11" x14ac:dyDescent="0.2">
      <c r="F8571" s="285" t="str">
        <f t="shared" si="273"/>
        <v/>
      </c>
      <c r="K8571" s="246" t="str">
        <f t="shared" ref="K8571:K8634" si="274">IF(A8571="","",A8571)</f>
        <v/>
      </c>
    </row>
    <row r="8572" spans="6:11" x14ac:dyDescent="0.2">
      <c r="F8572" s="285" t="str">
        <f t="shared" si="273"/>
        <v/>
      </c>
      <c r="K8572" s="246" t="str">
        <f t="shared" si="274"/>
        <v/>
      </c>
    </row>
    <row r="8573" spans="6:11" x14ac:dyDescent="0.2">
      <c r="F8573" s="285" t="str">
        <f t="shared" si="273"/>
        <v/>
      </c>
      <c r="K8573" s="246" t="str">
        <f t="shared" si="274"/>
        <v/>
      </c>
    </row>
    <row r="8574" spans="6:11" x14ac:dyDescent="0.2">
      <c r="F8574" s="285" t="str">
        <f t="shared" si="273"/>
        <v/>
      </c>
      <c r="K8574" s="246" t="str">
        <f t="shared" si="274"/>
        <v/>
      </c>
    </row>
    <row r="8575" spans="6:11" x14ac:dyDescent="0.2">
      <c r="F8575" s="285" t="str">
        <f t="shared" si="273"/>
        <v/>
      </c>
      <c r="K8575" s="246" t="str">
        <f t="shared" si="274"/>
        <v/>
      </c>
    </row>
    <row r="8576" spans="6:11" x14ac:dyDescent="0.2">
      <c r="F8576" s="285" t="str">
        <f t="shared" si="273"/>
        <v/>
      </c>
      <c r="K8576" s="246" t="str">
        <f t="shared" si="274"/>
        <v/>
      </c>
    </row>
    <row r="8577" spans="6:11" x14ac:dyDescent="0.2">
      <c r="F8577" s="285" t="str">
        <f t="shared" si="273"/>
        <v/>
      </c>
      <c r="K8577" s="246" t="str">
        <f t="shared" si="274"/>
        <v/>
      </c>
    </row>
    <row r="8578" spans="6:11" x14ac:dyDescent="0.2">
      <c r="F8578" s="285" t="str">
        <f t="shared" si="273"/>
        <v/>
      </c>
      <c r="K8578" s="246" t="str">
        <f t="shared" si="274"/>
        <v/>
      </c>
    </row>
    <row r="8579" spans="6:11" x14ac:dyDescent="0.2">
      <c r="F8579" s="285" t="str">
        <f t="shared" si="273"/>
        <v/>
      </c>
      <c r="K8579" s="246" t="str">
        <f t="shared" si="274"/>
        <v/>
      </c>
    </row>
    <row r="8580" spans="6:11" x14ac:dyDescent="0.2">
      <c r="F8580" s="285" t="str">
        <f t="shared" si="273"/>
        <v/>
      </c>
      <c r="K8580" s="246" t="str">
        <f t="shared" si="274"/>
        <v/>
      </c>
    </row>
    <row r="8581" spans="6:11" x14ac:dyDescent="0.2">
      <c r="F8581" s="285" t="str">
        <f t="shared" ref="F8581:F8644" si="275">IF(A8581="","",A8581)</f>
        <v/>
      </c>
      <c r="K8581" s="246" t="str">
        <f t="shared" si="274"/>
        <v/>
      </c>
    </row>
    <row r="8582" spans="6:11" x14ac:dyDescent="0.2">
      <c r="F8582" s="285" t="str">
        <f t="shared" si="275"/>
        <v/>
      </c>
      <c r="K8582" s="246" t="str">
        <f t="shared" si="274"/>
        <v/>
      </c>
    </row>
    <row r="8583" spans="6:11" x14ac:dyDescent="0.2">
      <c r="F8583" s="285" t="str">
        <f t="shared" si="275"/>
        <v/>
      </c>
      <c r="K8583" s="246" t="str">
        <f t="shared" si="274"/>
        <v/>
      </c>
    </row>
    <row r="8584" spans="6:11" x14ac:dyDescent="0.2">
      <c r="F8584" s="285" t="str">
        <f t="shared" si="275"/>
        <v/>
      </c>
      <c r="K8584" s="246" t="str">
        <f t="shared" si="274"/>
        <v/>
      </c>
    </row>
    <row r="8585" spans="6:11" x14ac:dyDescent="0.2">
      <c r="F8585" s="285" t="str">
        <f t="shared" si="275"/>
        <v/>
      </c>
      <c r="K8585" s="246" t="str">
        <f t="shared" si="274"/>
        <v/>
      </c>
    </row>
    <row r="8586" spans="6:11" x14ac:dyDescent="0.2">
      <c r="F8586" s="285" t="str">
        <f t="shared" si="275"/>
        <v/>
      </c>
      <c r="K8586" s="246" t="str">
        <f t="shared" si="274"/>
        <v/>
      </c>
    </row>
    <row r="8587" spans="6:11" x14ac:dyDescent="0.2">
      <c r="F8587" s="285" t="str">
        <f t="shared" si="275"/>
        <v/>
      </c>
      <c r="K8587" s="246" t="str">
        <f t="shared" si="274"/>
        <v/>
      </c>
    </row>
    <row r="8588" spans="6:11" x14ac:dyDescent="0.2">
      <c r="F8588" s="285" t="str">
        <f t="shared" si="275"/>
        <v/>
      </c>
      <c r="K8588" s="246" t="str">
        <f t="shared" si="274"/>
        <v/>
      </c>
    </row>
    <row r="8589" spans="6:11" x14ac:dyDescent="0.2">
      <c r="F8589" s="285" t="str">
        <f t="shared" si="275"/>
        <v/>
      </c>
      <c r="K8589" s="246" t="str">
        <f t="shared" si="274"/>
        <v/>
      </c>
    </row>
    <row r="8590" spans="6:11" x14ac:dyDescent="0.2">
      <c r="F8590" s="285" t="str">
        <f t="shared" si="275"/>
        <v/>
      </c>
      <c r="K8590" s="246" t="str">
        <f t="shared" si="274"/>
        <v/>
      </c>
    </row>
    <row r="8591" spans="6:11" x14ac:dyDescent="0.2">
      <c r="F8591" s="285" t="str">
        <f t="shared" si="275"/>
        <v/>
      </c>
      <c r="K8591" s="246" t="str">
        <f t="shared" si="274"/>
        <v/>
      </c>
    </row>
    <row r="8592" spans="6:11" x14ac:dyDescent="0.2">
      <c r="F8592" s="285" t="str">
        <f t="shared" si="275"/>
        <v/>
      </c>
      <c r="K8592" s="246" t="str">
        <f t="shared" si="274"/>
        <v/>
      </c>
    </row>
    <row r="8593" spans="6:11" x14ac:dyDescent="0.2">
      <c r="F8593" s="285" t="str">
        <f t="shared" si="275"/>
        <v/>
      </c>
      <c r="K8593" s="246" t="str">
        <f t="shared" si="274"/>
        <v/>
      </c>
    </row>
    <row r="8594" spans="6:11" x14ac:dyDescent="0.2">
      <c r="F8594" s="285" t="str">
        <f t="shared" si="275"/>
        <v/>
      </c>
      <c r="K8594" s="246" t="str">
        <f t="shared" si="274"/>
        <v/>
      </c>
    </row>
    <row r="8595" spans="6:11" x14ac:dyDescent="0.2">
      <c r="F8595" s="285" t="str">
        <f t="shared" si="275"/>
        <v/>
      </c>
      <c r="K8595" s="246" t="str">
        <f t="shared" si="274"/>
        <v/>
      </c>
    </row>
    <row r="8596" spans="6:11" x14ac:dyDescent="0.2">
      <c r="F8596" s="285" t="str">
        <f t="shared" si="275"/>
        <v/>
      </c>
      <c r="K8596" s="246" t="str">
        <f t="shared" si="274"/>
        <v/>
      </c>
    </row>
    <row r="8597" spans="6:11" x14ac:dyDescent="0.2">
      <c r="F8597" s="285" t="str">
        <f t="shared" si="275"/>
        <v/>
      </c>
      <c r="K8597" s="246" t="str">
        <f t="shared" si="274"/>
        <v/>
      </c>
    </row>
    <row r="8598" spans="6:11" x14ac:dyDescent="0.2">
      <c r="F8598" s="285" t="str">
        <f t="shared" si="275"/>
        <v/>
      </c>
      <c r="K8598" s="246" t="str">
        <f t="shared" si="274"/>
        <v/>
      </c>
    </row>
    <row r="8599" spans="6:11" x14ac:dyDescent="0.2">
      <c r="F8599" s="285" t="str">
        <f t="shared" si="275"/>
        <v/>
      </c>
      <c r="K8599" s="246" t="str">
        <f t="shared" si="274"/>
        <v/>
      </c>
    </row>
    <row r="8600" spans="6:11" x14ac:dyDescent="0.2">
      <c r="F8600" s="285" t="str">
        <f t="shared" si="275"/>
        <v/>
      </c>
      <c r="K8600" s="246" t="str">
        <f t="shared" si="274"/>
        <v/>
      </c>
    </row>
    <row r="8601" spans="6:11" x14ac:dyDescent="0.2">
      <c r="F8601" s="285" t="str">
        <f t="shared" si="275"/>
        <v/>
      </c>
      <c r="K8601" s="246" t="str">
        <f t="shared" si="274"/>
        <v/>
      </c>
    </row>
    <row r="8602" spans="6:11" x14ac:dyDescent="0.2">
      <c r="F8602" s="285" t="str">
        <f t="shared" si="275"/>
        <v/>
      </c>
      <c r="K8602" s="246" t="str">
        <f t="shared" si="274"/>
        <v/>
      </c>
    </row>
    <row r="8603" spans="6:11" x14ac:dyDescent="0.2">
      <c r="F8603" s="285" t="str">
        <f t="shared" si="275"/>
        <v/>
      </c>
      <c r="K8603" s="246" t="str">
        <f t="shared" si="274"/>
        <v/>
      </c>
    </row>
    <row r="8604" spans="6:11" x14ac:dyDescent="0.2">
      <c r="F8604" s="285" t="str">
        <f t="shared" si="275"/>
        <v/>
      </c>
      <c r="K8604" s="246" t="str">
        <f t="shared" si="274"/>
        <v/>
      </c>
    </row>
    <row r="8605" spans="6:11" x14ac:dyDescent="0.2">
      <c r="F8605" s="285" t="str">
        <f t="shared" si="275"/>
        <v/>
      </c>
      <c r="K8605" s="246" t="str">
        <f t="shared" si="274"/>
        <v/>
      </c>
    </row>
    <row r="8606" spans="6:11" x14ac:dyDescent="0.2">
      <c r="F8606" s="285" t="str">
        <f t="shared" si="275"/>
        <v/>
      </c>
      <c r="K8606" s="246" t="str">
        <f t="shared" si="274"/>
        <v/>
      </c>
    </row>
    <row r="8607" spans="6:11" x14ac:dyDescent="0.2">
      <c r="F8607" s="285" t="str">
        <f t="shared" si="275"/>
        <v/>
      </c>
      <c r="K8607" s="246" t="str">
        <f t="shared" si="274"/>
        <v/>
      </c>
    </row>
    <row r="8608" spans="6:11" x14ac:dyDescent="0.2">
      <c r="F8608" s="285" t="str">
        <f t="shared" si="275"/>
        <v/>
      </c>
      <c r="K8608" s="246" t="str">
        <f t="shared" si="274"/>
        <v/>
      </c>
    </row>
    <row r="8609" spans="6:11" x14ac:dyDescent="0.2">
      <c r="F8609" s="285" t="str">
        <f t="shared" si="275"/>
        <v/>
      </c>
      <c r="K8609" s="246" t="str">
        <f t="shared" si="274"/>
        <v/>
      </c>
    </row>
    <row r="8610" spans="6:11" x14ac:dyDescent="0.2">
      <c r="F8610" s="285" t="str">
        <f t="shared" si="275"/>
        <v/>
      </c>
      <c r="K8610" s="246" t="str">
        <f t="shared" si="274"/>
        <v/>
      </c>
    </row>
    <row r="8611" spans="6:11" x14ac:dyDescent="0.2">
      <c r="F8611" s="285" t="str">
        <f t="shared" si="275"/>
        <v/>
      </c>
      <c r="K8611" s="246" t="str">
        <f t="shared" si="274"/>
        <v/>
      </c>
    </row>
    <row r="8612" spans="6:11" x14ac:dyDescent="0.2">
      <c r="F8612" s="285" t="str">
        <f t="shared" si="275"/>
        <v/>
      </c>
      <c r="K8612" s="246" t="str">
        <f t="shared" si="274"/>
        <v/>
      </c>
    </row>
    <row r="8613" spans="6:11" x14ac:dyDescent="0.2">
      <c r="F8613" s="285" t="str">
        <f t="shared" si="275"/>
        <v/>
      </c>
      <c r="K8613" s="246" t="str">
        <f t="shared" si="274"/>
        <v/>
      </c>
    </row>
    <row r="8614" spans="6:11" x14ac:dyDescent="0.2">
      <c r="F8614" s="285" t="str">
        <f t="shared" si="275"/>
        <v/>
      </c>
      <c r="K8614" s="246" t="str">
        <f t="shared" si="274"/>
        <v/>
      </c>
    </row>
    <row r="8615" spans="6:11" x14ac:dyDescent="0.2">
      <c r="F8615" s="285" t="str">
        <f t="shared" si="275"/>
        <v/>
      </c>
      <c r="K8615" s="246" t="str">
        <f t="shared" si="274"/>
        <v/>
      </c>
    </row>
    <row r="8616" spans="6:11" x14ac:dyDescent="0.2">
      <c r="F8616" s="285" t="str">
        <f t="shared" si="275"/>
        <v/>
      </c>
      <c r="K8616" s="246" t="str">
        <f t="shared" si="274"/>
        <v/>
      </c>
    </row>
    <row r="8617" spans="6:11" x14ac:dyDescent="0.2">
      <c r="F8617" s="285" t="str">
        <f t="shared" si="275"/>
        <v/>
      </c>
      <c r="K8617" s="246" t="str">
        <f t="shared" si="274"/>
        <v/>
      </c>
    </row>
    <row r="8618" spans="6:11" x14ac:dyDescent="0.2">
      <c r="F8618" s="285" t="str">
        <f t="shared" si="275"/>
        <v/>
      </c>
      <c r="K8618" s="246" t="str">
        <f t="shared" si="274"/>
        <v/>
      </c>
    </row>
    <row r="8619" spans="6:11" x14ac:dyDescent="0.2">
      <c r="F8619" s="285" t="str">
        <f t="shared" si="275"/>
        <v/>
      </c>
      <c r="K8619" s="246" t="str">
        <f t="shared" si="274"/>
        <v/>
      </c>
    </row>
    <row r="8620" spans="6:11" x14ac:dyDescent="0.2">
      <c r="F8620" s="285" t="str">
        <f t="shared" si="275"/>
        <v/>
      </c>
      <c r="K8620" s="246" t="str">
        <f t="shared" si="274"/>
        <v/>
      </c>
    </row>
    <row r="8621" spans="6:11" x14ac:dyDescent="0.2">
      <c r="F8621" s="285" t="str">
        <f t="shared" si="275"/>
        <v/>
      </c>
      <c r="K8621" s="246" t="str">
        <f t="shared" si="274"/>
        <v/>
      </c>
    </row>
    <row r="8622" spans="6:11" x14ac:dyDescent="0.2">
      <c r="F8622" s="285" t="str">
        <f t="shared" si="275"/>
        <v/>
      </c>
      <c r="K8622" s="246" t="str">
        <f t="shared" si="274"/>
        <v/>
      </c>
    </row>
    <row r="8623" spans="6:11" x14ac:dyDescent="0.2">
      <c r="F8623" s="285" t="str">
        <f t="shared" si="275"/>
        <v/>
      </c>
      <c r="K8623" s="246" t="str">
        <f t="shared" si="274"/>
        <v/>
      </c>
    </row>
    <row r="8624" spans="6:11" x14ac:dyDescent="0.2">
      <c r="F8624" s="285" t="str">
        <f t="shared" si="275"/>
        <v/>
      </c>
      <c r="K8624" s="246" t="str">
        <f t="shared" si="274"/>
        <v/>
      </c>
    </row>
    <row r="8625" spans="6:11" x14ac:dyDescent="0.2">
      <c r="F8625" s="285" t="str">
        <f t="shared" si="275"/>
        <v/>
      </c>
      <c r="K8625" s="246" t="str">
        <f t="shared" si="274"/>
        <v/>
      </c>
    </row>
    <row r="8626" spans="6:11" x14ac:dyDescent="0.2">
      <c r="F8626" s="285" t="str">
        <f t="shared" si="275"/>
        <v/>
      </c>
      <c r="K8626" s="246" t="str">
        <f t="shared" si="274"/>
        <v/>
      </c>
    </row>
    <row r="8627" spans="6:11" x14ac:dyDescent="0.2">
      <c r="F8627" s="285" t="str">
        <f t="shared" si="275"/>
        <v/>
      </c>
      <c r="K8627" s="246" t="str">
        <f t="shared" si="274"/>
        <v/>
      </c>
    </row>
    <row r="8628" spans="6:11" x14ac:dyDescent="0.2">
      <c r="F8628" s="285" t="str">
        <f t="shared" si="275"/>
        <v/>
      </c>
      <c r="K8628" s="246" t="str">
        <f t="shared" si="274"/>
        <v/>
      </c>
    </row>
    <row r="8629" spans="6:11" x14ac:dyDescent="0.2">
      <c r="F8629" s="285" t="str">
        <f t="shared" si="275"/>
        <v/>
      </c>
      <c r="K8629" s="246" t="str">
        <f t="shared" si="274"/>
        <v/>
      </c>
    </row>
    <row r="8630" spans="6:11" x14ac:dyDescent="0.2">
      <c r="F8630" s="285" t="str">
        <f t="shared" si="275"/>
        <v/>
      </c>
      <c r="K8630" s="246" t="str">
        <f t="shared" si="274"/>
        <v/>
      </c>
    </row>
    <row r="8631" spans="6:11" x14ac:dyDescent="0.2">
      <c r="F8631" s="285" t="str">
        <f t="shared" si="275"/>
        <v/>
      </c>
      <c r="K8631" s="246" t="str">
        <f t="shared" si="274"/>
        <v/>
      </c>
    </row>
    <row r="8632" spans="6:11" x14ac:dyDescent="0.2">
      <c r="F8632" s="285" t="str">
        <f t="shared" si="275"/>
        <v/>
      </c>
      <c r="K8632" s="246" t="str">
        <f t="shared" si="274"/>
        <v/>
      </c>
    </row>
    <row r="8633" spans="6:11" x14ac:dyDescent="0.2">
      <c r="F8633" s="285" t="str">
        <f t="shared" si="275"/>
        <v/>
      </c>
      <c r="K8633" s="246" t="str">
        <f t="shared" si="274"/>
        <v/>
      </c>
    </row>
    <row r="8634" spans="6:11" x14ac:dyDescent="0.2">
      <c r="F8634" s="285" t="str">
        <f t="shared" si="275"/>
        <v/>
      </c>
      <c r="K8634" s="246" t="str">
        <f t="shared" si="274"/>
        <v/>
      </c>
    </row>
    <row r="8635" spans="6:11" x14ac:dyDescent="0.2">
      <c r="F8635" s="285" t="str">
        <f t="shared" si="275"/>
        <v/>
      </c>
      <c r="K8635" s="246" t="str">
        <f t="shared" ref="K8635:K8698" si="276">IF(A8635="","",A8635)</f>
        <v/>
      </c>
    </row>
    <row r="8636" spans="6:11" x14ac:dyDescent="0.2">
      <c r="F8636" s="285" t="str">
        <f t="shared" si="275"/>
        <v/>
      </c>
      <c r="K8636" s="246" t="str">
        <f t="shared" si="276"/>
        <v/>
      </c>
    </row>
    <row r="8637" spans="6:11" x14ac:dyDescent="0.2">
      <c r="F8637" s="285" t="str">
        <f t="shared" si="275"/>
        <v/>
      </c>
      <c r="K8637" s="246" t="str">
        <f t="shared" si="276"/>
        <v/>
      </c>
    </row>
    <row r="8638" spans="6:11" x14ac:dyDescent="0.2">
      <c r="F8638" s="285" t="str">
        <f t="shared" si="275"/>
        <v/>
      </c>
      <c r="K8638" s="246" t="str">
        <f t="shared" si="276"/>
        <v/>
      </c>
    </row>
    <row r="8639" spans="6:11" x14ac:dyDescent="0.2">
      <c r="F8639" s="285" t="str">
        <f t="shared" si="275"/>
        <v/>
      </c>
      <c r="K8639" s="246" t="str">
        <f t="shared" si="276"/>
        <v/>
      </c>
    </row>
    <row r="8640" spans="6:11" x14ac:dyDescent="0.2">
      <c r="F8640" s="285" t="str">
        <f t="shared" si="275"/>
        <v/>
      </c>
      <c r="K8640" s="246" t="str">
        <f t="shared" si="276"/>
        <v/>
      </c>
    </row>
    <row r="8641" spans="6:11" x14ac:dyDescent="0.2">
      <c r="F8641" s="285" t="str">
        <f t="shared" si="275"/>
        <v/>
      </c>
      <c r="K8641" s="246" t="str">
        <f t="shared" si="276"/>
        <v/>
      </c>
    </row>
    <row r="8642" spans="6:11" x14ac:dyDescent="0.2">
      <c r="F8642" s="285" t="str">
        <f t="shared" si="275"/>
        <v/>
      </c>
      <c r="K8642" s="246" t="str">
        <f t="shared" si="276"/>
        <v/>
      </c>
    </row>
    <row r="8643" spans="6:11" x14ac:dyDescent="0.2">
      <c r="F8643" s="285" t="str">
        <f t="shared" si="275"/>
        <v/>
      </c>
      <c r="K8643" s="246" t="str">
        <f t="shared" si="276"/>
        <v/>
      </c>
    </row>
    <row r="8644" spans="6:11" x14ac:dyDescent="0.2">
      <c r="F8644" s="285" t="str">
        <f t="shared" si="275"/>
        <v/>
      </c>
      <c r="K8644" s="246" t="str">
        <f t="shared" si="276"/>
        <v/>
      </c>
    </row>
    <row r="8645" spans="6:11" x14ac:dyDescent="0.2">
      <c r="F8645" s="285" t="str">
        <f t="shared" ref="F8645:F8708" si="277">IF(A8645="","",A8645)</f>
        <v/>
      </c>
      <c r="K8645" s="246" t="str">
        <f t="shared" si="276"/>
        <v/>
      </c>
    </row>
    <row r="8646" spans="6:11" x14ac:dyDescent="0.2">
      <c r="F8646" s="285" t="str">
        <f t="shared" si="277"/>
        <v/>
      </c>
      <c r="K8646" s="246" t="str">
        <f t="shared" si="276"/>
        <v/>
      </c>
    </row>
    <row r="8647" spans="6:11" x14ac:dyDescent="0.2">
      <c r="F8647" s="285" t="str">
        <f t="shared" si="277"/>
        <v/>
      </c>
      <c r="K8647" s="246" t="str">
        <f t="shared" si="276"/>
        <v/>
      </c>
    </row>
    <row r="8648" spans="6:11" x14ac:dyDescent="0.2">
      <c r="F8648" s="285" t="str">
        <f t="shared" si="277"/>
        <v/>
      </c>
      <c r="K8648" s="246" t="str">
        <f t="shared" si="276"/>
        <v/>
      </c>
    </row>
    <row r="8649" spans="6:11" x14ac:dyDescent="0.2">
      <c r="F8649" s="285" t="str">
        <f t="shared" si="277"/>
        <v/>
      </c>
      <c r="K8649" s="246" t="str">
        <f t="shared" si="276"/>
        <v/>
      </c>
    </row>
    <row r="8650" spans="6:11" x14ac:dyDescent="0.2">
      <c r="F8650" s="285" t="str">
        <f t="shared" si="277"/>
        <v/>
      </c>
      <c r="K8650" s="246" t="str">
        <f t="shared" si="276"/>
        <v/>
      </c>
    </row>
    <row r="8651" spans="6:11" x14ac:dyDescent="0.2">
      <c r="F8651" s="285" t="str">
        <f t="shared" si="277"/>
        <v/>
      </c>
      <c r="K8651" s="246" t="str">
        <f t="shared" si="276"/>
        <v/>
      </c>
    </row>
    <row r="8652" spans="6:11" x14ac:dyDescent="0.2">
      <c r="F8652" s="285" t="str">
        <f t="shared" si="277"/>
        <v/>
      </c>
      <c r="K8652" s="246" t="str">
        <f t="shared" si="276"/>
        <v/>
      </c>
    </row>
    <row r="8653" spans="6:11" x14ac:dyDescent="0.2">
      <c r="F8653" s="285" t="str">
        <f t="shared" si="277"/>
        <v/>
      </c>
      <c r="K8653" s="246" t="str">
        <f t="shared" si="276"/>
        <v/>
      </c>
    </row>
    <row r="8654" spans="6:11" x14ac:dyDescent="0.2">
      <c r="F8654" s="285" t="str">
        <f t="shared" si="277"/>
        <v/>
      </c>
      <c r="K8654" s="246" t="str">
        <f t="shared" si="276"/>
        <v/>
      </c>
    </row>
    <row r="8655" spans="6:11" x14ac:dyDescent="0.2">
      <c r="F8655" s="285" t="str">
        <f t="shared" si="277"/>
        <v/>
      </c>
      <c r="K8655" s="246" t="str">
        <f t="shared" si="276"/>
        <v/>
      </c>
    </row>
    <row r="8656" spans="6:11" x14ac:dyDescent="0.2">
      <c r="F8656" s="285" t="str">
        <f t="shared" si="277"/>
        <v/>
      </c>
      <c r="K8656" s="246" t="str">
        <f t="shared" si="276"/>
        <v/>
      </c>
    </row>
    <row r="8657" spans="6:11" x14ac:dyDescent="0.2">
      <c r="F8657" s="285" t="str">
        <f t="shared" si="277"/>
        <v/>
      </c>
      <c r="K8657" s="246" t="str">
        <f t="shared" si="276"/>
        <v/>
      </c>
    </row>
    <row r="8658" spans="6:11" x14ac:dyDescent="0.2">
      <c r="F8658" s="285" t="str">
        <f t="shared" si="277"/>
        <v/>
      </c>
      <c r="K8658" s="246" t="str">
        <f t="shared" si="276"/>
        <v/>
      </c>
    </row>
    <row r="8659" spans="6:11" x14ac:dyDescent="0.2">
      <c r="F8659" s="285" t="str">
        <f t="shared" si="277"/>
        <v/>
      </c>
      <c r="K8659" s="246" t="str">
        <f t="shared" si="276"/>
        <v/>
      </c>
    </row>
    <row r="8660" spans="6:11" x14ac:dyDescent="0.2">
      <c r="F8660" s="285" t="str">
        <f t="shared" si="277"/>
        <v/>
      </c>
      <c r="K8660" s="246" t="str">
        <f t="shared" si="276"/>
        <v/>
      </c>
    </row>
    <row r="8661" spans="6:11" x14ac:dyDescent="0.2">
      <c r="F8661" s="285" t="str">
        <f t="shared" si="277"/>
        <v/>
      </c>
      <c r="K8661" s="246" t="str">
        <f t="shared" si="276"/>
        <v/>
      </c>
    </row>
    <row r="8662" spans="6:11" x14ac:dyDescent="0.2">
      <c r="F8662" s="285" t="str">
        <f t="shared" si="277"/>
        <v/>
      </c>
      <c r="K8662" s="246" t="str">
        <f t="shared" si="276"/>
        <v/>
      </c>
    </row>
    <row r="8663" spans="6:11" x14ac:dyDescent="0.2">
      <c r="F8663" s="285" t="str">
        <f t="shared" si="277"/>
        <v/>
      </c>
      <c r="K8663" s="246" t="str">
        <f t="shared" si="276"/>
        <v/>
      </c>
    </row>
    <row r="8664" spans="6:11" x14ac:dyDescent="0.2">
      <c r="F8664" s="285" t="str">
        <f t="shared" si="277"/>
        <v/>
      </c>
      <c r="K8664" s="246" t="str">
        <f t="shared" si="276"/>
        <v/>
      </c>
    </row>
    <row r="8665" spans="6:11" x14ac:dyDescent="0.2">
      <c r="F8665" s="285" t="str">
        <f t="shared" si="277"/>
        <v/>
      </c>
      <c r="K8665" s="246" t="str">
        <f t="shared" si="276"/>
        <v/>
      </c>
    </row>
    <row r="8666" spans="6:11" x14ac:dyDescent="0.2">
      <c r="F8666" s="285" t="str">
        <f t="shared" si="277"/>
        <v/>
      </c>
      <c r="K8666" s="246" t="str">
        <f t="shared" si="276"/>
        <v/>
      </c>
    </row>
    <row r="8667" spans="6:11" x14ac:dyDescent="0.2">
      <c r="F8667" s="285" t="str">
        <f t="shared" si="277"/>
        <v/>
      </c>
      <c r="K8667" s="246" t="str">
        <f t="shared" si="276"/>
        <v/>
      </c>
    </row>
    <row r="8668" spans="6:11" x14ac:dyDescent="0.2">
      <c r="F8668" s="285" t="str">
        <f t="shared" si="277"/>
        <v/>
      </c>
      <c r="K8668" s="246" t="str">
        <f t="shared" si="276"/>
        <v/>
      </c>
    </row>
    <row r="8669" spans="6:11" x14ac:dyDescent="0.2">
      <c r="F8669" s="285" t="str">
        <f t="shared" si="277"/>
        <v/>
      </c>
      <c r="K8669" s="246" t="str">
        <f t="shared" si="276"/>
        <v/>
      </c>
    </row>
    <row r="8670" spans="6:11" x14ac:dyDescent="0.2">
      <c r="F8670" s="285" t="str">
        <f t="shared" si="277"/>
        <v/>
      </c>
      <c r="K8670" s="246" t="str">
        <f t="shared" si="276"/>
        <v/>
      </c>
    </row>
    <row r="8671" spans="6:11" x14ac:dyDescent="0.2">
      <c r="F8671" s="285" t="str">
        <f t="shared" si="277"/>
        <v/>
      </c>
      <c r="K8671" s="246" t="str">
        <f t="shared" si="276"/>
        <v/>
      </c>
    </row>
    <row r="8672" spans="6:11" x14ac:dyDescent="0.2">
      <c r="F8672" s="285" t="str">
        <f t="shared" si="277"/>
        <v/>
      </c>
      <c r="K8672" s="246" t="str">
        <f t="shared" si="276"/>
        <v/>
      </c>
    </row>
    <row r="8673" spans="6:11" x14ac:dyDescent="0.2">
      <c r="F8673" s="285" t="str">
        <f t="shared" si="277"/>
        <v/>
      </c>
      <c r="K8673" s="246" t="str">
        <f t="shared" si="276"/>
        <v/>
      </c>
    </row>
    <row r="8674" spans="6:11" x14ac:dyDescent="0.2">
      <c r="F8674" s="285" t="str">
        <f t="shared" si="277"/>
        <v/>
      </c>
      <c r="K8674" s="246" t="str">
        <f t="shared" si="276"/>
        <v/>
      </c>
    </row>
    <row r="8675" spans="6:11" x14ac:dyDescent="0.2">
      <c r="F8675" s="285" t="str">
        <f t="shared" si="277"/>
        <v/>
      </c>
      <c r="K8675" s="246" t="str">
        <f t="shared" si="276"/>
        <v/>
      </c>
    </row>
    <row r="8676" spans="6:11" x14ac:dyDescent="0.2">
      <c r="F8676" s="285" t="str">
        <f t="shared" si="277"/>
        <v/>
      </c>
      <c r="K8676" s="246" t="str">
        <f t="shared" si="276"/>
        <v/>
      </c>
    </row>
    <row r="8677" spans="6:11" x14ac:dyDescent="0.2">
      <c r="F8677" s="285" t="str">
        <f t="shared" si="277"/>
        <v/>
      </c>
      <c r="K8677" s="246" t="str">
        <f t="shared" si="276"/>
        <v/>
      </c>
    </row>
    <row r="8678" spans="6:11" x14ac:dyDescent="0.2">
      <c r="F8678" s="285" t="str">
        <f t="shared" si="277"/>
        <v/>
      </c>
      <c r="K8678" s="246" t="str">
        <f t="shared" si="276"/>
        <v/>
      </c>
    </row>
    <row r="8679" spans="6:11" x14ac:dyDescent="0.2">
      <c r="F8679" s="285" t="str">
        <f t="shared" si="277"/>
        <v/>
      </c>
      <c r="K8679" s="246" t="str">
        <f t="shared" si="276"/>
        <v/>
      </c>
    </row>
    <row r="8680" spans="6:11" x14ac:dyDescent="0.2">
      <c r="F8680" s="285" t="str">
        <f t="shared" si="277"/>
        <v/>
      </c>
      <c r="K8680" s="246" t="str">
        <f t="shared" si="276"/>
        <v/>
      </c>
    </row>
    <row r="8681" spans="6:11" x14ac:dyDescent="0.2">
      <c r="F8681" s="285" t="str">
        <f t="shared" si="277"/>
        <v/>
      </c>
      <c r="K8681" s="246" t="str">
        <f t="shared" si="276"/>
        <v/>
      </c>
    </row>
    <row r="8682" spans="6:11" x14ac:dyDescent="0.2">
      <c r="F8682" s="285" t="str">
        <f t="shared" si="277"/>
        <v/>
      </c>
      <c r="K8682" s="246" t="str">
        <f t="shared" si="276"/>
        <v/>
      </c>
    </row>
    <row r="8683" spans="6:11" x14ac:dyDescent="0.2">
      <c r="F8683" s="285" t="str">
        <f t="shared" si="277"/>
        <v/>
      </c>
      <c r="K8683" s="246" t="str">
        <f t="shared" si="276"/>
        <v/>
      </c>
    </row>
    <row r="8684" spans="6:11" x14ac:dyDescent="0.2">
      <c r="F8684" s="285" t="str">
        <f t="shared" si="277"/>
        <v/>
      </c>
      <c r="K8684" s="246" t="str">
        <f t="shared" si="276"/>
        <v/>
      </c>
    </row>
    <row r="8685" spans="6:11" x14ac:dyDescent="0.2">
      <c r="F8685" s="285" t="str">
        <f t="shared" si="277"/>
        <v/>
      </c>
      <c r="K8685" s="246" t="str">
        <f t="shared" si="276"/>
        <v/>
      </c>
    </row>
    <row r="8686" spans="6:11" x14ac:dyDescent="0.2">
      <c r="F8686" s="285" t="str">
        <f t="shared" si="277"/>
        <v/>
      </c>
      <c r="K8686" s="246" t="str">
        <f t="shared" si="276"/>
        <v/>
      </c>
    </row>
    <row r="8687" spans="6:11" x14ac:dyDescent="0.2">
      <c r="F8687" s="285" t="str">
        <f t="shared" si="277"/>
        <v/>
      </c>
      <c r="K8687" s="246" t="str">
        <f t="shared" si="276"/>
        <v/>
      </c>
    </row>
    <row r="8688" spans="6:11" x14ac:dyDescent="0.2">
      <c r="F8688" s="285" t="str">
        <f t="shared" si="277"/>
        <v/>
      </c>
      <c r="K8688" s="246" t="str">
        <f t="shared" si="276"/>
        <v/>
      </c>
    </row>
    <row r="8689" spans="6:11" x14ac:dyDescent="0.2">
      <c r="F8689" s="285" t="str">
        <f t="shared" si="277"/>
        <v/>
      </c>
      <c r="K8689" s="246" t="str">
        <f t="shared" si="276"/>
        <v/>
      </c>
    </row>
    <row r="8690" spans="6:11" x14ac:dyDescent="0.2">
      <c r="F8690" s="285" t="str">
        <f t="shared" si="277"/>
        <v/>
      </c>
      <c r="K8690" s="246" t="str">
        <f t="shared" si="276"/>
        <v/>
      </c>
    </row>
    <row r="8691" spans="6:11" x14ac:dyDescent="0.2">
      <c r="F8691" s="285" t="str">
        <f t="shared" si="277"/>
        <v/>
      </c>
      <c r="K8691" s="246" t="str">
        <f t="shared" si="276"/>
        <v/>
      </c>
    </row>
    <row r="8692" spans="6:11" x14ac:dyDescent="0.2">
      <c r="F8692" s="285" t="str">
        <f t="shared" si="277"/>
        <v/>
      </c>
      <c r="K8692" s="246" t="str">
        <f t="shared" si="276"/>
        <v/>
      </c>
    </row>
    <row r="8693" spans="6:11" x14ac:dyDescent="0.2">
      <c r="F8693" s="285" t="str">
        <f t="shared" si="277"/>
        <v/>
      </c>
      <c r="K8693" s="246" t="str">
        <f t="shared" si="276"/>
        <v/>
      </c>
    </row>
    <row r="8694" spans="6:11" x14ac:dyDescent="0.2">
      <c r="F8694" s="285" t="str">
        <f t="shared" si="277"/>
        <v/>
      </c>
      <c r="K8694" s="246" t="str">
        <f t="shared" si="276"/>
        <v/>
      </c>
    </row>
    <row r="8695" spans="6:11" x14ac:dyDescent="0.2">
      <c r="F8695" s="285" t="str">
        <f t="shared" si="277"/>
        <v/>
      </c>
      <c r="K8695" s="246" t="str">
        <f t="shared" si="276"/>
        <v/>
      </c>
    </row>
    <row r="8696" spans="6:11" x14ac:dyDescent="0.2">
      <c r="F8696" s="285" t="str">
        <f t="shared" si="277"/>
        <v/>
      </c>
      <c r="K8696" s="246" t="str">
        <f t="shared" si="276"/>
        <v/>
      </c>
    </row>
    <row r="8697" spans="6:11" x14ac:dyDescent="0.2">
      <c r="F8697" s="285" t="str">
        <f t="shared" si="277"/>
        <v/>
      </c>
      <c r="K8697" s="246" t="str">
        <f t="shared" si="276"/>
        <v/>
      </c>
    </row>
    <row r="8698" spans="6:11" x14ac:dyDescent="0.2">
      <c r="F8698" s="285" t="str">
        <f t="shared" si="277"/>
        <v/>
      </c>
      <c r="K8698" s="246" t="str">
        <f t="shared" si="276"/>
        <v/>
      </c>
    </row>
    <row r="8699" spans="6:11" x14ac:dyDescent="0.2">
      <c r="F8699" s="285" t="str">
        <f t="shared" si="277"/>
        <v/>
      </c>
      <c r="K8699" s="246" t="str">
        <f t="shared" ref="K8699:K8762" si="278">IF(A8699="","",A8699)</f>
        <v/>
      </c>
    </row>
    <row r="8700" spans="6:11" x14ac:dyDescent="0.2">
      <c r="F8700" s="285" t="str">
        <f t="shared" si="277"/>
        <v/>
      </c>
      <c r="K8700" s="246" t="str">
        <f t="shared" si="278"/>
        <v/>
      </c>
    </row>
    <row r="8701" spans="6:11" x14ac:dyDescent="0.2">
      <c r="F8701" s="285" t="str">
        <f t="shared" si="277"/>
        <v/>
      </c>
      <c r="K8701" s="246" t="str">
        <f t="shared" si="278"/>
        <v/>
      </c>
    </row>
    <row r="8702" spans="6:11" x14ac:dyDescent="0.2">
      <c r="F8702" s="285" t="str">
        <f t="shared" si="277"/>
        <v/>
      </c>
      <c r="K8702" s="246" t="str">
        <f t="shared" si="278"/>
        <v/>
      </c>
    </row>
    <row r="8703" spans="6:11" x14ac:dyDescent="0.2">
      <c r="F8703" s="285" t="str">
        <f t="shared" si="277"/>
        <v/>
      </c>
      <c r="K8703" s="246" t="str">
        <f t="shared" si="278"/>
        <v/>
      </c>
    </row>
    <row r="8704" spans="6:11" x14ac:dyDescent="0.2">
      <c r="F8704" s="285" t="str">
        <f t="shared" si="277"/>
        <v/>
      </c>
      <c r="K8704" s="246" t="str">
        <f t="shared" si="278"/>
        <v/>
      </c>
    </row>
    <row r="8705" spans="6:11" x14ac:dyDescent="0.2">
      <c r="F8705" s="285" t="str">
        <f t="shared" si="277"/>
        <v/>
      </c>
      <c r="K8705" s="246" t="str">
        <f t="shared" si="278"/>
        <v/>
      </c>
    </row>
    <row r="8706" spans="6:11" x14ac:dyDescent="0.2">
      <c r="F8706" s="285" t="str">
        <f t="shared" si="277"/>
        <v/>
      </c>
      <c r="K8706" s="246" t="str">
        <f t="shared" si="278"/>
        <v/>
      </c>
    </row>
    <row r="8707" spans="6:11" x14ac:dyDescent="0.2">
      <c r="F8707" s="285" t="str">
        <f t="shared" si="277"/>
        <v/>
      </c>
      <c r="K8707" s="246" t="str">
        <f t="shared" si="278"/>
        <v/>
      </c>
    </row>
    <row r="8708" spans="6:11" x14ac:dyDescent="0.2">
      <c r="F8708" s="285" t="str">
        <f t="shared" si="277"/>
        <v/>
      </c>
      <c r="K8708" s="246" t="str">
        <f t="shared" si="278"/>
        <v/>
      </c>
    </row>
    <row r="8709" spans="6:11" x14ac:dyDescent="0.2">
      <c r="F8709" s="285" t="str">
        <f t="shared" ref="F8709:F8772" si="279">IF(A8709="","",A8709)</f>
        <v/>
      </c>
      <c r="K8709" s="246" t="str">
        <f t="shared" si="278"/>
        <v/>
      </c>
    </row>
    <row r="8710" spans="6:11" x14ac:dyDescent="0.2">
      <c r="F8710" s="285" t="str">
        <f t="shared" si="279"/>
        <v/>
      </c>
      <c r="K8710" s="246" t="str">
        <f t="shared" si="278"/>
        <v/>
      </c>
    </row>
    <row r="8711" spans="6:11" x14ac:dyDescent="0.2">
      <c r="F8711" s="285" t="str">
        <f t="shared" si="279"/>
        <v/>
      </c>
      <c r="K8711" s="246" t="str">
        <f t="shared" si="278"/>
        <v/>
      </c>
    </row>
    <row r="8712" spans="6:11" x14ac:dyDescent="0.2">
      <c r="F8712" s="285" t="str">
        <f t="shared" si="279"/>
        <v/>
      </c>
      <c r="K8712" s="246" t="str">
        <f t="shared" si="278"/>
        <v/>
      </c>
    </row>
    <row r="8713" spans="6:11" x14ac:dyDescent="0.2">
      <c r="F8713" s="285" t="str">
        <f t="shared" si="279"/>
        <v/>
      </c>
      <c r="K8713" s="246" t="str">
        <f t="shared" si="278"/>
        <v/>
      </c>
    </row>
    <row r="8714" spans="6:11" x14ac:dyDescent="0.2">
      <c r="F8714" s="285" t="str">
        <f t="shared" si="279"/>
        <v/>
      </c>
      <c r="K8714" s="246" t="str">
        <f t="shared" si="278"/>
        <v/>
      </c>
    </row>
    <row r="8715" spans="6:11" x14ac:dyDescent="0.2">
      <c r="F8715" s="285" t="str">
        <f t="shared" si="279"/>
        <v/>
      </c>
      <c r="K8715" s="246" t="str">
        <f t="shared" si="278"/>
        <v/>
      </c>
    </row>
    <row r="8716" spans="6:11" x14ac:dyDescent="0.2">
      <c r="F8716" s="285" t="str">
        <f t="shared" si="279"/>
        <v/>
      </c>
      <c r="K8716" s="246" t="str">
        <f t="shared" si="278"/>
        <v/>
      </c>
    </row>
    <row r="8717" spans="6:11" x14ac:dyDescent="0.2">
      <c r="F8717" s="285" t="str">
        <f t="shared" si="279"/>
        <v/>
      </c>
      <c r="K8717" s="246" t="str">
        <f t="shared" si="278"/>
        <v/>
      </c>
    </row>
    <row r="8718" spans="6:11" x14ac:dyDescent="0.2">
      <c r="F8718" s="285" t="str">
        <f t="shared" si="279"/>
        <v/>
      </c>
      <c r="K8718" s="246" t="str">
        <f t="shared" si="278"/>
        <v/>
      </c>
    </row>
    <row r="8719" spans="6:11" x14ac:dyDescent="0.2">
      <c r="F8719" s="285" t="str">
        <f t="shared" si="279"/>
        <v/>
      </c>
      <c r="K8719" s="246" t="str">
        <f t="shared" si="278"/>
        <v/>
      </c>
    </row>
    <row r="8720" spans="6:11" x14ac:dyDescent="0.2">
      <c r="F8720" s="285" t="str">
        <f t="shared" si="279"/>
        <v/>
      </c>
      <c r="K8720" s="246" t="str">
        <f t="shared" si="278"/>
        <v/>
      </c>
    </row>
    <row r="8721" spans="6:11" x14ac:dyDescent="0.2">
      <c r="F8721" s="285" t="str">
        <f t="shared" si="279"/>
        <v/>
      </c>
      <c r="K8721" s="246" t="str">
        <f t="shared" si="278"/>
        <v/>
      </c>
    </row>
    <row r="8722" spans="6:11" x14ac:dyDescent="0.2">
      <c r="F8722" s="285" t="str">
        <f t="shared" si="279"/>
        <v/>
      </c>
      <c r="K8722" s="246" t="str">
        <f t="shared" si="278"/>
        <v/>
      </c>
    </row>
    <row r="8723" spans="6:11" x14ac:dyDescent="0.2">
      <c r="F8723" s="285" t="str">
        <f t="shared" si="279"/>
        <v/>
      </c>
      <c r="K8723" s="246" t="str">
        <f t="shared" si="278"/>
        <v/>
      </c>
    </row>
    <row r="8724" spans="6:11" x14ac:dyDescent="0.2">
      <c r="F8724" s="285" t="str">
        <f t="shared" si="279"/>
        <v/>
      </c>
      <c r="K8724" s="246" t="str">
        <f t="shared" si="278"/>
        <v/>
      </c>
    </row>
    <row r="8725" spans="6:11" x14ac:dyDescent="0.2">
      <c r="F8725" s="285" t="str">
        <f t="shared" si="279"/>
        <v/>
      </c>
      <c r="K8725" s="246" t="str">
        <f t="shared" si="278"/>
        <v/>
      </c>
    </row>
    <row r="8726" spans="6:11" x14ac:dyDescent="0.2">
      <c r="F8726" s="285" t="str">
        <f t="shared" si="279"/>
        <v/>
      </c>
      <c r="K8726" s="246" t="str">
        <f t="shared" si="278"/>
        <v/>
      </c>
    </row>
    <row r="8727" spans="6:11" x14ac:dyDescent="0.2">
      <c r="F8727" s="285" t="str">
        <f t="shared" si="279"/>
        <v/>
      </c>
      <c r="K8727" s="246" t="str">
        <f t="shared" si="278"/>
        <v/>
      </c>
    </row>
    <row r="8728" spans="6:11" x14ac:dyDescent="0.2">
      <c r="F8728" s="285" t="str">
        <f t="shared" si="279"/>
        <v/>
      </c>
      <c r="K8728" s="246" t="str">
        <f t="shared" si="278"/>
        <v/>
      </c>
    </row>
    <row r="8729" spans="6:11" x14ac:dyDescent="0.2">
      <c r="F8729" s="285" t="str">
        <f t="shared" si="279"/>
        <v/>
      </c>
      <c r="K8729" s="246" t="str">
        <f t="shared" si="278"/>
        <v/>
      </c>
    </row>
    <row r="8730" spans="6:11" x14ac:dyDescent="0.2">
      <c r="F8730" s="285" t="str">
        <f t="shared" si="279"/>
        <v/>
      </c>
      <c r="K8730" s="246" t="str">
        <f t="shared" si="278"/>
        <v/>
      </c>
    </row>
    <row r="8731" spans="6:11" x14ac:dyDescent="0.2">
      <c r="F8731" s="285" t="str">
        <f t="shared" si="279"/>
        <v/>
      </c>
      <c r="K8731" s="246" t="str">
        <f t="shared" si="278"/>
        <v/>
      </c>
    </row>
    <row r="8732" spans="6:11" x14ac:dyDescent="0.2">
      <c r="F8732" s="285" t="str">
        <f t="shared" si="279"/>
        <v/>
      </c>
      <c r="K8732" s="246" t="str">
        <f t="shared" si="278"/>
        <v/>
      </c>
    </row>
    <row r="8733" spans="6:11" x14ac:dyDescent="0.2">
      <c r="F8733" s="285" t="str">
        <f t="shared" si="279"/>
        <v/>
      </c>
      <c r="K8733" s="246" t="str">
        <f t="shared" si="278"/>
        <v/>
      </c>
    </row>
    <row r="8734" spans="6:11" x14ac:dyDescent="0.2">
      <c r="F8734" s="285" t="str">
        <f t="shared" si="279"/>
        <v/>
      </c>
      <c r="K8734" s="246" t="str">
        <f t="shared" si="278"/>
        <v/>
      </c>
    </row>
    <row r="8735" spans="6:11" x14ac:dyDescent="0.2">
      <c r="F8735" s="285" t="str">
        <f t="shared" si="279"/>
        <v/>
      </c>
      <c r="K8735" s="246" t="str">
        <f t="shared" si="278"/>
        <v/>
      </c>
    </row>
    <row r="8736" spans="6:11" x14ac:dyDescent="0.2">
      <c r="F8736" s="285" t="str">
        <f t="shared" si="279"/>
        <v/>
      </c>
      <c r="K8736" s="246" t="str">
        <f t="shared" si="278"/>
        <v/>
      </c>
    </row>
    <row r="8737" spans="6:11" x14ac:dyDescent="0.2">
      <c r="F8737" s="285" t="str">
        <f t="shared" si="279"/>
        <v/>
      </c>
      <c r="K8737" s="246" t="str">
        <f t="shared" si="278"/>
        <v/>
      </c>
    </row>
    <row r="8738" spans="6:11" x14ac:dyDescent="0.2">
      <c r="F8738" s="285" t="str">
        <f t="shared" si="279"/>
        <v/>
      </c>
      <c r="K8738" s="246" t="str">
        <f t="shared" si="278"/>
        <v/>
      </c>
    </row>
    <row r="8739" spans="6:11" x14ac:dyDescent="0.2">
      <c r="F8739" s="285" t="str">
        <f t="shared" si="279"/>
        <v/>
      </c>
      <c r="K8739" s="246" t="str">
        <f t="shared" si="278"/>
        <v/>
      </c>
    </row>
    <row r="8740" spans="6:11" x14ac:dyDescent="0.2">
      <c r="F8740" s="285" t="str">
        <f t="shared" si="279"/>
        <v/>
      </c>
      <c r="K8740" s="246" t="str">
        <f t="shared" si="278"/>
        <v/>
      </c>
    </row>
    <row r="8741" spans="6:11" x14ac:dyDescent="0.2">
      <c r="F8741" s="285" t="str">
        <f t="shared" si="279"/>
        <v/>
      </c>
      <c r="K8741" s="246" t="str">
        <f t="shared" si="278"/>
        <v/>
      </c>
    </row>
    <row r="8742" spans="6:11" x14ac:dyDescent="0.2">
      <c r="F8742" s="285" t="str">
        <f t="shared" si="279"/>
        <v/>
      </c>
      <c r="K8742" s="246" t="str">
        <f t="shared" si="278"/>
        <v/>
      </c>
    </row>
    <row r="8743" spans="6:11" x14ac:dyDescent="0.2">
      <c r="F8743" s="285" t="str">
        <f t="shared" si="279"/>
        <v/>
      </c>
      <c r="K8743" s="246" t="str">
        <f t="shared" si="278"/>
        <v/>
      </c>
    </row>
    <row r="8744" spans="6:11" x14ac:dyDescent="0.2">
      <c r="F8744" s="285" t="str">
        <f t="shared" si="279"/>
        <v/>
      </c>
      <c r="K8744" s="246" t="str">
        <f t="shared" si="278"/>
        <v/>
      </c>
    </row>
    <row r="8745" spans="6:11" x14ac:dyDescent="0.2">
      <c r="F8745" s="285" t="str">
        <f t="shared" si="279"/>
        <v/>
      </c>
      <c r="K8745" s="246" t="str">
        <f t="shared" si="278"/>
        <v/>
      </c>
    </row>
    <row r="8746" spans="6:11" x14ac:dyDescent="0.2">
      <c r="F8746" s="285" t="str">
        <f t="shared" si="279"/>
        <v/>
      </c>
      <c r="K8746" s="246" t="str">
        <f t="shared" si="278"/>
        <v/>
      </c>
    </row>
    <row r="8747" spans="6:11" x14ac:dyDescent="0.2">
      <c r="F8747" s="285" t="str">
        <f t="shared" si="279"/>
        <v/>
      </c>
      <c r="K8747" s="246" t="str">
        <f t="shared" si="278"/>
        <v/>
      </c>
    </row>
    <row r="8748" spans="6:11" x14ac:dyDescent="0.2">
      <c r="F8748" s="285" t="str">
        <f t="shared" si="279"/>
        <v/>
      </c>
      <c r="K8748" s="246" t="str">
        <f t="shared" si="278"/>
        <v/>
      </c>
    </row>
    <row r="8749" spans="6:11" x14ac:dyDescent="0.2">
      <c r="F8749" s="285" t="str">
        <f t="shared" si="279"/>
        <v/>
      </c>
      <c r="K8749" s="246" t="str">
        <f t="shared" si="278"/>
        <v/>
      </c>
    </row>
    <row r="8750" spans="6:11" x14ac:dyDescent="0.2">
      <c r="F8750" s="285" t="str">
        <f t="shared" si="279"/>
        <v/>
      </c>
      <c r="K8750" s="246" t="str">
        <f t="shared" si="278"/>
        <v/>
      </c>
    </row>
    <row r="8751" spans="6:11" x14ac:dyDescent="0.2">
      <c r="F8751" s="285" t="str">
        <f t="shared" si="279"/>
        <v/>
      </c>
      <c r="K8751" s="246" t="str">
        <f t="shared" si="278"/>
        <v/>
      </c>
    </row>
    <row r="8752" spans="6:11" x14ac:dyDescent="0.2">
      <c r="F8752" s="285" t="str">
        <f t="shared" si="279"/>
        <v/>
      </c>
      <c r="K8752" s="246" t="str">
        <f t="shared" si="278"/>
        <v/>
      </c>
    </row>
    <row r="8753" spans="6:11" x14ac:dyDescent="0.2">
      <c r="F8753" s="285" t="str">
        <f t="shared" si="279"/>
        <v/>
      </c>
      <c r="K8753" s="246" t="str">
        <f t="shared" si="278"/>
        <v/>
      </c>
    </row>
    <row r="8754" spans="6:11" x14ac:dyDescent="0.2">
      <c r="F8754" s="285" t="str">
        <f t="shared" si="279"/>
        <v/>
      </c>
      <c r="K8754" s="246" t="str">
        <f t="shared" si="278"/>
        <v/>
      </c>
    </row>
    <row r="8755" spans="6:11" x14ac:dyDescent="0.2">
      <c r="F8755" s="285" t="str">
        <f t="shared" si="279"/>
        <v/>
      </c>
      <c r="K8755" s="246" t="str">
        <f t="shared" si="278"/>
        <v/>
      </c>
    </row>
    <row r="8756" spans="6:11" x14ac:dyDescent="0.2">
      <c r="F8756" s="285" t="str">
        <f t="shared" si="279"/>
        <v/>
      </c>
      <c r="K8756" s="246" t="str">
        <f t="shared" si="278"/>
        <v/>
      </c>
    </row>
    <row r="8757" spans="6:11" x14ac:dyDescent="0.2">
      <c r="F8757" s="285" t="str">
        <f t="shared" si="279"/>
        <v/>
      </c>
      <c r="K8757" s="246" t="str">
        <f t="shared" si="278"/>
        <v/>
      </c>
    </row>
    <row r="8758" spans="6:11" x14ac:dyDescent="0.2">
      <c r="F8758" s="285" t="str">
        <f t="shared" si="279"/>
        <v/>
      </c>
      <c r="K8758" s="246" t="str">
        <f t="shared" si="278"/>
        <v/>
      </c>
    </row>
    <row r="8759" spans="6:11" x14ac:dyDescent="0.2">
      <c r="F8759" s="285" t="str">
        <f t="shared" si="279"/>
        <v/>
      </c>
      <c r="K8759" s="246" t="str">
        <f t="shared" si="278"/>
        <v/>
      </c>
    </row>
    <row r="8760" spans="6:11" x14ac:dyDescent="0.2">
      <c r="F8760" s="285" t="str">
        <f t="shared" si="279"/>
        <v/>
      </c>
      <c r="K8760" s="246" t="str">
        <f t="shared" si="278"/>
        <v/>
      </c>
    </row>
    <row r="8761" spans="6:11" x14ac:dyDescent="0.2">
      <c r="F8761" s="285" t="str">
        <f t="shared" si="279"/>
        <v/>
      </c>
      <c r="K8761" s="246" t="str">
        <f t="shared" si="278"/>
        <v/>
      </c>
    </row>
    <row r="8762" spans="6:11" x14ac:dyDescent="0.2">
      <c r="F8762" s="285" t="str">
        <f t="shared" si="279"/>
        <v/>
      </c>
      <c r="K8762" s="246" t="str">
        <f t="shared" si="278"/>
        <v/>
      </c>
    </row>
    <row r="8763" spans="6:11" x14ac:dyDescent="0.2">
      <c r="F8763" s="285" t="str">
        <f t="shared" si="279"/>
        <v/>
      </c>
      <c r="K8763" s="246" t="str">
        <f t="shared" ref="K8763:K8826" si="280">IF(A8763="","",A8763)</f>
        <v/>
      </c>
    </row>
    <row r="8764" spans="6:11" x14ac:dyDescent="0.2">
      <c r="F8764" s="285" t="str">
        <f t="shared" si="279"/>
        <v/>
      </c>
      <c r="K8764" s="246" t="str">
        <f t="shared" si="280"/>
        <v/>
      </c>
    </row>
    <row r="8765" spans="6:11" x14ac:dyDescent="0.2">
      <c r="F8765" s="285" t="str">
        <f t="shared" si="279"/>
        <v/>
      </c>
      <c r="K8765" s="246" t="str">
        <f t="shared" si="280"/>
        <v/>
      </c>
    </row>
    <row r="8766" spans="6:11" x14ac:dyDescent="0.2">
      <c r="F8766" s="285" t="str">
        <f t="shared" si="279"/>
        <v/>
      </c>
      <c r="K8766" s="246" t="str">
        <f t="shared" si="280"/>
        <v/>
      </c>
    </row>
    <row r="8767" spans="6:11" x14ac:dyDescent="0.2">
      <c r="F8767" s="285" t="str">
        <f t="shared" si="279"/>
        <v/>
      </c>
      <c r="K8767" s="246" t="str">
        <f t="shared" si="280"/>
        <v/>
      </c>
    </row>
    <row r="8768" spans="6:11" x14ac:dyDescent="0.2">
      <c r="F8768" s="285" t="str">
        <f t="shared" si="279"/>
        <v/>
      </c>
      <c r="K8768" s="246" t="str">
        <f t="shared" si="280"/>
        <v/>
      </c>
    </row>
    <row r="8769" spans="6:11" x14ac:dyDescent="0.2">
      <c r="F8769" s="285" t="str">
        <f t="shared" si="279"/>
        <v/>
      </c>
      <c r="K8769" s="246" t="str">
        <f t="shared" si="280"/>
        <v/>
      </c>
    </row>
    <row r="8770" spans="6:11" x14ac:dyDescent="0.2">
      <c r="F8770" s="285" t="str">
        <f t="shared" si="279"/>
        <v/>
      </c>
      <c r="K8770" s="246" t="str">
        <f t="shared" si="280"/>
        <v/>
      </c>
    </row>
    <row r="8771" spans="6:11" x14ac:dyDescent="0.2">
      <c r="F8771" s="285" t="str">
        <f t="shared" si="279"/>
        <v/>
      </c>
      <c r="K8771" s="246" t="str">
        <f t="shared" si="280"/>
        <v/>
      </c>
    </row>
    <row r="8772" spans="6:11" x14ac:dyDescent="0.2">
      <c r="F8772" s="285" t="str">
        <f t="shared" si="279"/>
        <v/>
      </c>
      <c r="K8772" s="246" t="str">
        <f t="shared" si="280"/>
        <v/>
      </c>
    </row>
    <row r="8773" spans="6:11" x14ac:dyDescent="0.2">
      <c r="F8773" s="285" t="str">
        <f t="shared" ref="F8773:F8836" si="281">IF(A8773="","",A8773)</f>
        <v/>
      </c>
      <c r="K8773" s="246" t="str">
        <f t="shared" si="280"/>
        <v/>
      </c>
    </row>
    <row r="8774" spans="6:11" x14ac:dyDescent="0.2">
      <c r="F8774" s="285" t="str">
        <f t="shared" si="281"/>
        <v/>
      </c>
      <c r="K8774" s="246" t="str">
        <f t="shared" si="280"/>
        <v/>
      </c>
    </row>
    <row r="8775" spans="6:11" x14ac:dyDescent="0.2">
      <c r="F8775" s="285" t="str">
        <f t="shared" si="281"/>
        <v/>
      </c>
      <c r="K8775" s="246" t="str">
        <f t="shared" si="280"/>
        <v/>
      </c>
    </row>
    <row r="8776" spans="6:11" x14ac:dyDescent="0.2">
      <c r="F8776" s="285" t="str">
        <f t="shared" si="281"/>
        <v/>
      </c>
      <c r="K8776" s="246" t="str">
        <f t="shared" si="280"/>
        <v/>
      </c>
    </row>
    <row r="8777" spans="6:11" x14ac:dyDescent="0.2">
      <c r="F8777" s="285" t="str">
        <f t="shared" si="281"/>
        <v/>
      </c>
      <c r="K8777" s="246" t="str">
        <f t="shared" si="280"/>
        <v/>
      </c>
    </row>
    <row r="8778" spans="6:11" x14ac:dyDescent="0.2">
      <c r="F8778" s="285" t="str">
        <f t="shared" si="281"/>
        <v/>
      </c>
      <c r="K8778" s="246" t="str">
        <f t="shared" si="280"/>
        <v/>
      </c>
    </row>
    <row r="8779" spans="6:11" x14ac:dyDescent="0.2">
      <c r="F8779" s="285" t="str">
        <f t="shared" si="281"/>
        <v/>
      </c>
      <c r="K8779" s="246" t="str">
        <f t="shared" si="280"/>
        <v/>
      </c>
    </row>
    <row r="8780" spans="6:11" x14ac:dyDescent="0.2">
      <c r="F8780" s="285" t="str">
        <f t="shared" si="281"/>
        <v/>
      </c>
      <c r="K8780" s="246" t="str">
        <f t="shared" si="280"/>
        <v/>
      </c>
    </row>
    <row r="8781" spans="6:11" x14ac:dyDescent="0.2">
      <c r="F8781" s="285" t="str">
        <f t="shared" si="281"/>
        <v/>
      </c>
      <c r="K8781" s="246" t="str">
        <f t="shared" si="280"/>
        <v/>
      </c>
    </row>
    <row r="8782" spans="6:11" x14ac:dyDescent="0.2">
      <c r="F8782" s="285" t="str">
        <f t="shared" si="281"/>
        <v/>
      </c>
      <c r="K8782" s="246" t="str">
        <f t="shared" si="280"/>
        <v/>
      </c>
    </row>
    <row r="8783" spans="6:11" x14ac:dyDescent="0.2">
      <c r="F8783" s="285" t="str">
        <f t="shared" si="281"/>
        <v/>
      </c>
      <c r="K8783" s="246" t="str">
        <f t="shared" si="280"/>
        <v/>
      </c>
    </row>
    <row r="8784" spans="6:11" x14ac:dyDescent="0.2">
      <c r="F8784" s="285" t="str">
        <f t="shared" si="281"/>
        <v/>
      </c>
      <c r="K8784" s="246" t="str">
        <f t="shared" si="280"/>
        <v/>
      </c>
    </row>
    <row r="8785" spans="6:11" x14ac:dyDescent="0.2">
      <c r="F8785" s="285" t="str">
        <f t="shared" si="281"/>
        <v/>
      </c>
      <c r="K8785" s="246" t="str">
        <f t="shared" si="280"/>
        <v/>
      </c>
    </row>
    <row r="8786" spans="6:11" x14ac:dyDescent="0.2">
      <c r="F8786" s="285" t="str">
        <f t="shared" si="281"/>
        <v/>
      </c>
      <c r="K8786" s="246" t="str">
        <f t="shared" si="280"/>
        <v/>
      </c>
    </row>
    <row r="8787" spans="6:11" x14ac:dyDescent="0.2">
      <c r="F8787" s="285" t="str">
        <f t="shared" si="281"/>
        <v/>
      </c>
      <c r="K8787" s="246" t="str">
        <f t="shared" si="280"/>
        <v/>
      </c>
    </row>
    <row r="8788" spans="6:11" x14ac:dyDescent="0.2">
      <c r="F8788" s="285" t="str">
        <f t="shared" si="281"/>
        <v/>
      </c>
      <c r="K8788" s="246" t="str">
        <f t="shared" si="280"/>
        <v/>
      </c>
    </row>
    <row r="8789" spans="6:11" x14ac:dyDescent="0.2">
      <c r="F8789" s="285" t="str">
        <f t="shared" si="281"/>
        <v/>
      </c>
      <c r="K8789" s="246" t="str">
        <f t="shared" si="280"/>
        <v/>
      </c>
    </row>
    <row r="8790" spans="6:11" x14ac:dyDescent="0.2">
      <c r="F8790" s="285" t="str">
        <f t="shared" si="281"/>
        <v/>
      </c>
      <c r="K8790" s="246" t="str">
        <f t="shared" si="280"/>
        <v/>
      </c>
    </row>
    <row r="8791" spans="6:11" x14ac:dyDescent="0.2">
      <c r="F8791" s="285" t="str">
        <f t="shared" si="281"/>
        <v/>
      </c>
      <c r="K8791" s="246" t="str">
        <f t="shared" si="280"/>
        <v/>
      </c>
    </row>
    <row r="8792" spans="6:11" x14ac:dyDescent="0.2">
      <c r="F8792" s="285" t="str">
        <f t="shared" si="281"/>
        <v/>
      </c>
      <c r="K8792" s="246" t="str">
        <f t="shared" si="280"/>
        <v/>
      </c>
    </row>
    <row r="8793" spans="6:11" x14ac:dyDescent="0.2">
      <c r="F8793" s="285" t="str">
        <f t="shared" si="281"/>
        <v/>
      </c>
      <c r="K8793" s="246" t="str">
        <f t="shared" si="280"/>
        <v/>
      </c>
    </row>
    <row r="8794" spans="6:11" x14ac:dyDescent="0.2">
      <c r="F8794" s="285" t="str">
        <f t="shared" si="281"/>
        <v/>
      </c>
      <c r="K8794" s="246" t="str">
        <f t="shared" si="280"/>
        <v/>
      </c>
    </row>
    <row r="8795" spans="6:11" x14ac:dyDescent="0.2">
      <c r="F8795" s="285" t="str">
        <f t="shared" si="281"/>
        <v/>
      </c>
      <c r="K8795" s="246" t="str">
        <f t="shared" si="280"/>
        <v/>
      </c>
    </row>
    <row r="8796" spans="6:11" x14ac:dyDescent="0.2">
      <c r="F8796" s="285" t="str">
        <f t="shared" si="281"/>
        <v/>
      </c>
      <c r="K8796" s="246" t="str">
        <f t="shared" si="280"/>
        <v/>
      </c>
    </row>
    <row r="8797" spans="6:11" x14ac:dyDescent="0.2">
      <c r="F8797" s="285" t="str">
        <f t="shared" si="281"/>
        <v/>
      </c>
      <c r="K8797" s="246" t="str">
        <f t="shared" si="280"/>
        <v/>
      </c>
    </row>
    <row r="8798" spans="6:11" x14ac:dyDescent="0.2">
      <c r="F8798" s="285" t="str">
        <f t="shared" si="281"/>
        <v/>
      </c>
      <c r="K8798" s="246" t="str">
        <f t="shared" si="280"/>
        <v/>
      </c>
    </row>
    <row r="8799" spans="6:11" x14ac:dyDescent="0.2">
      <c r="F8799" s="285" t="str">
        <f t="shared" si="281"/>
        <v/>
      </c>
      <c r="K8799" s="246" t="str">
        <f t="shared" si="280"/>
        <v/>
      </c>
    </row>
    <row r="8800" spans="6:11" x14ac:dyDescent="0.2">
      <c r="F8800" s="285" t="str">
        <f t="shared" si="281"/>
        <v/>
      </c>
      <c r="K8800" s="246" t="str">
        <f t="shared" si="280"/>
        <v/>
      </c>
    </row>
    <row r="8801" spans="6:11" x14ac:dyDescent="0.2">
      <c r="F8801" s="285" t="str">
        <f t="shared" si="281"/>
        <v/>
      </c>
      <c r="K8801" s="246" t="str">
        <f t="shared" si="280"/>
        <v/>
      </c>
    </row>
    <row r="8802" spans="6:11" x14ac:dyDescent="0.2">
      <c r="F8802" s="285" t="str">
        <f t="shared" si="281"/>
        <v/>
      </c>
      <c r="K8802" s="246" t="str">
        <f t="shared" si="280"/>
        <v/>
      </c>
    </row>
    <row r="8803" spans="6:11" x14ac:dyDescent="0.2">
      <c r="F8803" s="285" t="str">
        <f t="shared" si="281"/>
        <v/>
      </c>
      <c r="K8803" s="246" t="str">
        <f t="shared" si="280"/>
        <v/>
      </c>
    </row>
    <row r="8804" spans="6:11" x14ac:dyDescent="0.2">
      <c r="F8804" s="285" t="str">
        <f t="shared" si="281"/>
        <v/>
      </c>
      <c r="K8804" s="246" t="str">
        <f t="shared" si="280"/>
        <v/>
      </c>
    </row>
    <row r="8805" spans="6:11" x14ac:dyDescent="0.2">
      <c r="F8805" s="285" t="str">
        <f t="shared" si="281"/>
        <v/>
      </c>
      <c r="K8805" s="246" t="str">
        <f t="shared" si="280"/>
        <v/>
      </c>
    </row>
    <row r="8806" spans="6:11" x14ac:dyDescent="0.2">
      <c r="F8806" s="285" t="str">
        <f t="shared" si="281"/>
        <v/>
      </c>
      <c r="K8806" s="246" t="str">
        <f t="shared" si="280"/>
        <v/>
      </c>
    </row>
    <row r="8807" spans="6:11" x14ac:dyDescent="0.2">
      <c r="F8807" s="285" t="str">
        <f t="shared" si="281"/>
        <v/>
      </c>
      <c r="K8807" s="246" t="str">
        <f t="shared" si="280"/>
        <v/>
      </c>
    </row>
    <row r="8808" spans="6:11" x14ac:dyDescent="0.2">
      <c r="F8808" s="285" t="str">
        <f t="shared" si="281"/>
        <v/>
      </c>
      <c r="K8808" s="246" t="str">
        <f t="shared" si="280"/>
        <v/>
      </c>
    </row>
    <row r="8809" spans="6:11" x14ac:dyDescent="0.2">
      <c r="F8809" s="285" t="str">
        <f t="shared" si="281"/>
        <v/>
      </c>
      <c r="K8809" s="246" t="str">
        <f t="shared" si="280"/>
        <v/>
      </c>
    </row>
    <row r="8810" spans="6:11" x14ac:dyDescent="0.2">
      <c r="F8810" s="285" t="str">
        <f t="shared" si="281"/>
        <v/>
      </c>
      <c r="K8810" s="246" t="str">
        <f t="shared" si="280"/>
        <v/>
      </c>
    </row>
    <row r="8811" spans="6:11" x14ac:dyDescent="0.2">
      <c r="F8811" s="285" t="str">
        <f t="shared" si="281"/>
        <v/>
      </c>
      <c r="K8811" s="246" t="str">
        <f t="shared" si="280"/>
        <v/>
      </c>
    </row>
    <row r="8812" spans="6:11" x14ac:dyDescent="0.2">
      <c r="F8812" s="285" t="str">
        <f t="shared" si="281"/>
        <v/>
      </c>
      <c r="K8812" s="246" t="str">
        <f t="shared" si="280"/>
        <v/>
      </c>
    </row>
    <row r="8813" spans="6:11" x14ac:dyDescent="0.2">
      <c r="F8813" s="285" t="str">
        <f t="shared" si="281"/>
        <v/>
      </c>
      <c r="K8813" s="246" t="str">
        <f t="shared" si="280"/>
        <v/>
      </c>
    </row>
    <row r="8814" spans="6:11" x14ac:dyDescent="0.2">
      <c r="F8814" s="285" t="str">
        <f t="shared" si="281"/>
        <v/>
      </c>
      <c r="K8814" s="246" t="str">
        <f t="shared" si="280"/>
        <v/>
      </c>
    </row>
    <row r="8815" spans="6:11" x14ac:dyDescent="0.2">
      <c r="F8815" s="285" t="str">
        <f t="shared" si="281"/>
        <v/>
      </c>
      <c r="K8815" s="246" t="str">
        <f t="shared" si="280"/>
        <v/>
      </c>
    </row>
    <row r="8816" spans="6:11" x14ac:dyDescent="0.2">
      <c r="F8816" s="285" t="str">
        <f t="shared" si="281"/>
        <v/>
      </c>
      <c r="K8816" s="246" t="str">
        <f t="shared" si="280"/>
        <v/>
      </c>
    </row>
    <row r="8817" spans="6:11" x14ac:dyDescent="0.2">
      <c r="F8817" s="285" t="str">
        <f t="shared" si="281"/>
        <v/>
      </c>
      <c r="K8817" s="246" t="str">
        <f t="shared" si="280"/>
        <v/>
      </c>
    </row>
    <row r="8818" spans="6:11" x14ac:dyDescent="0.2">
      <c r="F8818" s="285" t="str">
        <f t="shared" si="281"/>
        <v/>
      </c>
      <c r="K8818" s="246" t="str">
        <f t="shared" si="280"/>
        <v/>
      </c>
    </row>
    <row r="8819" spans="6:11" x14ac:dyDescent="0.2">
      <c r="F8819" s="285" t="str">
        <f t="shared" si="281"/>
        <v/>
      </c>
      <c r="K8819" s="246" t="str">
        <f t="shared" si="280"/>
        <v/>
      </c>
    </row>
    <row r="8820" spans="6:11" x14ac:dyDescent="0.2">
      <c r="F8820" s="285" t="str">
        <f t="shared" si="281"/>
        <v/>
      </c>
      <c r="K8820" s="246" t="str">
        <f t="shared" si="280"/>
        <v/>
      </c>
    </row>
    <row r="8821" spans="6:11" x14ac:dyDescent="0.2">
      <c r="F8821" s="285" t="str">
        <f t="shared" si="281"/>
        <v/>
      </c>
      <c r="K8821" s="246" t="str">
        <f t="shared" si="280"/>
        <v/>
      </c>
    </row>
    <row r="8822" spans="6:11" x14ac:dyDescent="0.2">
      <c r="F8822" s="285" t="str">
        <f t="shared" si="281"/>
        <v/>
      </c>
      <c r="K8822" s="246" t="str">
        <f t="shared" si="280"/>
        <v/>
      </c>
    </row>
    <row r="8823" spans="6:11" x14ac:dyDescent="0.2">
      <c r="F8823" s="285" t="str">
        <f t="shared" si="281"/>
        <v/>
      </c>
      <c r="K8823" s="246" t="str">
        <f t="shared" si="280"/>
        <v/>
      </c>
    </row>
    <row r="8824" spans="6:11" x14ac:dyDescent="0.2">
      <c r="F8824" s="285" t="str">
        <f t="shared" si="281"/>
        <v/>
      </c>
      <c r="K8824" s="246" t="str">
        <f t="shared" si="280"/>
        <v/>
      </c>
    </row>
    <row r="8825" spans="6:11" x14ac:dyDescent="0.2">
      <c r="F8825" s="285" t="str">
        <f t="shared" si="281"/>
        <v/>
      </c>
      <c r="K8825" s="246" t="str">
        <f t="shared" si="280"/>
        <v/>
      </c>
    </row>
    <row r="8826" spans="6:11" x14ac:dyDescent="0.2">
      <c r="F8826" s="285" t="str">
        <f t="shared" si="281"/>
        <v/>
      </c>
      <c r="K8826" s="246" t="str">
        <f t="shared" si="280"/>
        <v/>
      </c>
    </row>
    <row r="8827" spans="6:11" x14ac:dyDescent="0.2">
      <c r="F8827" s="285" t="str">
        <f t="shared" si="281"/>
        <v/>
      </c>
      <c r="K8827" s="246" t="str">
        <f t="shared" ref="K8827:K8890" si="282">IF(A8827="","",A8827)</f>
        <v/>
      </c>
    </row>
    <row r="8828" spans="6:11" x14ac:dyDescent="0.2">
      <c r="F8828" s="285" t="str">
        <f t="shared" si="281"/>
        <v/>
      </c>
      <c r="K8828" s="246" t="str">
        <f t="shared" si="282"/>
        <v/>
      </c>
    </row>
    <row r="8829" spans="6:11" x14ac:dyDescent="0.2">
      <c r="F8829" s="285" t="str">
        <f t="shared" si="281"/>
        <v/>
      </c>
      <c r="K8829" s="246" t="str">
        <f t="shared" si="282"/>
        <v/>
      </c>
    </row>
    <row r="8830" spans="6:11" x14ac:dyDescent="0.2">
      <c r="F8830" s="285" t="str">
        <f t="shared" si="281"/>
        <v/>
      </c>
      <c r="K8830" s="246" t="str">
        <f t="shared" si="282"/>
        <v/>
      </c>
    </row>
    <row r="8831" spans="6:11" x14ac:dyDescent="0.2">
      <c r="F8831" s="285" t="str">
        <f t="shared" si="281"/>
        <v/>
      </c>
      <c r="K8831" s="246" t="str">
        <f t="shared" si="282"/>
        <v/>
      </c>
    </row>
    <row r="8832" spans="6:11" x14ac:dyDescent="0.2">
      <c r="F8832" s="285" t="str">
        <f t="shared" si="281"/>
        <v/>
      </c>
      <c r="K8832" s="246" t="str">
        <f t="shared" si="282"/>
        <v/>
      </c>
    </row>
    <row r="8833" spans="6:11" x14ac:dyDescent="0.2">
      <c r="F8833" s="285" t="str">
        <f t="shared" si="281"/>
        <v/>
      </c>
      <c r="K8833" s="246" t="str">
        <f t="shared" si="282"/>
        <v/>
      </c>
    </row>
    <row r="8834" spans="6:11" x14ac:dyDescent="0.2">
      <c r="F8834" s="285" t="str">
        <f t="shared" si="281"/>
        <v/>
      </c>
      <c r="K8834" s="246" t="str">
        <f t="shared" si="282"/>
        <v/>
      </c>
    </row>
    <row r="8835" spans="6:11" x14ac:dyDescent="0.2">
      <c r="F8835" s="285" t="str">
        <f t="shared" si="281"/>
        <v/>
      </c>
      <c r="K8835" s="246" t="str">
        <f t="shared" si="282"/>
        <v/>
      </c>
    </row>
    <row r="8836" spans="6:11" x14ac:dyDescent="0.2">
      <c r="F8836" s="285" t="str">
        <f t="shared" si="281"/>
        <v/>
      </c>
      <c r="K8836" s="246" t="str">
        <f t="shared" si="282"/>
        <v/>
      </c>
    </row>
    <row r="8837" spans="6:11" x14ac:dyDescent="0.2">
      <c r="F8837" s="285" t="str">
        <f t="shared" ref="F8837:F8900" si="283">IF(A8837="","",A8837)</f>
        <v/>
      </c>
      <c r="K8837" s="246" t="str">
        <f t="shared" si="282"/>
        <v/>
      </c>
    </row>
    <row r="8838" spans="6:11" x14ac:dyDescent="0.2">
      <c r="F8838" s="285" t="str">
        <f t="shared" si="283"/>
        <v/>
      </c>
      <c r="K8838" s="246" t="str">
        <f t="shared" si="282"/>
        <v/>
      </c>
    </row>
    <row r="8839" spans="6:11" x14ac:dyDescent="0.2">
      <c r="F8839" s="285" t="str">
        <f t="shared" si="283"/>
        <v/>
      </c>
      <c r="K8839" s="246" t="str">
        <f t="shared" si="282"/>
        <v/>
      </c>
    </row>
    <row r="8840" spans="6:11" x14ac:dyDescent="0.2">
      <c r="F8840" s="285" t="str">
        <f t="shared" si="283"/>
        <v/>
      </c>
      <c r="K8840" s="246" t="str">
        <f t="shared" si="282"/>
        <v/>
      </c>
    </row>
    <row r="8841" spans="6:11" x14ac:dyDescent="0.2">
      <c r="F8841" s="285" t="str">
        <f t="shared" si="283"/>
        <v/>
      </c>
      <c r="K8841" s="246" t="str">
        <f t="shared" si="282"/>
        <v/>
      </c>
    </row>
    <row r="8842" spans="6:11" x14ac:dyDescent="0.2">
      <c r="F8842" s="285" t="str">
        <f t="shared" si="283"/>
        <v/>
      </c>
      <c r="K8842" s="246" t="str">
        <f t="shared" si="282"/>
        <v/>
      </c>
    </row>
    <row r="8843" spans="6:11" x14ac:dyDescent="0.2">
      <c r="F8843" s="285" t="str">
        <f t="shared" si="283"/>
        <v/>
      </c>
      <c r="K8843" s="246" t="str">
        <f t="shared" si="282"/>
        <v/>
      </c>
    </row>
    <row r="8844" spans="6:11" x14ac:dyDescent="0.2">
      <c r="F8844" s="285" t="str">
        <f t="shared" si="283"/>
        <v/>
      </c>
      <c r="K8844" s="246" t="str">
        <f t="shared" si="282"/>
        <v/>
      </c>
    </row>
    <row r="8845" spans="6:11" x14ac:dyDescent="0.2">
      <c r="F8845" s="285" t="str">
        <f t="shared" si="283"/>
        <v/>
      </c>
      <c r="K8845" s="246" t="str">
        <f t="shared" si="282"/>
        <v/>
      </c>
    </row>
    <row r="8846" spans="6:11" x14ac:dyDescent="0.2">
      <c r="F8846" s="285" t="str">
        <f t="shared" si="283"/>
        <v/>
      </c>
      <c r="K8846" s="246" t="str">
        <f t="shared" si="282"/>
        <v/>
      </c>
    </row>
    <row r="8847" spans="6:11" x14ac:dyDescent="0.2">
      <c r="F8847" s="285" t="str">
        <f t="shared" si="283"/>
        <v/>
      </c>
      <c r="K8847" s="246" t="str">
        <f t="shared" si="282"/>
        <v/>
      </c>
    </row>
    <row r="8848" spans="6:11" x14ac:dyDescent="0.2">
      <c r="F8848" s="285" t="str">
        <f t="shared" si="283"/>
        <v/>
      </c>
      <c r="K8848" s="246" t="str">
        <f t="shared" si="282"/>
        <v/>
      </c>
    </row>
    <row r="8849" spans="6:11" x14ac:dyDescent="0.2">
      <c r="F8849" s="285" t="str">
        <f t="shared" si="283"/>
        <v/>
      </c>
      <c r="K8849" s="246" t="str">
        <f t="shared" si="282"/>
        <v/>
      </c>
    </row>
    <row r="8850" spans="6:11" x14ac:dyDescent="0.2">
      <c r="F8850" s="285" t="str">
        <f t="shared" si="283"/>
        <v/>
      </c>
      <c r="K8850" s="246" t="str">
        <f t="shared" si="282"/>
        <v/>
      </c>
    </row>
    <row r="8851" spans="6:11" x14ac:dyDescent="0.2">
      <c r="F8851" s="285" t="str">
        <f t="shared" si="283"/>
        <v/>
      </c>
      <c r="K8851" s="246" t="str">
        <f t="shared" si="282"/>
        <v/>
      </c>
    </row>
    <row r="8852" spans="6:11" x14ac:dyDescent="0.2">
      <c r="F8852" s="285" t="str">
        <f t="shared" si="283"/>
        <v/>
      </c>
      <c r="K8852" s="246" t="str">
        <f t="shared" si="282"/>
        <v/>
      </c>
    </row>
    <row r="8853" spans="6:11" x14ac:dyDescent="0.2">
      <c r="F8853" s="285" t="str">
        <f t="shared" si="283"/>
        <v/>
      </c>
      <c r="K8853" s="246" t="str">
        <f t="shared" si="282"/>
        <v/>
      </c>
    </row>
    <row r="8854" spans="6:11" x14ac:dyDescent="0.2">
      <c r="F8854" s="285" t="str">
        <f t="shared" si="283"/>
        <v/>
      </c>
      <c r="K8854" s="246" t="str">
        <f t="shared" si="282"/>
        <v/>
      </c>
    </row>
    <row r="8855" spans="6:11" x14ac:dyDescent="0.2">
      <c r="F8855" s="285" t="str">
        <f t="shared" si="283"/>
        <v/>
      </c>
      <c r="K8855" s="246" t="str">
        <f t="shared" si="282"/>
        <v/>
      </c>
    </row>
    <row r="8856" spans="6:11" x14ac:dyDescent="0.2">
      <c r="F8856" s="285" t="str">
        <f t="shared" si="283"/>
        <v/>
      </c>
      <c r="K8856" s="246" t="str">
        <f t="shared" si="282"/>
        <v/>
      </c>
    </row>
    <row r="8857" spans="6:11" x14ac:dyDescent="0.2">
      <c r="F8857" s="285" t="str">
        <f t="shared" si="283"/>
        <v/>
      </c>
      <c r="K8857" s="246" t="str">
        <f t="shared" si="282"/>
        <v/>
      </c>
    </row>
    <row r="8858" spans="6:11" x14ac:dyDescent="0.2">
      <c r="F8858" s="285" t="str">
        <f t="shared" si="283"/>
        <v/>
      </c>
      <c r="K8858" s="246" t="str">
        <f t="shared" si="282"/>
        <v/>
      </c>
    </row>
    <row r="8859" spans="6:11" x14ac:dyDescent="0.2">
      <c r="F8859" s="285" t="str">
        <f t="shared" si="283"/>
        <v/>
      </c>
      <c r="K8859" s="246" t="str">
        <f t="shared" si="282"/>
        <v/>
      </c>
    </row>
    <row r="8860" spans="6:11" x14ac:dyDescent="0.2">
      <c r="F8860" s="285" t="str">
        <f t="shared" si="283"/>
        <v/>
      </c>
      <c r="K8860" s="246" t="str">
        <f t="shared" si="282"/>
        <v/>
      </c>
    </row>
    <row r="8861" spans="6:11" x14ac:dyDescent="0.2">
      <c r="F8861" s="285" t="str">
        <f t="shared" si="283"/>
        <v/>
      </c>
      <c r="K8861" s="246" t="str">
        <f t="shared" si="282"/>
        <v/>
      </c>
    </row>
    <row r="8862" spans="6:11" x14ac:dyDescent="0.2">
      <c r="F8862" s="285" t="str">
        <f t="shared" si="283"/>
        <v/>
      </c>
      <c r="K8862" s="246" t="str">
        <f t="shared" si="282"/>
        <v/>
      </c>
    </row>
    <row r="8863" spans="6:11" x14ac:dyDescent="0.2">
      <c r="F8863" s="285" t="str">
        <f t="shared" si="283"/>
        <v/>
      </c>
      <c r="K8863" s="246" t="str">
        <f t="shared" si="282"/>
        <v/>
      </c>
    </row>
    <row r="8864" spans="6:11" x14ac:dyDescent="0.2">
      <c r="F8864" s="285" t="str">
        <f t="shared" si="283"/>
        <v/>
      </c>
      <c r="K8864" s="246" t="str">
        <f t="shared" si="282"/>
        <v/>
      </c>
    </row>
    <row r="8865" spans="6:11" x14ac:dyDescent="0.2">
      <c r="F8865" s="285" t="str">
        <f t="shared" si="283"/>
        <v/>
      </c>
      <c r="K8865" s="246" t="str">
        <f t="shared" si="282"/>
        <v/>
      </c>
    </row>
    <row r="8866" spans="6:11" x14ac:dyDescent="0.2">
      <c r="F8866" s="285" t="str">
        <f t="shared" si="283"/>
        <v/>
      </c>
      <c r="K8866" s="246" t="str">
        <f t="shared" si="282"/>
        <v/>
      </c>
    </row>
    <row r="8867" spans="6:11" x14ac:dyDescent="0.2">
      <c r="F8867" s="285" t="str">
        <f t="shared" si="283"/>
        <v/>
      </c>
      <c r="K8867" s="246" t="str">
        <f t="shared" si="282"/>
        <v/>
      </c>
    </row>
    <row r="8868" spans="6:11" x14ac:dyDescent="0.2">
      <c r="F8868" s="285" t="str">
        <f t="shared" si="283"/>
        <v/>
      </c>
      <c r="K8868" s="246" t="str">
        <f t="shared" si="282"/>
        <v/>
      </c>
    </row>
    <row r="8869" spans="6:11" x14ac:dyDescent="0.2">
      <c r="F8869" s="285" t="str">
        <f t="shared" si="283"/>
        <v/>
      </c>
      <c r="K8869" s="246" t="str">
        <f t="shared" si="282"/>
        <v/>
      </c>
    </row>
    <row r="8870" spans="6:11" x14ac:dyDescent="0.2">
      <c r="F8870" s="285" t="str">
        <f t="shared" si="283"/>
        <v/>
      </c>
      <c r="K8870" s="246" t="str">
        <f t="shared" si="282"/>
        <v/>
      </c>
    </row>
    <row r="8871" spans="6:11" x14ac:dyDescent="0.2">
      <c r="F8871" s="285" t="str">
        <f t="shared" si="283"/>
        <v/>
      </c>
      <c r="K8871" s="246" t="str">
        <f t="shared" si="282"/>
        <v/>
      </c>
    </row>
    <row r="8872" spans="6:11" x14ac:dyDescent="0.2">
      <c r="F8872" s="285" t="str">
        <f t="shared" si="283"/>
        <v/>
      </c>
      <c r="K8872" s="246" t="str">
        <f t="shared" si="282"/>
        <v/>
      </c>
    </row>
    <row r="8873" spans="6:11" x14ac:dyDescent="0.2">
      <c r="F8873" s="285" t="str">
        <f t="shared" si="283"/>
        <v/>
      </c>
      <c r="K8873" s="246" t="str">
        <f t="shared" si="282"/>
        <v/>
      </c>
    </row>
    <row r="8874" spans="6:11" x14ac:dyDescent="0.2">
      <c r="F8874" s="285" t="str">
        <f t="shared" si="283"/>
        <v/>
      </c>
      <c r="K8874" s="246" t="str">
        <f t="shared" si="282"/>
        <v/>
      </c>
    </row>
    <row r="8875" spans="6:11" x14ac:dyDescent="0.2">
      <c r="F8875" s="285" t="str">
        <f t="shared" si="283"/>
        <v/>
      </c>
      <c r="K8875" s="246" t="str">
        <f t="shared" si="282"/>
        <v/>
      </c>
    </row>
    <row r="8876" spans="6:11" x14ac:dyDescent="0.2">
      <c r="F8876" s="285" t="str">
        <f t="shared" si="283"/>
        <v/>
      </c>
      <c r="K8876" s="246" t="str">
        <f t="shared" si="282"/>
        <v/>
      </c>
    </row>
    <row r="8877" spans="6:11" x14ac:dyDescent="0.2">
      <c r="F8877" s="285" t="str">
        <f t="shared" si="283"/>
        <v/>
      </c>
      <c r="K8877" s="246" t="str">
        <f t="shared" si="282"/>
        <v/>
      </c>
    </row>
    <row r="8878" spans="6:11" x14ac:dyDescent="0.2">
      <c r="F8878" s="285" t="str">
        <f t="shared" si="283"/>
        <v/>
      </c>
      <c r="K8878" s="246" t="str">
        <f t="shared" si="282"/>
        <v/>
      </c>
    </row>
    <row r="8879" spans="6:11" x14ac:dyDescent="0.2">
      <c r="F8879" s="285" t="str">
        <f t="shared" si="283"/>
        <v/>
      </c>
      <c r="K8879" s="246" t="str">
        <f t="shared" si="282"/>
        <v/>
      </c>
    </row>
    <row r="8880" spans="6:11" x14ac:dyDescent="0.2">
      <c r="F8880" s="285" t="str">
        <f t="shared" si="283"/>
        <v/>
      </c>
      <c r="K8880" s="246" t="str">
        <f t="shared" si="282"/>
        <v/>
      </c>
    </row>
    <row r="8881" spans="6:11" x14ac:dyDescent="0.2">
      <c r="F8881" s="285" t="str">
        <f t="shared" si="283"/>
        <v/>
      </c>
      <c r="K8881" s="246" t="str">
        <f t="shared" si="282"/>
        <v/>
      </c>
    </row>
    <row r="8882" spans="6:11" x14ac:dyDescent="0.2">
      <c r="F8882" s="285" t="str">
        <f t="shared" si="283"/>
        <v/>
      </c>
      <c r="K8882" s="246" t="str">
        <f t="shared" si="282"/>
        <v/>
      </c>
    </row>
    <row r="8883" spans="6:11" x14ac:dyDescent="0.2">
      <c r="F8883" s="285" t="str">
        <f t="shared" si="283"/>
        <v/>
      </c>
      <c r="K8883" s="246" t="str">
        <f t="shared" si="282"/>
        <v/>
      </c>
    </row>
    <row r="8884" spans="6:11" x14ac:dyDescent="0.2">
      <c r="F8884" s="285" t="str">
        <f t="shared" si="283"/>
        <v/>
      </c>
      <c r="K8884" s="246" t="str">
        <f t="shared" si="282"/>
        <v/>
      </c>
    </row>
    <row r="8885" spans="6:11" x14ac:dyDescent="0.2">
      <c r="F8885" s="285" t="str">
        <f t="shared" si="283"/>
        <v/>
      </c>
      <c r="K8885" s="246" t="str">
        <f t="shared" si="282"/>
        <v/>
      </c>
    </row>
    <row r="8886" spans="6:11" x14ac:dyDescent="0.2">
      <c r="F8886" s="285" t="str">
        <f t="shared" si="283"/>
        <v/>
      </c>
      <c r="K8886" s="246" t="str">
        <f t="shared" si="282"/>
        <v/>
      </c>
    </row>
    <row r="8887" spans="6:11" x14ac:dyDescent="0.2">
      <c r="F8887" s="285" t="str">
        <f t="shared" si="283"/>
        <v/>
      </c>
      <c r="K8887" s="246" t="str">
        <f t="shared" si="282"/>
        <v/>
      </c>
    </row>
    <row r="8888" spans="6:11" x14ac:dyDescent="0.2">
      <c r="F8888" s="285" t="str">
        <f t="shared" si="283"/>
        <v/>
      </c>
      <c r="K8888" s="246" t="str">
        <f t="shared" si="282"/>
        <v/>
      </c>
    </row>
    <row r="8889" spans="6:11" x14ac:dyDescent="0.2">
      <c r="F8889" s="285" t="str">
        <f t="shared" si="283"/>
        <v/>
      </c>
      <c r="K8889" s="246" t="str">
        <f t="shared" si="282"/>
        <v/>
      </c>
    </row>
    <row r="8890" spans="6:11" x14ac:dyDescent="0.2">
      <c r="F8890" s="285" t="str">
        <f t="shared" si="283"/>
        <v/>
      </c>
      <c r="K8890" s="246" t="str">
        <f t="shared" si="282"/>
        <v/>
      </c>
    </row>
    <row r="8891" spans="6:11" x14ac:dyDescent="0.2">
      <c r="F8891" s="285" t="str">
        <f t="shared" si="283"/>
        <v/>
      </c>
      <c r="K8891" s="246" t="str">
        <f t="shared" ref="K8891:K8954" si="284">IF(A8891="","",A8891)</f>
        <v/>
      </c>
    </row>
    <row r="8892" spans="6:11" x14ac:dyDescent="0.2">
      <c r="F8892" s="285" t="str">
        <f t="shared" si="283"/>
        <v/>
      </c>
      <c r="K8892" s="246" t="str">
        <f t="shared" si="284"/>
        <v/>
      </c>
    </row>
    <row r="8893" spans="6:11" x14ac:dyDescent="0.2">
      <c r="F8893" s="285" t="str">
        <f t="shared" si="283"/>
        <v/>
      </c>
      <c r="K8893" s="246" t="str">
        <f t="shared" si="284"/>
        <v/>
      </c>
    </row>
    <row r="8894" spans="6:11" x14ac:dyDescent="0.2">
      <c r="F8894" s="285" t="str">
        <f t="shared" si="283"/>
        <v/>
      </c>
      <c r="K8894" s="246" t="str">
        <f t="shared" si="284"/>
        <v/>
      </c>
    </row>
    <row r="8895" spans="6:11" x14ac:dyDescent="0.2">
      <c r="F8895" s="285" t="str">
        <f t="shared" si="283"/>
        <v/>
      </c>
      <c r="K8895" s="246" t="str">
        <f t="shared" si="284"/>
        <v/>
      </c>
    </row>
    <row r="8896" spans="6:11" x14ac:dyDescent="0.2">
      <c r="F8896" s="285" t="str">
        <f t="shared" si="283"/>
        <v/>
      </c>
      <c r="K8896" s="246" t="str">
        <f t="shared" si="284"/>
        <v/>
      </c>
    </row>
    <row r="8897" spans="6:11" x14ac:dyDescent="0.2">
      <c r="F8897" s="285" t="str">
        <f t="shared" si="283"/>
        <v/>
      </c>
      <c r="K8897" s="246" t="str">
        <f t="shared" si="284"/>
        <v/>
      </c>
    </row>
    <row r="8898" spans="6:11" x14ac:dyDescent="0.2">
      <c r="F8898" s="285" t="str">
        <f t="shared" si="283"/>
        <v/>
      </c>
      <c r="K8898" s="246" t="str">
        <f t="shared" si="284"/>
        <v/>
      </c>
    </row>
    <row r="8899" spans="6:11" x14ac:dyDescent="0.2">
      <c r="F8899" s="285" t="str">
        <f t="shared" si="283"/>
        <v/>
      </c>
      <c r="K8899" s="246" t="str">
        <f t="shared" si="284"/>
        <v/>
      </c>
    </row>
    <row r="8900" spans="6:11" x14ac:dyDescent="0.2">
      <c r="F8900" s="285" t="str">
        <f t="shared" si="283"/>
        <v/>
      </c>
      <c r="K8900" s="246" t="str">
        <f t="shared" si="284"/>
        <v/>
      </c>
    </row>
    <row r="8901" spans="6:11" x14ac:dyDescent="0.2">
      <c r="F8901" s="285" t="str">
        <f t="shared" ref="F8901:F8964" si="285">IF(A8901="","",A8901)</f>
        <v/>
      </c>
      <c r="K8901" s="246" t="str">
        <f t="shared" si="284"/>
        <v/>
      </c>
    </row>
    <row r="8902" spans="6:11" x14ac:dyDescent="0.2">
      <c r="F8902" s="285" t="str">
        <f t="shared" si="285"/>
        <v/>
      </c>
      <c r="K8902" s="246" t="str">
        <f t="shared" si="284"/>
        <v/>
      </c>
    </row>
    <row r="8903" spans="6:11" x14ac:dyDescent="0.2">
      <c r="F8903" s="285" t="str">
        <f t="shared" si="285"/>
        <v/>
      </c>
      <c r="K8903" s="246" t="str">
        <f t="shared" si="284"/>
        <v/>
      </c>
    </row>
    <row r="8904" spans="6:11" x14ac:dyDescent="0.2">
      <c r="F8904" s="285" t="str">
        <f t="shared" si="285"/>
        <v/>
      </c>
      <c r="K8904" s="246" t="str">
        <f t="shared" si="284"/>
        <v/>
      </c>
    </row>
    <row r="8905" spans="6:11" x14ac:dyDescent="0.2">
      <c r="F8905" s="285" t="str">
        <f t="shared" si="285"/>
        <v/>
      </c>
      <c r="K8905" s="246" t="str">
        <f t="shared" si="284"/>
        <v/>
      </c>
    </row>
    <row r="8906" spans="6:11" x14ac:dyDescent="0.2">
      <c r="F8906" s="285" t="str">
        <f t="shared" si="285"/>
        <v/>
      </c>
      <c r="K8906" s="246" t="str">
        <f t="shared" si="284"/>
        <v/>
      </c>
    </row>
    <row r="8907" spans="6:11" x14ac:dyDescent="0.2">
      <c r="F8907" s="285" t="str">
        <f t="shared" si="285"/>
        <v/>
      </c>
      <c r="K8907" s="246" t="str">
        <f t="shared" si="284"/>
        <v/>
      </c>
    </row>
    <row r="8908" spans="6:11" x14ac:dyDescent="0.2">
      <c r="F8908" s="285" t="str">
        <f t="shared" si="285"/>
        <v/>
      </c>
      <c r="K8908" s="246" t="str">
        <f t="shared" si="284"/>
        <v/>
      </c>
    </row>
    <row r="8909" spans="6:11" x14ac:dyDescent="0.2">
      <c r="F8909" s="285" t="str">
        <f t="shared" si="285"/>
        <v/>
      </c>
      <c r="K8909" s="246" t="str">
        <f t="shared" si="284"/>
        <v/>
      </c>
    </row>
    <row r="8910" spans="6:11" x14ac:dyDescent="0.2">
      <c r="F8910" s="285" t="str">
        <f t="shared" si="285"/>
        <v/>
      </c>
      <c r="K8910" s="246" t="str">
        <f t="shared" si="284"/>
        <v/>
      </c>
    </row>
    <row r="8911" spans="6:11" x14ac:dyDescent="0.2">
      <c r="F8911" s="285" t="str">
        <f t="shared" si="285"/>
        <v/>
      </c>
      <c r="K8911" s="246" t="str">
        <f t="shared" si="284"/>
        <v/>
      </c>
    </row>
    <row r="8912" spans="6:11" x14ac:dyDescent="0.2">
      <c r="F8912" s="285" t="str">
        <f t="shared" si="285"/>
        <v/>
      </c>
      <c r="K8912" s="246" t="str">
        <f t="shared" si="284"/>
        <v/>
      </c>
    </row>
    <row r="8913" spans="6:11" x14ac:dyDescent="0.2">
      <c r="F8913" s="285" t="str">
        <f t="shared" si="285"/>
        <v/>
      </c>
      <c r="K8913" s="246" t="str">
        <f t="shared" si="284"/>
        <v/>
      </c>
    </row>
    <row r="8914" spans="6:11" x14ac:dyDescent="0.2">
      <c r="F8914" s="285" t="str">
        <f t="shared" si="285"/>
        <v/>
      </c>
      <c r="K8914" s="246" t="str">
        <f t="shared" si="284"/>
        <v/>
      </c>
    </row>
    <row r="8915" spans="6:11" x14ac:dyDescent="0.2">
      <c r="F8915" s="285" t="str">
        <f t="shared" si="285"/>
        <v/>
      </c>
      <c r="K8915" s="246" t="str">
        <f t="shared" si="284"/>
        <v/>
      </c>
    </row>
    <row r="8916" spans="6:11" x14ac:dyDescent="0.2">
      <c r="F8916" s="285" t="str">
        <f t="shared" si="285"/>
        <v/>
      </c>
      <c r="K8916" s="246" t="str">
        <f t="shared" si="284"/>
        <v/>
      </c>
    </row>
    <row r="8917" spans="6:11" x14ac:dyDescent="0.2">
      <c r="F8917" s="285" t="str">
        <f t="shared" si="285"/>
        <v/>
      </c>
      <c r="K8917" s="246" t="str">
        <f t="shared" si="284"/>
        <v/>
      </c>
    </row>
    <row r="8918" spans="6:11" x14ac:dyDescent="0.2">
      <c r="F8918" s="285" t="str">
        <f t="shared" si="285"/>
        <v/>
      </c>
      <c r="K8918" s="246" t="str">
        <f t="shared" si="284"/>
        <v/>
      </c>
    </row>
    <row r="8919" spans="6:11" x14ac:dyDescent="0.2">
      <c r="F8919" s="285" t="str">
        <f t="shared" si="285"/>
        <v/>
      </c>
      <c r="K8919" s="246" t="str">
        <f t="shared" si="284"/>
        <v/>
      </c>
    </row>
    <row r="8920" spans="6:11" x14ac:dyDescent="0.2">
      <c r="F8920" s="285" t="str">
        <f t="shared" si="285"/>
        <v/>
      </c>
      <c r="K8920" s="246" t="str">
        <f t="shared" si="284"/>
        <v/>
      </c>
    </row>
    <row r="8921" spans="6:11" x14ac:dyDescent="0.2">
      <c r="F8921" s="285" t="str">
        <f t="shared" si="285"/>
        <v/>
      </c>
      <c r="K8921" s="246" t="str">
        <f t="shared" si="284"/>
        <v/>
      </c>
    </row>
    <row r="8922" spans="6:11" x14ac:dyDescent="0.2">
      <c r="F8922" s="285" t="str">
        <f t="shared" si="285"/>
        <v/>
      </c>
      <c r="K8922" s="246" t="str">
        <f t="shared" si="284"/>
        <v/>
      </c>
    </row>
    <row r="8923" spans="6:11" x14ac:dyDescent="0.2">
      <c r="F8923" s="285" t="str">
        <f t="shared" si="285"/>
        <v/>
      </c>
      <c r="K8923" s="246" t="str">
        <f t="shared" si="284"/>
        <v/>
      </c>
    </row>
    <row r="8924" spans="6:11" x14ac:dyDescent="0.2">
      <c r="F8924" s="285" t="str">
        <f t="shared" si="285"/>
        <v/>
      </c>
      <c r="K8924" s="246" t="str">
        <f t="shared" si="284"/>
        <v/>
      </c>
    </row>
    <row r="8925" spans="6:11" x14ac:dyDescent="0.2">
      <c r="F8925" s="285" t="str">
        <f t="shared" si="285"/>
        <v/>
      </c>
      <c r="K8925" s="246" t="str">
        <f t="shared" si="284"/>
        <v/>
      </c>
    </row>
    <row r="8926" spans="6:11" x14ac:dyDescent="0.2">
      <c r="F8926" s="285" t="str">
        <f t="shared" si="285"/>
        <v/>
      </c>
      <c r="K8926" s="246" t="str">
        <f t="shared" si="284"/>
        <v/>
      </c>
    </row>
    <row r="8927" spans="6:11" x14ac:dyDescent="0.2">
      <c r="F8927" s="285" t="str">
        <f t="shared" si="285"/>
        <v/>
      </c>
      <c r="K8927" s="246" t="str">
        <f t="shared" si="284"/>
        <v/>
      </c>
    </row>
    <row r="8928" spans="6:11" x14ac:dyDescent="0.2">
      <c r="F8928" s="285" t="str">
        <f t="shared" si="285"/>
        <v/>
      </c>
      <c r="K8928" s="246" t="str">
        <f t="shared" si="284"/>
        <v/>
      </c>
    </row>
    <row r="8929" spans="6:11" x14ac:dyDescent="0.2">
      <c r="F8929" s="285" t="str">
        <f t="shared" si="285"/>
        <v/>
      </c>
      <c r="K8929" s="246" t="str">
        <f t="shared" si="284"/>
        <v/>
      </c>
    </row>
    <row r="8930" spans="6:11" x14ac:dyDescent="0.2">
      <c r="F8930" s="285" t="str">
        <f t="shared" si="285"/>
        <v/>
      </c>
      <c r="K8930" s="246" t="str">
        <f t="shared" si="284"/>
        <v/>
      </c>
    </row>
    <row r="8931" spans="6:11" x14ac:dyDescent="0.2">
      <c r="F8931" s="285" t="str">
        <f t="shared" si="285"/>
        <v/>
      </c>
      <c r="K8931" s="246" t="str">
        <f t="shared" si="284"/>
        <v/>
      </c>
    </row>
    <row r="8932" spans="6:11" x14ac:dyDescent="0.2">
      <c r="F8932" s="285" t="str">
        <f t="shared" si="285"/>
        <v/>
      </c>
      <c r="K8932" s="246" t="str">
        <f t="shared" si="284"/>
        <v/>
      </c>
    </row>
    <row r="8933" spans="6:11" x14ac:dyDescent="0.2">
      <c r="F8933" s="285" t="str">
        <f t="shared" si="285"/>
        <v/>
      </c>
      <c r="K8933" s="246" t="str">
        <f t="shared" si="284"/>
        <v/>
      </c>
    </row>
    <row r="8934" spans="6:11" x14ac:dyDescent="0.2">
      <c r="F8934" s="285" t="str">
        <f t="shared" si="285"/>
        <v/>
      </c>
      <c r="K8934" s="246" t="str">
        <f t="shared" si="284"/>
        <v/>
      </c>
    </row>
    <row r="8935" spans="6:11" x14ac:dyDescent="0.2">
      <c r="F8935" s="285" t="str">
        <f t="shared" si="285"/>
        <v/>
      </c>
      <c r="K8935" s="246" t="str">
        <f t="shared" si="284"/>
        <v/>
      </c>
    </row>
    <row r="8936" spans="6:11" x14ac:dyDescent="0.2">
      <c r="F8936" s="285" t="str">
        <f t="shared" si="285"/>
        <v/>
      </c>
      <c r="K8936" s="246" t="str">
        <f t="shared" si="284"/>
        <v/>
      </c>
    </row>
    <row r="8937" spans="6:11" x14ac:dyDescent="0.2">
      <c r="F8937" s="285" t="str">
        <f t="shared" si="285"/>
        <v/>
      </c>
      <c r="K8937" s="246" t="str">
        <f t="shared" si="284"/>
        <v/>
      </c>
    </row>
    <row r="8938" spans="6:11" x14ac:dyDescent="0.2">
      <c r="F8938" s="285" t="str">
        <f t="shared" si="285"/>
        <v/>
      </c>
      <c r="K8938" s="246" t="str">
        <f t="shared" si="284"/>
        <v/>
      </c>
    </row>
    <row r="8939" spans="6:11" x14ac:dyDescent="0.2">
      <c r="F8939" s="285" t="str">
        <f t="shared" si="285"/>
        <v/>
      </c>
      <c r="K8939" s="246" t="str">
        <f t="shared" si="284"/>
        <v/>
      </c>
    </row>
    <row r="8940" spans="6:11" x14ac:dyDescent="0.2">
      <c r="F8940" s="285" t="str">
        <f t="shared" si="285"/>
        <v/>
      </c>
      <c r="K8940" s="246" t="str">
        <f t="shared" si="284"/>
        <v/>
      </c>
    </row>
    <row r="8941" spans="6:11" x14ac:dyDescent="0.2">
      <c r="F8941" s="285" t="str">
        <f t="shared" si="285"/>
        <v/>
      </c>
      <c r="K8941" s="246" t="str">
        <f t="shared" si="284"/>
        <v/>
      </c>
    </row>
    <row r="8942" spans="6:11" x14ac:dyDescent="0.2">
      <c r="F8942" s="285" t="str">
        <f t="shared" si="285"/>
        <v/>
      </c>
      <c r="K8942" s="246" t="str">
        <f t="shared" si="284"/>
        <v/>
      </c>
    </row>
    <row r="8943" spans="6:11" x14ac:dyDescent="0.2">
      <c r="F8943" s="285" t="str">
        <f t="shared" si="285"/>
        <v/>
      </c>
      <c r="K8943" s="246" t="str">
        <f t="shared" si="284"/>
        <v/>
      </c>
    </row>
    <row r="8944" spans="6:11" x14ac:dyDescent="0.2">
      <c r="F8944" s="285" t="str">
        <f t="shared" si="285"/>
        <v/>
      </c>
      <c r="K8944" s="246" t="str">
        <f t="shared" si="284"/>
        <v/>
      </c>
    </row>
    <row r="8945" spans="6:11" x14ac:dyDescent="0.2">
      <c r="F8945" s="285" t="str">
        <f t="shared" si="285"/>
        <v/>
      </c>
      <c r="K8945" s="246" t="str">
        <f t="shared" si="284"/>
        <v/>
      </c>
    </row>
    <row r="8946" spans="6:11" x14ac:dyDescent="0.2">
      <c r="F8946" s="285" t="str">
        <f t="shared" si="285"/>
        <v/>
      </c>
      <c r="K8946" s="246" t="str">
        <f t="shared" si="284"/>
        <v/>
      </c>
    </row>
    <row r="8947" spans="6:11" x14ac:dyDescent="0.2">
      <c r="F8947" s="285" t="str">
        <f t="shared" si="285"/>
        <v/>
      </c>
      <c r="K8947" s="246" t="str">
        <f t="shared" si="284"/>
        <v/>
      </c>
    </row>
    <row r="8948" spans="6:11" x14ac:dyDescent="0.2">
      <c r="F8948" s="285" t="str">
        <f t="shared" si="285"/>
        <v/>
      </c>
      <c r="K8948" s="246" t="str">
        <f t="shared" si="284"/>
        <v/>
      </c>
    </row>
    <row r="8949" spans="6:11" x14ac:dyDescent="0.2">
      <c r="F8949" s="285" t="str">
        <f t="shared" si="285"/>
        <v/>
      </c>
      <c r="K8949" s="246" t="str">
        <f t="shared" si="284"/>
        <v/>
      </c>
    </row>
    <row r="8950" spans="6:11" x14ac:dyDescent="0.2">
      <c r="F8950" s="285" t="str">
        <f t="shared" si="285"/>
        <v/>
      </c>
      <c r="K8950" s="246" t="str">
        <f t="shared" si="284"/>
        <v/>
      </c>
    </row>
    <row r="8951" spans="6:11" x14ac:dyDescent="0.2">
      <c r="F8951" s="285" t="str">
        <f t="shared" si="285"/>
        <v/>
      </c>
      <c r="K8951" s="246" t="str">
        <f t="shared" si="284"/>
        <v/>
      </c>
    </row>
    <row r="8952" spans="6:11" x14ac:dyDescent="0.2">
      <c r="F8952" s="285" t="str">
        <f t="shared" si="285"/>
        <v/>
      </c>
      <c r="K8952" s="246" t="str">
        <f t="shared" si="284"/>
        <v/>
      </c>
    </row>
    <row r="8953" spans="6:11" x14ac:dyDescent="0.2">
      <c r="F8953" s="285" t="str">
        <f t="shared" si="285"/>
        <v/>
      </c>
      <c r="K8953" s="246" t="str">
        <f t="shared" si="284"/>
        <v/>
      </c>
    </row>
    <row r="8954" spans="6:11" x14ac:dyDescent="0.2">
      <c r="F8954" s="285" t="str">
        <f t="shared" si="285"/>
        <v/>
      </c>
      <c r="K8954" s="246" t="str">
        <f t="shared" si="284"/>
        <v/>
      </c>
    </row>
    <row r="8955" spans="6:11" x14ac:dyDescent="0.2">
      <c r="F8955" s="285" t="str">
        <f t="shared" si="285"/>
        <v/>
      </c>
      <c r="K8955" s="246" t="str">
        <f t="shared" ref="K8955:K9018" si="286">IF(A8955="","",A8955)</f>
        <v/>
      </c>
    </row>
    <row r="8956" spans="6:11" x14ac:dyDescent="0.2">
      <c r="F8956" s="285" t="str">
        <f t="shared" si="285"/>
        <v/>
      </c>
      <c r="K8956" s="246" t="str">
        <f t="shared" si="286"/>
        <v/>
      </c>
    </row>
    <row r="8957" spans="6:11" x14ac:dyDescent="0.2">
      <c r="F8957" s="285" t="str">
        <f t="shared" si="285"/>
        <v/>
      </c>
      <c r="K8957" s="246" t="str">
        <f t="shared" si="286"/>
        <v/>
      </c>
    </row>
    <row r="8958" spans="6:11" x14ac:dyDescent="0.2">
      <c r="F8958" s="285" t="str">
        <f t="shared" si="285"/>
        <v/>
      </c>
      <c r="K8958" s="246" t="str">
        <f t="shared" si="286"/>
        <v/>
      </c>
    </row>
    <row r="8959" spans="6:11" x14ac:dyDescent="0.2">
      <c r="F8959" s="285" t="str">
        <f t="shared" si="285"/>
        <v/>
      </c>
      <c r="K8959" s="246" t="str">
        <f t="shared" si="286"/>
        <v/>
      </c>
    </row>
    <row r="8960" spans="6:11" x14ac:dyDescent="0.2">
      <c r="F8960" s="285" t="str">
        <f t="shared" si="285"/>
        <v/>
      </c>
      <c r="K8960" s="246" t="str">
        <f t="shared" si="286"/>
        <v/>
      </c>
    </row>
    <row r="8961" spans="6:11" x14ac:dyDescent="0.2">
      <c r="F8961" s="285" t="str">
        <f t="shared" si="285"/>
        <v/>
      </c>
      <c r="K8961" s="246" t="str">
        <f t="shared" si="286"/>
        <v/>
      </c>
    </row>
    <row r="8962" spans="6:11" x14ac:dyDescent="0.2">
      <c r="F8962" s="285" t="str">
        <f t="shared" si="285"/>
        <v/>
      </c>
      <c r="K8962" s="246" t="str">
        <f t="shared" si="286"/>
        <v/>
      </c>
    </row>
    <row r="8963" spans="6:11" x14ac:dyDescent="0.2">
      <c r="F8963" s="285" t="str">
        <f t="shared" si="285"/>
        <v/>
      </c>
      <c r="K8963" s="246" t="str">
        <f t="shared" si="286"/>
        <v/>
      </c>
    </row>
    <row r="8964" spans="6:11" x14ac:dyDescent="0.2">
      <c r="F8964" s="285" t="str">
        <f t="shared" si="285"/>
        <v/>
      </c>
      <c r="K8964" s="246" t="str">
        <f t="shared" si="286"/>
        <v/>
      </c>
    </row>
    <row r="8965" spans="6:11" x14ac:dyDescent="0.2">
      <c r="F8965" s="285" t="str">
        <f t="shared" ref="F8965:F9028" si="287">IF(A8965="","",A8965)</f>
        <v/>
      </c>
      <c r="K8965" s="246" t="str">
        <f t="shared" si="286"/>
        <v/>
      </c>
    </row>
    <row r="8966" spans="6:11" x14ac:dyDescent="0.2">
      <c r="F8966" s="285" t="str">
        <f t="shared" si="287"/>
        <v/>
      </c>
      <c r="K8966" s="246" t="str">
        <f t="shared" si="286"/>
        <v/>
      </c>
    </row>
    <row r="8967" spans="6:11" x14ac:dyDescent="0.2">
      <c r="F8967" s="285" t="str">
        <f t="shared" si="287"/>
        <v/>
      </c>
      <c r="K8967" s="246" t="str">
        <f t="shared" si="286"/>
        <v/>
      </c>
    </row>
    <row r="8968" spans="6:11" x14ac:dyDescent="0.2">
      <c r="F8968" s="285" t="str">
        <f t="shared" si="287"/>
        <v/>
      </c>
      <c r="K8968" s="246" t="str">
        <f t="shared" si="286"/>
        <v/>
      </c>
    </row>
    <row r="8969" spans="6:11" x14ac:dyDescent="0.2">
      <c r="F8969" s="285" t="str">
        <f t="shared" si="287"/>
        <v/>
      </c>
      <c r="K8969" s="246" t="str">
        <f t="shared" si="286"/>
        <v/>
      </c>
    </row>
    <row r="8970" spans="6:11" x14ac:dyDescent="0.2">
      <c r="F8970" s="285" t="str">
        <f t="shared" si="287"/>
        <v/>
      </c>
      <c r="K8970" s="246" t="str">
        <f t="shared" si="286"/>
        <v/>
      </c>
    </row>
    <row r="8971" spans="6:11" x14ac:dyDescent="0.2">
      <c r="F8971" s="285" t="str">
        <f t="shared" si="287"/>
        <v/>
      </c>
      <c r="K8971" s="246" t="str">
        <f t="shared" si="286"/>
        <v/>
      </c>
    </row>
    <row r="8972" spans="6:11" x14ac:dyDescent="0.2">
      <c r="F8972" s="285" t="str">
        <f t="shared" si="287"/>
        <v/>
      </c>
      <c r="K8972" s="246" t="str">
        <f t="shared" si="286"/>
        <v/>
      </c>
    </row>
    <row r="8973" spans="6:11" x14ac:dyDescent="0.2">
      <c r="F8973" s="285" t="str">
        <f t="shared" si="287"/>
        <v/>
      </c>
      <c r="K8973" s="246" t="str">
        <f t="shared" si="286"/>
        <v/>
      </c>
    </row>
    <row r="8974" spans="6:11" x14ac:dyDescent="0.2">
      <c r="F8974" s="285" t="str">
        <f t="shared" si="287"/>
        <v/>
      </c>
      <c r="K8974" s="246" t="str">
        <f t="shared" si="286"/>
        <v/>
      </c>
    </row>
    <row r="8975" spans="6:11" x14ac:dyDescent="0.2">
      <c r="F8975" s="285" t="str">
        <f t="shared" si="287"/>
        <v/>
      </c>
      <c r="K8975" s="246" t="str">
        <f t="shared" si="286"/>
        <v/>
      </c>
    </row>
    <row r="8976" spans="6:11" x14ac:dyDescent="0.2">
      <c r="F8976" s="285" t="str">
        <f t="shared" si="287"/>
        <v/>
      </c>
      <c r="K8976" s="246" t="str">
        <f t="shared" si="286"/>
        <v/>
      </c>
    </row>
    <row r="8977" spans="6:11" x14ac:dyDescent="0.2">
      <c r="F8977" s="285" t="str">
        <f t="shared" si="287"/>
        <v/>
      </c>
      <c r="K8977" s="246" t="str">
        <f t="shared" si="286"/>
        <v/>
      </c>
    </row>
    <row r="8978" spans="6:11" x14ac:dyDescent="0.2">
      <c r="F8978" s="285" t="str">
        <f t="shared" si="287"/>
        <v/>
      </c>
      <c r="K8978" s="246" t="str">
        <f t="shared" si="286"/>
        <v/>
      </c>
    </row>
    <row r="8979" spans="6:11" x14ac:dyDescent="0.2">
      <c r="F8979" s="285" t="str">
        <f t="shared" si="287"/>
        <v/>
      </c>
      <c r="K8979" s="246" t="str">
        <f t="shared" si="286"/>
        <v/>
      </c>
    </row>
    <row r="8980" spans="6:11" x14ac:dyDescent="0.2">
      <c r="F8980" s="285" t="str">
        <f t="shared" si="287"/>
        <v/>
      </c>
      <c r="K8980" s="246" t="str">
        <f t="shared" si="286"/>
        <v/>
      </c>
    </row>
    <row r="8981" spans="6:11" x14ac:dyDescent="0.2">
      <c r="F8981" s="285" t="str">
        <f t="shared" si="287"/>
        <v/>
      </c>
      <c r="K8981" s="246" t="str">
        <f t="shared" si="286"/>
        <v/>
      </c>
    </row>
    <row r="8982" spans="6:11" x14ac:dyDescent="0.2">
      <c r="F8982" s="285" t="str">
        <f t="shared" si="287"/>
        <v/>
      </c>
      <c r="K8982" s="246" t="str">
        <f t="shared" si="286"/>
        <v/>
      </c>
    </row>
    <row r="8983" spans="6:11" x14ac:dyDescent="0.2">
      <c r="F8983" s="285" t="str">
        <f t="shared" si="287"/>
        <v/>
      </c>
      <c r="K8983" s="246" t="str">
        <f t="shared" si="286"/>
        <v/>
      </c>
    </row>
    <row r="8984" spans="6:11" x14ac:dyDescent="0.2">
      <c r="F8984" s="285" t="str">
        <f t="shared" si="287"/>
        <v/>
      </c>
      <c r="K8984" s="246" t="str">
        <f t="shared" si="286"/>
        <v/>
      </c>
    </row>
    <row r="8985" spans="6:11" x14ac:dyDescent="0.2">
      <c r="F8985" s="285" t="str">
        <f t="shared" si="287"/>
        <v/>
      </c>
      <c r="K8985" s="246" t="str">
        <f t="shared" si="286"/>
        <v/>
      </c>
    </row>
    <row r="8986" spans="6:11" x14ac:dyDescent="0.2">
      <c r="F8986" s="285" t="str">
        <f t="shared" si="287"/>
        <v/>
      </c>
      <c r="K8986" s="246" t="str">
        <f t="shared" si="286"/>
        <v/>
      </c>
    </row>
    <row r="8987" spans="6:11" x14ac:dyDescent="0.2">
      <c r="F8987" s="285" t="str">
        <f t="shared" si="287"/>
        <v/>
      </c>
      <c r="K8987" s="246" t="str">
        <f t="shared" si="286"/>
        <v/>
      </c>
    </row>
    <row r="8988" spans="6:11" x14ac:dyDescent="0.2">
      <c r="F8988" s="285" t="str">
        <f t="shared" si="287"/>
        <v/>
      </c>
      <c r="K8988" s="246" t="str">
        <f t="shared" si="286"/>
        <v/>
      </c>
    </row>
    <row r="8989" spans="6:11" x14ac:dyDescent="0.2">
      <c r="F8989" s="285" t="str">
        <f t="shared" si="287"/>
        <v/>
      </c>
      <c r="K8989" s="246" t="str">
        <f t="shared" si="286"/>
        <v/>
      </c>
    </row>
    <row r="8990" spans="6:11" x14ac:dyDescent="0.2">
      <c r="F8990" s="285" t="str">
        <f t="shared" si="287"/>
        <v/>
      </c>
      <c r="K8990" s="246" t="str">
        <f t="shared" si="286"/>
        <v/>
      </c>
    </row>
    <row r="8991" spans="6:11" x14ac:dyDescent="0.2">
      <c r="F8991" s="285" t="str">
        <f t="shared" si="287"/>
        <v/>
      </c>
      <c r="K8991" s="246" t="str">
        <f t="shared" si="286"/>
        <v/>
      </c>
    </row>
    <row r="8992" spans="6:11" x14ac:dyDescent="0.2">
      <c r="F8992" s="285" t="str">
        <f t="shared" si="287"/>
        <v/>
      </c>
      <c r="K8992" s="246" t="str">
        <f t="shared" si="286"/>
        <v/>
      </c>
    </row>
    <row r="8993" spans="6:11" x14ac:dyDescent="0.2">
      <c r="F8993" s="285" t="str">
        <f t="shared" si="287"/>
        <v/>
      </c>
      <c r="K8993" s="246" t="str">
        <f t="shared" si="286"/>
        <v/>
      </c>
    </row>
    <row r="8994" spans="6:11" x14ac:dyDescent="0.2">
      <c r="F8994" s="285" t="str">
        <f t="shared" si="287"/>
        <v/>
      </c>
      <c r="K8994" s="246" t="str">
        <f t="shared" si="286"/>
        <v/>
      </c>
    </row>
    <row r="8995" spans="6:11" x14ac:dyDescent="0.2">
      <c r="F8995" s="285" t="str">
        <f t="shared" si="287"/>
        <v/>
      </c>
      <c r="K8995" s="246" t="str">
        <f t="shared" si="286"/>
        <v/>
      </c>
    </row>
    <row r="8996" spans="6:11" x14ac:dyDescent="0.2">
      <c r="F8996" s="285" t="str">
        <f t="shared" si="287"/>
        <v/>
      </c>
      <c r="K8996" s="246" t="str">
        <f t="shared" si="286"/>
        <v/>
      </c>
    </row>
    <row r="8997" spans="6:11" x14ac:dyDescent="0.2">
      <c r="F8997" s="285" t="str">
        <f t="shared" si="287"/>
        <v/>
      </c>
      <c r="K8997" s="246" t="str">
        <f t="shared" si="286"/>
        <v/>
      </c>
    </row>
    <row r="8998" spans="6:11" x14ac:dyDescent="0.2">
      <c r="F8998" s="285" t="str">
        <f t="shared" si="287"/>
        <v/>
      </c>
      <c r="K8998" s="246" t="str">
        <f t="shared" si="286"/>
        <v/>
      </c>
    </row>
    <row r="8999" spans="6:11" x14ac:dyDescent="0.2">
      <c r="F8999" s="285" t="str">
        <f t="shared" si="287"/>
        <v/>
      </c>
      <c r="K8999" s="246" t="str">
        <f t="shared" si="286"/>
        <v/>
      </c>
    </row>
    <row r="9000" spans="6:11" x14ac:dyDescent="0.2">
      <c r="F9000" s="285" t="str">
        <f t="shared" si="287"/>
        <v/>
      </c>
      <c r="K9000" s="246" t="str">
        <f t="shared" si="286"/>
        <v/>
      </c>
    </row>
    <row r="9001" spans="6:11" x14ac:dyDescent="0.2">
      <c r="F9001" s="285" t="str">
        <f t="shared" si="287"/>
        <v/>
      </c>
      <c r="K9001" s="246" t="str">
        <f t="shared" si="286"/>
        <v/>
      </c>
    </row>
    <row r="9002" spans="6:11" x14ac:dyDescent="0.2">
      <c r="F9002" s="285" t="str">
        <f t="shared" si="287"/>
        <v/>
      </c>
      <c r="K9002" s="246" t="str">
        <f t="shared" si="286"/>
        <v/>
      </c>
    </row>
    <row r="9003" spans="6:11" x14ac:dyDescent="0.2">
      <c r="F9003" s="285" t="str">
        <f t="shared" si="287"/>
        <v/>
      </c>
      <c r="K9003" s="246" t="str">
        <f t="shared" si="286"/>
        <v/>
      </c>
    </row>
    <row r="9004" spans="6:11" x14ac:dyDescent="0.2">
      <c r="F9004" s="285" t="str">
        <f t="shared" si="287"/>
        <v/>
      </c>
      <c r="K9004" s="246" t="str">
        <f t="shared" si="286"/>
        <v/>
      </c>
    </row>
    <row r="9005" spans="6:11" x14ac:dyDescent="0.2">
      <c r="F9005" s="285" t="str">
        <f t="shared" si="287"/>
        <v/>
      </c>
      <c r="K9005" s="246" t="str">
        <f t="shared" si="286"/>
        <v/>
      </c>
    </row>
    <row r="9006" spans="6:11" x14ac:dyDescent="0.2">
      <c r="F9006" s="285" t="str">
        <f t="shared" si="287"/>
        <v/>
      </c>
      <c r="K9006" s="246" t="str">
        <f t="shared" si="286"/>
        <v/>
      </c>
    </row>
    <row r="9007" spans="6:11" x14ac:dyDescent="0.2">
      <c r="F9007" s="285" t="str">
        <f t="shared" si="287"/>
        <v/>
      </c>
      <c r="K9007" s="246" t="str">
        <f t="shared" si="286"/>
        <v/>
      </c>
    </row>
    <row r="9008" spans="6:11" x14ac:dyDescent="0.2">
      <c r="F9008" s="285" t="str">
        <f t="shared" si="287"/>
        <v/>
      </c>
      <c r="K9008" s="246" t="str">
        <f t="shared" si="286"/>
        <v/>
      </c>
    </row>
    <row r="9009" spans="6:11" x14ac:dyDescent="0.2">
      <c r="F9009" s="285" t="str">
        <f t="shared" si="287"/>
        <v/>
      </c>
      <c r="K9009" s="246" t="str">
        <f t="shared" si="286"/>
        <v/>
      </c>
    </row>
    <row r="9010" spans="6:11" x14ac:dyDescent="0.2">
      <c r="F9010" s="285" t="str">
        <f t="shared" si="287"/>
        <v/>
      </c>
      <c r="K9010" s="246" t="str">
        <f t="shared" si="286"/>
        <v/>
      </c>
    </row>
    <row r="9011" spans="6:11" x14ac:dyDescent="0.2">
      <c r="F9011" s="285" t="str">
        <f t="shared" si="287"/>
        <v/>
      </c>
      <c r="K9011" s="246" t="str">
        <f t="shared" si="286"/>
        <v/>
      </c>
    </row>
    <row r="9012" spans="6:11" x14ac:dyDescent="0.2">
      <c r="F9012" s="285" t="str">
        <f t="shared" si="287"/>
        <v/>
      </c>
      <c r="K9012" s="246" t="str">
        <f t="shared" si="286"/>
        <v/>
      </c>
    </row>
    <row r="9013" spans="6:11" x14ac:dyDescent="0.2">
      <c r="F9013" s="285" t="str">
        <f t="shared" si="287"/>
        <v/>
      </c>
      <c r="K9013" s="246" t="str">
        <f t="shared" si="286"/>
        <v/>
      </c>
    </row>
    <row r="9014" spans="6:11" x14ac:dyDescent="0.2">
      <c r="F9014" s="285" t="str">
        <f t="shared" si="287"/>
        <v/>
      </c>
      <c r="K9014" s="246" t="str">
        <f t="shared" si="286"/>
        <v/>
      </c>
    </row>
    <row r="9015" spans="6:11" x14ac:dyDescent="0.2">
      <c r="F9015" s="285" t="str">
        <f t="shared" si="287"/>
        <v/>
      </c>
      <c r="K9015" s="246" t="str">
        <f t="shared" si="286"/>
        <v/>
      </c>
    </row>
    <row r="9016" spans="6:11" x14ac:dyDescent="0.2">
      <c r="F9016" s="285" t="str">
        <f t="shared" si="287"/>
        <v/>
      </c>
      <c r="K9016" s="246" t="str">
        <f t="shared" si="286"/>
        <v/>
      </c>
    </row>
    <row r="9017" spans="6:11" x14ac:dyDescent="0.2">
      <c r="F9017" s="285" t="str">
        <f t="shared" si="287"/>
        <v/>
      </c>
      <c r="K9017" s="246" t="str">
        <f t="shared" si="286"/>
        <v/>
      </c>
    </row>
    <row r="9018" spans="6:11" x14ac:dyDescent="0.2">
      <c r="F9018" s="285" t="str">
        <f t="shared" si="287"/>
        <v/>
      </c>
      <c r="K9018" s="246" t="str">
        <f t="shared" si="286"/>
        <v/>
      </c>
    </row>
    <row r="9019" spans="6:11" x14ac:dyDescent="0.2">
      <c r="F9019" s="285" t="str">
        <f t="shared" si="287"/>
        <v/>
      </c>
      <c r="K9019" s="246" t="str">
        <f t="shared" ref="K9019:K9082" si="288">IF(A9019="","",A9019)</f>
        <v/>
      </c>
    </row>
    <row r="9020" spans="6:11" x14ac:dyDescent="0.2">
      <c r="F9020" s="285" t="str">
        <f t="shared" si="287"/>
        <v/>
      </c>
      <c r="K9020" s="246" t="str">
        <f t="shared" si="288"/>
        <v/>
      </c>
    </row>
    <row r="9021" spans="6:11" x14ac:dyDescent="0.2">
      <c r="F9021" s="285" t="str">
        <f t="shared" si="287"/>
        <v/>
      </c>
      <c r="K9021" s="246" t="str">
        <f t="shared" si="288"/>
        <v/>
      </c>
    </row>
    <row r="9022" spans="6:11" x14ac:dyDescent="0.2">
      <c r="F9022" s="285" t="str">
        <f t="shared" si="287"/>
        <v/>
      </c>
      <c r="K9022" s="246" t="str">
        <f t="shared" si="288"/>
        <v/>
      </c>
    </row>
    <row r="9023" spans="6:11" x14ac:dyDescent="0.2">
      <c r="F9023" s="285" t="str">
        <f t="shared" si="287"/>
        <v/>
      </c>
      <c r="K9023" s="246" t="str">
        <f t="shared" si="288"/>
        <v/>
      </c>
    </row>
    <row r="9024" spans="6:11" x14ac:dyDescent="0.2">
      <c r="F9024" s="285" t="str">
        <f t="shared" si="287"/>
        <v/>
      </c>
      <c r="K9024" s="246" t="str">
        <f t="shared" si="288"/>
        <v/>
      </c>
    </row>
    <row r="9025" spans="6:11" x14ac:dyDescent="0.2">
      <c r="F9025" s="285" t="str">
        <f t="shared" si="287"/>
        <v/>
      </c>
      <c r="K9025" s="246" t="str">
        <f t="shared" si="288"/>
        <v/>
      </c>
    </row>
    <row r="9026" spans="6:11" x14ac:dyDescent="0.2">
      <c r="F9026" s="285" t="str">
        <f t="shared" si="287"/>
        <v/>
      </c>
      <c r="K9026" s="246" t="str">
        <f t="shared" si="288"/>
        <v/>
      </c>
    </row>
    <row r="9027" spans="6:11" x14ac:dyDescent="0.2">
      <c r="F9027" s="285" t="str">
        <f t="shared" si="287"/>
        <v/>
      </c>
      <c r="K9027" s="246" t="str">
        <f t="shared" si="288"/>
        <v/>
      </c>
    </row>
    <row r="9028" spans="6:11" x14ac:dyDescent="0.2">
      <c r="F9028" s="285" t="str">
        <f t="shared" si="287"/>
        <v/>
      </c>
      <c r="K9028" s="246" t="str">
        <f t="shared" si="288"/>
        <v/>
      </c>
    </row>
    <row r="9029" spans="6:11" x14ac:dyDescent="0.2">
      <c r="F9029" s="285" t="str">
        <f t="shared" ref="F9029:F9092" si="289">IF(A9029="","",A9029)</f>
        <v/>
      </c>
      <c r="K9029" s="246" t="str">
        <f t="shared" si="288"/>
        <v/>
      </c>
    </row>
    <row r="9030" spans="6:11" x14ac:dyDescent="0.2">
      <c r="F9030" s="285" t="str">
        <f t="shared" si="289"/>
        <v/>
      </c>
      <c r="K9030" s="246" t="str">
        <f t="shared" si="288"/>
        <v/>
      </c>
    </row>
    <row r="9031" spans="6:11" x14ac:dyDescent="0.2">
      <c r="F9031" s="285" t="str">
        <f t="shared" si="289"/>
        <v/>
      </c>
      <c r="K9031" s="246" t="str">
        <f t="shared" si="288"/>
        <v/>
      </c>
    </row>
    <row r="9032" spans="6:11" x14ac:dyDescent="0.2">
      <c r="F9032" s="285" t="str">
        <f t="shared" si="289"/>
        <v/>
      </c>
      <c r="K9032" s="246" t="str">
        <f t="shared" si="288"/>
        <v/>
      </c>
    </row>
    <row r="9033" spans="6:11" x14ac:dyDescent="0.2">
      <c r="F9033" s="285" t="str">
        <f t="shared" si="289"/>
        <v/>
      </c>
      <c r="K9033" s="246" t="str">
        <f t="shared" si="288"/>
        <v/>
      </c>
    </row>
    <row r="9034" spans="6:11" x14ac:dyDescent="0.2">
      <c r="F9034" s="285" t="str">
        <f t="shared" si="289"/>
        <v/>
      </c>
      <c r="K9034" s="246" t="str">
        <f t="shared" si="288"/>
        <v/>
      </c>
    </row>
    <row r="9035" spans="6:11" x14ac:dyDescent="0.2">
      <c r="F9035" s="285" t="str">
        <f t="shared" si="289"/>
        <v/>
      </c>
      <c r="K9035" s="246" t="str">
        <f t="shared" si="288"/>
        <v/>
      </c>
    </row>
    <row r="9036" spans="6:11" x14ac:dyDescent="0.2">
      <c r="F9036" s="285" t="str">
        <f t="shared" si="289"/>
        <v/>
      </c>
      <c r="K9036" s="246" t="str">
        <f t="shared" si="288"/>
        <v/>
      </c>
    </row>
    <row r="9037" spans="6:11" x14ac:dyDescent="0.2">
      <c r="F9037" s="285" t="str">
        <f t="shared" si="289"/>
        <v/>
      </c>
      <c r="K9037" s="246" t="str">
        <f t="shared" si="288"/>
        <v/>
      </c>
    </row>
    <row r="9038" spans="6:11" x14ac:dyDescent="0.2">
      <c r="F9038" s="285" t="str">
        <f t="shared" si="289"/>
        <v/>
      </c>
      <c r="K9038" s="246" t="str">
        <f t="shared" si="288"/>
        <v/>
      </c>
    </row>
    <row r="9039" spans="6:11" x14ac:dyDescent="0.2">
      <c r="F9039" s="285" t="str">
        <f t="shared" si="289"/>
        <v/>
      </c>
      <c r="K9039" s="246" t="str">
        <f t="shared" si="288"/>
        <v/>
      </c>
    </row>
    <row r="9040" spans="6:11" x14ac:dyDescent="0.2">
      <c r="F9040" s="285" t="str">
        <f t="shared" si="289"/>
        <v/>
      </c>
      <c r="K9040" s="246" t="str">
        <f t="shared" si="288"/>
        <v/>
      </c>
    </row>
    <row r="9041" spans="6:11" x14ac:dyDescent="0.2">
      <c r="F9041" s="285" t="str">
        <f t="shared" si="289"/>
        <v/>
      </c>
      <c r="K9041" s="246" t="str">
        <f t="shared" si="288"/>
        <v/>
      </c>
    </row>
    <row r="9042" spans="6:11" x14ac:dyDescent="0.2">
      <c r="F9042" s="285" t="str">
        <f t="shared" si="289"/>
        <v/>
      </c>
      <c r="K9042" s="246" t="str">
        <f t="shared" si="288"/>
        <v/>
      </c>
    </row>
    <row r="9043" spans="6:11" x14ac:dyDescent="0.2">
      <c r="F9043" s="285" t="str">
        <f t="shared" si="289"/>
        <v/>
      </c>
      <c r="K9043" s="246" t="str">
        <f t="shared" si="288"/>
        <v/>
      </c>
    </row>
    <row r="9044" spans="6:11" x14ac:dyDescent="0.2">
      <c r="F9044" s="285" t="str">
        <f t="shared" si="289"/>
        <v/>
      </c>
      <c r="K9044" s="246" t="str">
        <f t="shared" si="288"/>
        <v/>
      </c>
    </row>
    <row r="9045" spans="6:11" x14ac:dyDescent="0.2">
      <c r="F9045" s="285" t="str">
        <f t="shared" si="289"/>
        <v/>
      </c>
      <c r="K9045" s="246" t="str">
        <f t="shared" si="288"/>
        <v/>
      </c>
    </row>
    <row r="9046" spans="6:11" x14ac:dyDescent="0.2">
      <c r="F9046" s="285" t="str">
        <f t="shared" si="289"/>
        <v/>
      </c>
      <c r="K9046" s="246" t="str">
        <f t="shared" si="288"/>
        <v/>
      </c>
    </row>
    <row r="9047" spans="6:11" x14ac:dyDescent="0.2">
      <c r="F9047" s="285" t="str">
        <f t="shared" si="289"/>
        <v/>
      </c>
      <c r="K9047" s="246" t="str">
        <f t="shared" si="288"/>
        <v/>
      </c>
    </row>
    <row r="9048" spans="6:11" x14ac:dyDescent="0.2">
      <c r="F9048" s="285" t="str">
        <f t="shared" si="289"/>
        <v/>
      </c>
      <c r="K9048" s="246" t="str">
        <f t="shared" si="288"/>
        <v/>
      </c>
    </row>
    <row r="9049" spans="6:11" x14ac:dyDescent="0.2">
      <c r="F9049" s="285" t="str">
        <f t="shared" si="289"/>
        <v/>
      </c>
      <c r="K9049" s="246" t="str">
        <f t="shared" si="288"/>
        <v/>
      </c>
    </row>
    <row r="9050" spans="6:11" x14ac:dyDescent="0.2">
      <c r="F9050" s="285" t="str">
        <f t="shared" si="289"/>
        <v/>
      </c>
      <c r="K9050" s="246" t="str">
        <f t="shared" si="288"/>
        <v/>
      </c>
    </row>
    <row r="9051" spans="6:11" x14ac:dyDescent="0.2">
      <c r="F9051" s="285" t="str">
        <f t="shared" si="289"/>
        <v/>
      </c>
      <c r="K9051" s="246" t="str">
        <f t="shared" si="288"/>
        <v/>
      </c>
    </row>
    <row r="9052" spans="6:11" x14ac:dyDescent="0.2">
      <c r="F9052" s="285" t="str">
        <f t="shared" si="289"/>
        <v/>
      </c>
      <c r="K9052" s="246" t="str">
        <f t="shared" si="288"/>
        <v/>
      </c>
    </row>
    <row r="9053" spans="6:11" x14ac:dyDescent="0.2">
      <c r="F9053" s="285" t="str">
        <f t="shared" si="289"/>
        <v/>
      </c>
      <c r="K9053" s="246" t="str">
        <f t="shared" si="288"/>
        <v/>
      </c>
    </row>
    <row r="9054" spans="6:11" x14ac:dyDescent="0.2">
      <c r="F9054" s="285" t="str">
        <f t="shared" si="289"/>
        <v/>
      </c>
      <c r="K9054" s="246" t="str">
        <f t="shared" si="288"/>
        <v/>
      </c>
    </row>
    <row r="9055" spans="6:11" x14ac:dyDescent="0.2">
      <c r="F9055" s="285" t="str">
        <f t="shared" si="289"/>
        <v/>
      </c>
      <c r="K9055" s="246" t="str">
        <f t="shared" si="288"/>
        <v/>
      </c>
    </row>
    <row r="9056" spans="6:11" x14ac:dyDescent="0.2">
      <c r="F9056" s="285" t="str">
        <f t="shared" si="289"/>
        <v/>
      </c>
      <c r="K9056" s="246" t="str">
        <f t="shared" si="288"/>
        <v/>
      </c>
    </row>
    <row r="9057" spans="6:11" x14ac:dyDescent="0.2">
      <c r="F9057" s="285" t="str">
        <f t="shared" si="289"/>
        <v/>
      </c>
      <c r="K9057" s="246" t="str">
        <f t="shared" si="288"/>
        <v/>
      </c>
    </row>
    <row r="9058" spans="6:11" x14ac:dyDescent="0.2">
      <c r="F9058" s="285" t="str">
        <f t="shared" si="289"/>
        <v/>
      </c>
      <c r="K9058" s="246" t="str">
        <f t="shared" si="288"/>
        <v/>
      </c>
    </row>
    <row r="9059" spans="6:11" x14ac:dyDescent="0.2">
      <c r="F9059" s="285" t="str">
        <f t="shared" si="289"/>
        <v/>
      </c>
      <c r="K9059" s="246" t="str">
        <f t="shared" si="288"/>
        <v/>
      </c>
    </row>
    <row r="9060" spans="6:11" x14ac:dyDescent="0.2">
      <c r="F9060" s="285" t="str">
        <f t="shared" si="289"/>
        <v/>
      </c>
      <c r="K9060" s="246" t="str">
        <f t="shared" si="288"/>
        <v/>
      </c>
    </row>
    <row r="9061" spans="6:11" x14ac:dyDescent="0.2">
      <c r="F9061" s="285" t="str">
        <f t="shared" si="289"/>
        <v/>
      </c>
      <c r="K9061" s="246" t="str">
        <f t="shared" si="288"/>
        <v/>
      </c>
    </row>
    <row r="9062" spans="6:11" x14ac:dyDescent="0.2">
      <c r="F9062" s="285" t="str">
        <f t="shared" si="289"/>
        <v/>
      </c>
      <c r="K9062" s="246" t="str">
        <f t="shared" si="288"/>
        <v/>
      </c>
    </row>
    <row r="9063" spans="6:11" x14ac:dyDescent="0.2">
      <c r="F9063" s="285" t="str">
        <f t="shared" si="289"/>
        <v/>
      </c>
      <c r="K9063" s="246" t="str">
        <f t="shared" si="288"/>
        <v/>
      </c>
    </row>
    <row r="9064" spans="6:11" x14ac:dyDescent="0.2">
      <c r="F9064" s="285" t="str">
        <f t="shared" si="289"/>
        <v/>
      </c>
      <c r="K9064" s="246" t="str">
        <f t="shared" si="288"/>
        <v/>
      </c>
    </row>
    <row r="9065" spans="6:11" x14ac:dyDescent="0.2">
      <c r="F9065" s="285" t="str">
        <f t="shared" si="289"/>
        <v/>
      </c>
      <c r="K9065" s="246" t="str">
        <f t="shared" si="288"/>
        <v/>
      </c>
    </row>
    <row r="9066" spans="6:11" x14ac:dyDescent="0.2">
      <c r="F9066" s="285" t="str">
        <f t="shared" si="289"/>
        <v/>
      </c>
      <c r="K9066" s="246" t="str">
        <f t="shared" si="288"/>
        <v/>
      </c>
    </row>
    <row r="9067" spans="6:11" x14ac:dyDescent="0.2">
      <c r="F9067" s="285" t="str">
        <f t="shared" si="289"/>
        <v/>
      </c>
      <c r="K9067" s="246" t="str">
        <f t="shared" si="288"/>
        <v/>
      </c>
    </row>
    <row r="9068" spans="6:11" x14ac:dyDescent="0.2">
      <c r="F9068" s="285" t="str">
        <f t="shared" si="289"/>
        <v/>
      </c>
      <c r="K9068" s="246" t="str">
        <f t="shared" si="288"/>
        <v/>
      </c>
    </row>
    <row r="9069" spans="6:11" x14ac:dyDescent="0.2">
      <c r="F9069" s="285" t="str">
        <f t="shared" si="289"/>
        <v/>
      </c>
      <c r="K9069" s="246" t="str">
        <f t="shared" si="288"/>
        <v/>
      </c>
    </row>
    <row r="9070" spans="6:11" x14ac:dyDescent="0.2">
      <c r="F9070" s="285" t="str">
        <f t="shared" si="289"/>
        <v/>
      </c>
      <c r="K9070" s="246" t="str">
        <f t="shared" si="288"/>
        <v/>
      </c>
    </row>
    <row r="9071" spans="6:11" x14ac:dyDescent="0.2">
      <c r="F9071" s="285" t="str">
        <f t="shared" si="289"/>
        <v/>
      </c>
      <c r="K9071" s="246" t="str">
        <f t="shared" si="288"/>
        <v/>
      </c>
    </row>
    <row r="9072" spans="6:11" x14ac:dyDescent="0.2">
      <c r="F9072" s="285" t="str">
        <f t="shared" si="289"/>
        <v/>
      </c>
      <c r="K9072" s="246" t="str">
        <f t="shared" si="288"/>
        <v/>
      </c>
    </row>
    <row r="9073" spans="6:11" x14ac:dyDescent="0.2">
      <c r="F9073" s="285" t="str">
        <f t="shared" si="289"/>
        <v/>
      </c>
      <c r="K9073" s="246" t="str">
        <f t="shared" si="288"/>
        <v/>
      </c>
    </row>
    <row r="9074" spans="6:11" x14ac:dyDescent="0.2">
      <c r="F9074" s="285" t="str">
        <f t="shared" si="289"/>
        <v/>
      </c>
      <c r="K9074" s="246" t="str">
        <f t="shared" si="288"/>
        <v/>
      </c>
    </row>
    <row r="9075" spans="6:11" x14ac:dyDescent="0.2">
      <c r="F9075" s="285" t="str">
        <f t="shared" si="289"/>
        <v/>
      </c>
      <c r="K9075" s="246" t="str">
        <f t="shared" si="288"/>
        <v/>
      </c>
    </row>
    <row r="9076" spans="6:11" x14ac:dyDescent="0.2">
      <c r="F9076" s="285" t="str">
        <f t="shared" si="289"/>
        <v/>
      </c>
      <c r="K9076" s="246" t="str">
        <f t="shared" si="288"/>
        <v/>
      </c>
    </row>
    <row r="9077" spans="6:11" x14ac:dyDescent="0.2">
      <c r="F9077" s="285" t="str">
        <f t="shared" si="289"/>
        <v/>
      </c>
      <c r="K9077" s="246" t="str">
        <f t="shared" si="288"/>
        <v/>
      </c>
    </row>
    <row r="9078" spans="6:11" x14ac:dyDescent="0.2">
      <c r="F9078" s="285" t="str">
        <f t="shared" si="289"/>
        <v/>
      </c>
      <c r="K9078" s="246" t="str">
        <f t="shared" si="288"/>
        <v/>
      </c>
    </row>
    <row r="9079" spans="6:11" x14ac:dyDescent="0.2">
      <c r="F9079" s="285" t="str">
        <f t="shared" si="289"/>
        <v/>
      </c>
      <c r="K9079" s="246" t="str">
        <f t="shared" si="288"/>
        <v/>
      </c>
    </row>
    <row r="9080" spans="6:11" x14ac:dyDescent="0.2">
      <c r="F9080" s="285" t="str">
        <f t="shared" si="289"/>
        <v/>
      </c>
      <c r="K9080" s="246" t="str">
        <f t="shared" si="288"/>
        <v/>
      </c>
    </row>
    <row r="9081" spans="6:11" x14ac:dyDescent="0.2">
      <c r="F9081" s="285" t="str">
        <f t="shared" si="289"/>
        <v/>
      </c>
      <c r="K9081" s="246" t="str">
        <f t="shared" si="288"/>
        <v/>
      </c>
    </row>
    <row r="9082" spans="6:11" x14ac:dyDescent="0.2">
      <c r="F9082" s="285" t="str">
        <f t="shared" si="289"/>
        <v/>
      </c>
      <c r="K9082" s="246" t="str">
        <f t="shared" si="288"/>
        <v/>
      </c>
    </row>
    <row r="9083" spans="6:11" x14ac:dyDescent="0.2">
      <c r="F9083" s="285" t="str">
        <f t="shared" si="289"/>
        <v/>
      </c>
      <c r="K9083" s="246" t="str">
        <f t="shared" ref="K9083:K9097" si="290">IF(A9083="","",A9083)</f>
        <v/>
      </c>
    </row>
    <row r="9084" spans="6:11" x14ac:dyDescent="0.2">
      <c r="F9084" s="285" t="str">
        <f t="shared" si="289"/>
        <v/>
      </c>
      <c r="K9084" s="246" t="str">
        <f t="shared" si="290"/>
        <v/>
      </c>
    </row>
    <row r="9085" spans="6:11" x14ac:dyDescent="0.2">
      <c r="F9085" s="285" t="str">
        <f t="shared" si="289"/>
        <v/>
      </c>
      <c r="K9085" s="246" t="str">
        <f t="shared" si="290"/>
        <v/>
      </c>
    </row>
    <row r="9086" spans="6:11" x14ac:dyDescent="0.2">
      <c r="F9086" s="285" t="str">
        <f t="shared" si="289"/>
        <v/>
      </c>
      <c r="K9086" s="246" t="str">
        <f t="shared" si="290"/>
        <v/>
      </c>
    </row>
    <row r="9087" spans="6:11" x14ac:dyDescent="0.2">
      <c r="F9087" s="285" t="str">
        <f t="shared" si="289"/>
        <v/>
      </c>
      <c r="K9087" s="246" t="str">
        <f t="shared" si="290"/>
        <v/>
      </c>
    </row>
    <row r="9088" spans="6:11" x14ac:dyDescent="0.2">
      <c r="F9088" s="285" t="str">
        <f t="shared" si="289"/>
        <v/>
      </c>
      <c r="K9088" s="246" t="str">
        <f t="shared" si="290"/>
        <v/>
      </c>
    </row>
    <row r="9089" spans="6:11" x14ac:dyDescent="0.2">
      <c r="F9089" s="285" t="str">
        <f t="shared" si="289"/>
        <v/>
      </c>
      <c r="K9089" s="246" t="str">
        <f t="shared" si="290"/>
        <v/>
      </c>
    </row>
    <row r="9090" spans="6:11" x14ac:dyDescent="0.2">
      <c r="F9090" s="285" t="str">
        <f t="shared" si="289"/>
        <v/>
      </c>
      <c r="K9090" s="246" t="str">
        <f t="shared" si="290"/>
        <v/>
      </c>
    </row>
    <row r="9091" spans="6:11" x14ac:dyDescent="0.2">
      <c r="F9091" s="285" t="str">
        <f t="shared" si="289"/>
        <v/>
      </c>
      <c r="K9091" s="246" t="str">
        <f t="shared" si="290"/>
        <v/>
      </c>
    </row>
    <row r="9092" spans="6:11" x14ac:dyDescent="0.2">
      <c r="F9092" s="285" t="str">
        <f t="shared" si="289"/>
        <v/>
      </c>
      <c r="K9092" s="246" t="str">
        <f t="shared" si="290"/>
        <v/>
      </c>
    </row>
    <row r="9093" spans="6:11" x14ac:dyDescent="0.2">
      <c r="F9093" s="285" t="str">
        <f t="shared" ref="F9093:F9156" si="291">IF(A9093="","",A9093)</f>
        <v/>
      </c>
      <c r="K9093" s="246" t="str">
        <f t="shared" si="290"/>
        <v/>
      </c>
    </row>
    <row r="9094" spans="6:11" x14ac:dyDescent="0.2">
      <c r="F9094" s="285" t="str">
        <f t="shared" si="291"/>
        <v/>
      </c>
      <c r="K9094" s="246" t="str">
        <f t="shared" si="290"/>
        <v/>
      </c>
    </row>
    <row r="9095" spans="6:11" x14ac:dyDescent="0.2">
      <c r="F9095" s="285" t="str">
        <f t="shared" si="291"/>
        <v/>
      </c>
      <c r="K9095" s="246" t="str">
        <f t="shared" si="290"/>
        <v/>
      </c>
    </row>
    <row r="9096" spans="6:11" x14ac:dyDescent="0.2">
      <c r="F9096" s="285" t="str">
        <f t="shared" si="291"/>
        <v/>
      </c>
      <c r="K9096" s="246" t="str">
        <f t="shared" si="290"/>
        <v/>
      </c>
    </row>
    <row r="9097" spans="6:11" x14ac:dyDescent="0.2">
      <c r="F9097" s="285" t="str">
        <f t="shared" si="291"/>
        <v/>
      </c>
      <c r="K9097" s="246" t="str">
        <f t="shared" si="290"/>
        <v/>
      </c>
    </row>
    <row r="9098" spans="6:11" x14ac:dyDescent="0.2">
      <c r="F9098" s="285" t="str">
        <f t="shared" si="291"/>
        <v/>
      </c>
    </row>
    <row r="9099" spans="6:11" x14ac:dyDescent="0.2">
      <c r="F9099" s="285" t="str">
        <f t="shared" si="291"/>
        <v/>
      </c>
    </row>
    <row r="9100" spans="6:11" x14ac:dyDescent="0.2">
      <c r="F9100" s="285" t="str">
        <f t="shared" si="291"/>
        <v/>
      </c>
    </row>
    <row r="9101" spans="6:11" x14ac:dyDescent="0.2">
      <c r="F9101" s="285" t="str">
        <f t="shared" si="291"/>
        <v/>
      </c>
    </row>
    <row r="9102" spans="6:11" x14ac:dyDescent="0.2">
      <c r="F9102" s="285" t="str">
        <f t="shared" si="291"/>
        <v/>
      </c>
    </row>
    <row r="9103" spans="6:11" x14ac:dyDescent="0.2">
      <c r="F9103" s="285" t="str">
        <f t="shared" si="291"/>
        <v/>
      </c>
    </row>
    <row r="9104" spans="6:11" x14ac:dyDescent="0.2">
      <c r="F9104" s="285" t="str">
        <f t="shared" si="291"/>
        <v/>
      </c>
    </row>
    <row r="9105" spans="6:6" x14ac:dyDescent="0.2">
      <c r="F9105" s="285" t="str">
        <f t="shared" si="291"/>
        <v/>
      </c>
    </row>
    <row r="9106" spans="6:6" x14ac:dyDescent="0.2">
      <c r="F9106" s="285" t="str">
        <f t="shared" si="291"/>
        <v/>
      </c>
    </row>
    <row r="9107" spans="6:6" x14ac:dyDescent="0.2">
      <c r="F9107" s="285" t="str">
        <f t="shared" si="291"/>
        <v/>
      </c>
    </row>
    <row r="9108" spans="6:6" x14ac:dyDescent="0.2">
      <c r="F9108" s="285" t="str">
        <f t="shared" si="291"/>
        <v/>
      </c>
    </row>
    <row r="9109" spans="6:6" x14ac:dyDescent="0.2">
      <c r="F9109" s="285" t="str">
        <f t="shared" si="291"/>
        <v/>
      </c>
    </row>
    <row r="9110" spans="6:6" x14ac:dyDescent="0.2">
      <c r="F9110" s="285" t="str">
        <f t="shared" si="291"/>
        <v/>
      </c>
    </row>
    <row r="9111" spans="6:6" x14ac:dyDescent="0.2">
      <c r="F9111" s="285" t="str">
        <f t="shared" si="291"/>
        <v/>
      </c>
    </row>
    <row r="9112" spans="6:6" x14ac:dyDescent="0.2">
      <c r="F9112" s="285" t="str">
        <f t="shared" si="291"/>
        <v/>
      </c>
    </row>
    <row r="9113" spans="6:6" x14ac:dyDescent="0.2">
      <c r="F9113" s="285" t="str">
        <f t="shared" si="291"/>
        <v/>
      </c>
    </row>
    <row r="9114" spans="6:6" x14ac:dyDescent="0.2">
      <c r="F9114" s="285" t="str">
        <f t="shared" si="291"/>
        <v/>
      </c>
    </row>
    <row r="9115" spans="6:6" x14ac:dyDescent="0.2">
      <c r="F9115" s="285" t="str">
        <f t="shared" si="291"/>
        <v/>
      </c>
    </row>
    <row r="9116" spans="6:6" x14ac:dyDescent="0.2">
      <c r="F9116" s="285" t="str">
        <f t="shared" si="291"/>
        <v/>
      </c>
    </row>
    <row r="9117" spans="6:6" x14ac:dyDescent="0.2">
      <c r="F9117" s="285" t="str">
        <f t="shared" si="291"/>
        <v/>
      </c>
    </row>
    <row r="9118" spans="6:6" x14ac:dyDescent="0.2">
      <c r="F9118" s="285" t="str">
        <f t="shared" si="291"/>
        <v/>
      </c>
    </row>
    <row r="9119" spans="6:6" x14ac:dyDescent="0.2">
      <c r="F9119" s="285" t="str">
        <f t="shared" si="291"/>
        <v/>
      </c>
    </row>
    <row r="9120" spans="6:6" x14ac:dyDescent="0.2">
      <c r="F9120" s="285" t="str">
        <f t="shared" si="291"/>
        <v/>
      </c>
    </row>
    <row r="9121" spans="6:6" x14ac:dyDescent="0.2">
      <c r="F9121" s="285" t="str">
        <f t="shared" si="291"/>
        <v/>
      </c>
    </row>
    <row r="9122" spans="6:6" x14ac:dyDescent="0.2">
      <c r="F9122" s="285" t="str">
        <f t="shared" si="291"/>
        <v/>
      </c>
    </row>
    <row r="9123" spans="6:6" x14ac:dyDescent="0.2">
      <c r="F9123" s="285" t="str">
        <f t="shared" si="291"/>
        <v/>
      </c>
    </row>
    <row r="9124" spans="6:6" x14ac:dyDescent="0.2">
      <c r="F9124" s="285" t="str">
        <f t="shared" si="291"/>
        <v/>
      </c>
    </row>
    <row r="9125" spans="6:6" x14ac:dyDescent="0.2">
      <c r="F9125" s="285" t="str">
        <f t="shared" si="291"/>
        <v/>
      </c>
    </row>
    <row r="9126" spans="6:6" x14ac:dyDescent="0.2">
      <c r="F9126" s="285" t="str">
        <f t="shared" si="291"/>
        <v/>
      </c>
    </row>
    <row r="9127" spans="6:6" x14ac:dyDescent="0.2">
      <c r="F9127" s="285" t="str">
        <f t="shared" si="291"/>
        <v/>
      </c>
    </row>
    <row r="9128" spans="6:6" x14ac:dyDescent="0.2">
      <c r="F9128" s="285" t="str">
        <f t="shared" si="291"/>
        <v/>
      </c>
    </row>
    <row r="9129" spans="6:6" x14ac:dyDescent="0.2">
      <c r="F9129" s="285" t="str">
        <f t="shared" si="291"/>
        <v/>
      </c>
    </row>
    <row r="9130" spans="6:6" x14ac:dyDescent="0.2">
      <c r="F9130" s="285" t="str">
        <f t="shared" si="291"/>
        <v/>
      </c>
    </row>
    <row r="9131" spans="6:6" x14ac:dyDescent="0.2">
      <c r="F9131" s="285" t="str">
        <f t="shared" si="291"/>
        <v/>
      </c>
    </row>
    <row r="9132" spans="6:6" x14ac:dyDescent="0.2">
      <c r="F9132" s="285" t="str">
        <f t="shared" si="291"/>
        <v/>
      </c>
    </row>
    <row r="9133" spans="6:6" x14ac:dyDescent="0.2">
      <c r="F9133" s="285" t="str">
        <f t="shared" si="291"/>
        <v/>
      </c>
    </row>
    <row r="9134" spans="6:6" x14ac:dyDescent="0.2">
      <c r="F9134" s="285" t="str">
        <f t="shared" si="291"/>
        <v/>
      </c>
    </row>
    <row r="9135" spans="6:6" x14ac:dyDescent="0.2">
      <c r="F9135" s="285" t="str">
        <f t="shared" si="291"/>
        <v/>
      </c>
    </row>
    <row r="9136" spans="6:6" x14ac:dyDescent="0.2">
      <c r="F9136" s="285" t="str">
        <f t="shared" si="291"/>
        <v/>
      </c>
    </row>
    <row r="9137" spans="6:6" x14ac:dyDescent="0.2">
      <c r="F9137" s="285" t="str">
        <f t="shared" si="291"/>
        <v/>
      </c>
    </row>
    <row r="9138" spans="6:6" x14ac:dyDescent="0.2">
      <c r="F9138" s="285" t="str">
        <f t="shared" si="291"/>
        <v/>
      </c>
    </row>
    <row r="9139" spans="6:6" x14ac:dyDescent="0.2">
      <c r="F9139" s="285" t="str">
        <f t="shared" si="291"/>
        <v/>
      </c>
    </row>
    <row r="9140" spans="6:6" x14ac:dyDescent="0.2">
      <c r="F9140" s="285" t="str">
        <f t="shared" si="291"/>
        <v/>
      </c>
    </row>
    <row r="9141" spans="6:6" x14ac:dyDescent="0.2">
      <c r="F9141" s="285" t="str">
        <f t="shared" si="291"/>
        <v/>
      </c>
    </row>
    <row r="9142" spans="6:6" x14ac:dyDescent="0.2">
      <c r="F9142" s="285" t="str">
        <f t="shared" si="291"/>
        <v/>
      </c>
    </row>
    <row r="9143" spans="6:6" x14ac:dyDescent="0.2">
      <c r="F9143" s="285" t="str">
        <f t="shared" si="291"/>
        <v/>
      </c>
    </row>
    <row r="9144" spans="6:6" x14ac:dyDescent="0.2">
      <c r="F9144" s="285" t="str">
        <f t="shared" si="291"/>
        <v/>
      </c>
    </row>
    <row r="9145" spans="6:6" x14ac:dyDescent="0.2">
      <c r="F9145" s="285" t="str">
        <f t="shared" si="291"/>
        <v/>
      </c>
    </row>
    <row r="9146" spans="6:6" x14ac:dyDescent="0.2">
      <c r="F9146" s="285" t="str">
        <f t="shared" si="291"/>
        <v/>
      </c>
    </row>
    <row r="9147" spans="6:6" x14ac:dyDescent="0.2">
      <c r="F9147" s="285" t="str">
        <f t="shared" si="291"/>
        <v/>
      </c>
    </row>
    <row r="9148" spans="6:6" x14ac:dyDescent="0.2">
      <c r="F9148" s="285" t="str">
        <f t="shared" si="291"/>
        <v/>
      </c>
    </row>
    <row r="9149" spans="6:6" x14ac:dyDescent="0.2">
      <c r="F9149" s="285" t="str">
        <f t="shared" si="291"/>
        <v/>
      </c>
    </row>
    <row r="9150" spans="6:6" x14ac:dyDescent="0.2">
      <c r="F9150" s="285" t="str">
        <f t="shared" si="291"/>
        <v/>
      </c>
    </row>
    <row r="9151" spans="6:6" x14ac:dyDescent="0.2">
      <c r="F9151" s="285" t="str">
        <f t="shared" si="291"/>
        <v/>
      </c>
    </row>
    <row r="9152" spans="6:6" x14ac:dyDescent="0.2">
      <c r="F9152" s="285" t="str">
        <f t="shared" si="291"/>
        <v/>
      </c>
    </row>
    <row r="9153" spans="6:6" x14ac:dyDescent="0.2">
      <c r="F9153" s="285" t="str">
        <f t="shared" si="291"/>
        <v/>
      </c>
    </row>
    <row r="9154" spans="6:6" x14ac:dyDescent="0.2">
      <c r="F9154" s="285" t="str">
        <f t="shared" si="291"/>
        <v/>
      </c>
    </row>
    <row r="9155" spans="6:6" x14ac:dyDescent="0.2">
      <c r="F9155" s="285" t="str">
        <f t="shared" si="291"/>
        <v/>
      </c>
    </row>
    <row r="9156" spans="6:6" x14ac:dyDescent="0.2">
      <c r="F9156" s="285" t="str">
        <f t="shared" si="291"/>
        <v/>
      </c>
    </row>
    <row r="9157" spans="6:6" x14ac:dyDescent="0.2">
      <c r="F9157" s="285" t="str">
        <f t="shared" ref="F9157:F9220" si="292">IF(A9157="","",A9157)</f>
        <v/>
      </c>
    </row>
    <row r="9158" spans="6:6" x14ac:dyDescent="0.2">
      <c r="F9158" s="285" t="str">
        <f t="shared" si="292"/>
        <v/>
      </c>
    </row>
    <row r="9159" spans="6:6" x14ac:dyDescent="0.2">
      <c r="F9159" s="285" t="str">
        <f t="shared" si="292"/>
        <v/>
      </c>
    </row>
    <row r="9160" spans="6:6" x14ac:dyDescent="0.2">
      <c r="F9160" s="285" t="str">
        <f t="shared" si="292"/>
        <v/>
      </c>
    </row>
    <row r="9161" spans="6:6" x14ac:dyDescent="0.2">
      <c r="F9161" s="285" t="str">
        <f t="shared" si="292"/>
        <v/>
      </c>
    </row>
    <row r="9162" spans="6:6" x14ac:dyDescent="0.2">
      <c r="F9162" s="285" t="str">
        <f t="shared" si="292"/>
        <v/>
      </c>
    </row>
    <row r="9163" spans="6:6" x14ac:dyDescent="0.2">
      <c r="F9163" s="285" t="str">
        <f t="shared" si="292"/>
        <v/>
      </c>
    </row>
    <row r="9164" spans="6:6" x14ac:dyDescent="0.2">
      <c r="F9164" s="285" t="str">
        <f t="shared" si="292"/>
        <v/>
      </c>
    </row>
    <row r="9165" spans="6:6" x14ac:dyDescent="0.2">
      <c r="F9165" s="285" t="str">
        <f t="shared" si="292"/>
        <v/>
      </c>
    </row>
    <row r="9166" spans="6:6" x14ac:dyDescent="0.2">
      <c r="F9166" s="285" t="str">
        <f t="shared" si="292"/>
        <v/>
      </c>
    </row>
    <row r="9167" spans="6:6" x14ac:dyDescent="0.2">
      <c r="F9167" s="285" t="str">
        <f t="shared" si="292"/>
        <v/>
      </c>
    </row>
    <row r="9168" spans="6:6" x14ac:dyDescent="0.2">
      <c r="F9168" s="285" t="str">
        <f t="shared" si="292"/>
        <v/>
      </c>
    </row>
    <row r="9169" spans="6:6" x14ac:dyDescent="0.2">
      <c r="F9169" s="285" t="str">
        <f t="shared" si="292"/>
        <v/>
      </c>
    </row>
    <row r="9170" spans="6:6" x14ac:dyDescent="0.2">
      <c r="F9170" s="285" t="str">
        <f t="shared" si="292"/>
        <v/>
      </c>
    </row>
    <row r="9171" spans="6:6" x14ac:dyDescent="0.2">
      <c r="F9171" s="285" t="str">
        <f t="shared" si="292"/>
        <v/>
      </c>
    </row>
    <row r="9172" spans="6:6" x14ac:dyDescent="0.2">
      <c r="F9172" s="285" t="str">
        <f t="shared" si="292"/>
        <v/>
      </c>
    </row>
    <row r="9173" spans="6:6" x14ac:dyDescent="0.2">
      <c r="F9173" s="285" t="str">
        <f t="shared" si="292"/>
        <v/>
      </c>
    </row>
    <row r="9174" spans="6:6" x14ac:dyDescent="0.2">
      <c r="F9174" s="285" t="str">
        <f t="shared" si="292"/>
        <v/>
      </c>
    </row>
    <row r="9175" spans="6:6" x14ac:dyDescent="0.2">
      <c r="F9175" s="285" t="str">
        <f t="shared" si="292"/>
        <v/>
      </c>
    </row>
    <row r="9176" spans="6:6" x14ac:dyDescent="0.2">
      <c r="F9176" s="285" t="str">
        <f t="shared" si="292"/>
        <v/>
      </c>
    </row>
    <row r="9177" spans="6:6" x14ac:dyDescent="0.2">
      <c r="F9177" s="285" t="str">
        <f t="shared" si="292"/>
        <v/>
      </c>
    </row>
    <row r="9178" spans="6:6" x14ac:dyDescent="0.2">
      <c r="F9178" s="285" t="str">
        <f t="shared" si="292"/>
        <v/>
      </c>
    </row>
    <row r="9179" spans="6:6" x14ac:dyDescent="0.2">
      <c r="F9179" s="285" t="str">
        <f t="shared" si="292"/>
        <v/>
      </c>
    </row>
    <row r="9180" spans="6:6" x14ac:dyDescent="0.2">
      <c r="F9180" s="285" t="str">
        <f t="shared" si="292"/>
        <v/>
      </c>
    </row>
    <row r="9181" spans="6:6" x14ac:dyDescent="0.2">
      <c r="F9181" s="285" t="str">
        <f t="shared" si="292"/>
        <v/>
      </c>
    </row>
    <row r="9182" spans="6:6" x14ac:dyDescent="0.2">
      <c r="F9182" s="285" t="str">
        <f t="shared" si="292"/>
        <v/>
      </c>
    </row>
    <row r="9183" spans="6:6" x14ac:dyDescent="0.2">
      <c r="F9183" s="285" t="str">
        <f t="shared" si="292"/>
        <v/>
      </c>
    </row>
    <row r="9184" spans="6:6" x14ac:dyDescent="0.2">
      <c r="F9184" s="285" t="str">
        <f t="shared" si="292"/>
        <v/>
      </c>
    </row>
    <row r="9185" spans="6:6" x14ac:dyDescent="0.2">
      <c r="F9185" s="285" t="str">
        <f t="shared" si="292"/>
        <v/>
      </c>
    </row>
    <row r="9186" spans="6:6" x14ac:dyDescent="0.2">
      <c r="F9186" s="285" t="str">
        <f t="shared" si="292"/>
        <v/>
      </c>
    </row>
    <row r="9187" spans="6:6" x14ac:dyDescent="0.2">
      <c r="F9187" s="285" t="str">
        <f t="shared" si="292"/>
        <v/>
      </c>
    </row>
    <row r="9188" spans="6:6" x14ac:dyDescent="0.2">
      <c r="F9188" s="285" t="str">
        <f t="shared" si="292"/>
        <v/>
      </c>
    </row>
    <row r="9189" spans="6:6" x14ac:dyDescent="0.2">
      <c r="F9189" s="285" t="str">
        <f t="shared" si="292"/>
        <v/>
      </c>
    </row>
    <row r="9190" spans="6:6" x14ac:dyDescent="0.2">
      <c r="F9190" s="285" t="str">
        <f t="shared" si="292"/>
        <v/>
      </c>
    </row>
    <row r="9191" spans="6:6" x14ac:dyDescent="0.2">
      <c r="F9191" s="285" t="str">
        <f t="shared" si="292"/>
        <v/>
      </c>
    </row>
    <row r="9192" spans="6:6" x14ac:dyDescent="0.2">
      <c r="F9192" s="285" t="str">
        <f t="shared" si="292"/>
        <v/>
      </c>
    </row>
    <row r="9193" spans="6:6" x14ac:dyDescent="0.2">
      <c r="F9193" s="285" t="str">
        <f t="shared" si="292"/>
        <v/>
      </c>
    </row>
    <row r="9194" spans="6:6" x14ac:dyDescent="0.2">
      <c r="F9194" s="285" t="str">
        <f t="shared" si="292"/>
        <v/>
      </c>
    </row>
    <row r="9195" spans="6:6" x14ac:dyDescent="0.2">
      <c r="F9195" s="285" t="str">
        <f t="shared" si="292"/>
        <v/>
      </c>
    </row>
    <row r="9196" spans="6:6" x14ac:dyDescent="0.2">
      <c r="F9196" s="285" t="str">
        <f t="shared" si="292"/>
        <v/>
      </c>
    </row>
    <row r="9197" spans="6:6" x14ac:dyDescent="0.2">
      <c r="F9197" s="285" t="str">
        <f t="shared" si="292"/>
        <v/>
      </c>
    </row>
    <row r="9198" spans="6:6" x14ac:dyDescent="0.2">
      <c r="F9198" s="285" t="str">
        <f t="shared" si="292"/>
        <v/>
      </c>
    </row>
    <row r="9199" spans="6:6" x14ac:dyDescent="0.2">
      <c r="F9199" s="285" t="str">
        <f t="shared" si="292"/>
        <v/>
      </c>
    </row>
    <row r="9200" spans="6:6" x14ac:dyDescent="0.2">
      <c r="F9200" s="285" t="str">
        <f t="shared" si="292"/>
        <v/>
      </c>
    </row>
    <row r="9201" spans="6:6" x14ac:dyDescent="0.2">
      <c r="F9201" s="285" t="str">
        <f t="shared" si="292"/>
        <v/>
      </c>
    </row>
    <row r="9202" spans="6:6" x14ac:dyDescent="0.2">
      <c r="F9202" s="285" t="str">
        <f t="shared" si="292"/>
        <v/>
      </c>
    </row>
    <row r="9203" spans="6:6" x14ac:dyDescent="0.2">
      <c r="F9203" s="285" t="str">
        <f t="shared" si="292"/>
        <v/>
      </c>
    </row>
    <row r="9204" spans="6:6" x14ac:dyDescent="0.2">
      <c r="F9204" s="285" t="str">
        <f t="shared" si="292"/>
        <v/>
      </c>
    </row>
    <row r="9205" spans="6:6" x14ac:dyDescent="0.2">
      <c r="F9205" s="285" t="str">
        <f t="shared" si="292"/>
        <v/>
      </c>
    </row>
    <row r="9206" spans="6:6" x14ac:dyDescent="0.2">
      <c r="F9206" s="285" t="str">
        <f t="shared" si="292"/>
        <v/>
      </c>
    </row>
    <row r="9207" spans="6:6" x14ac:dyDescent="0.2">
      <c r="F9207" s="285" t="str">
        <f t="shared" si="292"/>
        <v/>
      </c>
    </row>
    <row r="9208" spans="6:6" x14ac:dyDescent="0.2">
      <c r="F9208" s="285" t="str">
        <f t="shared" si="292"/>
        <v/>
      </c>
    </row>
    <row r="9209" spans="6:6" x14ac:dyDescent="0.2">
      <c r="F9209" s="285" t="str">
        <f t="shared" si="292"/>
        <v/>
      </c>
    </row>
    <row r="9210" spans="6:6" x14ac:dyDescent="0.2">
      <c r="F9210" s="285" t="str">
        <f t="shared" si="292"/>
        <v/>
      </c>
    </row>
    <row r="9211" spans="6:6" x14ac:dyDescent="0.2">
      <c r="F9211" s="285" t="str">
        <f t="shared" si="292"/>
        <v/>
      </c>
    </row>
    <row r="9212" spans="6:6" x14ac:dyDescent="0.2">
      <c r="F9212" s="285" t="str">
        <f t="shared" si="292"/>
        <v/>
      </c>
    </row>
    <row r="9213" spans="6:6" x14ac:dyDescent="0.2">
      <c r="F9213" s="285" t="str">
        <f t="shared" si="292"/>
        <v/>
      </c>
    </row>
    <row r="9214" spans="6:6" x14ac:dyDescent="0.2">
      <c r="F9214" s="285" t="str">
        <f t="shared" si="292"/>
        <v/>
      </c>
    </row>
    <row r="9215" spans="6:6" x14ac:dyDescent="0.2">
      <c r="F9215" s="285" t="str">
        <f t="shared" si="292"/>
        <v/>
      </c>
    </row>
    <row r="9216" spans="6:6" x14ac:dyDescent="0.2">
      <c r="F9216" s="285" t="str">
        <f t="shared" si="292"/>
        <v/>
      </c>
    </row>
    <row r="9217" spans="6:6" x14ac:dyDescent="0.2">
      <c r="F9217" s="285" t="str">
        <f t="shared" si="292"/>
        <v/>
      </c>
    </row>
    <row r="9218" spans="6:6" x14ac:dyDescent="0.2">
      <c r="F9218" s="285" t="str">
        <f t="shared" si="292"/>
        <v/>
      </c>
    </row>
    <row r="9219" spans="6:6" x14ac:dyDescent="0.2">
      <c r="F9219" s="285" t="str">
        <f t="shared" si="292"/>
        <v/>
      </c>
    </row>
    <row r="9220" spans="6:6" x14ac:dyDescent="0.2">
      <c r="F9220" s="285" t="str">
        <f t="shared" si="292"/>
        <v/>
      </c>
    </row>
    <row r="9221" spans="6:6" x14ac:dyDescent="0.2">
      <c r="F9221" s="285" t="str">
        <f t="shared" ref="F9221:F9284" si="293">IF(A9221="","",A9221)</f>
        <v/>
      </c>
    </row>
    <row r="9222" spans="6:6" x14ac:dyDescent="0.2">
      <c r="F9222" s="285" t="str">
        <f t="shared" si="293"/>
        <v/>
      </c>
    </row>
    <row r="9223" spans="6:6" x14ac:dyDescent="0.2">
      <c r="F9223" s="285" t="str">
        <f t="shared" si="293"/>
        <v/>
      </c>
    </row>
    <row r="9224" spans="6:6" x14ac:dyDescent="0.2">
      <c r="F9224" s="285" t="str">
        <f t="shared" si="293"/>
        <v/>
      </c>
    </row>
    <row r="9225" spans="6:6" x14ac:dyDescent="0.2">
      <c r="F9225" s="285" t="str">
        <f t="shared" si="293"/>
        <v/>
      </c>
    </row>
    <row r="9226" spans="6:6" x14ac:dyDescent="0.2">
      <c r="F9226" s="285" t="str">
        <f t="shared" si="293"/>
        <v/>
      </c>
    </row>
    <row r="9227" spans="6:6" x14ac:dyDescent="0.2">
      <c r="F9227" s="285" t="str">
        <f t="shared" si="293"/>
        <v/>
      </c>
    </row>
    <row r="9228" spans="6:6" x14ac:dyDescent="0.2">
      <c r="F9228" s="285" t="str">
        <f t="shared" si="293"/>
        <v/>
      </c>
    </row>
    <row r="9229" spans="6:6" x14ac:dyDescent="0.2">
      <c r="F9229" s="285" t="str">
        <f t="shared" si="293"/>
        <v/>
      </c>
    </row>
    <row r="9230" spans="6:6" x14ac:dyDescent="0.2">
      <c r="F9230" s="285" t="str">
        <f t="shared" si="293"/>
        <v/>
      </c>
    </row>
    <row r="9231" spans="6:6" x14ac:dyDescent="0.2">
      <c r="F9231" s="285" t="str">
        <f t="shared" si="293"/>
        <v/>
      </c>
    </row>
    <row r="9232" spans="6:6" x14ac:dyDescent="0.2">
      <c r="F9232" s="285" t="str">
        <f t="shared" si="293"/>
        <v/>
      </c>
    </row>
    <row r="9233" spans="6:6" x14ac:dyDescent="0.2">
      <c r="F9233" s="285" t="str">
        <f t="shared" si="293"/>
        <v/>
      </c>
    </row>
    <row r="9234" spans="6:6" x14ac:dyDescent="0.2">
      <c r="F9234" s="285" t="str">
        <f t="shared" si="293"/>
        <v/>
      </c>
    </row>
    <row r="9235" spans="6:6" x14ac:dyDescent="0.2">
      <c r="F9235" s="285" t="str">
        <f t="shared" si="293"/>
        <v/>
      </c>
    </row>
    <row r="9236" spans="6:6" x14ac:dyDescent="0.2">
      <c r="F9236" s="285" t="str">
        <f t="shared" si="293"/>
        <v/>
      </c>
    </row>
    <row r="9237" spans="6:6" x14ac:dyDescent="0.2">
      <c r="F9237" s="285" t="str">
        <f t="shared" si="293"/>
        <v/>
      </c>
    </row>
    <row r="9238" spans="6:6" x14ac:dyDescent="0.2">
      <c r="F9238" s="285" t="str">
        <f t="shared" si="293"/>
        <v/>
      </c>
    </row>
    <row r="9239" spans="6:6" x14ac:dyDescent="0.2">
      <c r="F9239" s="285" t="str">
        <f t="shared" si="293"/>
        <v/>
      </c>
    </row>
    <row r="9240" spans="6:6" x14ac:dyDescent="0.2">
      <c r="F9240" s="285" t="str">
        <f t="shared" si="293"/>
        <v/>
      </c>
    </row>
    <row r="9241" spans="6:6" x14ac:dyDescent="0.2">
      <c r="F9241" s="285" t="str">
        <f t="shared" si="293"/>
        <v/>
      </c>
    </row>
    <row r="9242" spans="6:6" x14ac:dyDescent="0.2">
      <c r="F9242" s="285" t="str">
        <f t="shared" si="293"/>
        <v/>
      </c>
    </row>
    <row r="9243" spans="6:6" x14ac:dyDescent="0.2">
      <c r="F9243" s="285" t="str">
        <f t="shared" si="293"/>
        <v/>
      </c>
    </row>
    <row r="9244" spans="6:6" x14ac:dyDescent="0.2">
      <c r="F9244" s="285" t="str">
        <f t="shared" si="293"/>
        <v/>
      </c>
    </row>
    <row r="9245" spans="6:6" x14ac:dyDescent="0.2">
      <c r="F9245" s="285" t="str">
        <f t="shared" si="293"/>
        <v/>
      </c>
    </row>
    <row r="9246" spans="6:6" x14ac:dyDescent="0.2">
      <c r="F9246" s="285" t="str">
        <f t="shared" si="293"/>
        <v/>
      </c>
    </row>
    <row r="9247" spans="6:6" x14ac:dyDescent="0.2">
      <c r="F9247" s="285" t="str">
        <f t="shared" si="293"/>
        <v/>
      </c>
    </row>
    <row r="9248" spans="6:6" x14ac:dyDescent="0.2">
      <c r="F9248" s="285" t="str">
        <f t="shared" si="293"/>
        <v/>
      </c>
    </row>
    <row r="9249" spans="6:6" x14ac:dyDescent="0.2">
      <c r="F9249" s="285" t="str">
        <f t="shared" si="293"/>
        <v/>
      </c>
    </row>
    <row r="9250" spans="6:6" x14ac:dyDescent="0.2">
      <c r="F9250" s="285" t="str">
        <f t="shared" si="293"/>
        <v/>
      </c>
    </row>
    <row r="9251" spans="6:6" x14ac:dyDescent="0.2">
      <c r="F9251" s="285" t="str">
        <f t="shared" si="293"/>
        <v/>
      </c>
    </row>
    <row r="9252" spans="6:6" x14ac:dyDescent="0.2">
      <c r="F9252" s="285" t="str">
        <f t="shared" si="293"/>
        <v/>
      </c>
    </row>
    <row r="9253" spans="6:6" x14ac:dyDescent="0.2">
      <c r="F9253" s="285" t="str">
        <f t="shared" si="293"/>
        <v/>
      </c>
    </row>
    <row r="9254" spans="6:6" x14ac:dyDescent="0.2">
      <c r="F9254" s="285" t="str">
        <f t="shared" si="293"/>
        <v/>
      </c>
    </row>
    <row r="9255" spans="6:6" x14ac:dyDescent="0.2">
      <c r="F9255" s="285" t="str">
        <f t="shared" si="293"/>
        <v/>
      </c>
    </row>
    <row r="9256" spans="6:6" x14ac:dyDescent="0.2">
      <c r="F9256" s="285" t="str">
        <f t="shared" si="293"/>
        <v/>
      </c>
    </row>
    <row r="9257" spans="6:6" x14ac:dyDescent="0.2">
      <c r="F9257" s="285" t="str">
        <f t="shared" si="293"/>
        <v/>
      </c>
    </row>
    <row r="9258" spans="6:6" x14ac:dyDescent="0.2">
      <c r="F9258" s="285" t="str">
        <f t="shared" si="293"/>
        <v/>
      </c>
    </row>
    <row r="9259" spans="6:6" x14ac:dyDescent="0.2">
      <c r="F9259" s="285" t="str">
        <f t="shared" si="293"/>
        <v/>
      </c>
    </row>
    <row r="9260" spans="6:6" x14ac:dyDescent="0.2">
      <c r="F9260" s="285" t="str">
        <f t="shared" si="293"/>
        <v/>
      </c>
    </row>
    <row r="9261" spans="6:6" x14ac:dyDescent="0.2">
      <c r="F9261" s="285" t="str">
        <f t="shared" si="293"/>
        <v/>
      </c>
    </row>
    <row r="9262" spans="6:6" x14ac:dyDescent="0.2">
      <c r="F9262" s="285" t="str">
        <f t="shared" si="293"/>
        <v/>
      </c>
    </row>
    <row r="9263" spans="6:6" x14ac:dyDescent="0.2">
      <c r="F9263" s="285" t="str">
        <f t="shared" si="293"/>
        <v/>
      </c>
    </row>
    <row r="9264" spans="6:6" x14ac:dyDescent="0.2">
      <c r="F9264" s="285" t="str">
        <f t="shared" si="293"/>
        <v/>
      </c>
    </row>
    <row r="9265" spans="6:6" x14ac:dyDescent="0.2">
      <c r="F9265" s="285" t="str">
        <f t="shared" si="293"/>
        <v/>
      </c>
    </row>
    <row r="9266" spans="6:6" x14ac:dyDescent="0.2">
      <c r="F9266" s="285" t="str">
        <f t="shared" si="293"/>
        <v/>
      </c>
    </row>
    <row r="9267" spans="6:6" x14ac:dyDescent="0.2">
      <c r="F9267" s="285" t="str">
        <f t="shared" si="293"/>
        <v/>
      </c>
    </row>
    <row r="9268" spans="6:6" x14ac:dyDescent="0.2">
      <c r="F9268" s="285" t="str">
        <f t="shared" si="293"/>
        <v/>
      </c>
    </row>
    <row r="9269" spans="6:6" x14ac:dyDescent="0.2">
      <c r="F9269" s="285" t="str">
        <f t="shared" si="293"/>
        <v/>
      </c>
    </row>
    <row r="9270" spans="6:6" x14ac:dyDescent="0.2">
      <c r="F9270" s="285" t="str">
        <f t="shared" si="293"/>
        <v/>
      </c>
    </row>
    <row r="9271" spans="6:6" x14ac:dyDescent="0.2">
      <c r="F9271" s="285" t="str">
        <f t="shared" si="293"/>
        <v/>
      </c>
    </row>
    <row r="9272" spans="6:6" x14ac:dyDescent="0.2">
      <c r="F9272" s="285" t="str">
        <f t="shared" si="293"/>
        <v/>
      </c>
    </row>
    <row r="9273" spans="6:6" x14ac:dyDescent="0.2">
      <c r="F9273" s="285" t="str">
        <f t="shared" si="293"/>
        <v/>
      </c>
    </row>
    <row r="9274" spans="6:6" x14ac:dyDescent="0.2">
      <c r="F9274" s="285" t="str">
        <f t="shared" si="293"/>
        <v/>
      </c>
    </row>
    <row r="9275" spans="6:6" x14ac:dyDescent="0.2">
      <c r="F9275" s="285" t="str">
        <f t="shared" si="293"/>
        <v/>
      </c>
    </row>
    <row r="9276" spans="6:6" x14ac:dyDescent="0.2">
      <c r="F9276" s="285" t="str">
        <f t="shared" si="293"/>
        <v/>
      </c>
    </row>
    <row r="9277" spans="6:6" x14ac:dyDescent="0.2">
      <c r="F9277" s="285" t="str">
        <f t="shared" si="293"/>
        <v/>
      </c>
    </row>
    <row r="9278" spans="6:6" x14ac:dyDescent="0.2">
      <c r="F9278" s="285" t="str">
        <f t="shared" si="293"/>
        <v/>
      </c>
    </row>
    <row r="9279" spans="6:6" x14ac:dyDescent="0.2">
      <c r="F9279" s="285" t="str">
        <f t="shared" si="293"/>
        <v/>
      </c>
    </row>
    <row r="9280" spans="6:6" x14ac:dyDescent="0.2">
      <c r="F9280" s="285" t="str">
        <f t="shared" si="293"/>
        <v/>
      </c>
    </row>
    <row r="9281" spans="6:6" x14ac:dyDescent="0.2">
      <c r="F9281" s="285" t="str">
        <f t="shared" si="293"/>
        <v/>
      </c>
    </row>
    <row r="9282" spans="6:6" x14ac:dyDescent="0.2">
      <c r="F9282" s="285" t="str">
        <f t="shared" si="293"/>
        <v/>
      </c>
    </row>
    <row r="9283" spans="6:6" x14ac:dyDescent="0.2">
      <c r="F9283" s="285" t="str">
        <f t="shared" si="293"/>
        <v/>
      </c>
    </row>
    <row r="9284" spans="6:6" x14ac:dyDescent="0.2">
      <c r="F9284" s="285" t="str">
        <f t="shared" si="293"/>
        <v/>
      </c>
    </row>
    <row r="9285" spans="6:6" x14ac:dyDescent="0.2">
      <c r="F9285" s="285" t="str">
        <f t="shared" ref="F9285:F9348" si="294">IF(A9285="","",A9285)</f>
        <v/>
      </c>
    </row>
    <row r="9286" spans="6:6" x14ac:dyDescent="0.2">
      <c r="F9286" s="285" t="str">
        <f t="shared" si="294"/>
        <v/>
      </c>
    </row>
    <row r="9287" spans="6:6" x14ac:dyDescent="0.2">
      <c r="F9287" s="285" t="str">
        <f t="shared" si="294"/>
        <v/>
      </c>
    </row>
    <row r="9288" spans="6:6" x14ac:dyDescent="0.2">
      <c r="F9288" s="285" t="str">
        <f t="shared" si="294"/>
        <v/>
      </c>
    </row>
    <row r="9289" spans="6:6" x14ac:dyDescent="0.2">
      <c r="F9289" s="285" t="str">
        <f t="shared" si="294"/>
        <v/>
      </c>
    </row>
    <row r="9290" spans="6:6" x14ac:dyDescent="0.2">
      <c r="F9290" s="285" t="str">
        <f t="shared" si="294"/>
        <v/>
      </c>
    </row>
    <row r="9291" spans="6:6" x14ac:dyDescent="0.2">
      <c r="F9291" s="285" t="str">
        <f t="shared" si="294"/>
        <v/>
      </c>
    </row>
    <row r="9292" spans="6:6" x14ac:dyDescent="0.2">
      <c r="F9292" s="285" t="str">
        <f t="shared" si="294"/>
        <v/>
      </c>
    </row>
    <row r="9293" spans="6:6" x14ac:dyDescent="0.2">
      <c r="F9293" s="285" t="str">
        <f t="shared" si="294"/>
        <v/>
      </c>
    </row>
    <row r="9294" spans="6:6" x14ac:dyDescent="0.2">
      <c r="F9294" s="285" t="str">
        <f t="shared" si="294"/>
        <v/>
      </c>
    </row>
    <row r="9295" spans="6:6" x14ac:dyDescent="0.2">
      <c r="F9295" s="285" t="str">
        <f t="shared" si="294"/>
        <v/>
      </c>
    </row>
    <row r="9296" spans="6:6" x14ac:dyDescent="0.2">
      <c r="F9296" s="285" t="str">
        <f t="shared" si="294"/>
        <v/>
      </c>
    </row>
    <row r="9297" spans="6:6" x14ac:dyDescent="0.2">
      <c r="F9297" s="285" t="str">
        <f t="shared" si="294"/>
        <v/>
      </c>
    </row>
    <row r="9298" spans="6:6" x14ac:dyDescent="0.2">
      <c r="F9298" s="285" t="str">
        <f t="shared" si="294"/>
        <v/>
      </c>
    </row>
    <row r="9299" spans="6:6" x14ac:dyDescent="0.2">
      <c r="F9299" s="285" t="str">
        <f t="shared" si="294"/>
        <v/>
      </c>
    </row>
    <row r="9300" spans="6:6" x14ac:dyDescent="0.2">
      <c r="F9300" s="285" t="str">
        <f t="shared" si="294"/>
        <v/>
      </c>
    </row>
    <row r="9301" spans="6:6" x14ac:dyDescent="0.2">
      <c r="F9301" s="285" t="str">
        <f t="shared" si="294"/>
        <v/>
      </c>
    </row>
    <row r="9302" spans="6:6" x14ac:dyDescent="0.2">
      <c r="F9302" s="285" t="str">
        <f t="shared" si="294"/>
        <v/>
      </c>
    </row>
    <row r="9303" spans="6:6" x14ac:dyDescent="0.2">
      <c r="F9303" s="285" t="str">
        <f t="shared" si="294"/>
        <v/>
      </c>
    </row>
    <row r="9304" spans="6:6" x14ac:dyDescent="0.2">
      <c r="F9304" s="285" t="str">
        <f t="shared" si="294"/>
        <v/>
      </c>
    </row>
    <row r="9305" spans="6:6" x14ac:dyDescent="0.2">
      <c r="F9305" s="285" t="str">
        <f t="shared" si="294"/>
        <v/>
      </c>
    </row>
    <row r="9306" spans="6:6" x14ac:dyDescent="0.2">
      <c r="F9306" s="285" t="str">
        <f t="shared" si="294"/>
        <v/>
      </c>
    </row>
    <row r="9307" spans="6:6" x14ac:dyDescent="0.2">
      <c r="F9307" s="285" t="str">
        <f t="shared" si="294"/>
        <v/>
      </c>
    </row>
    <row r="9308" spans="6:6" x14ac:dyDescent="0.2">
      <c r="F9308" s="285" t="str">
        <f t="shared" si="294"/>
        <v/>
      </c>
    </row>
    <row r="9309" spans="6:6" x14ac:dyDescent="0.2">
      <c r="F9309" s="285" t="str">
        <f t="shared" si="294"/>
        <v/>
      </c>
    </row>
    <row r="9310" spans="6:6" x14ac:dyDescent="0.2">
      <c r="F9310" s="285" t="str">
        <f t="shared" si="294"/>
        <v/>
      </c>
    </row>
    <row r="9311" spans="6:6" x14ac:dyDescent="0.2">
      <c r="F9311" s="285" t="str">
        <f t="shared" si="294"/>
        <v/>
      </c>
    </row>
    <row r="9312" spans="6:6" x14ac:dyDescent="0.2">
      <c r="F9312" s="285" t="str">
        <f t="shared" si="294"/>
        <v/>
      </c>
    </row>
    <row r="9313" spans="6:6" x14ac:dyDescent="0.2">
      <c r="F9313" s="285" t="str">
        <f t="shared" si="294"/>
        <v/>
      </c>
    </row>
    <row r="9314" spans="6:6" x14ac:dyDescent="0.2">
      <c r="F9314" s="285" t="str">
        <f t="shared" si="294"/>
        <v/>
      </c>
    </row>
    <row r="9315" spans="6:6" x14ac:dyDescent="0.2">
      <c r="F9315" s="285" t="str">
        <f t="shared" si="294"/>
        <v/>
      </c>
    </row>
    <row r="9316" spans="6:6" x14ac:dyDescent="0.2">
      <c r="F9316" s="285" t="str">
        <f t="shared" si="294"/>
        <v/>
      </c>
    </row>
    <row r="9317" spans="6:6" x14ac:dyDescent="0.2">
      <c r="F9317" s="285" t="str">
        <f t="shared" si="294"/>
        <v/>
      </c>
    </row>
    <row r="9318" spans="6:6" x14ac:dyDescent="0.2">
      <c r="F9318" s="285" t="str">
        <f t="shared" si="294"/>
        <v/>
      </c>
    </row>
    <row r="9319" spans="6:6" x14ac:dyDescent="0.2">
      <c r="F9319" s="285" t="str">
        <f t="shared" si="294"/>
        <v/>
      </c>
    </row>
    <row r="9320" spans="6:6" x14ac:dyDescent="0.2">
      <c r="F9320" s="285" t="str">
        <f t="shared" si="294"/>
        <v/>
      </c>
    </row>
    <row r="9321" spans="6:6" x14ac:dyDescent="0.2">
      <c r="F9321" s="285" t="str">
        <f t="shared" si="294"/>
        <v/>
      </c>
    </row>
    <row r="9322" spans="6:6" x14ac:dyDescent="0.2">
      <c r="F9322" s="285" t="str">
        <f t="shared" si="294"/>
        <v/>
      </c>
    </row>
    <row r="9323" spans="6:6" x14ac:dyDescent="0.2">
      <c r="F9323" s="285" t="str">
        <f t="shared" si="294"/>
        <v/>
      </c>
    </row>
    <row r="9324" spans="6:6" x14ac:dyDescent="0.2">
      <c r="F9324" s="285" t="str">
        <f t="shared" si="294"/>
        <v/>
      </c>
    </row>
    <row r="9325" spans="6:6" x14ac:dyDescent="0.2">
      <c r="F9325" s="285" t="str">
        <f t="shared" si="294"/>
        <v/>
      </c>
    </row>
    <row r="9326" spans="6:6" x14ac:dyDescent="0.2">
      <c r="F9326" s="285" t="str">
        <f t="shared" si="294"/>
        <v/>
      </c>
    </row>
    <row r="9327" spans="6:6" x14ac:dyDescent="0.2">
      <c r="F9327" s="285" t="str">
        <f t="shared" si="294"/>
        <v/>
      </c>
    </row>
    <row r="9328" spans="6:6" x14ac:dyDescent="0.2">
      <c r="F9328" s="285" t="str">
        <f t="shared" si="294"/>
        <v/>
      </c>
    </row>
    <row r="9329" spans="6:6" x14ac:dyDescent="0.2">
      <c r="F9329" s="285" t="str">
        <f t="shared" si="294"/>
        <v/>
      </c>
    </row>
    <row r="9330" spans="6:6" x14ac:dyDescent="0.2">
      <c r="F9330" s="285" t="str">
        <f t="shared" si="294"/>
        <v/>
      </c>
    </row>
    <row r="9331" spans="6:6" x14ac:dyDescent="0.2">
      <c r="F9331" s="285" t="str">
        <f t="shared" si="294"/>
        <v/>
      </c>
    </row>
    <row r="9332" spans="6:6" x14ac:dyDescent="0.2">
      <c r="F9332" s="285" t="str">
        <f t="shared" si="294"/>
        <v/>
      </c>
    </row>
    <row r="9333" spans="6:6" x14ac:dyDescent="0.2">
      <c r="F9333" s="285" t="str">
        <f t="shared" si="294"/>
        <v/>
      </c>
    </row>
    <row r="9334" spans="6:6" x14ac:dyDescent="0.2">
      <c r="F9334" s="285" t="str">
        <f t="shared" si="294"/>
        <v/>
      </c>
    </row>
    <row r="9335" spans="6:6" x14ac:dyDescent="0.2">
      <c r="F9335" s="285" t="str">
        <f t="shared" si="294"/>
        <v/>
      </c>
    </row>
    <row r="9336" spans="6:6" x14ac:dyDescent="0.2">
      <c r="F9336" s="285" t="str">
        <f t="shared" si="294"/>
        <v/>
      </c>
    </row>
    <row r="9337" spans="6:6" x14ac:dyDescent="0.2">
      <c r="F9337" s="285" t="str">
        <f t="shared" si="294"/>
        <v/>
      </c>
    </row>
    <row r="9338" spans="6:6" x14ac:dyDescent="0.2">
      <c r="F9338" s="285" t="str">
        <f t="shared" si="294"/>
        <v/>
      </c>
    </row>
    <row r="9339" spans="6:6" x14ac:dyDescent="0.2">
      <c r="F9339" s="285" t="str">
        <f t="shared" si="294"/>
        <v/>
      </c>
    </row>
    <row r="9340" spans="6:6" x14ac:dyDescent="0.2">
      <c r="F9340" s="285" t="str">
        <f t="shared" si="294"/>
        <v/>
      </c>
    </row>
    <row r="9341" spans="6:6" x14ac:dyDescent="0.2">
      <c r="F9341" s="285" t="str">
        <f t="shared" si="294"/>
        <v/>
      </c>
    </row>
    <row r="9342" spans="6:6" x14ac:dyDescent="0.2">
      <c r="F9342" s="285" t="str">
        <f t="shared" si="294"/>
        <v/>
      </c>
    </row>
    <row r="9343" spans="6:6" x14ac:dyDescent="0.2">
      <c r="F9343" s="285" t="str">
        <f t="shared" si="294"/>
        <v/>
      </c>
    </row>
    <row r="9344" spans="6:6" x14ac:dyDescent="0.2">
      <c r="F9344" s="285" t="str">
        <f t="shared" si="294"/>
        <v/>
      </c>
    </row>
    <row r="9345" spans="6:6" x14ac:dyDescent="0.2">
      <c r="F9345" s="285" t="str">
        <f t="shared" si="294"/>
        <v/>
      </c>
    </row>
    <row r="9346" spans="6:6" x14ac:dyDescent="0.2">
      <c r="F9346" s="285" t="str">
        <f t="shared" si="294"/>
        <v/>
      </c>
    </row>
    <row r="9347" spans="6:6" x14ac:dyDescent="0.2">
      <c r="F9347" s="285" t="str">
        <f t="shared" si="294"/>
        <v/>
      </c>
    </row>
    <row r="9348" spans="6:6" x14ac:dyDescent="0.2">
      <c r="F9348" s="285" t="str">
        <f t="shared" si="294"/>
        <v/>
      </c>
    </row>
    <row r="9349" spans="6:6" x14ac:dyDescent="0.2">
      <c r="F9349" s="285" t="str">
        <f t="shared" ref="F9349:F9412" si="295">IF(A9349="","",A9349)</f>
        <v/>
      </c>
    </row>
    <row r="9350" spans="6:6" x14ac:dyDescent="0.2">
      <c r="F9350" s="285" t="str">
        <f t="shared" si="295"/>
        <v/>
      </c>
    </row>
    <row r="9351" spans="6:6" x14ac:dyDescent="0.2">
      <c r="F9351" s="285" t="str">
        <f t="shared" si="295"/>
        <v/>
      </c>
    </row>
    <row r="9352" spans="6:6" x14ac:dyDescent="0.2">
      <c r="F9352" s="285" t="str">
        <f t="shared" si="295"/>
        <v/>
      </c>
    </row>
    <row r="9353" spans="6:6" x14ac:dyDescent="0.2">
      <c r="F9353" s="285" t="str">
        <f t="shared" si="295"/>
        <v/>
      </c>
    </row>
    <row r="9354" spans="6:6" x14ac:dyDescent="0.2">
      <c r="F9354" s="285" t="str">
        <f t="shared" si="295"/>
        <v/>
      </c>
    </row>
    <row r="9355" spans="6:6" x14ac:dyDescent="0.2">
      <c r="F9355" s="285" t="str">
        <f t="shared" si="295"/>
        <v/>
      </c>
    </row>
    <row r="9356" spans="6:6" x14ac:dyDescent="0.2">
      <c r="F9356" s="285" t="str">
        <f t="shared" si="295"/>
        <v/>
      </c>
    </row>
    <row r="9357" spans="6:6" x14ac:dyDescent="0.2">
      <c r="F9357" s="285" t="str">
        <f t="shared" si="295"/>
        <v/>
      </c>
    </row>
    <row r="9358" spans="6:6" x14ac:dyDescent="0.2">
      <c r="F9358" s="285" t="str">
        <f t="shared" si="295"/>
        <v/>
      </c>
    </row>
    <row r="9359" spans="6:6" x14ac:dyDescent="0.2">
      <c r="F9359" s="285" t="str">
        <f t="shared" si="295"/>
        <v/>
      </c>
    </row>
    <row r="9360" spans="6:6" x14ac:dyDescent="0.2">
      <c r="F9360" s="285" t="str">
        <f t="shared" si="295"/>
        <v/>
      </c>
    </row>
    <row r="9361" spans="6:6" x14ac:dyDescent="0.2">
      <c r="F9361" s="285" t="str">
        <f t="shared" si="295"/>
        <v/>
      </c>
    </row>
    <row r="9362" spans="6:6" x14ac:dyDescent="0.2">
      <c r="F9362" s="285" t="str">
        <f t="shared" si="295"/>
        <v/>
      </c>
    </row>
    <row r="9363" spans="6:6" x14ac:dyDescent="0.2">
      <c r="F9363" s="285" t="str">
        <f t="shared" si="295"/>
        <v/>
      </c>
    </row>
    <row r="9364" spans="6:6" x14ac:dyDescent="0.2">
      <c r="F9364" s="285" t="str">
        <f t="shared" si="295"/>
        <v/>
      </c>
    </row>
    <row r="9365" spans="6:6" x14ac:dyDescent="0.2">
      <c r="F9365" s="285" t="str">
        <f t="shared" si="295"/>
        <v/>
      </c>
    </row>
    <row r="9366" spans="6:6" x14ac:dyDescent="0.2">
      <c r="F9366" s="285" t="str">
        <f t="shared" si="295"/>
        <v/>
      </c>
    </row>
    <row r="9367" spans="6:6" x14ac:dyDescent="0.2">
      <c r="F9367" s="285" t="str">
        <f t="shared" si="295"/>
        <v/>
      </c>
    </row>
    <row r="9368" spans="6:6" x14ac:dyDescent="0.2">
      <c r="F9368" s="285" t="str">
        <f t="shared" si="295"/>
        <v/>
      </c>
    </row>
    <row r="9369" spans="6:6" x14ac:dyDescent="0.2">
      <c r="F9369" s="285" t="str">
        <f t="shared" si="295"/>
        <v/>
      </c>
    </row>
    <row r="9370" spans="6:6" x14ac:dyDescent="0.2">
      <c r="F9370" s="285" t="str">
        <f t="shared" si="295"/>
        <v/>
      </c>
    </row>
    <row r="9371" spans="6:6" x14ac:dyDescent="0.2">
      <c r="F9371" s="285" t="str">
        <f t="shared" si="295"/>
        <v/>
      </c>
    </row>
    <row r="9372" spans="6:6" x14ac:dyDescent="0.2">
      <c r="F9372" s="285" t="str">
        <f t="shared" si="295"/>
        <v/>
      </c>
    </row>
    <row r="9373" spans="6:6" x14ac:dyDescent="0.2">
      <c r="F9373" s="285" t="str">
        <f t="shared" si="295"/>
        <v/>
      </c>
    </row>
    <row r="9374" spans="6:6" x14ac:dyDescent="0.2">
      <c r="F9374" s="285" t="str">
        <f t="shared" si="295"/>
        <v/>
      </c>
    </row>
    <row r="9375" spans="6:6" x14ac:dyDescent="0.2">
      <c r="F9375" s="285" t="str">
        <f t="shared" si="295"/>
        <v/>
      </c>
    </row>
    <row r="9376" spans="6:6" x14ac:dyDescent="0.2">
      <c r="F9376" s="285" t="str">
        <f t="shared" si="295"/>
        <v/>
      </c>
    </row>
    <row r="9377" spans="6:6" x14ac:dyDescent="0.2">
      <c r="F9377" s="285" t="str">
        <f t="shared" si="295"/>
        <v/>
      </c>
    </row>
    <row r="9378" spans="6:6" x14ac:dyDescent="0.2">
      <c r="F9378" s="285" t="str">
        <f t="shared" si="295"/>
        <v/>
      </c>
    </row>
    <row r="9379" spans="6:6" x14ac:dyDescent="0.2">
      <c r="F9379" s="285" t="str">
        <f t="shared" si="295"/>
        <v/>
      </c>
    </row>
    <row r="9380" spans="6:6" x14ac:dyDescent="0.2">
      <c r="F9380" s="285" t="str">
        <f t="shared" si="295"/>
        <v/>
      </c>
    </row>
    <row r="9381" spans="6:6" x14ac:dyDescent="0.2">
      <c r="F9381" s="285" t="str">
        <f t="shared" si="295"/>
        <v/>
      </c>
    </row>
    <row r="9382" spans="6:6" x14ac:dyDescent="0.2">
      <c r="F9382" s="285" t="str">
        <f t="shared" si="295"/>
        <v/>
      </c>
    </row>
    <row r="9383" spans="6:6" x14ac:dyDescent="0.2">
      <c r="F9383" s="285" t="str">
        <f t="shared" si="295"/>
        <v/>
      </c>
    </row>
    <row r="9384" spans="6:6" x14ac:dyDescent="0.2">
      <c r="F9384" s="285" t="str">
        <f t="shared" si="295"/>
        <v/>
      </c>
    </row>
    <row r="9385" spans="6:6" x14ac:dyDescent="0.2">
      <c r="F9385" s="285" t="str">
        <f t="shared" si="295"/>
        <v/>
      </c>
    </row>
    <row r="9386" spans="6:6" x14ac:dyDescent="0.2">
      <c r="F9386" s="285" t="str">
        <f t="shared" si="295"/>
        <v/>
      </c>
    </row>
    <row r="9387" spans="6:6" x14ac:dyDescent="0.2">
      <c r="F9387" s="285" t="str">
        <f t="shared" si="295"/>
        <v/>
      </c>
    </row>
    <row r="9388" spans="6:6" x14ac:dyDescent="0.2">
      <c r="F9388" s="285" t="str">
        <f t="shared" si="295"/>
        <v/>
      </c>
    </row>
    <row r="9389" spans="6:6" x14ac:dyDescent="0.2">
      <c r="F9389" s="285" t="str">
        <f t="shared" si="295"/>
        <v/>
      </c>
    </row>
    <row r="9390" spans="6:6" x14ac:dyDescent="0.2">
      <c r="F9390" s="285" t="str">
        <f t="shared" si="295"/>
        <v/>
      </c>
    </row>
    <row r="9391" spans="6:6" x14ac:dyDescent="0.2">
      <c r="F9391" s="285" t="str">
        <f t="shared" si="295"/>
        <v/>
      </c>
    </row>
    <row r="9392" spans="6:6" x14ac:dyDescent="0.2">
      <c r="F9392" s="285" t="str">
        <f t="shared" si="295"/>
        <v/>
      </c>
    </row>
    <row r="9393" spans="6:6" x14ac:dyDescent="0.2">
      <c r="F9393" s="285" t="str">
        <f t="shared" si="295"/>
        <v/>
      </c>
    </row>
    <row r="9394" spans="6:6" x14ac:dyDescent="0.2">
      <c r="F9394" s="285" t="str">
        <f t="shared" si="295"/>
        <v/>
      </c>
    </row>
    <row r="9395" spans="6:6" x14ac:dyDescent="0.2">
      <c r="F9395" s="285" t="str">
        <f t="shared" si="295"/>
        <v/>
      </c>
    </row>
    <row r="9396" spans="6:6" x14ac:dyDescent="0.2">
      <c r="F9396" s="285" t="str">
        <f t="shared" si="295"/>
        <v/>
      </c>
    </row>
    <row r="9397" spans="6:6" x14ac:dyDescent="0.2">
      <c r="F9397" s="285" t="str">
        <f t="shared" si="295"/>
        <v/>
      </c>
    </row>
    <row r="9398" spans="6:6" x14ac:dyDescent="0.2">
      <c r="F9398" s="285" t="str">
        <f t="shared" si="295"/>
        <v/>
      </c>
    </row>
    <row r="9399" spans="6:6" x14ac:dyDescent="0.2">
      <c r="F9399" s="285" t="str">
        <f t="shared" si="295"/>
        <v/>
      </c>
    </row>
    <row r="9400" spans="6:6" x14ac:dyDescent="0.2">
      <c r="F9400" s="285" t="str">
        <f t="shared" si="295"/>
        <v/>
      </c>
    </row>
    <row r="9401" spans="6:6" x14ac:dyDescent="0.2">
      <c r="F9401" s="285" t="str">
        <f t="shared" si="295"/>
        <v/>
      </c>
    </row>
    <row r="9402" spans="6:6" x14ac:dyDescent="0.2">
      <c r="F9402" s="285" t="str">
        <f t="shared" si="295"/>
        <v/>
      </c>
    </row>
    <row r="9403" spans="6:6" x14ac:dyDescent="0.2">
      <c r="F9403" s="285" t="str">
        <f t="shared" si="295"/>
        <v/>
      </c>
    </row>
    <row r="9404" spans="6:6" x14ac:dyDescent="0.2">
      <c r="F9404" s="285" t="str">
        <f t="shared" si="295"/>
        <v/>
      </c>
    </row>
    <row r="9405" spans="6:6" x14ac:dyDescent="0.2">
      <c r="F9405" s="285" t="str">
        <f t="shared" si="295"/>
        <v/>
      </c>
    </row>
    <row r="9406" spans="6:6" x14ac:dyDescent="0.2">
      <c r="F9406" s="285" t="str">
        <f t="shared" si="295"/>
        <v/>
      </c>
    </row>
    <row r="9407" spans="6:6" x14ac:dyDescent="0.2">
      <c r="F9407" s="285" t="str">
        <f t="shared" si="295"/>
        <v/>
      </c>
    </row>
    <row r="9408" spans="6:6" x14ac:dyDescent="0.2">
      <c r="F9408" s="285" t="str">
        <f t="shared" si="295"/>
        <v/>
      </c>
    </row>
    <row r="9409" spans="6:6" x14ac:dyDescent="0.2">
      <c r="F9409" s="285" t="str">
        <f t="shared" si="295"/>
        <v/>
      </c>
    </row>
    <row r="9410" spans="6:6" x14ac:dyDescent="0.2">
      <c r="F9410" s="285" t="str">
        <f t="shared" si="295"/>
        <v/>
      </c>
    </row>
    <row r="9411" spans="6:6" x14ac:dyDescent="0.2">
      <c r="F9411" s="285" t="str">
        <f t="shared" si="295"/>
        <v/>
      </c>
    </row>
    <row r="9412" spans="6:6" x14ac:dyDescent="0.2">
      <c r="F9412" s="285" t="str">
        <f t="shared" si="295"/>
        <v/>
      </c>
    </row>
    <row r="9413" spans="6:6" x14ac:dyDescent="0.2">
      <c r="F9413" s="285" t="str">
        <f t="shared" ref="F9413:F9476" si="296">IF(A9413="","",A9413)</f>
        <v/>
      </c>
    </row>
    <row r="9414" spans="6:6" x14ac:dyDescent="0.2">
      <c r="F9414" s="285" t="str">
        <f t="shared" si="296"/>
        <v/>
      </c>
    </row>
    <row r="9415" spans="6:6" x14ac:dyDescent="0.2">
      <c r="F9415" s="285" t="str">
        <f t="shared" si="296"/>
        <v/>
      </c>
    </row>
    <row r="9416" spans="6:6" x14ac:dyDescent="0.2">
      <c r="F9416" s="285" t="str">
        <f t="shared" si="296"/>
        <v/>
      </c>
    </row>
    <row r="9417" spans="6:6" x14ac:dyDescent="0.2">
      <c r="F9417" s="285" t="str">
        <f t="shared" si="296"/>
        <v/>
      </c>
    </row>
    <row r="9418" spans="6:6" x14ac:dyDescent="0.2">
      <c r="F9418" s="285" t="str">
        <f t="shared" si="296"/>
        <v/>
      </c>
    </row>
    <row r="9419" spans="6:6" x14ac:dyDescent="0.2">
      <c r="F9419" s="285" t="str">
        <f t="shared" si="296"/>
        <v/>
      </c>
    </row>
    <row r="9420" spans="6:6" x14ac:dyDescent="0.2">
      <c r="F9420" s="285" t="str">
        <f t="shared" si="296"/>
        <v/>
      </c>
    </row>
    <row r="9421" spans="6:6" x14ac:dyDescent="0.2">
      <c r="F9421" s="285" t="str">
        <f t="shared" si="296"/>
        <v/>
      </c>
    </row>
    <row r="9422" spans="6:6" x14ac:dyDescent="0.2">
      <c r="F9422" s="285" t="str">
        <f t="shared" si="296"/>
        <v/>
      </c>
    </row>
    <row r="9423" spans="6:6" x14ac:dyDescent="0.2">
      <c r="F9423" s="285" t="str">
        <f t="shared" si="296"/>
        <v/>
      </c>
    </row>
    <row r="9424" spans="6:6" x14ac:dyDescent="0.2">
      <c r="F9424" s="285" t="str">
        <f t="shared" si="296"/>
        <v/>
      </c>
    </row>
    <row r="9425" spans="6:6" x14ac:dyDescent="0.2">
      <c r="F9425" s="285" t="str">
        <f t="shared" si="296"/>
        <v/>
      </c>
    </row>
    <row r="9426" spans="6:6" x14ac:dyDescent="0.2">
      <c r="F9426" s="285" t="str">
        <f t="shared" si="296"/>
        <v/>
      </c>
    </row>
    <row r="9427" spans="6:6" x14ac:dyDescent="0.2">
      <c r="F9427" s="285" t="str">
        <f t="shared" si="296"/>
        <v/>
      </c>
    </row>
    <row r="9428" spans="6:6" x14ac:dyDescent="0.2">
      <c r="F9428" s="285" t="str">
        <f t="shared" si="296"/>
        <v/>
      </c>
    </row>
    <row r="9429" spans="6:6" x14ac:dyDescent="0.2">
      <c r="F9429" s="285" t="str">
        <f t="shared" si="296"/>
        <v/>
      </c>
    </row>
    <row r="9430" spans="6:6" x14ac:dyDescent="0.2">
      <c r="F9430" s="285" t="str">
        <f t="shared" si="296"/>
        <v/>
      </c>
    </row>
    <row r="9431" spans="6:6" x14ac:dyDescent="0.2">
      <c r="F9431" s="285" t="str">
        <f t="shared" si="296"/>
        <v/>
      </c>
    </row>
    <row r="9432" spans="6:6" x14ac:dyDescent="0.2">
      <c r="F9432" s="285" t="str">
        <f t="shared" si="296"/>
        <v/>
      </c>
    </row>
    <row r="9433" spans="6:6" x14ac:dyDescent="0.2">
      <c r="F9433" s="285" t="str">
        <f t="shared" si="296"/>
        <v/>
      </c>
    </row>
    <row r="9434" spans="6:6" x14ac:dyDescent="0.2">
      <c r="F9434" s="285" t="str">
        <f t="shared" si="296"/>
        <v/>
      </c>
    </row>
    <row r="9435" spans="6:6" x14ac:dyDescent="0.2">
      <c r="F9435" s="285" t="str">
        <f t="shared" si="296"/>
        <v/>
      </c>
    </row>
    <row r="9436" spans="6:6" x14ac:dyDescent="0.2">
      <c r="F9436" s="285" t="str">
        <f t="shared" si="296"/>
        <v/>
      </c>
    </row>
    <row r="9437" spans="6:6" x14ac:dyDescent="0.2">
      <c r="F9437" s="285" t="str">
        <f t="shared" si="296"/>
        <v/>
      </c>
    </row>
    <row r="9438" spans="6:6" x14ac:dyDescent="0.2">
      <c r="F9438" s="285" t="str">
        <f t="shared" si="296"/>
        <v/>
      </c>
    </row>
    <row r="9439" spans="6:6" x14ac:dyDescent="0.2">
      <c r="F9439" s="285" t="str">
        <f t="shared" si="296"/>
        <v/>
      </c>
    </row>
    <row r="9440" spans="6:6" x14ac:dyDescent="0.2">
      <c r="F9440" s="285" t="str">
        <f t="shared" si="296"/>
        <v/>
      </c>
    </row>
    <row r="9441" spans="6:6" x14ac:dyDescent="0.2">
      <c r="F9441" s="285" t="str">
        <f t="shared" si="296"/>
        <v/>
      </c>
    </row>
    <row r="9442" spans="6:6" x14ac:dyDescent="0.2">
      <c r="F9442" s="285" t="str">
        <f t="shared" si="296"/>
        <v/>
      </c>
    </row>
    <row r="9443" spans="6:6" x14ac:dyDescent="0.2">
      <c r="F9443" s="285" t="str">
        <f t="shared" si="296"/>
        <v/>
      </c>
    </row>
    <row r="9444" spans="6:6" x14ac:dyDescent="0.2">
      <c r="F9444" s="285" t="str">
        <f t="shared" si="296"/>
        <v/>
      </c>
    </row>
    <row r="9445" spans="6:6" x14ac:dyDescent="0.2">
      <c r="F9445" s="285" t="str">
        <f t="shared" si="296"/>
        <v/>
      </c>
    </row>
    <row r="9446" spans="6:6" x14ac:dyDescent="0.2">
      <c r="F9446" s="285" t="str">
        <f t="shared" si="296"/>
        <v/>
      </c>
    </row>
    <row r="9447" spans="6:6" x14ac:dyDescent="0.2">
      <c r="F9447" s="285" t="str">
        <f t="shared" si="296"/>
        <v/>
      </c>
    </row>
    <row r="9448" spans="6:6" x14ac:dyDescent="0.2">
      <c r="F9448" s="285" t="str">
        <f t="shared" si="296"/>
        <v/>
      </c>
    </row>
    <row r="9449" spans="6:6" x14ac:dyDescent="0.2">
      <c r="F9449" s="285" t="str">
        <f t="shared" si="296"/>
        <v/>
      </c>
    </row>
    <row r="9450" spans="6:6" x14ac:dyDescent="0.2">
      <c r="F9450" s="285" t="str">
        <f t="shared" si="296"/>
        <v/>
      </c>
    </row>
    <row r="9451" spans="6:6" x14ac:dyDescent="0.2">
      <c r="F9451" s="285" t="str">
        <f t="shared" si="296"/>
        <v/>
      </c>
    </row>
    <row r="9452" spans="6:6" x14ac:dyDescent="0.2">
      <c r="F9452" s="285" t="str">
        <f t="shared" si="296"/>
        <v/>
      </c>
    </row>
    <row r="9453" spans="6:6" x14ac:dyDescent="0.2">
      <c r="F9453" s="285" t="str">
        <f t="shared" si="296"/>
        <v/>
      </c>
    </row>
    <row r="9454" spans="6:6" x14ac:dyDescent="0.2">
      <c r="F9454" s="285" t="str">
        <f t="shared" si="296"/>
        <v/>
      </c>
    </row>
    <row r="9455" spans="6:6" x14ac:dyDescent="0.2">
      <c r="F9455" s="285" t="str">
        <f t="shared" si="296"/>
        <v/>
      </c>
    </row>
    <row r="9456" spans="6:6" x14ac:dyDescent="0.2">
      <c r="F9456" s="285" t="str">
        <f t="shared" si="296"/>
        <v/>
      </c>
    </row>
    <row r="9457" spans="6:6" x14ac:dyDescent="0.2">
      <c r="F9457" s="285" t="str">
        <f t="shared" si="296"/>
        <v/>
      </c>
    </row>
    <row r="9458" spans="6:6" x14ac:dyDescent="0.2">
      <c r="F9458" s="285" t="str">
        <f t="shared" si="296"/>
        <v/>
      </c>
    </row>
    <row r="9459" spans="6:6" x14ac:dyDescent="0.2">
      <c r="F9459" s="285" t="str">
        <f t="shared" si="296"/>
        <v/>
      </c>
    </row>
    <row r="9460" spans="6:6" x14ac:dyDescent="0.2">
      <c r="F9460" s="285" t="str">
        <f t="shared" si="296"/>
        <v/>
      </c>
    </row>
    <row r="9461" spans="6:6" x14ac:dyDescent="0.2">
      <c r="F9461" s="285" t="str">
        <f t="shared" si="296"/>
        <v/>
      </c>
    </row>
    <row r="9462" spans="6:6" x14ac:dyDescent="0.2">
      <c r="F9462" s="285" t="str">
        <f t="shared" si="296"/>
        <v/>
      </c>
    </row>
    <row r="9463" spans="6:6" x14ac:dyDescent="0.2">
      <c r="F9463" s="285" t="str">
        <f t="shared" si="296"/>
        <v/>
      </c>
    </row>
    <row r="9464" spans="6:6" x14ac:dyDescent="0.2">
      <c r="F9464" s="285" t="str">
        <f t="shared" si="296"/>
        <v/>
      </c>
    </row>
    <row r="9465" spans="6:6" x14ac:dyDescent="0.2">
      <c r="F9465" s="285" t="str">
        <f t="shared" si="296"/>
        <v/>
      </c>
    </row>
    <row r="9466" spans="6:6" x14ac:dyDescent="0.2">
      <c r="F9466" s="285" t="str">
        <f t="shared" si="296"/>
        <v/>
      </c>
    </row>
    <row r="9467" spans="6:6" x14ac:dyDescent="0.2">
      <c r="F9467" s="285" t="str">
        <f t="shared" si="296"/>
        <v/>
      </c>
    </row>
    <row r="9468" spans="6:6" x14ac:dyDescent="0.2">
      <c r="F9468" s="285" t="str">
        <f t="shared" si="296"/>
        <v/>
      </c>
    </row>
    <row r="9469" spans="6:6" x14ac:dyDescent="0.2">
      <c r="F9469" s="285" t="str">
        <f t="shared" si="296"/>
        <v/>
      </c>
    </row>
    <row r="9470" spans="6:6" x14ac:dyDescent="0.2">
      <c r="F9470" s="285" t="str">
        <f t="shared" si="296"/>
        <v/>
      </c>
    </row>
    <row r="9471" spans="6:6" x14ac:dyDescent="0.2">
      <c r="F9471" s="285" t="str">
        <f t="shared" si="296"/>
        <v/>
      </c>
    </row>
    <row r="9472" spans="6:6" x14ac:dyDescent="0.2">
      <c r="F9472" s="285" t="str">
        <f t="shared" si="296"/>
        <v/>
      </c>
    </row>
    <row r="9473" spans="6:6" x14ac:dyDescent="0.2">
      <c r="F9473" s="285" t="str">
        <f t="shared" si="296"/>
        <v/>
      </c>
    </row>
    <row r="9474" spans="6:6" x14ac:dyDescent="0.2">
      <c r="F9474" s="285" t="str">
        <f t="shared" si="296"/>
        <v/>
      </c>
    </row>
    <row r="9475" spans="6:6" x14ac:dyDescent="0.2">
      <c r="F9475" s="285" t="str">
        <f t="shared" si="296"/>
        <v/>
      </c>
    </row>
    <row r="9476" spans="6:6" x14ac:dyDescent="0.2">
      <c r="F9476" s="285" t="str">
        <f t="shared" si="296"/>
        <v/>
      </c>
    </row>
    <row r="9477" spans="6:6" x14ac:dyDescent="0.2">
      <c r="F9477" s="285" t="str">
        <f t="shared" ref="F9477:F9540" si="297">IF(A9477="","",A9477)</f>
        <v/>
      </c>
    </row>
    <row r="9478" spans="6:6" x14ac:dyDescent="0.2">
      <c r="F9478" s="285" t="str">
        <f t="shared" si="297"/>
        <v/>
      </c>
    </row>
    <row r="9479" spans="6:6" x14ac:dyDescent="0.2">
      <c r="F9479" s="285" t="str">
        <f t="shared" si="297"/>
        <v/>
      </c>
    </row>
    <row r="9480" spans="6:6" x14ac:dyDescent="0.2">
      <c r="F9480" s="285" t="str">
        <f t="shared" si="297"/>
        <v/>
      </c>
    </row>
    <row r="9481" spans="6:6" x14ac:dyDescent="0.2">
      <c r="F9481" s="285" t="str">
        <f t="shared" si="297"/>
        <v/>
      </c>
    </row>
    <row r="9482" spans="6:6" x14ac:dyDescent="0.2">
      <c r="F9482" s="285" t="str">
        <f t="shared" si="297"/>
        <v/>
      </c>
    </row>
    <row r="9483" spans="6:6" x14ac:dyDescent="0.2">
      <c r="F9483" s="285" t="str">
        <f t="shared" si="297"/>
        <v/>
      </c>
    </row>
    <row r="9484" spans="6:6" x14ac:dyDescent="0.2">
      <c r="F9484" s="285" t="str">
        <f t="shared" si="297"/>
        <v/>
      </c>
    </row>
    <row r="9485" spans="6:6" x14ac:dyDescent="0.2">
      <c r="F9485" s="285" t="str">
        <f t="shared" si="297"/>
        <v/>
      </c>
    </row>
    <row r="9486" spans="6:6" x14ac:dyDescent="0.2">
      <c r="F9486" s="285" t="str">
        <f t="shared" si="297"/>
        <v/>
      </c>
    </row>
    <row r="9487" spans="6:6" x14ac:dyDescent="0.2">
      <c r="F9487" s="285" t="str">
        <f t="shared" si="297"/>
        <v/>
      </c>
    </row>
    <row r="9488" spans="6:6" x14ac:dyDescent="0.2">
      <c r="F9488" s="285" t="str">
        <f t="shared" si="297"/>
        <v/>
      </c>
    </row>
    <row r="9489" spans="6:6" x14ac:dyDescent="0.2">
      <c r="F9489" s="285" t="str">
        <f t="shared" si="297"/>
        <v/>
      </c>
    </row>
    <row r="9490" spans="6:6" x14ac:dyDescent="0.2">
      <c r="F9490" s="285" t="str">
        <f t="shared" si="297"/>
        <v/>
      </c>
    </row>
    <row r="9491" spans="6:6" x14ac:dyDescent="0.2">
      <c r="F9491" s="285" t="str">
        <f t="shared" si="297"/>
        <v/>
      </c>
    </row>
    <row r="9492" spans="6:6" x14ac:dyDescent="0.2">
      <c r="F9492" s="285" t="str">
        <f t="shared" si="297"/>
        <v/>
      </c>
    </row>
    <row r="9493" spans="6:6" x14ac:dyDescent="0.2">
      <c r="F9493" s="285" t="str">
        <f t="shared" si="297"/>
        <v/>
      </c>
    </row>
    <row r="9494" spans="6:6" x14ac:dyDescent="0.2">
      <c r="F9494" s="285" t="str">
        <f t="shared" si="297"/>
        <v/>
      </c>
    </row>
    <row r="9495" spans="6:6" x14ac:dyDescent="0.2">
      <c r="F9495" s="285" t="str">
        <f t="shared" si="297"/>
        <v/>
      </c>
    </row>
    <row r="9496" spans="6:6" x14ac:dyDescent="0.2">
      <c r="F9496" s="285" t="str">
        <f t="shared" si="297"/>
        <v/>
      </c>
    </row>
    <row r="9497" spans="6:6" x14ac:dyDescent="0.2">
      <c r="F9497" s="285" t="str">
        <f t="shared" si="297"/>
        <v/>
      </c>
    </row>
    <row r="9498" spans="6:6" x14ac:dyDescent="0.2">
      <c r="F9498" s="285" t="str">
        <f t="shared" si="297"/>
        <v/>
      </c>
    </row>
    <row r="9499" spans="6:6" x14ac:dyDescent="0.2">
      <c r="F9499" s="285" t="str">
        <f t="shared" si="297"/>
        <v/>
      </c>
    </row>
    <row r="9500" spans="6:6" x14ac:dyDescent="0.2">
      <c r="F9500" s="285" t="str">
        <f t="shared" si="297"/>
        <v/>
      </c>
    </row>
    <row r="9501" spans="6:6" x14ac:dyDescent="0.2">
      <c r="F9501" s="285" t="str">
        <f t="shared" si="297"/>
        <v/>
      </c>
    </row>
    <row r="9502" spans="6:6" x14ac:dyDescent="0.2">
      <c r="F9502" s="285" t="str">
        <f t="shared" si="297"/>
        <v/>
      </c>
    </row>
    <row r="9503" spans="6:6" x14ac:dyDescent="0.2">
      <c r="F9503" s="285" t="str">
        <f t="shared" si="297"/>
        <v/>
      </c>
    </row>
    <row r="9504" spans="6:6" x14ac:dyDescent="0.2">
      <c r="F9504" s="285" t="str">
        <f t="shared" si="297"/>
        <v/>
      </c>
    </row>
    <row r="9505" spans="6:6" x14ac:dyDescent="0.2">
      <c r="F9505" s="285" t="str">
        <f t="shared" si="297"/>
        <v/>
      </c>
    </row>
    <row r="9506" spans="6:6" x14ac:dyDescent="0.2">
      <c r="F9506" s="285" t="str">
        <f t="shared" si="297"/>
        <v/>
      </c>
    </row>
    <row r="9507" spans="6:6" x14ac:dyDescent="0.2">
      <c r="F9507" s="285" t="str">
        <f t="shared" si="297"/>
        <v/>
      </c>
    </row>
    <row r="9508" spans="6:6" x14ac:dyDescent="0.2">
      <c r="F9508" s="285" t="str">
        <f t="shared" si="297"/>
        <v/>
      </c>
    </row>
    <row r="9509" spans="6:6" x14ac:dyDescent="0.2">
      <c r="F9509" s="285" t="str">
        <f t="shared" si="297"/>
        <v/>
      </c>
    </row>
    <row r="9510" spans="6:6" x14ac:dyDescent="0.2">
      <c r="F9510" s="285" t="str">
        <f t="shared" si="297"/>
        <v/>
      </c>
    </row>
    <row r="9511" spans="6:6" x14ac:dyDescent="0.2">
      <c r="F9511" s="285" t="str">
        <f t="shared" si="297"/>
        <v/>
      </c>
    </row>
    <row r="9512" spans="6:6" x14ac:dyDescent="0.2">
      <c r="F9512" s="285" t="str">
        <f t="shared" si="297"/>
        <v/>
      </c>
    </row>
    <row r="9513" spans="6:6" x14ac:dyDescent="0.2">
      <c r="F9513" s="285" t="str">
        <f t="shared" si="297"/>
        <v/>
      </c>
    </row>
    <row r="9514" spans="6:6" x14ac:dyDescent="0.2">
      <c r="F9514" s="285" t="str">
        <f t="shared" si="297"/>
        <v/>
      </c>
    </row>
    <row r="9515" spans="6:6" x14ac:dyDescent="0.2">
      <c r="F9515" s="285" t="str">
        <f t="shared" si="297"/>
        <v/>
      </c>
    </row>
    <row r="9516" spans="6:6" x14ac:dyDescent="0.2">
      <c r="F9516" s="285" t="str">
        <f t="shared" si="297"/>
        <v/>
      </c>
    </row>
    <row r="9517" spans="6:6" x14ac:dyDescent="0.2">
      <c r="F9517" s="285" t="str">
        <f t="shared" si="297"/>
        <v/>
      </c>
    </row>
    <row r="9518" spans="6:6" x14ac:dyDescent="0.2">
      <c r="F9518" s="285" t="str">
        <f t="shared" si="297"/>
        <v/>
      </c>
    </row>
    <row r="9519" spans="6:6" x14ac:dyDescent="0.2">
      <c r="F9519" s="285" t="str">
        <f t="shared" si="297"/>
        <v/>
      </c>
    </row>
    <row r="9520" spans="6:6" x14ac:dyDescent="0.2">
      <c r="F9520" s="285" t="str">
        <f t="shared" si="297"/>
        <v/>
      </c>
    </row>
    <row r="9521" spans="6:6" x14ac:dyDescent="0.2">
      <c r="F9521" s="285" t="str">
        <f t="shared" si="297"/>
        <v/>
      </c>
    </row>
    <row r="9522" spans="6:6" x14ac:dyDescent="0.2">
      <c r="F9522" s="285" t="str">
        <f t="shared" si="297"/>
        <v/>
      </c>
    </row>
    <row r="9523" spans="6:6" x14ac:dyDescent="0.2">
      <c r="F9523" s="285" t="str">
        <f t="shared" si="297"/>
        <v/>
      </c>
    </row>
    <row r="9524" spans="6:6" x14ac:dyDescent="0.2">
      <c r="F9524" s="285" t="str">
        <f t="shared" si="297"/>
        <v/>
      </c>
    </row>
    <row r="9525" spans="6:6" x14ac:dyDescent="0.2">
      <c r="F9525" s="285" t="str">
        <f t="shared" si="297"/>
        <v/>
      </c>
    </row>
    <row r="9526" spans="6:6" x14ac:dyDescent="0.2">
      <c r="F9526" s="285" t="str">
        <f t="shared" si="297"/>
        <v/>
      </c>
    </row>
    <row r="9527" spans="6:6" x14ac:dyDescent="0.2">
      <c r="F9527" s="285" t="str">
        <f t="shared" si="297"/>
        <v/>
      </c>
    </row>
    <row r="9528" spans="6:6" x14ac:dyDescent="0.2">
      <c r="F9528" s="285" t="str">
        <f t="shared" si="297"/>
        <v/>
      </c>
    </row>
    <row r="9529" spans="6:6" x14ac:dyDescent="0.2">
      <c r="F9529" s="285" t="str">
        <f t="shared" si="297"/>
        <v/>
      </c>
    </row>
    <row r="9530" spans="6:6" x14ac:dyDescent="0.2">
      <c r="F9530" s="285" t="str">
        <f t="shared" si="297"/>
        <v/>
      </c>
    </row>
    <row r="9531" spans="6:6" x14ac:dyDescent="0.2">
      <c r="F9531" s="285" t="str">
        <f t="shared" si="297"/>
        <v/>
      </c>
    </row>
    <row r="9532" spans="6:6" x14ac:dyDescent="0.2">
      <c r="F9532" s="285" t="str">
        <f t="shared" si="297"/>
        <v/>
      </c>
    </row>
    <row r="9533" spans="6:6" x14ac:dyDescent="0.2">
      <c r="F9533" s="285" t="str">
        <f t="shared" si="297"/>
        <v/>
      </c>
    </row>
    <row r="9534" spans="6:6" x14ac:dyDescent="0.2">
      <c r="F9534" s="285" t="str">
        <f t="shared" si="297"/>
        <v/>
      </c>
    </row>
    <row r="9535" spans="6:6" x14ac:dyDescent="0.2">
      <c r="F9535" s="285" t="str">
        <f t="shared" si="297"/>
        <v/>
      </c>
    </row>
    <row r="9536" spans="6:6" x14ac:dyDescent="0.2">
      <c r="F9536" s="285" t="str">
        <f t="shared" si="297"/>
        <v/>
      </c>
    </row>
    <row r="9537" spans="6:6" x14ac:dyDescent="0.2">
      <c r="F9537" s="285" t="str">
        <f t="shared" si="297"/>
        <v/>
      </c>
    </row>
    <row r="9538" spans="6:6" x14ac:dyDescent="0.2">
      <c r="F9538" s="285" t="str">
        <f t="shared" si="297"/>
        <v/>
      </c>
    </row>
    <row r="9539" spans="6:6" x14ac:dyDescent="0.2">
      <c r="F9539" s="285" t="str">
        <f t="shared" si="297"/>
        <v/>
      </c>
    </row>
    <row r="9540" spans="6:6" x14ac:dyDescent="0.2">
      <c r="F9540" s="285" t="str">
        <f t="shared" si="297"/>
        <v/>
      </c>
    </row>
    <row r="9541" spans="6:6" x14ac:dyDescent="0.2">
      <c r="F9541" s="285" t="str">
        <f t="shared" ref="F9541:F9604" si="298">IF(A9541="","",A9541)</f>
        <v/>
      </c>
    </row>
    <row r="9542" spans="6:6" x14ac:dyDescent="0.2">
      <c r="F9542" s="285" t="str">
        <f t="shared" si="298"/>
        <v/>
      </c>
    </row>
    <row r="9543" spans="6:6" x14ac:dyDescent="0.2">
      <c r="F9543" s="285" t="str">
        <f t="shared" si="298"/>
        <v/>
      </c>
    </row>
    <row r="9544" spans="6:6" x14ac:dyDescent="0.2">
      <c r="F9544" s="285" t="str">
        <f t="shared" si="298"/>
        <v/>
      </c>
    </row>
    <row r="9545" spans="6:6" x14ac:dyDescent="0.2">
      <c r="F9545" s="285" t="str">
        <f t="shared" si="298"/>
        <v/>
      </c>
    </row>
    <row r="9546" spans="6:6" x14ac:dyDescent="0.2">
      <c r="F9546" s="285" t="str">
        <f t="shared" si="298"/>
        <v/>
      </c>
    </row>
    <row r="9547" spans="6:6" x14ac:dyDescent="0.2">
      <c r="F9547" s="285" t="str">
        <f t="shared" si="298"/>
        <v/>
      </c>
    </row>
    <row r="9548" spans="6:6" x14ac:dyDescent="0.2">
      <c r="F9548" s="285" t="str">
        <f t="shared" si="298"/>
        <v/>
      </c>
    </row>
    <row r="9549" spans="6:6" x14ac:dyDescent="0.2">
      <c r="F9549" s="285" t="str">
        <f t="shared" si="298"/>
        <v/>
      </c>
    </row>
    <row r="9550" spans="6:6" x14ac:dyDescent="0.2">
      <c r="F9550" s="285" t="str">
        <f t="shared" si="298"/>
        <v/>
      </c>
    </row>
    <row r="9551" spans="6:6" x14ac:dyDescent="0.2">
      <c r="F9551" s="285" t="str">
        <f t="shared" si="298"/>
        <v/>
      </c>
    </row>
    <row r="9552" spans="6:6" x14ac:dyDescent="0.2">
      <c r="F9552" s="285" t="str">
        <f t="shared" si="298"/>
        <v/>
      </c>
    </row>
    <row r="9553" spans="6:6" x14ac:dyDescent="0.2">
      <c r="F9553" s="285" t="str">
        <f t="shared" si="298"/>
        <v/>
      </c>
    </row>
    <row r="9554" spans="6:6" x14ac:dyDescent="0.2">
      <c r="F9554" s="285" t="str">
        <f t="shared" si="298"/>
        <v/>
      </c>
    </row>
    <row r="9555" spans="6:6" x14ac:dyDescent="0.2">
      <c r="F9555" s="285" t="str">
        <f t="shared" si="298"/>
        <v/>
      </c>
    </row>
    <row r="9556" spans="6:6" x14ac:dyDescent="0.2">
      <c r="F9556" s="285" t="str">
        <f t="shared" si="298"/>
        <v/>
      </c>
    </row>
    <row r="9557" spans="6:6" x14ac:dyDescent="0.2">
      <c r="F9557" s="285" t="str">
        <f t="shared" si="298"/>
        <v/>
      </c>
    </row>
    <row r="9558" spans="6:6" x14ac:dyDescent="0.2">
      <c r="F9558" s="285" t="str">
        <f t="shared" si="298"/>
        <v/>
      </c>
    </row>
    <row r="9559" spans="6:6" x14ac:dyDescent="0.2">
      <c r="F9559" s="285" t="str">
        <f t="shared" si="298"/>
        <v/>
      </c>
    </row>
    <row r="9560" spans="6:6" x14ac:dyDescent="0.2">
      <c r="F9560" s="285" t="str">
        <f t="shared" si="298"/>
        <v/>
      </c>
    </row>
    <row r="9561" spans="6:6" x14ac:dyDescent="0.2">
      <c r="F9561" s="285" t="str">
        <f t="shared" si="298"/>
        <v/>
      </c>
    </row>
    <row r="9562" spans="6:6" x14ac:dyDescent="0.2">
      <c r="F9562" s="285" t="str">
        <f t="shared" si="298"/>
        <v/>
      </c>
    </row>
    <row r="9563" spans="6:6" x14ac:dyDescent="0.2">
      <c r="F9563" s="285" t="str">
        <f t="shared" si="298"/>
        <v/>
      </c>
    </row>
    <row r="9564" spans="6:6" x14ac:dyDescent="0.2">
      <c r="F9564" s="285" t="str">
        <f t="shared" si="298"/>
        <v/>
      </c>
    </row>
    <row r="9565" spans="6:6" x14ac:dyDescent="0.2">
      <c r="F9565" s="285" t="str">
        <f t="shared" si="298"/>
        <v/>
      </c>
    </row>
    <row r="9566" spans="6:6" x14ac:dyDescent="0.2">
      <c r="F9566" s="285" t="str">
        <f t="shared" si="298"/>
        <v/>
      </c>
    </row>
    <row r="9567" spans="6:6" x14ac:dyDescent="0.2">
      <c r="F9567" s="285" t="str">
        <f t="shared" si="298"/>
        <v/>
      </c>
    </row>
    <row r="9568" spans="6:6" x14ac:dyDescent="0.2">
      <c r="F9568" s="285" t="str">
        <f t="shared" si="298"/>
        <v/>
      </c>
    </row>
    <row r="9569" spans="6:6" x14ac:dyDescent="0.2">
      <c r="F9569" s="285" t="str">
        <f t="shared" si="298"/>
        <v/>
      </c>
    </row>
    <row r="9570" spans="6:6" x14ac:dyDescent="0.2">
      <c r="F9570" s="285" t="str">
        <f t="shared" si="298"/>
        <v/>
      </c>
    </row>
    <row r="9571" spans="6:6" x14ac:dyDescent="0.2">
      <c r="F9571" s="285" t="str">
        <f t="shared" si="298"/>
        <v/>
      </c>
    </row>
    <row r="9572" spans="6:6" x14ac:dyDescent="0.2">
      <c r="F9572" s="285" t="str">
        <f t="shared" si="298"/>
        <v/>
      </c>
    </row>
    <row r="9573" spans="6:6" x14ac:dyDescent="0.2">
      <c r="F9573" s="285" t="str">
        <f t="shared" si="298"/>
        <v/>
      </c>
    </row>
    <row r="9574" spans="6:6" x14ac:dyDescent="0.2">
      <c r="F9574" s="285" t="str">
        <f t="shared" si="298"/>
        <v/>
      </c>
    </row>
    <row r="9575" spans="6:6" x14ac:dyDescent="0.2">
      <c r="F9575" s="285" t="str">
        <f t="shared" si="298"/>
        <v/>
      </c>
    </row>
    <row r="9576" spans="6:6" x14ac:dyDescent="0.2">
      <c r="F9576" s="285" t="str">
        <f t="shared" si="298"/>
        <v/>
      </c>
    </row>
    <row r="9577" spans="6:6" x14ac:dyDescent="0.2">
      <c r="F9577" s="285" t="str">
        <f t="shared" si="298"/>
        <v/>
      </c>
    </row>
    <row r="9578" spans="6:6" x14ac:dyDescent="0.2">
      <c r="F9578" s="285" t="str">
        <f t="shared" si="298"/>
        <v/>
      </c>
    </row>
    <row r="9579" spans="6:6" x14ac:dyDescent="0.2">
      <c r="F9579" s="285" t="str">
        <f t="shared" si="298"/>
        <v/>
      </c>
    </row>
    <row r="9580" spans="6:6" x14ac:dyDescent="0.2">
      <c r="F9580" s="285" t="str">
        <f t="shared" si="298"/>
        <v/>
      </c>
    </row>
    <row r="9581" spans="6:6" x14ac:dyDescent="0.2">
      <c r="F9581" s="285" t="str">
        <f t="shared" si="298"/>
        <v/>
      </c>
    </row>
    <row r="9582" spans="6:6" x14ac:dyDescent="0.2">
      <c r="F9582" s="285" t="str">
        <f t="shared" si="298"/>
        <v/>
      </c>
    </row>
    <row r="9583" spans="6:6" x14ac:dyDescent="0.2">
      <c r="F9583" s="285" t="str">
        <f t="shared" si="298"/>
        <v/>
      </c>
    </row>
    <row r="9584" spans="6:6" x14ac:dyDescent="0.2">
      <c r="F9584" s="285" t="str">
        <f t="shared" si="298"/>
        <v/>
      </c>
    </row>
    <row r="9585" spans="6:6" x14ac:dyDescent="0.2">
      <c r="F9585" s="285" t="str">
        <f t="shared" si="298"/>
        <v/>
      </c>
    </row>
    <row r="9586" spans="6:6" x14ac:dyDescent="0.2">
      <c r="F9586" s="285" t="str">
        <f t="shared" si="298"/>
        <v/>
      </c>
    </row>
    <row r="9587" spans="6:6" x14ac:dyDescent="0.2">
      <c r="F9587" s="285" t="str">
        <f t="shared" si="298"/>
        <v/>
      </c>
    </row>
    <row r="9588" spans="6:6" x14ac:dyDescent="0.2">
      <c r="F9588" s="285" t="str">
        <f t="shared" si="298"/>
        <v/>
      </c>
    </row>
    <row r="9589" spans="6:6" x14ac:dyDescent="0.2">
      <c r="F9589" s="285" t="str">
        <f t="shared" si="298"/>
        <v/>
      </c>
    </row>
    <row r="9590" spans="6:6" x14ac:dyDescent="0.2">
      <c r="F9590" s="285" t="str">
        <f t="shared" si="298"/>
        <v/>
      </c>
    </row>
    <row r="9591" spans="6:6" x14ac:dyDescent="0.2">
      <c r="F9591" s="285" t="str">
        <f t="shared" si="298"/>
        <v/>
      </c>
    </row>
    <row r="9592" spans="6:6" x14ac:dyDescent="0.2">
      <c r="F9592" s="285" t="str">
        <f t="shared" si="298"/>
        <v/>
      </c>
    </row>
    <row r="9593" spans="6:6" x14ac:dyDescent="0.2">
      <c r="F9593" s="285" t="str">
        <f t="shared" si="298"/>
        <v/>
      </c>
    </row>
    <row r="9594" spans="6:6" x14ac:dyDescent="0.2">
      <c r="F9594" s="285" t="str">
        <f t="shared" si="298"/>
        <v/>
      </c>
    </row>
    <row r="9595" spans="6:6" x14ac:dyDescent="0.2">
      <c r="F9595" s="285" t="str">
        <f t="shared" si="298"/>
        <v/>
      </c>
    </row>
    <row r="9596" spans="6:6" x14ac:dyDescent="0.2">
      <c r="F9596" s="285" t="str">
        <f t="shared" si="298"/>
        <v/>
      </c>
    </row>
    <row r="9597" spans="6:6" x14ac:dyDescent="0.2">
      <c r="F9597" s="285" t="str">
        <f t="shared" si="298"/>
        <v/>
      </c>
    </row>
    <row r="9598" spans="6:6" x14ac:dyDescent="0.2">
      <c r="F9598" s="285" t="str">
        <f t="shared" si="298"/>
        <v/>
      </c>
    </row>
    <row r="9599" spans="6:6" x14ac:dyDescent="0.2">
      <c r="F9599" s="285" t="str">
        <f t="shared" si="298"/>
        <v/>
      </c>
    </row>
    <row r="9600" spans="6:6" x14ac:dyDescent="0.2">
      <c r="F9600" s="285" t="str">
        <f t="shared" si="298"/>
        <v/>
      </c>
    </row>
    <row r="9601" spans="6:6" x14ac:dyDescent="0.2">
      <c r="F9601" s="285" t="str">
        <f t="shared" si="298"/>
        <v/>
      </c>
    </row>
    <row r="9602" spans="6:6" x14ac:dyDescent="0.2">
      <c r="F9602" s="285" t="str">
        <f t="shared" si="298"/>
        <v/>
      </c>
    </row>
    <row r="9603" spans="6:6" x14ac:dyDescent="0.2">
      <c r="F9603" s="285" t="str">
        <f t="shared" si="298"/>
        <v/>
      </c>
    </row>
    <row r="9604" spans="6:6" x14ac:dyDescent="0.2">
      <c r="F9604" s="285" t="str">
        <f t="shared" si="298"/>
        <v/>
      </c>
    </row>
    <row r="9605" spans="6:6" x14ac:dyDescent="0.2">
      <c r="F9605" s="285" t="str">
        <f t="shared" ref="F9605:F9668" si="299">IF(A9605="","",A9605)</f>
        <v/>
      </c>
    </row>
    <row r="9606" spans="6:6" x14ac:dyDescent="0.2">
      <c r="F9606" s="285" t="str">
        <f t="shared" si="299"/>
        <v/>
      </c>
    </row>
    <row r="9607" spans="6:6" x14ac:dyDescent="0.2">
      <c r="F9607" s="285" t="str">
        <f t="shared" si="299"/>
        <v/>
      </c>
    </row>
    <row r="9608" spans="6:6" x14ac:dyDescent="0.2">
      <c r="F9608" s="285" t="str">
        <f t="shared" si="299"/>
        <v/>
      </c>
    </row>
    <row r="9609" spans="6:6" x14ac:dyDescent="0.2">
      <c r="F9609" s="285" t="str">
        <f t="shared" si="299"/>
        <v/>
      </c>
    </row>
    <row r="9610" spans="6:6" x14ac:dyDescent="0.2">
      <c r="F9610" s="285" t="str">
        <f t="shared" si="299"/>
        <v/>
      </c>
    </row>
    <row r="9611" spans="6:6" x14ac:dyDescent="0.2">
      <c r="F9611" s="285" t="str">
        <f t="shared" si="299"/>
        <v/>
      </c>
    </row>
    <row r="9612" spans="6:6" x14ac:dyDescent="0.2">
      <c r="F9612" s="285" t="str">
        <f t="shared" si="299"/>
        <v/>
      </c>
    </row>
    <row r="9613" spans="6:6" x14ac:dyDescent="0.2">
      <c r="F9613" s="285" t="str">
        <f t="shared" si="299"/>
        <v/>
      </c>
    </row>
    <row r="9614" spans="6:6" x14ac:dyDescent="0.2">
      <c r="F9614" s="285" t="str">
        <f t="shared" si="299"/>
        <v/>
      </c>
    </row>
    <row r="9615" spans="6:6" x14ac:dyDescent="0.2">
      <c r="F9615" s="285" t="str">
        <f t="shared" si="299"/>
        <v/>
      </c>
    </row>
    <row r="9616" spans="6:6" x14ac:dyDescent="0.2">
      <c r="F9616" s="285" t="str">
        <f t="shared" si="299"/>
        <v/>
      </c>
    </row>
    <row r="9617" spans="6:6" x14ac:dyDescent="0.2">
      <c r="F9617" s="285" t="str">
        <f t="shared" si="299"/>
        <v/>
      </c>
    </row>
    <row r="9618" spans="6:6" x14ac:dyDescent="0.2">
      <c r="F9618" s="285" t="str">
        <f t="shared" si="299"/>
        <v/>
      </c>
    </row>
    <row r="9619" spans="6:6" x14ac:dyDescent="0.2">
      <c r="F9619" s="285" t="str">
        <f t="shared" si="299"/>
        <v/>
      </c>
    </row>
    <row r="9620" spans="6:6" x14ac:dyDescent="0.2">
      <c r="F9620" s="285" t="str">
        <f t="shared" si="299"/>
        <v/>
      </c>
    </row>
    <row r="9621" spans="6:6" x14ac:dyDescent="0.2">
      <c r="F9621" s="285" t="str">
        <f t="shared" si="299"/>
        <v/>
      </c>
    </row>
    <row r="9622" spans="6:6" x14ac:dyDescent="0.2">
      <c r="F9622" s="285" t="str">
        <f t="shared" si="299"/>
        <v/>
      </c>
    </row>
    <row r="9623" spans="6:6" x14ac:dyDescent="0.2">
      <c r="F9623" s="285" t="str">
        <f t="shared" si="299"/>
        <v/>
      </c>
    </row>
    <row r="9624" spans="6:6" x14ac:dyDescent="0.2">
      <c r="F9624" s="285" t="str">
        <f t="shared" si="299"/>
        <v/>
      </c>
    </row>
    <row r="9625" spans="6:6" x14ac:dyDescent="0.2">
      <c r="F9625" s="285" t="str">
        <f t="shared" si="299"/>
        <v/>
      </c>
    </row>
    <row r="9626" spans="6:6" x14ac:dyDescent="0.2">
      <c r="F9626" s="285" t="str">
        <f t="shared" si="299"/>
        <v/>
      </c>
    </row>
    <row r="9627" spans="6:6" x14ac:dyDescent="0.2">
      <c r="F9627" s="285" t="str">
        <f t="shared" si="299"/>
        <v/>
      </c>
    </row>
    <row r="9628" spans="6:6" x14ac:dyDescent="0.2">
      <c r="F9628" s="285" t="str">
        <f t="shared" si="299"/>
        <v/>
      </c>
    </row>
    <row r="9629" spans="6:6" x14ac:dyDescent="0.2">
      <c r="F9629" s="285" t="str">
        <f t="shared" si="299"/>
        <v/>
      </c>
    </row>
    <row r="9630" spans="6:6" x14ac:dyDescent="0.2">
      <c r="F9630" s="285" t="str">
        <f t="shared" si="299"/>
        <v/>
      </c>
    </row>
    <row r="9631" spans="6:6" x14ac:dyDescent="0.2">
      <c r="F9631" s="285" t="str">
        <f t="shared" si="299"/>
        <v/>
      </c>
    </row>
    <row r="9632" spans="6:6" x14ac:dyDescent="0.2">
      <c r="F9632" s="285" t="str">
        <f t="shared" si="299"/>
        <v/>
      </c>
    </row>
    <row r="9633" spans="6:6" x14ac:dyDescent="0.2">
      <c r="F9633" s="285" t="str">
        <f t="shared" si="299"/>
        <v/>
      </c>
    </row>
    <row r="9634" spans="6:6" x14ac:dyDescent="0.2">
      <c r="F9634" s="285" t="str">
        <f t="shared" si="299"/>
        <v/>
      </c>
    </row>
    <row r="9635" spans="6:6" x14ac:dyDescent="0.2">
      <c r="F9635" s="285" t="str">
        <f t="shared" si="299"/>
        <v/>
      </c>
    </row>
    <row r="9636" spans="6:6" x14ac:dyDescent="0.2">
      <c r="F9636" s="285" t="str">
        <f t="shared" si="299"/>
        <v/>
      </c>
    </row>
    <row r="9637" spans="6:6" x14ac:dyDescent="0.2">
      <c r="F9637" s="285" t="str">
        <f t="shared" si="299"/>
        <v/>
      </c>
    </row>
    <row r="9638" spans="6:6" x14ac:dyDescent="0.2">
      <c r="F9638" s="285" t="str">
        <f t="shared" si="299"/>
        <v/>
      </c>
    </row>
    <row r="9639" spans="6:6" x14ac:dyDescent="0.2">
      <c r="F9639" s="285" t="str">
        <f t="shared" si="299"/>
        <v/>
      </c>
    </row>
    <row r="9640" spans="6:6" x14ac:dyDescent="0.2">
      <c r="F9640" s="285" t="str">
        <f t="shared" si="299"/>
        <v/>
      </c>
    </row>
    <row r="9641" spans="6:6" x14ac:dyDescent="0.2">
      <c r="F9641" s="285" t="str">
        <f t="shared" si="299"/>
        <v/>
      </c>
    </row>
    <row r="9642" spans="6:6" x14ac:dyDescent="0.2">
      <c r="F9642" s="285" t="str">
        <f t="shared" si="299"/>
        <v/>
      </c>
    </row>
    <row r="9643" spans="6:6" x14ac:dyDescent="0.2">
      <c r="F9643" s="285" t="str">
        <f t="shared" si="299"/>
        <v/>
      </c>
    </row>
    <row r="9644" spans="6:6" x14ac:dyDescent="0.2">
      <c r="F9644" s="285" t="str">
        <f t="shared" si="299"/>
        <v/>
      </c>
    </row>
    <row r="9645" spans="6:6" x14ac:dyDescent="0.2">
      <c r="F9645" s="285" t="str">
        <f t="shared" si="299"/>
        <v/>
      </c>
    </row>
    <row r="9646" spans="6:6" x14ac:dyDescent="0.2">
      <c r="F9646" s="285" t="str">
        <f t="shared" si="299"/>
        <v/>
      </c>
    </row>
    <row r="9647" spans="6:6" x14ac:dyDescent="0.2">
      <c r="F9647" s="285" t="str">
        <f t="shared" si="299"/>
        <v/>
      </c>
    </row>
    <row r="9648" spans="6:6" x14ac:dyDescent="0.2">
      <c r="F9648" s="285" t="str">
        <f t="shared" si="299"/>
        <v/>
      </c>
    </row>
    <row r="9649" spans="6:6" x14ac:dyDescent="0.2">
      <c r="F9649" s="285" t="str">
        <f t="shared" si="299"/>
        <v/>
      </c>
    </row>
    <row r="9650" spans="6:6" x14ac:dyDescent="0.2">
      <c r="F9650" s="285" t="str">
        <f t="shared" si="299"/>
        <v/>
      </c>
    </row>
    <row r="9651" spans="6:6" x14ac:dyDescent="0.2">
      <c r="F9651" s="285" t="str">
        <f t="shared" si="299"/>
        <v/>
      </c>
    </row>
    <row r="9652" spans="6:6" x14ac:dyDescent="0.2">
      <c r="F9652" s="285" t="str">
        <f t="shared" si="299"/>
        <v/>
      </c>
    </row>
    <row r="9653" spans="6:6" x14ac:dyDescent="0.2">
      <c r="F9653" s="285" t="str">
        <f t="shared" si="299"/>
        <v/>
      </c>
    </row>
    <row r="9654" spans="6:6" x14ac:dyDescent="0.2">
      <c r="F9654" s="285" t="str">
        <f t="shared" si="299"/>
        <v/>
      </c>
    </row>
    <row r="9655" spans="6:6" x14ac:dyDescent="0.2">
      <c r="F9655" s="285" t="str">
        <f t="shared" si="299"/>
        <v/>
      </c>
    </row>
    <row r="9656" spans="6:6" x14ac:dyDescent="0.2">
      <c r="F9656" s="285" t="str">
        <f t="shared" si="299"/>
        <v/>
      </c>
    </row>
    <row r="9657" spans="6:6" x14ac:dyDescent="0.2">
      <c r="F9657" s="285" t="str">
        <f t="shared" si="299"/>
        <v/>
      </c>
    </row>
    <row r="9658" spans="6:6" x14ac:dyDescent="0.2">
      <c r="F9658" s="285" t="str">
        <f t="shared" si="299"/>
        <v/>
      </c>
    </row>
    <row r="9659" spans="6:6" x14ac:dyDescent="0.2">
      <c r="F9659" s="285" t="str">
        <f t="shared" si="299"/>
        <v/>
      </c>
    </row>
    <row r="9660" spans="6:6" x14ac:dyDescent="0.2">
      <c r="F9660" s="285" t="str">
        <f t="shared" si="299"/>
        <v/>
      </c>
    </row>
    <row r="9661" spans="6:6" x14ac:dyDescent="0.2">
      <c r="F9661" s="285" t="str">
        <f t="shared" si="299"/>
        <v/>
      </c>
    </row>
    <row r="9662" spans="6:6" x14ac:dyDescent="0.2">
      <c r="F9662" s="285" t="str">
        <f t="shared" si="299"/>
        <v/>
      </c>
    </row>
    <row r="9663" spans="6:6" x14ac:dyDescent="0.2">
      <c r="F9663" s="285" t="str">
        <f t="shared" si="299"/>
        <v/>
      </c>
    </row>
    <row r="9664" spans="6:6" x14ac:dyDescent="0.2">
      <c r="F9664" s="285" t="str">
        <f t="shared" si="299"/>
        <v/>
      </c>
    </row>
    <row r="9665" spans="6:6" x14ac:dyDescent="0.2">
      <c r="F9665" s="285" t="str">
        <f t="shared" si="299"/>
        <v/>
      </c>
    </row>
    <row r="9666" spans="6:6" x14ac:dyDescent="0.2">
      <c r="F9666" s="285" t="str">
        <f t="shared" si="299"/>
        <v/>
      </c>
    </row>
    <row r="9667" spans="6:6" x14ac:dyDescent="0.2">
      <c r="F9667" s="285" t="str">
        <f t="shared" si="299"/>
        <v/>
      </c>
    </row>
    <row r="9668" spans="6:6" x14ac:dyDescent="0.2">
      <c r="F9668" s="285" t="str">
        <f t="shared" si="299"/>
        <v/>
      </c>
    </row>
    <row r="9669" spans="6:6" x14ac:dyDescent="0.2">
      <c r="F9669" s="285" t="str">
        <f t="shared" ref="F9669:F9732" si="300">IF(A9669="","",A9669)</f>
        <v/>
      </c>
    </row>
    <row r="9670" spans="6:6" x14ac:dyDescent="0.2">
      <c r="F9670" s="285" t="str">
        <f t="shared" si="300"/>
        <v/>
      </c>
    </row>
    <row r="9671" spans="6:6" x14ac:dyDescent="0.2">
      <c r="F9671" s="285" t="str">
        <f t="shared" si="300"/>
        <v/>
      </c>
    </row>
    <row r="9672" spans="6:6" x14ac:dyDescent="0.2">
      <c r="F9672" s="285" t="str">
        <f t="shared" si="300"/>
        <v/>
      </c>
    </row>
    <row r="9673" spans="6:6" x14ac:dyDescent="0.2">
      <c r="F9673" s="285" t="str">
        <f t="shared" si="300"/>
        <v/>
      </c>
    </row>
    <row r="9674" spans="6:6" x14ac:dyDescent="0.2">
      <c r="F9674" s="285" t="str">
        <f t="shared" si="300"/>
        <v/>
      </c>
    </row>
    <row r="9675" spans="6:6" x14ac:dyDescent="0.2">
      <c r="F9675" s="285" t="str">
        <f t="shared" si="300"/>
        <v/>
      </c>
    </row>
    <row r="9676" spans="6:6" x14ac:dyDescent="0.2">
      <c r="F9676" s="285" t="str">
        <f t="shared" si="300"/>
        <v/>
      </c>
    </row>
    <row r="9677" spans="6:6" x14ac:dyDescent="0.2">
      <c r="F9677" s="285" t="str">
        <f t="shared" si="300"/>
        <v/>
      </c>
    </row>
    <row r="9678" spans="6:6" x14ac:dyDescent="0.2">
      <c r="F9678" s="285" t="str">
        <f t="shared" si="300"/>
        <v/>
      </c>
    </row>
    <row r="9679" spans="6:6" x14ac:dyDescent="0.2">
      <c r="F9679" s="285" t="str">
        <f t="shared" si="300"/>
        <v/>
      </c>
    </row>
    <row r="9680" spans="6:6" x14ac:dyDescent="0.2">
      <c r="F9680" s="285" t="str">
        <f t="shared" si="300"/>
        <v/>
      </c>
    </row>
    <row r="9681" spans="6:6" x14ac:dyDescent="0.2">
      <c r="F9681" s="285" t="str">
        <f t="shared" si="300"/>
        <v/>
      </c>
    </row>
    <row r="9682" spans="6:6" x14ac:dyDescent="0.2">
      <c r="F9682" s="285" t="str">
        <f t="shared" si="300"/>
        <v/>
      </c>
    </row>
    <row r="9683" spans="6:6" x14ac:dyDescent="0.2">
      <c r="F9683" s="285" t="str">
        <f t="shared" si="300"/>
        <v/>
      </c>
    </row>
    <row r="9684" spans="6:6" x14ac:dyDescent="0.2">
      <c r="F9684" s="285" t="str">
        <f t="shared" si="300"/>
        <v/>
      </c>
    </row>
    <row r="9685" spans="6:6" x14ac:dyDescent="0.2">
      <c r="F9685" s="285" t="str">
        <f t="shared" si="300"/>
        <v/>
      </c>
    </row>
    <row r="9686" spans="6:6" x14ac:dyDescent="0.2">
      <c r="F9686" s="285" t="str">
        <f t="shared" si="300"/>
        <v/>
      </c>
    </row>
    <row r="9687" spans="6:6" x14ac:dyDescent="0.2">
      <c r="F9687" s="285" t="str">
        <f t="shared" si="300"/>
        <v/>
      </c>
    </row>
    <row r="9688" spans="6:6" x14ac:dyDescent="0.2">
      <c r="F9688" s="285" t="str">
        <f t="shared" si="300"/>
        <v/>
      </c>
    </row>
    <row r="9689" spans="6:6" x14ac:dyDescent="0.2">
      <c r="F9689" s="285" t="str">
        <f t="shared" si="300"/>
        <v/>
      </c>
    </row>
    <row r="9690" spans="6:6" x14ac:dyDescent="0.2">
      <c r="F9690" s="285" t="str">
        <f t="shared" si="300"/>
        <v/>
      </c>
    </row>
    <row r="9691" spans="6:6" x14ac:dyDescent="0.2">
      <c r="F9691" s="285" t="str">
        <f t="shared" si="300"/>
        <v/>
      </c>
    </row>
    <row r="9692" spans="6:6" x14ac:dyDescent="0.2">
      <c r="F9692" s="285" t="str">
        <f t="shared" si="300"/>
        <v/>
      </c>
    </row>
    <row r="9693" spans="6:6" x14ac:dyDescent="0.2">
      <c r="F9693" s="285" t="str">
        <f t="shared" si="300"/>
        <v/>
      </c>
    </row>
    <row r="9694" spans="6:6" x14ac:dyDescent="0.2">
      <c r="F9694" s="285" t="str">
        <f t="shared" si="300"/>
        <v/>
      </c>
    </row>
    <row r="9695" spans="6:6" x14ac:dyDescent="0.2">
      <c r="F9695" s="285" t="str">
        <f t="shared" si="300"/>
        <v/>
      </c>
    </row>
    <row r="9696" spans="6:6" x14ac:dyDescent="0.2">
      <c r="F9696" s="285" t="str">
        <f t="shared" si="300"/>
        <v/>
      </c>
    </row>
    <row r="9697" spans="6:6" x14ac:dyDescent="0.2">
      <c r="F9697" s="285" t="str">
        <f t="shared" si="300"/>
        <v/>
      </c>
    </row>
    <row r="9698" spans="6:6" x14ac:dyDescent="0.2">
      <c r="F9698" s="285" t="str">
        <f t="shared" si="300"/>
        <v/>
      </c>
    </row>
    <row r="9699" spans="6:6" x14ac:dyDescent="0.2">
      <c r="F9699" s="285" t="str">
        <f t="shared" si="300"/>
        <v/>
      </c>
    </row>
    <row r="9700" spans="6:6" x14ac:dyDescent="0.2">
      <c r="F9700" s="285" t="str">
        <f t="shared" si="300"/>
        <v/>
      </c>
    </row>
    <row r="9701" spans="6:6" x14ac:dyDescent="0.2">
      <c r="F9701" s="285" t="str">
        <f t="shared" si="300"/>
        <v/>
      </c>
    </row>
    <row r="9702" spans="6:6" x14ac:dyDescent="0.2">
      <c r="F9702" s="285" t="str">
        <f t="shared" si="300"/>
        <v/>
      </c>
    </row>
    <row r="9703" spans="6:6" x14ac:dyDescent="0.2">
      <c r="F9703" s="285" t="str">
        <f t="shared" si="300"/>
        <v/>
      </c>
    </row>
    <row r="9704" spans="6:6" x14ac:dyDescent="0.2">
      <c r="F9704" s="285" t="str">
        <f t="shared" si="300"/>
        <v/>
      </c>
    </row>
    <row r="9705" spans="6:6" x14ac:dyDescent="0.2">
      <c r="F9705" s="285" t="str">
        <f t="shared" si="300"/>
        <v/>
      </c>
    </row>
    <row r="9706" spans="6:6" x14ac:dyDescent="0.2">
      <c r="F9706" s="285" t="str">
        <f t="shared" si="300"/>
        <v/>
      </c>
    </row>
    <row r="9707" spans="6:6" x14ac:dyDescent="0.2">
      <c r="F9707" s="285" t="str">
        <f t="shared" si="300"/>
        <v/>
      </c>
    </row>
    <row r="9708" spans="6:6" x14ac:dyDescent="0.2">
      <c r="F9708" s="285" t="str">
        <f t="shared" si="300"/>
        <v/>
      </c>
    </row>
    <row r="9709" spans="6:6" x14ac:dyDescent="0.2">
      <c r="F9709" s="285" t="str">
        <f t="shared" si="300"/>
        <v/>
      </c>
    </row>
    <row r="9710" spans="6:6" x14ac:dyDescent="0.2">
      <c r="F9710" s="285" t="str">
        <f t="shared" si="300"/>
        <v/>
      </c>
    </row>
    <row r="9711" spans="6:6" x14ac:dyDescent="0.2">
      <c r="F9711" s="285" t="str">
        <f t="shared" si="300"/>
        <v/>
      </c>
    </row>
    <row r="9712" spans="6:6" x14ac:dyDescent="0.2">
      <c r="F9712" s="285" t="str">
        <f t="shared" si="300"/>
        <v/>
      </c>
    </row>
    <row r="9713" spans="6:6" x14ac:dyDescent="0.2">
      <c r="F9713" s="285" t="str">
        <f t="shared" si="300"/>
        <v/>
      </c>
    </row>
    <row r="9714" spans="6:6" x14ac:dyDescent="0.2">
      <c r="F9714" s="285" t="str">
        <f t="shared" si="300"/>
        <v/>
      </c>
    </row>
    <row r="9715" spans="6:6" x14ac:dyDescent="0.2">
      <c r="F9715" s="285" t="str">
        <f t="shared" si="300"/>
        <v/>
      </c>
    </row>
    <row r="9716" spans="6:6" x14ac:dyDescent="0.2">
      <c r="F9716" s="285" t="str">
        <f t="shared" si="300"/>
        <v/>
      </c>
    </row>
    <row r="9717" spans="6:6" x14ac:dyDescent="0.2">
      <c r="F9717" s="285" t="str">
        <f t="shared" si="300"/>
        <v/>
      </c>
    </row>
    <row r="9718" spans="6:6" x14ac:dyDescent="0.2">
      <c r="F9718" s="285" t="str">
        <f t="shared" si="300"/>
        <v/>
      </c>
    </row>
    <row r="9719" spans="6:6" x14ac:dyDescent="0.2">
      <c r="F9719" s="285" t="str">
        <f t="shared" si="300"/>
        <v/>
      </c>
    </row>
    <row r="9720" spans="6:6" x14ac:dyDescent="0.2">
      <c r="F9720" s="285" t="str">
        <f t="shared" si="300"/>
        <v/>
      </c>
    </row>
    <row r="9721" spans="6:6" x14ac:dyDescent="0.2">
      <c r="F9721" s="285" t="str">
        <f t="shared" si="300"/>
        <v/>
      </c>
    </row>
    <row r="9722" spans="6:6" x14ac:dyDescent="0.2">
      <c r="F9722" s="285" t="str">
        <f t="shared" si="300"/>
        <v/>
      </c>
    </row>
    <row r="9723" spans="6:6" x14ac:dyDescent="0.2">
      <c r="F9723" s="285" t="str">
        <f t="shared" si="300"/>
        <v/>
      </c>
    </row>
    <row r="9724" spans="6:6" x14ac:dyDescent="0.2">
      <c r="F9724" s="285" t="str">
        <f t="shared" si="300"/>
        <v/>
      </c>
    </row>
    <row r="9725" spans="6:6" x14ac:dyDescent="0.2">
      <c r="F9725" s="285" t="str">
        <f t="shared" si="300"/>
        <v/>
      </c>
    </row>
    <row r="9726" spans="6:6" x14ac:dyDescent="0.2">
      <c r="F9726" s="285" t="str">
        <f t="shared" si="300"/>
        <v/>
      </c>
    </row>
    <row r="9727" spans="6:6" x14ac:dyDescent="0.2">
      <c r="F9727" s="285" t="str">
        <f t="shared" si="300"/>
        <v/>
      </c>
    </row>
    <row r="9728" spans="6:6" x14ac:dyDescent="0.2">
      <c r="F9728" s="285" t="str">
        <f t="shared" si="300"/>
        <v/>
      </c>
    </row>
    <row r="9729" spans="6:6" x14ac:dyDescent="0.2">
      <c r="F9729" s="285" t="str">
        <f t="shared" si="300"/>
        <v/>
      </c>
    </row>
    <row r="9730" spans="6:6" x14ac:dyDescent="0.2">
      <c r="F9730" s="285" t="str">
        <f t="shared" si="300"/>
        <v/>
      </c>
    </row>
    <row r="9731" spans="6:6" x14ac:dyDescent="0.2">
      <c r="F9731" s="285" t="str">
        <f t="shared" si="300"/>
        <v/>
      </c>
    </row>
    <row r="9732" spans="6:6" x14ac:dyDescent="0.2">
      <c r="F9732" s="285" t="str">
        <f t="shared" si="300"/>
        <v/>
      </c>
    </row>
    <row r="9733" spans="6:6" x14ac:dyDescent="0.2">
      <c r="F9733" s="285" t="str">
        <f t="shared" ref="F9733:F9796" si="301">IF(A9733="","",A9733)</f>
        <v/>
      </c>
    </row>
    <row r="9734" spans="6:6" x14ac:dyDescent="0.2">
      <c r="F9734" s="285" t="str">
        <f t="shared" si="301"/>
        <v/>
      </c>
    </row>
    <row r="9735" spans="6:6" x14ac:dyDescent="0.2">
      <c r="F9735" s="285" t="str">
        <f t="shared" si="301"/>
        <v/>
      </c>
    </row>
    <row r="9736" spans="6:6" x14ac:dyDescent="0.2">
      <c r="F9736" s="285" t="str">
        <f t="shared" si="301"/>
        <v/>
      </c>
    </row>
    <row r="9737" spans="6:6" x14ac:dyDescent="0.2">
      <c r="F9737" s="285" t="str">
        <f t="shared" si="301"/>
        <v/>
      </c>
    </row>
    <row r="9738" spans="6:6" x14ac:dyDescent="0.2">
      <c r="F9738" s="285" t="str">
        <f t="shared" si="301"/>
        <v/>
      </c>
    </row>
    <row r="9739" spans="6:6" x14ac:dyDescent="0.2">
      <c r="F9739" s="285" t="str">
        <f t="shared" si="301"/>
        <v/>
      </c>
    </row>
    <row r="9740" spans="6:6" x14ac:dyDescent="0.2">
      <c r="F9740" s="285" t="str">
        <f t="shared" si="301"/>
        <v/>
      </c>
    </row>
    <row r="9741" spans="6:6" x14ac:dyDescent="0.2">
      <c r="F9741" s="285" t="str">
        <f t="shared" si="301"/>
        <v/>
      </c>
    </row>
    <row r="9742" spans="6:6" x14ac:dyDescent="0.2">
      <c r="F9742" s="285" t="str">
        <f t="shared" si="301"/>
        <v/>
      </c>
    </row>
    <row r="9743" spans="6:6" x14ac:dyDescent="0.2">
      <c r="F9743" s="285" t="str">
        <f t="shared" si="301"/>
        <v/>
      </c>
    </row>
    <row r="9744" spans="6:6" x14ac:dyDescent="0.2">
      <c r="F9744" s="285" t="str">
        <f t="shared" si="301"/>
        <v/>
      </c>
    </row>
    <row r="9745" spans="6:6" x14ac:dyDescent="0.2">
      <c r="F9745" s="285" t="str">
        <f t="shared" si="301"/>
        <v/>
      </c>
    </row>
    <row r="9746" spans="6:6" x14ac:dyDescent="0.2">
      <c r="F9746" s="285" t="str">
        <f t="shared" si="301"/>
        <v/>
      </c>
    </row>
    <row r="9747" spans="6:6" x14ac:dyDescent="0.2">
      <c r="F9747" s="285" t="str">
        <f t="shared" si="301"/>
        <v/>
      </c>
    </row>
    <row r="9748" spans="6:6" x14ac:dyDescent="0.2">
      <c r="F9748" s="285" t="str">
        <f t="shared" si="301"/>
        <v/>
      </c>
    </row>
    <row r="9749" spans="6:6" x14ac:dyDescent="0.2">
      <c r="F9749" s="285" t="str">
        <f t="shared" si="301"/>
        <v/>
      </c>
    </row>
    <row r="9750" spans="6:6" x14ac:dyDescent="0.2">
      <c r="F9750" s="285" t="str">
        <f t="shared" si="301"/>
        <v/>
      </c>
    </row>
    <row r="9751" spans="6:6" x14ac:dyDescent="0.2">
      <c r="F9751" s="285" t="str">
        <f t="shared" si="301"/>
        <v/>
      </c>
    </row>
    <row r="9752" spans="6:6" x14ac:dyDescent="0.2">
      <c r="F9752" s="285" t="str">
        <f t="shared" si="301"/>
        <v/>
      </c>
    </row>
    <row r="9753" spans="6:6" x14ac:dyDescent="0.2">
      <c r="F9753" s="285" t="str">
        <f t="shared" si="301"/>
        <v/>
      </c>
    </row>
    <row r="9754" spans="6:6" x14ac:dyDescent="0.2">
      <c r="F9754" s="285" t="str">
        <f t="shared" si="301"/>
        <v/>
      </c>
    </row>
    <row r="9755" spans="6:6" x14ac:dyDescent="0.2">
      <c r="F9755" s="285" t="str">
        <f t="shared" si="301"/>
        <v/>
      </c>
    </row>
    <row r="9756" spans="6:6" x14ac:dyDescent="0.2">
      <c r="F9756" s="285" t="str">
        <f t="shared" si="301"/>
        <v/>
      </c>
    </row>
    <row r="9757" spans="6:6" x14ac:dyDescent="0.2">
      <c r="F9757" s="285" t="str">
        <f t="shared" si="301"/>
        <v/>
      </c>
    </row>
    <row r="9758" spans="6:6" x14ac:dyDescent="0.2">
      <c r="F9758" s="285" t="str">
        <f t="shared" si="301"/>
        <v/>
      </c>
    </row>
    <row r="9759" spans="6:6" x14ac:dyDescent="0.2">
      <c r="F9759" s="285" t="str">
        <f t="shared" si="301"/>
        <v/>
      </c>
    </row>
    <row r="9760" spans="6:6" x14ac:dyDescent="0.2">
      <c r="F9760" s="285" t="str">
        <f t="shared" si="301"/>
        <v/>
      </c>
    </row>
    <row r="9761" spans="6:6" x14ac:dyDescent="0.2">
      <c r="F9761" s="285" t="str">
        <f t="shared" si="301"/>
        <v/>
      </c>
    </row>
    <row r="9762" spans="6:6" x14ac:dyDescent="0.2">
      <c r="F9762" s="285" t="str">
        <f t="shared" si="301"/>
        <v/>
      </c>
    </row>
    <row r="9763" spans="6:6" x14ac:dyDescent="0.2">
      <c r="F9763" s="285" t="str">
        <f t="shared" si="301"/>
        <v/>
      </c>
    </row>
    <row r="9764" spans="6:6" x14ac:dyDescent="0.2">
      <c r="F9764" s="285" t="str">
        <f t="shared" si="301"/>
        <v/>
      </c>
    </row>
    <row r="9765" spans="6:6" x14ac:dyDescent="0.2">
      <c r="F9765" s="285" t="str">
        <f t="shared" si="301"/>
        <v/>
      </c>
    </row>
    <row r="9766" spans="6:6" x14ac:dyDescent="0.2">
      <c r="F9766" s="285" t="str">
        <f t="shared" si="301"/>
        <v/>
      </c>
    </row>
    <row r="9767" spans="6:6" x14ac:dyDescent="0.2">
      <c r="F9767" s="285" t="str">
        <f t="shared" si="301"/>
        <v/>
      </c>
    </row>
    <row r="9768" spans="6:6" x14ac:dyDescent="0.2">
      <c r="F9768" s="285" t="str">
        <f t="shared" si="301"/>
        <v/>
      </c>
    </row>
    <row r="9769" spans="6:6" x14ac:dyDescent="0.2">
      <c r="F9769" s="285" t="str">
        <f t="shared" si="301"/>
        <v/>
      </c>
    </row>
    <row r="9770" spans="6:6" x14ac:dyDescent="0.2">
      <c r="F9770" s="285" t="str">
        <f t="shared" si="301"/>
        <v/>
      </c>
    </row>
    <row r="9771" spans="6:6" x14ac:dyDescent="0.2">
      <c r="F9771" s="285" t="str">
        <f t="shared" si="301"/>
        <v/>
      </c>
    </row>
    <row r="9772" spans="6:6" x14ac:dyDescent="0.2">
      <c r="F9772" s="285" t="str">
        <f t="shared" si="301"/>
        <v/>
      </c>
    </row>
    <row r="9773" spans="6:6" x14ac:dyDescent="0.2">
      <c r="F9773" s="285" t="str">
        <f t="shared" si="301"/>
        <v/>
      </c>
    </row>
    <row r="9774" spans="6:6" x14ac:dyDescent="0.2">
      <c r="F9774" s="285" t="str">
        <f t="shared" si="301"/>
        <v/>
      </c>
    </row>
    <row r="9775" spans="6:6" x14ac:dyDescent="0.2">
      <c r="F9775" s="285" t="str">
        <f t="shared" si="301"/>
        <v/>
      </c>
    </row>
    <row r="9776" spans="6:6" x14ac:dyDescent="0.2">
      <c r="F9776" s="285" t="str">
        <f t="shared" si="301"/>
        <v/>
      </c>
    </row>
    <row r="9777" spans="6:6" x14ac:dyDescent="0.2">
      <c r="F9777" s="285" t="str">
        <f t="shared" si="301"/>
        <v/>
      </c>
    </row>
    <row r="9778" spans="6:6" x14ac:dyDescent="0.2">
      <c r="F9778" s="285" t="str">
        <f t="shared" si="301"/>
        <v/>
      </c>
    </row>
    <row r="9779" spans="6:6" x14ac:dyDescent="0.2">
      <c r="F9779" s="285" t="str">
        <f t="shared" si="301"/>
        <v/>
      </c>
    </row>
    <row r="9780" spans="6:6" x14ac:dyDescent="0.2">
      <c r="F9780" s="285" t="str">
        <f t="shared" si="301"/>
        <v/>
      </c>
    </row>
    <row r="9781" spans="6:6" x14ac:dyDescent="0.2">
      <c r="F9781" s="285" t="str">
        <f t="shared" si="301"/>
        <v/>
      </c>
    </row>
    <row r="9782" spans="6:6" x14ac:dyDescent="0.2">
      <c r="F9782" s="285" t="str">
        <f t="shared" si="301"/>
        <v/>
      </c>
    </row>
    <row r="9783" spans="6:6" x14ac:dyDescent="0.2">
      <c r="F9783" s="285" t="str">
        <f t="shared" si="301"/>
        <v/>
      </c>
    </row>
    <row r="9784" spans="6:6" x14ac:dyDescent="0.2">
      <c r="F9784" s="285" t="str">
        <f t="shared" si="301"/>
        <v/>
      </c>
    </row>
    <row r="9785" spans="6:6" x14ac:dyDescent="0.2">
      <c r="F9785" s="285" t="str">
        <f t="shared" si="301"/>
        <v/>
      </c>
    </row>
    <row r="9786" spans="6:6" x14ac:dyDescent="0.2">
      <c r="F9786" s="285" t="str">
        <f t="shared" si="301"/>
        <v/>
      </c>
    </row>
    <row r="9787" spans="6:6" x14ac:dyDescent="0.2">
      <c r="F9787" s="285" t="str">
        <f t="shared" si="301"/>
        <v/>
      </c>
    </row>
    <row r="9788" spans="6:6" x14ac:dyDescent="0.2">
      <c r="F9788" s="285" t="str">
        <f t="shared" si="301"/>
        <v/>
      </c>
    </row>
    <row r="9789" spans="6:6" x14ac:dyDescent="0.2">
      <c r="F9789" s="285" t="str">
        <f t="shared" si="301"/>
        <v/>
      </c>
    </row>
    <row r="9790" spans="6:6" x14ac:dyDescent="0.2">
      <c r="F9790" s="285" t="str">
        <f t="shared" si="301"/>
        <v/>
      </c>
    </row>
    <row r="9791" spans="6:6" x14ac:dyDescent="0.2">
      <c r="F9791" s="285" t="str">
        <f t="shared" si="301"/>
        <v/>
      </c>
    </row>
    <row r="9792" spans="6:6" x14ac:dyDescent="0.2">
      <c r="F9792" s="285" t="str">
        <f t="shared" si="301"/>
        <v/>
      </c>
    </row>
    <row r="9793" spans="6:6" x14ac:dyDescent="0.2">
      <c r="F9793" s="285" t="str">
        <f t="shared" si="301"/>
        <v/>
      </c>
    </row>
    <row r="9794" spans="6:6" x14ac:dyDescent="0.2">
      <c r="F9794" s="285" t="str">
        <f t="shared" si="301"/>
        <v/>
      </c>
    </row>
    <row r="9795" spans="6:6" x14ac:dyDescent="0.2">
      <c r="F9795" s="285" t="str">
        <f t="shared" si="301"/>
        <v/>
      </c>
    </row>
    <row r="9796" spans="6:6" x14ac:dyDescent="0.2">
      <c r="F9796" s="285" t="str">
        <f t="shared" si="301"/>
        <v/>
      </c>
    </row>
    <row r="9797" spans="6:6" x14ac:dyDescent="0.2">
      <c r="F9797" s="285" t="str">
        <f t="shared" ref="F9797:F9860" si="302">IF(A9797="","",A9797)</f>
        <v/>
      </c>
    </row>
    <row r="9798" spans="6:6" x14ac:dyDescent="0.2">
      <c r="F9798" s="285" t="str">
        <f t="shared" si="302"/>
        <v/>
      </c>
    </row>
    <row r="9799" spans="6:6" x14ac:dyDescent="0.2">
      <c r="F9799" s="285" t="str">
        <f t="shared" si="302"/>
        <v/>
      </c>
    </row>
    <row r="9800" spans="6:6" x14ac:dyDescent="0.2">
      <c r="F9800" s="285" t="str">
        <f t="shared" si="302"/>
        <v/>
      </c>
    </row>
    <row r="9801" spans="6:6" x14ac:dyDescent="0.2">
      <c r="F9801" s="285" t="str">
        <f t="shared" si="302"/>
        <v/>
      </c>
    </row>
    <row r="9802" spans="6:6" x14ac:dyDescent="0.2">
      <c r="F9802" s="285" t="str">
        <f t="shared" si="302"/>
        <v/>
      </c>
    </row>
    <row r="9803" spans="6:6" x14ac:dyDescent="0.2">
      <c r="F9803" s="285" t="str">
        <f t="shared" si="302"/>
        <v/>
      </c>
    </row>
    <row r="9804" spans="6:6" x14ac:dyDescent="0.2">
      <c r="F9804" s="285" t="str">
        <f t="shared" si="302"/>
        <v/>
      </c>
    </row>
    <row r="9805" spans="6:6" x14ac:dyDescent="0.2">
      <c r="F9805" s="285" t="str">
        <f t="shared" si="302"/>
        <v/>
      </c>
    </row>
    <row r="9806" spans="6:6" x14ac:dyDescent="0.2">
      <c r="F9806" s="285" t="str">
        <f t="shared" si="302"/>
        <v/>
      </c>
    </row>
    <row r="9807" spans="6:6" x14ac:dyDescent="0.2">
      <c r="F9807" s="285" t="str">
        <f t="shared" si="302"/>
        <v/>
      </c>
    </row>
    <row r="9808" spans="6:6" x14ac:dyDescent="0.2">
      <c r="F9808" s="285" t="str">
        <f t="shared" si="302"/>
        <v/>
      </c>
    </row>
    <row r="9809" spans="6:6" x14ac:dyDescent="0.2">
      <c r="F9809" s="285" t="str">
        <f t="shared" si="302"/>
        <v/>
      </c>
    </row>
    <row r="9810" spans="6:6" x14ac:dyDescent="0.2">
      <c r="F9810" s="285" t="str">
        <f t="shared" si="302"/>
        <v/>
      </c>
    </row>
    <row r="9811" spans="6:6" x14ac:dyDescent="0.2">
      <c r="F9811" s="285" t="str">
        <f t="shared" si="302"/>
        <v/>
      </c>
    </row>
    <row r="9812" spans="6:6" x14ac:dyDescent="0.2">
      <c r="F9812" s="285" t="str">
        <f t="shared" si="302"/>
        <v/>
      </c>
    </row>
    <row r="9813" spans="6:6" x14ac:dyDescent="0.2">
      <c r="F9813" s="285" t="str">
        <f t="shared" si="302"/>
        <v/>
      </c>
    </row>
    <row r="9814" spans="6:6" x14ac:dyDescent="0.2">
      <c r="F9814" s="285" t="str">
        <f t="shared" si="302"/>
        <v/>
      </c>
    </row>
    <row r="9815" spans="6:6" x14ac:dyDescent="0.2">
      <c r="F9815" s="285" t="str">
        <f t="shared" si="302"/>
        <v/>
      </c>
    </row>
    <row r="9816" spans="6:6" x14ac:dyDescent="0.2">
      <c r="F9816" s="285" t="str">
        <f t="shared" si="302"/>
        <v/>
      </c>
    </row>
    <row r="9817" spans="6:6" x14ac:dyDescent="0.2">
      <c r="F9817" s="285" t="str">
        <f t="shared" si="302"/>
        <v/>
      </c>
    </row>
    <row r="9818" spans="6:6" x14ac:dyDescent="0.2">
      <c r="F9818" s="285" t="str">
        <f t="shared" si="302"/>
        <v/>
      </c>
    </row>
    <row r="9819" spans="6:6" x14ac:dyDescent="0.2">
      <c r="F9819" s="285" t="str">
        <f t="shared" si="302"/>
        <v/>
      </c>
    </row>
    <row r="9820" spans="6:6" x14ac:dyDescent="0.2">
      <c r="F9820" s="285" t="str">
        <f t="shared" si="302"/>
        <v/>
      </c>
    </row>
    <row r="9821" spans="6:6" x14ac:dyDescent="0.2">
      <c r="F9821" s="285" t="str">
        <f t="shared" si="302"/>
        <v/>
      </c>
    </row>
    <row r="9822" spans="6:6" x14ac:dyDescent="0.2">
      <c r="F9822" s="285" t="str">
        <f t="shared" si="302"/>
        <v/>
      </c>
    </row>
    <row r="9823" spans="6:6" x14ac:dyDescent="0.2">
      <c r="F9823" s="285" t="str">
        <f t="shared" si="302"/>
        <v/>
      </c>
    </row>
    <row r="9824" spans="6:6" x14ac:dyDescent="0.2">
      <c r="F9824" s="285" t="str">
        <f t="shared" si="302"/>
        <v/>
      </c>
    </row>
    <row r="9825" spans="6:6" x14ac:dyDescent="0.2">
      <c r="F9825" s="285" t="str">
        <f t="shared" si="302"/>
        <v/>
      </c>
    </row>
    <row r="9826" spans="6:6" x14ac:dyDescent="0.2">
      <c r="F9826" s="285" t="str">
        <f t="shared" si="302"/>
        <v/>
      </c>
    </row>
    <row r="9827" spans="6:6" x14ac:dyDescent="0.2">
      <c r="F9827" s="285" t="str">
        <f t="shared" si="302"/>
        <v/>
      </c>
    </row>
    <row r="9828" spans="6:6" x14ac:dyDescent="0.2">
      <c r="F9828" s="285" t="str">
        <f t="shared" si="302"/>
        <v/>
      </c>
    </row>
    <row r="9829" spans="6:6" x14ac:dyDescent="0.2">
      <c r="F9829" s="285" t="str">
        <f t="shared" si="302"/>
        <v/>
      </c>
    </row>
    <row r="9830" spans="6:6" x14ac:dyDescent="0.2">
      <c r="F9830" s="285" t="str">
        <f t="shared" si="302"/>
        <v/>
      </c>
    </row>
    <row r="9831" spans="6:6" x14ac:dyDescent="0.2">
      <c r="F9831" s="285" t="str">
        <f t="shared" si="302"/>
        <v/>
      </c>
    </row>
    <row r="9832" spans="6:6" x14ac:dyDescent="0.2">
      <c r="F9832" s="285" t="str">
        <f t="shared" si="302"/>
        <v/>
      </c>
    </row>
    <row r="9833" spans="6:6" x14ac:dyDescent="0.2">
      <c r="F9833" s="285" t="str">
        <f t="shared" si="302"/>
        <v/>
      </c>
    </row>
    <row r="9834" spans="6:6" x14ac:dyDescent="0.2">
      <c r="F9834" s="285" t="str">
        <f t="shared" si="302"/>
        <v/>
      </c>
    </row>
    <row r="9835" spans="6:6" x14ac:dyDescent="0.2">
      <c r="F9835" s="285" t="str">
        <f t="shared" si="302"/>
        <v/>
      </c>
    </row>
    <row r="9836" spans="6:6" x14ac:dyDescent="0.2">
      <c r="F9836" s="285" t="str">
        <f t="shared" si="302"/>
        <v/>
      </c>
    </row>
    <row r="9837" spans="6:6" x14ac:dyDescent="0.2">
      <c r="F9837" s="285" t="str">
        <f t="shared" si="302"/>
        <v/>
      </c>
    </row>
    <row r="9838" spans="6:6" x14ac:dyDescent="0.2">
      <c r="F9838" s="285" t="str">
        <f t="shared" si="302"/>
        <v/>
      </c>
    </row>
    <row r="9839" spans="6:6" x14ac:dyDescent="0.2">
      <c r="F9839" s="285" t="str">
        <f t="shared" si="302"/>
        <v/>
      </c>
    </row>
    <row r="9840" spans="6:6" x14ac:dyDescent="0.2">
      <c r="F9840" s="285" t="str">
        <f t="shared" si="302"/>
        <v/>
      </c>
    </row>
    <row r="9841" spans="6:6" x14ac:dyDescent="0.2">
      <c r="F9841" s="285" t="str">
        <f t="shared" si="302"/>
        <v/>
      </c>
    </row>
    <row r="9842" spans="6:6" x14ac:dyDescent="0.2">
      <c r="F9842" s="285" t="str">
        <f t="shared" si="302"/>
        <v/>
      </c>
    </row>
    <row r="9843" spans="6:6" x14ac:dyDescent="0.2">
      <c r="F9843" s="285" t="str">
        <f t="shared" si="302"/>
        <v/>
      </c>
    </row>
    <row r="9844" spans="6:6" x14ac:dyDescent="0.2">
      <c r="F9844" s="285" t="str">
        <f t="shared" si="302"/>
        <v/>
      </c>
    </row>
    <row r="9845" spans="6:6" x14ac:dyDescent="0.2">
      <c r="F9845" s="285" t="str">
        <f t="shared" si="302"/>
        <v/>
      </c>
    </row>
    <row r="9846" spans="6:6" x14ac:dyDescent="0.2">
      <c r="F9846" s="285" t="str">
        <f t="shared" si="302"/>
        <v/>
      </c>
    </row>
    <row r="9847" spans="6:6" x14ac:dyDescent="0.2">
      <c r="F9847" s="285" t="str">
        <f t="shared" si="302"/>
        <v/>
      </c>
    </row>
    <row r="9848" spans="6:6" x14ac:dyDescent="0.2">
      <c r="F9848" s="285" t="str">
        <f t="shared" si="302"/>
        <v/>
      </c>
    </row>
    <row r="9849" spans="6:6" x14ac:dyDescent="0.2">
      <c r="F9849" s="285" t="str">
        <f t="shared" si="302"/>
        <v/>
      </c>
    </row>
    <row r="9850" spans="6:6" x14ac:dyDescent="0.2">
      <c r="F9850" s="285" t="str">
        <f t="shared" si="302"/>
        <v/>
      </c>
    </row>
    <row r="9851" spans="6:6" x14ac:dyDescent="0.2">
      <c r="F9851" s="285" t="str">
        <f t="shared" si="302"/>
        <v/>
      </c>
    </row>
    <row r="9852" spans="6:6" x14ac:dyDescent="0.2">
      <c r="F9852" s="285" t="str">
        <f t="shared" si="302"/>
        <v/>
      </c>
    </row>
    <row r="9853" spans="6:6" x14ac:dyDescent="0.2">
      <c r="F9853" s="285" t="str">
        <f t="shared" si="302"/>
        <v/>
      </c>
    </row>
    <row r="9854" spans="6:6" x14ac:dyDescent="0.2">
      <c r="F9854" s="285" t="str">
        <f t="shared" si="302"/>
        <v/>
      </c>
    </row>
    <row r="9855" spans="6:6" x14ac:dyDescent="0.2">
      <c r="F9855" s="285" t="str">
        <f t="shared" si="302"/>
        <v/>
      </c>
    </row>
    <row r="9856" spans="6:6" x14ac:dyDescent="0.2">
      <c r="F9856" s="285" t="str">
        <f t="shared" si="302"/>
        <v/>
      </c>
    </row>
    <row r="9857" spans="6:6" x14ac:dyDescent="0.2">
      <c r="F9857" s="285" t="str">
        <f t="shared" si="302"/>
        <v/>
      </c>
    </row>
    <row r="9858" spans="6:6" x14ac:dyDescent="0.2">
      <c r="F9858" s="285" t="str">
        <f t="shared" si="302"/>
        <v/>
      </c>
    </row>
    <row r="9859" spans="6:6" x14ac:dyDescent="0.2">
      <c r="F9859" s="285" t="str">
        <f t="shared" si="302"/>
        <v/>
      </c>
    </row>
    <row r="9860" spans="6:6" x14ac:dyDescent="0.2">
      <c r="F9860" s="285" t="str">
        <f t="shared" si="302"/>
        <v/>
      </c>
    </row>
    <row r="9861" spans="6:6" x14ac:dyDescent="0.2">
      <c r="F9861" s="285" t="str">
        <f t="shared" ref="F9861:F9924" si="303">IF(A9861="","",A9861)</f>
        <v/>
      </c>
    </row>
    <row r="9862" spans="6:6" x14ac:dyDescent="0.2">
      <c r="F9862" s="285" t="str">
        <f t="shared" si="303"/>
        <v/>
      </c>
    </row>
    <row r="9863" spans="6:6" x14ac:dyDescent="0.2">
      <c r="F9863" s="285" t="str">
        <f t="shared" si="303"/>
        <v/>
      </c>
    </row>
    <row r="9864" spans="6:6" x14ac:dyDescent="0.2">
      <c r="F9864" s="285" t="str">
        <f t="shared" si="303"/>
        <v/>
      </c>
    </row>
    <row r="9865" spans="6:6" x14ac:dyDescent="0.2">
      <c r="F9865" s="285" t="str">
        <f t="shared" si="303"/>
        <v/>
      </c>
    </row>
    <row r="9866" spans="6:6" x14ac:dyDescent="0.2">
      <c r="F9866" s="285" t="str">
        <f t="shared" si="303"/>
        <v/>
      </c>
    </row>
    <row r="9867" spans="6:6" x14ac:dyDescent="0.2">
      <c r="F9867" s="285" t="str">
        <f t="shared" si="303"/>
        <v/>
      </c>
    </row>
    <row r="9868" spans="6:6" x14ac:dyDescent="0.2">
      <c r="F9868" s="285" t="str">
        <f t="shared" si="303"/>
        <v/>
      </c>
    </row>
    <row r="9869" spans="6:6" x14ac:dyDescent="0.2">
      <c r="F9869" s="285" t="str">
        <f t="shared" si="303"/>
        <v/>
      </c>
    </row>
    <row r="9870" spans="6:6" x14ac:dyDescent="0.2">
      <c r="F9870" s="285" t="str">
        <f t="shared" si="303"/>
        <v/>
      </c>
    </row>
    <row r="9871" spans="6:6" x14ac:dyDescent="0.2">
      <c r="F9871" s="285" t="str">
        <f t="shared" si="303"/>
        <v/>
      </c>
    </row>
    <row r="9872" spans="6:6" x14ac:dyDescent="0.2">
      <c r="F9872" s="285" t="str">
        <f t="shared" si="303"/>
        <v/>
      </c>
    </row>
    <row r="9873" spans="6:6" x14ac:dyDescent="0.2">
      <c r="F9873" s="285" t="str">
        <f t="shared" si="303"/>
        <v/>
      </c>
    </row>
    <row r="9874" spans="6:6" x14ac:dyDescent="0.2">
      <c r="F9874" s="285" t="str">
        <f t="shared" si="303"/>
        <v/>
      </c>
    </row>
    <row r="9875" spans="6:6" x14ac:dyDescent="0.2">
      <c r="F9875" s="285" t="str">
        <f t="shared" si="303"/>
        <v/>
      </c>
    </row>
    <row r="9876" spans="6:6" x14ac:dyDescent="0.2">
      <c r="F9876" s="285" t="str">
        <f t="shared" si="303"/>
        <v/>
      </c>
    </row>
    <row r="9877" spans="6:6" x14ac:dyDescent="0.2">
      <c r="F9877" s="285" t="str">
        <f t="shared" si="303"/>
        <v/>
      </c>
    </row>
    <row r="9878" spans="6:6" x14ac:dyDescent="0.2">
      <c r="F9878" s="285" t="str">
        <f t="shared" si="303"/>
        <v/>
      </c>
    </row>
    <row r="9879" spans="6:6" x14ac:dyDescent="0.2">
      <c r="F9879" s="285" t="str">
        <f t="shared" si="303"/>
        <v/>
      </c>
    </row>
    <row r="9880" spans="6:6" x14ac:dyDescent="0.2">
      <c r="F9880" s="285" t="str">
        <f t="shared" si="303"/>
        <v/>
      </c>
    </row>
    <row r="9881" spans="6:6" x14ac:dyDescent="0.2">
      <c r="F9881" s="285" t="str">
        <f t="shared" si="303"/>
        <v/>
      </c>
    </row>
    <row r="9882" spans="6:6" x14ac:dyDescent="0.2">
      <c r="F9882" s="285" t="str">
        <f t="shared" si="303"/>
        <v/>
      </c>
    </row>
    <row r="9883" spans="6:6" x14ac:dyDescent="0.2">
      <c r="F9883" s="285" t="str">
        <f t="shared" si="303"/>
        <v/>
      </c>
    </row>
    <row r="9884" spans="6:6" x14ac:dyDescent="0.2">
      <c r="F9884" s="285" t="str">
        <f t="shared" si="303"/>
        <v/>
      </c>
    </row>
    <row r="9885" spans="6:6" x14ac:dyDescent="0.2">
      <c r="F9885" s="285" t="str">
        <f t="shared" si="303"/>
        <v/>
      </c>
    </row>
    <row r="9886" spans="6:6" x14ac:dyDescent="0.2">
      <c r="F9886" s="285" t="str">
        <f t="shared" si="303"/>
        <v/>
      </c>
    </row>
    <row r="9887" spans="6:6" x14ac:dyDescent="0.2">
      <c r="F9887" s="285" t="str">
        <f t="shared" si="303"/>
        <v/>
      </c>
    </row>
    <row r="9888" spans="6:6" x14ac:dyDescent="0.2">
      <c r="F9888" s="285" t="str">
        <f t="shared" si="303"/>
        <v/>
      </c>
    </row>
    <row r="9889" spans="6:6" x14ac:dyDescent="0.2">
      <c r="F9889" s="285" t="str">
        <f t="shared" si="303"/>
        <v/>
      </c>
    </row>
    <row r="9890" spans="6:6" x14ac:dyDescent="0.2">
      <c r="F9890" s="285" t="str">
        <f t="shared" si="303"/>
        <v/>
      </c>
    </row>
    <row r="9891" spans="6:6" x14ac:dyDescent="0.2">
      <c r="F9891" s="285" t="str">
        <f t="shared" si="303"/>
        <v/>
      </c>
    </row>
    <row r="9892" spans="6:6" x14ac:dyDescent="0.2">
      <c r="F9892" s="285" t="str">
        <f t="shared" si="303"/>
        <v/>
      </c>
    </row>
    <row r="9893" spans="6:6" x14ac:dyDescent="0.2">
      <c r="F9893" s="285" t="str">
        <f t="shared" si="303"/>
        <v/>
      </c>
    </row>
    <row r="9894" spans="6:6" x14ac:dyDescent="0.2">
      <c r="F9894" s="285" t="str">
        <f t="shared" si="303"/>
        <v/>
      </c>
    </row>
    <row r="9895" spans="6:6" x14ac:dyDescent="0.2">
      <c r="F9895" s="285" t="str">
        <f t="shared" si="303"/>
        <v/>
      </c>
    </row>
    <row r="9896" spans="6:6" x14ac:dyDescent="0.2">
      <c r="F9896" s="285" t="str">
        <f t="shared" si="303"/>
        <v/>
      </c>
    </row>
    <row r="9897" spans="6:6" x14ac:dyDescent="0.2">
      <c r="F9897" s="285" t="str">
        <f t="shared" si="303"/>
        <v/>
      </c>
    </row>
    <row r="9898" spans="6:6" x14ac:dyDescent="0.2">
      <c r="F9898" s="285" t="str">
        <f t="shared" si="303"/>
        <v/>
      </c>
    </row>
    <row r="9899" spans="6:6" x14ac:dyDescent="0.2">
      <c r="F9899" s="285" t="str">
        <f t="shared" si="303"/>
        <v/>
      </c>
    </row>
    <row r="9900" spans="6:6" x14ac:dyDescent="0.2">
      <c r="F9900" s="285" t="str">
        <f t="shared" si="303"/>
        <v/>
      </c>
    </row>
    <row r="9901" spans="6:6" x14ac:dyDescent="0.2">
      <c r="F9901" s="285" t="str">
        <f t="shared" si="303"/>
        <v/>
      </c>
    </row>
    <row r="9902" spans="6:6" x14ac:dyDescent="0.2">
      <c r="F9902" s="285" t="str">
        <f t="shared" si="303"/>
        <v/>
      </c>
    </row>
    <row r="9903" spans="6:6" x14ac:dyDescent="0.2">
      <c r="F9903" s="285" t="str">
        <f t="shared" si="303"/>
        <v/>
      </c>
    </row>
    <row r="9904" spans="6:6" x14ac:dyDescent="0.2">
      <c r="F9904" s="285" t="str">
        <f t="shared" si="303"/>
        <v/>
      </c>
    </row>
    <row r="9905" spans="6:6" x14ac:dyDescent="0.2">
      <c r="F9905" s="285" t="str">
        <f t="shared" si="303"/>
        <v/>
      </c>
    </row>
    <row r="9906" spans="6:6" x14ac:dyDescent="0.2">
      <c r="F9906" s="285" t="str">
        <f t="shared" si="303"/>
        <v/>
      </c>
    </row>
    <row r="9907" spans="6:6" x14ac:dyDescent="0.2">
      <c r="F9907" s="285" t="str">
        <f t="shared" si="303"/>
        <v/>
      </c>
    </row>
    <row r="9908" spans="6:6" x14ac:dyDescent="0.2">
      <c r="F9908" s="285" t="str">
        <f t="shared" si="303"/>
        <v/>
      </c>
    </row>
    <row r="9909" spans="6:6" x14ac:dyDescent="0.2">
      <c r="F9909" s="285" t="str">
        <f t="shared" si="303"/>
        <v/>
      </c>
    </row>
    <row r="9910" spans="6:6" x14ac:dyDescent="0.2">
      <c r="F9910" s="285" t="str">
        <f t="shared" si="303"/>
        <v/>
      </c>
    </row>
    <row r="9911" spans="6:6" x14ac:dyDescent="0.2">
      <c r="F9911" s="285" t="str">
        <f t="shared" si="303"/>
        <v/>
      </c>
    </row>
    <row r="9912" spans="6:6" x14ac:dyDescent="0.2">
      <c r="F9912" s="285" t="str">
        <f t="shared" si="303"/>
        <v/>
      </c>
    </row>
    <row r="9913" spans="6:6" x14ac:dyDescent="0.2">
      <c r="F9913" s="285" t="str">
        <f t="shared" si="303"/>
        <v/>
      </c>
    </row>
    <row r="9914" spans="6:6" x14ac:dyDescent="0.2">
      <c r="F9914" s="285" t="str">
        <f t="shared" si="303"/>
        <v/>
      </c>
    </row>
    <row r="9915" spans="6:6" x14ac:dyDescent="0.2">
      <c r="F9915" s="285" t="str">
        <f t="shared" si="303"/>
        <v/>
      </c>
    </row>
    <row r="9916" spans="6:6" x14ac:dyDescent="0.2">
      <c r="F9916" s="285" t="str">
        <f t="shared" si="303"/>
        <v/>
      </c>
    </row>
    <row r="9917" spans="6:6" x14ac:dyDescent="0.2">
      <c r="F9917" s="285" t="str">
        <f t="shared" si="303"/>
        <v/>
      </c>
    </row>
    <row r="9918" spans="6:6" x14ac:dyDescent="0.2">
      <c r="F9918" s="285" t="str">
        <f t="shared" si="303"/>
        <v/>
      </c>
    </row>
    <row r="9919" spans="6:6" x14ac:dyDescent="0.2">
      <c r="F9919" s="285" t="str">
        <f t="shared" si="303"/>
        <v/>
      </c>
    </row>
    <row r="9920" spans="6:6" x14ac:dyDescent="0.2">
      <c r="F9920" s="285" t="str">
        <f t="shared" si="303"/>
        <v/>
      </c>
    </row>
    <row r="9921" spans="6:6" x14ac:dyDescent="0.2">
      <c r="F9921" s="285" t="str">
        <f t="shared" si="303"/>
        <v/>
      </c>
    </row>
    <row r="9922" spans="6:6" x14ac:dyDescent="0.2">
      <c r="F9922" s="285" t="str">
        <f t="shared" si="303"/>
        <v/>
      </c>
    </row>
    <row r="9923" spans="6:6" x14ac:dyDescent="0.2">
      <c r="F9923" s="285" t="str">
        <f t="shared" si="303"/>
        <v/>
      </c>
    </row>
    <row r="9924" spans="6:6" x14ac:dyDescent="0.2">
      <c r="F9924" s="285" t="str">
        <f t="shared" si="303"/>
        <v/>
      </c>
    </row>
    <row r="9925" spans="6:6" x14ac:dyDescent="0.2">
      <c r="F9925" s="285" t="str">
        <f t="shared" ref="F9925:F9988" si="304">IF(A9925="","",A9925)</f>
        <v/>
      </c>
    </row>
    <row r="9926" spans="6:6" x14ac:dyDescent="0.2">
      <c r="F9926" s="285" t="str">
        <f t="shared" si="304"/>
        <v/>
      </c>
    </row>
    <row r="9927" spans="6:6" x14ac:dyDescent="0.2">
      <c r="F9927" s="285" t="str">
        <f t="shared" si="304"/>
        <v/>
      </c>
    </row>
    <row r="9928" spans="6:6" x14ac:dyDescent="0.2">
      <c r="F9928" s="285" t="str">
        <f t="shared" si="304"/>
        <v/>
      </c>
    </row>
    <row r="9929" spans="6:6" x14ac:dyDescent="0.2">
      <c r="F9929" s="285" t="str">
        <f t="shared" si="304"/>
        <v/>
      </c>
    </row>
    <row r="9930" spans="6:6" x14ac:dyDescent="0.2">
      <c r="F9930" s="285" t="str">
        <f t="shared" si="304"/>
        <v/>
      </c>
    </row>
    <row r="9931" spans="6:6" x14ac:dyDescent="0.2">
      <c r="F9931" s="285" t="str">
        <f t="shared" si="304"/>
        <v/>
      </c>
    </row>
    <row r="9932" spans="6:6" x14ac:dyDescent="0.2">
      <c r="F9932" s="285" t="str">
        <f t="shared" si="304"/>
        <v/>
      </c>
    </row>
    <row r="9933" spans="6:6" x14ac:dyDescent="0.2">
      <c r="F9933" s="285" t="str">
        <f t="shared" si="304"/>
        <v/>
      </c>
    </row>
    <row r="9934" spans="6:6" x14ac:dyDescent="0.2">
      <c r="F9934" s="285" t="str">
        <f t="shared" si="304"/>
        <v/>
      </c>
    </row>
    <row r="9935" spans="6:6" x14ac:dyDescent="0.2">
      <c r="F9935" s="285" t="str">
        <f t="shared" si="304"/>
        <v/>
      </c>
    </row>
    <row r="9936" spans="6:6" x14ac:dyDescent="0.2">
      <c r="F9936" s="285" t="str">
        <f t="shared" si="304"/>
        <v/>
      </c>
    </row>
    <row r="9937" spans="6:6" x14ac:dyDescent="0.2">
      <c r="F9937" s="285" t="str">
        <f t="shared" si="304"/>
        <v/>
      </c>
    </row>
    <row r="9938" spans="6:6" x14ac:dyDescent="0.2">
      <c r="F9938" s="285" t="str">
        <f t="shared" si="304"/>
        <v/>
      </c>
    </row>
    <row r="9939" spans="6:6" x14ac:dyDescent="0.2">
      <c r="F9939" s="285" t="str">
        <f t="shared" si="304"/>
        <v/>
      </c>
    </row>
    <row r="9940" spans="6:6" x14ac:dyDescent="0.2">
      <c r="F9940" s="285" t="str">
        <f t="shared" si="304"/>
        <v/>
      </c>
    </row>
    <row r="9941" spans="6:6" x14ac:dyDescent="0.2">
      <c r="F9941" s="285" t="str">
        <f t="shared" si="304"/>
        <v/>
      </c>
    </row>
    <row r="9942" spans="6:6" x14ac:dyDescent="0.2">
      <c r="F9942" s="285" t="str">
        <f t="shared" si="304"/>
        <v/>
      </c>
    </row>
    <row r="9943" spans="6:6" x14ac:dyDescent="0.2">
      <c r="F9943" s="285" t="str">
        <f t="shared" si="304"/>
        <v/>
      </c>
    </row>
    <row r="9944" spans="6:6" x14ac:dyDescent="0.2">
      <c r="F9944" s="285" t="str">
        <f t="shared" si="304"/>
        <v/>
      </c>
    </row>
    <row r="9945" spans="6:6" x14ac:dyDescent="0.2">
      <c r="F9945" s="285" t="str">
        <f t="shared" si="304"/>
        <v/>
      </c>
    </row>
    <row r="9946" spans="6:6" x14ac:dyDescent="0.2">
      <c r="F9946" s="285" t="str">
        <f t="shared" si="304"/>
        <v/>
      </c>
    </row>
    <row r="9947" spans="6:6" x14ac:dyDescent="0.2">
      <c r="F9947" s="285" t="str">
        <f t="shared" si="304"/>
        <v/>
      </c>
    </row>
    <row r="9948" spans="6:6" x14ac:dyDescent="0.2">
      <c r="F9948" s="285" t="str">
        <f t="shared" si="304"/>
        <v/>
      </c>
    </row>
    <row r="9949" spans="6:6" x14ac:dyDescent="0.2">
      <c r="F9949" s="285" t="str">
        <f t="shared" si="304"/>
        <v/>
      </c>
    </row>
    <row r="9950" spans="6:6" x14ac:dyDescent="0.2">
      <c r="F9950" s="285" t="str">
        <f t="shared" si="304"/>
        <v/>
      </c>
    </row>
    <row r="9951" spans="6:6" x14ac:dyDescent="0.2">
      <c r="F9951" s="285" t="str">
        <f t="shared" si="304"/>
        <v/>
      </c>
    </row>
    <row r="9952" spans="6:6" x14ac:dyDescent="0.2">
      <c r="F9952" s="285" t="str">
        <f t="shared" si="304"/>
        <v/>
      </c>
    </row>
    <row r="9953" spans="6:6" x14ac:dyDescent="0.2">
      <c r="F9953" s="285" t="str">
        <f t="shared" si="304"/>
        <v/>
      </c>
    </row>
    <row r="9954" spans="6:6" x14ac:dyDescent="0.2">
      <c r="F9954" s="285" t="str">
        <f t="shared" si="304"/>
        <v/>
      </c>
    </row>
    <row r="9955" spans="6:6" x14ac:dyDescent="0.2">
      <c r="F9955" s="285" t="str">
        <f t="shared" si="304"/>
        <v/>
      </c>
    </row>
    <row r="9956" spans="6:6" x14ac:dyDescent="0.2">
      <c r="F9956" s="285" t="str">
        <f t="shared" si="304"/>
        <v/>
      </c>
    </row>
    <row r="9957" spans="6:6" x14ac:dyDescent="0.2">
      <c r="F9957" s="285" t="str">
        <f t="shared" si="304"/>
        <v/>
      </c>
    </row>
    <row r="9958" spans="6:6" x14ac:dyDescent="0.2">
      <c r="F9958" s="285" t="str">
        <f t="shared" si="304"/>
        <v/>
      </c>
    </row>
    <row r="9959" spans="6:6" x14ac:dyDescent="0.2">
      <c r="F9959" s="285" t="str">
        <f t="shared" si="304"/>
        <v/>
      </c>
    </row>
    <row r="9960" spans="6:6" x14ac:dyDescent="0.2">
      <c r="F9960" s="285" t="str">
        <f t="shared" si="304"/>
        <v/>
      </c>
    </row>
    <row r="9961" spans="6:6" x14ac:dyDescent="0.2">
      <c r="F9961" s="285" t="str">
        <f t="shared" si="304"/>
        <v/>
      </c>
    </row>
    <row r="9962" spans="6:6" x14ac:dyDescent="0.2">
      <c r="F9962" s="285" t="str">
        <f t="shared" si="304"/>
        <v/>
      </c>
    </row>
    <row r="9963" spans="6:6" x14ac:dyDescent="0.2">
      <c r="F9963" s="285" t="str">
        <f t="shared" si="304"/>
        <v/>
      </c>
    </row>
    <row r="9964" spans="6:6" x14ac:dyDescent="0.2">
      <c r="F9964" s="285" t="str">
        <f t="shared" si="304"/>
        <v/>
      </c>
    </row>
    <row r="9965" spans="6:6" x14ac:dyDescent="0.2">
      <c r="F9965" s="285" t="str">
        <f t="shared" si="304"/>
        <v/>
      </c>
    </row>
    <row r="9966" spans="6:6" x14ac:dyDescent="0.2">
      <c r="F9966" s="285" t="str">
        <f t="shared" si="304"/>
        <v/>
      </c>
    </row>
    <row r="9967" spans="6:6" x14ac:dyDescent="0.2">
      <c r="F9967" s="285" t="str">
        <f t="shared" si="304"/>
        <v/>
      </c>
    </row>
    <row r="9968" spans="6:6" x14ac:dyDescent="0.2">
      <c r="F9968" s="285" t="str">
        <f t="shared" si="304"/>
        <v/>
      </c>
    </row>
    <row r="9969" spans="6:6" x14ac:dyDescent="0.2">
      <c r="F9969" s="285" t="str">
        <f t="shared" si="304"/>
        <v/>
      </c>
    </row>
    <row r="9970" spans="6:6" x14ac:dyDescent="0.2">
      <c r="F9970" s="285" t="str">
        <f t="shared" si="304"/>
        <v/>
      </c>
    </row>
    <row r="9971" spans="6:6" x14ac:dyDescent="0.2">
      <c r="F9971" s="285" t="str">
        <f t="shared" si="304"/>
        <v/>
      </c>
    </row>
    <row r="9972" spans="6:6" x14ac:dyDescent="0.2">
      <c r="F9972" s="285" t="str">
        <f t="shared" si="304"/>
        <v/>
      </c>
    </row>
    <row r="9973" spans="6:6" x14ac:dyDescent="0.2">
      <c r="F9973" s="285" t="str">
        <f t="shared" si="304"/>
        <v/>
      </c>
    </row>
    <row r="9974" spans="6:6" x14ac:dyDescent="0.2">
      <c r="F9974" s="285" t="str">
        <f t="shared" si="304"/>
        <v/>
      </c>
    </row>
    <row r="9975" spans="6:6" x14ac:dyDescent="0.2">
      <c r="F9975" s="285" t="str">
        <f t="shared" si="304"/>
        <v/>
      </c>
    </row>
    <row r="9976" spans="6:6" x14ac:dyDescent="0.2">
      <c r="F9976" s="285" t="str">
        <f t="shared" si="304"/>
        <v/>
      </c>
    </row>
    <row r="9977" spans="6:6" x14ac:dyDescent="0.2">
      <c r="F9977" s="285" t="str">
        <f t="shared" si="304"/>
        <v/>
      </c>
    </row>
    <row r="9978" spans="6:6" x14ac:dyDescent="0.2">
      <c r="F9978" s="285" t="str">
        <f t="shared" si="304"/>
        <v/>
      </c>
    </row>
    <row r="9979" spans="6:6" x14ac:dyDescent="0.2">
      <c r="F9979" s="285" t="str">
        <f t="shared" si="304"/>
        <v/>
      </c>
    </row>
    <row r="9980" spans="6:6" x14ac:dyDescent="0.2">
      <c r="F9980" s="285" t="str">
        <f t="shared" si="304"/>
        <v/>
      </c>
    </row>
    <row r="9981" spans="6:6" x14ac:dyDescent="0.2">
      <c r="F9981" s="285" t="str">
        <f t="shared" si="304"/>
        <v/>
      </c>
    </row>
    <row r="9982" spans="6:6" x14ac:dyDescent="0.2">
      <c r="F9982" s="285" t="str">
        <f t="shared" si="304"/>
        <v/>
      </c>
    </row>
    <row r="9983" spans="6:6" x14ac:dyDescent="0.2">
      <c r="F9983" s="285" t="str">
        <f t="shared" si="304"/>
        <v/>
      </c>
    </row>
    <row r="9984" spans="6:6" x14ac:dyDescent="0.2">
      <c r="F9984" s="285" t="str">
        <f t="shared" si="304"/>
        <v/>
      </c>
    </row>
    <row r="9985" spans="6:6" x14ac:dyDescent="0.2">
      <c r="F9985" s="285" t="str">
        <f t="shared" si="304"/>
        <v/>
      </c>
    </row>
    <row r="9986" spans="6:6" x14ac:dyDescent="0.2">
      <c r="F9986" s="285" t="str">
        <f t="shared" si="304"/>
        <v/>
      </c>
    </row>
    <row r="9987" spans="6:6" x14ac:dyDescent="0.2">
      <c r="F9987" s="285" t="str">
        <f t="shared" si="304"/>
        <v/>
      </c>
    </row>
    <row r="9988" spans="6:6" x14ac:dyDescent="0.2">
      <c r="F9988" s="285" t="str">
        <f t="shared" si="304"/>
        <v/>
      </c>
    </row>
    <row r="9989" spans="6:6" x14ac:dyDescent="0.2">
      <c r="F9989" s="285" t="str">
        <f t="shared" ref="F9989:F10052" si="305">IF(A9989="","",A9989)</f>
        <v/>
      </c>
    </row>
    <row r="9990" spans="6:6" x14ac:dyDescent="0.2">
      <c r="F9990" s="285" t="str">
        <f t="shared" si="305"/>
        <v/>
      </c>
    </row>
    <row r="9991" spans="6:6" x14ac:dyDescent="0.2">
      <c r="F9991" s="285" t="str">
        <f t="shared" si="305"/>
        <v/>
      </c>
    </row>
    <row r="9992" spans="6:6" x14ac:dyDescent="0.2">
      <c r="F9992" s="285" t="str">
        <f t="shared" si="305"/>
        <v/>
      </c>
    </row>
    <row r="9993" spans="6:6" x14ac:dyDescent="0.2">
      <c r="F9993" s="285" t="str">
        <f t="shared" si="305"/>
        <v/>
      </c>
    </row>
    <row r="9994" spans="6:6" x14ac:dyDescent="0.2">
      <c r="F9994" s="285" t="str">
        <f t="shared" si="305"/>
        <v/>
      </c>
    </row>
    <row r="9995" spans="6:6" x14ac:dyDescent="0.2">
      <c r="F9995" s="285" t="str">
        <f t="shared" si="305"/>
        <v/>
      </c>
    </row>
    <row r="9996" spans="6:6" x14ac:dyDescent="0.2">
      <c r="F9996" s="285" t="str">
        <f t="shared" si="305"/>
        <v/>
      </c>
    </row>
    <row r="9997" spans="6:6" x14ac:dyDescent="0.2">
      <c r="F9997" s="285" t="str">
        <f t="shared" si="305"/>
        <v/>
      </c>
    </row>
    <row r="9998" spans="6:6" x14ac:dyDescent="0.2">
      <c r="F9998" s="285" t="str">
        <f t="shared" si="305"/>
        <v/>
      </c>
    </row>
    <row r="9999" spans="6:6" x14ac:dyDescent="0.2">
      <c r="F9999" s="285" t="str">
        <f t="shared" si="305"/>
        <v/>
      </c>
    </row>
    <row r="10000" spans="6:6" x14ac:dyDescent="0.2">
      <c r="F10000" s="285" t="str">
        <f t="shared" si="305"/>
        <v/>
      </c>
    </row>
    <row r="10001" spans="6:6" x14ac:dyDescent="0.2">
      <c r="F10001" s="285" t="str">
        <f t="shared" si="305"/>
        <v/>
      </c>
    </row>
    <row r="10002" spans="6:6" x14ac:dyDescent="0.2">
      <c r="F10002" s="285" t="str">
        <f t="shared" si="305"/>
        <v/>
      </c>
    </row>
    <row r="10003" spans="6:6" x14ac:dyDescent="0.2">
      <c r="F10003" s="285" t="str">
        <f t="shared" si="305"/>
        <v/>
      </c>
    </row>
    <row r="10004" spans="6:6" x14ac:dyDescent="0.2">
      <c r="F10004" s="285" t="str">
        <f t="shared" si="305"/>
        <v/>
      </c>
    </row>
    <row r="10005" spans="6:6" x14ac:dyDescent="0.2">
      <c r="F10005" s="285" t="str">
        <f t="shared" si="305"/>
        <v/>
      </c>
    </row>
    <row r="10006" spans="6:6" x14ac:dyDescent="0.2">
      <c r="F10006" s="285" t="str">
        <f t="shared" si="305"/>
        <v/>
      </c>
    </row>
    <row r="10007" spans="6:6" x14ac:dyDescent="0.2">
      <c r="F10007" s="285" t="str">
        <f t="shared" si="305"/>
        <v/>
      </c>
    </row>
    <row r="10008" spans="6:6" x14ac:dyDescent="0.2">
      <c r="F10008" s="285" t="str">
        <f t="shared" si="305"/>
        <v/>
      </c>
    </row>
    <row r="10009" spans="6:6" x14ac:dyDescent="0.2">
      <c r="F10009" s="285" t="str">
        <f t="shared" si="305"/>
        <v/>
      </c>
    </row>
    <row r="10010" spans="6:6" x14ac:dyDescent="0.2">
      <c r="F10010" s="285" t="str">
        <f t="shared" si="305"/>
        <v/>
      </c>
    </row>
    <row r="10011" spans="6:6" x14ac:dyDescent="0.2">
      <c r="F10011" s="285" t="str">
        <f t="shared" si="305"/>
        <v/>
      </c>
    </row>
    <row r="10012" spans="6:6" x14ac:dyDescent="0.2">
      <c r="F10012" s="285" t="str">
        <f t="shared" si="305"/>
        <v/>
      </c>
    </row>
    <row r="10013" spans="6:6" x14ac:dyDescent="0.2">
      <c r="F10013" s="285" t="str">
        <f t="shared" si="305"/>
        <v/>
      </c>
    </row>
    <row r="10014" spans="6:6" x14ac:dyDescent="0.2">
      <c r="F10014" s="285" t="str">
        <f t="shared" si="305"/>
        <v/>
      </c>
    </row>
    <row r="10015" spans="6:6" x14ac:dyDescent="0.2">
      <c r="F10015" s="285" t="str">
        <f t="shared" si="305"/>
        <v/>
      </c>
    </row>
    <row r="10016" spans="6:6" x14ac:dyDescent="0.2">
      <c r="F10016" s="285" t="str">
        <f t="shared" si="305"/>
        <v/>
      </c>
    </row>
    <row r="10017" spans="6:6" x14ac:dyDescent="0.2">
      <c r="F10017" s="285" t="str">
        <f t="shared" si="305"/>
        <v/>
      </c>
    </row>
    <row r="10018" spans="6:6" x14ac:dyDescent="0.2">
      <c r="F10018" s="285" t="str">
        <f t="shared" si="305"/>
        <v/>
      </c>
    </row>
    <row r="10019" spans="6:6" x14ac:dyDescent="0.2">
      <c r="F10019" s="285" t="str">
        <f t="shared" si="305"/>
        <v/>
      </c>
    </row>
    <row r="10020" spans="6:6" x14ac:dyDescent="0.2">
      <c r="F10020" s="285" t="str">
        <f t="shared" si="305"/>
        <v/>
      </c>
    </row>
    <row r="10021" spans="6:6" x14ac:dyDescent="0.2">
      <c r="F10021" s="285" t="str">
        <f t="shared" si="305"/>
        <v/>
      </c>
    </row>
    <row r="10022" spans="6:6" x14ac:dyDescent="0.2">
      <c r="F10022" s="285" t="str">
        <f t="shared" si="305"/>
        <v/>
      </c>
    </row>
    <row r="10023" spans="6:6" x14ac:dyDescent="0.2">
      <c r="F10023" s="285" t="str">
        <f t="shared" si="305"/>
        <v/>
      </c>
    </row>
    <row r="10024" spans="6:6" x14ac:dyDescent="0.2">
      <c r="F10024" s="285" t="str">
        <f t="shared" si="305"/>
        <v/>
      </c>
    </row>
    <row r="10025" spans="6:6" x14ac:dyDescent="0.2">
      <c r="F10025" s="285" t="str">
        <f t="shared" si="305"/>
        <v/>
      </c>
    </row>
    <row r="10026" spans="6:6" x14ac:dyDescent="0.2">
      <c r="F10026" s="285" t="str">
        <f t="shared" si="305"/>
        <v/>
      </c>
    </row>
    <row r="10027" spans="6:6" x14ac:dyDescent="0.2">
      <c r="F10027" s="285" t="str">
        <f t="shared" si="305"/>
        <v/>
      </c>
    </row>
    <row r="10028" spans="6:6" x14ac:dyDescent="0.2">
      <c r="F10028" s="285" t="str">
        <f t="shared" si="305"/>
        <v/>
      </c>
    </row>
    <row r="10029" spans="6:6" x14ac:dyDescent="0.2">
      <c r="F10029" s="285" t="str">
        <f t="shared" si="305"/>
        <v/>
      </c>
    </row>
    <row r="10030" spans="6:6" x14ac:dyDescent="0.2">
      <c r="F10030" s="285" t="str">
        <f t="shared" si="305"/>
        <v/>
      </c>
    </row>
    <row r="10031" spans="6:6" x14ac:dyDescent="0.2">
      <c r="F10031" s="285" t="str">
        <f t="shared" si="305"/>
        <v/>
      </c>
    </row>
    <row r="10032" spans="6:6" x14ac:dyDescent="0.2">
      <c r="F10032" s="285" t="str">
        <f t="shared" si="305"/>
        <v/>
      </c>
    </row>
    <row r="10033" spans="6:6" x14ac:dyDescent="0.2">
      <c r="F10033" s="285" t="str">
        <f t="shared" si="305"/>
        <v/>
      </c>
    </row>
    <row r="10034" spans="6:6" x14ac:dyDescent="0.2">
      <c r="F10034" s="285" t="str">
        <f t="shared" si="305"/>
        <v/>
      </c>
    </row>
    <row r="10035" spans="6:6" x14ac:dyDescent="0.2">
      <c r="F10035" s="285" t="str">
        <f t="shared" si="305"/>
        <v/>
      </c>
    </row>
    <row r="10036" spans="6:6" x14ac:dyDescent="0.2">
      <c r="F10036" s="285" t="str">
        <f t="shared" si="305"/>
        <v/>
      </c>
    </row>
    <row r="10037" spans="6:6" x14ac:dyDescent="0.2">
      <c r="F10037" s="285" t="str">
        <f t="shared" si="305"/>
        <v/>
      </c>
    </row>
    <row r="10038" spans="6:6" x14ac:dyDescent="0.2">
      <c r="F10038" s="285" t="str">
        <f t="shared" si="305"/>
        <v/>
      </c>
    </row>
    <row r="10039" spans="6:6" x14ac:dyDescent="0.2">
      <c r="F10039" s="285" t="str">
        <f t="shared" si="305"/>
        <v/>
      </c>
    </row>
    <row r="10040" spans="6:6" x14ac:dyDescent="0.2">
      <c r="F10040" s="285" t="str">
        <f t="shared" si="305"/>
        <v/>
      </c>
    </row>
    <row r="10041" spans="6:6" x14ac:dyDescent="0.2">
      <c r="F10041" s="285" t="str">
        <f t="shared" si="305"/>
        <v/>
      </c>
    </row>
    <row r="10042" spans="6:6" x14ac:dyDescent="0.2">
      <c r="F10042" s="285" t="str">
        <f t="shared" si="305"/>
        <v/>
      </c>
    </row>
    <row r="10043" spans="6:6" x14ac:dyDescent="0.2">
      <c r="F10043" s="285" t="str">
        <f t="shared" si="305"/>
        <v/>
      </c>
    </row>
    <row r="10044" spans="6:6" x14ac:dyDescent="0.2">
      <c r="F10044" s="285" t="str">
        <f t="shared" si="305"/>
        <v/>
      </c>
    </row>
    <row r="10045" spans="6:6" x14ac:dyDescent="0.2">
      <c r="F10045" s="285" t="str">
        <f t="shared" si="305"/>
        <v/>
      </c>
    </row>
    <row r="10046" spans="6:6" x14ac:dyDescent="0.2">
      <c r="F10046" s="285" t="str">
        <f t="shared" si="305"/>
        <v/>
      </c>
    </row>
    <row r="10047" spans="6:6" x14ac:dyDescent="0.2">
      <c r="F10047" s="285" t="str">
        <f t="shared" si="305"/>
        <v/>
      </c>
    </row>
    <row r="10048" spans="6:6" x14ac:dyDescent="0.2">
      <c r="F10048" s="285" t="str">
        <f t="shared" si="305"/>
        <v/>
      </c>
    </row>
    <row r="10049" spans="6:6" x14ac:dyDescent="0.2">
      <c r="F10049" s="285" t="str">
        <f t="shared" si="305"/>
        <v/>
      </c>
    </row>
    <row r="10050" spans="6:6" x14ac:dyDescent="0.2">
      <c r="F10050" s="285" t="str">
        <f t="shared" si="305"/>
        <v/>
      </c>
    </row>
    <row r="10051" spans="6:6" x14ac:dyDescent="0.2">
      <c r="F10051" s="285" t="str">
        <f t="shared" si="305"/>
        <v/>
      </c>
    </row>
    <row r="10052" spans="6:6" x14ac:dyDescent="0.2">
      <c r="F10052" s="285" t="str">
        <f t="shared" si="305"/>
        <v/>
      </c>
    </row>
    <row r="10053" spans="6:6" x14ac:dyDescent="0.2">
      <c r="F10053" s="285" t="str">
        <f t="shared" ref="F10053:F10116" si="306">IF(A10053="","",A10053)</f>
        <v/>
      </c>
    </row>
    <row r="10054" spans="6:6" x14ac:dyDescent="0.2">
      <c r="F10054" s="285" t="str">
        <f t="shared" si="306"/>
        <v/>
      </c>
    </row>
    <row r="10055" spans="6:6" x14ac:dyDescent="0.2">
      <c r="F10055" s="285" t="str">
        <f t="shared" si="306"/>
        <v/>
      </c>
    </row>
    <row r="10056" spans="6:6" x14ac:dyDescent="0.2">
      <c r="F10056" s="285" t="str">
        <f t="shared" si="306"/>
        <v/>
      </c>
    </row>
    <row r="10057" spans="6:6" x14ac:dyDescent="0.2">
      <c r="F10057" s="285" t="str">
        <f t="shared" si="306"/>
        <v/>
      </c>
    </row>
    <row r="10058" spans="6:6" x14ac:dyDescent="0.2">
      <c r="F10058" s="285" t="str">
        <f t="shared" si="306"/>
        <v/>
      </c>
    </row>
    <row r="10059" spans="6:6" x14ac:dyDescent="0.2">
      <c r="F10059" s="285" t="str">
        <f t="shared" si="306"/>
        <v/>
      </c>
    </row>
    <row r="10060" spans="6:6" x14ac:dyDescent="0.2">
      <c r="F10060" s="285" t="str">
        <f t="shared" si="306"/>
        <v/>
      </c>
    </row>
    <row r="10061" spans="6:6" x14ac:dyDescent="0.2">
      <c r="F10061" s="285" t="str">
        <f t="shared" si="306"/>
        <v/>
      </c>
    </row>
    <row r="10062" spans="6:6" x14ac:dyDescent="0.2">
      <c r="F10062" s="285" t="str">
        <f t="shared" si="306"/>
        <v/>
      </c>
    </row>
    <row r="10063" spans="6:6" x14ac:dyDescent="0.2">
      <c r="F10063" s="285" t="str">
        <f t="shared" si="306"/>
        <v/>
      </c>
    </row>
    <row r="10064" spans="6:6" x14ac:dyDescent="0.2">
      <c r="F10064" s="285" t="str">
        <f t="shared" si="306"/>
        <v/>
      </c>
    </row>
    <row r="10065" spans="6:6" x14ac:dyDescent="0.2">
      <c r="F10065" s="285" t="str">
        <f t="shared" si="306"/>
        <v/>
      </c>
    </row>
    <row r="10066" spans="6:6" x14ac:dyDescent="0.2">
      <c r="F10066" s="285" t="str">
        <f t="shared" si="306"/>
        <v/>
      </c>
    </row>
    <row r="10067" spans="6:6" x14ac:dyDescent="0.2">
      <c r="F10067" s="285" t="str">
        <f t="shared" si="306"/>
        <v/>
      </c>
    </row>
    <row r="10068" spans="6:6" x14ac:dyDescent="0.2">
      <c r="F10068" s="285" t="str">
        <f t="shared" si="306"/>
        <v/>
      </c>
    </row>
    <row r="10069" spans="6:6" x14ac:dyDescent="0.2">
      <c r="F10069" s="285" t="str">
        <f t="shared" si="306"/>
        <v/>
      </c>
    </row>
    <row r="10070" spans="6:6" x14ac:dyDescent="0.2">
      <c r="F10070" s="285" t="str">
        <f t="shared" si="306"/>
        <v/>
      </c>
    </row>
    <row r="10071" spans="6:6" x14ac:dyDescent="0.2">
      <c r="F10071" s="285" t="str">
        <f t="shared" si="306"/>
        <v/>
      </c>
    </row>
    <row r="10072" spans="6:6" x14ac:dyDescent="0.2">
      <c r="F10072" s="285" t="str">
        <f t="shared" si="306"/>
        <v/>
      </c>
    </row>
    <row r="10073" spans="6:6" x14ac:dyDescent="0.2">
      <c r="F10073" s="285" t="str">
        <f t="shared" si="306"/>
        <v/>
      </c>
    </row>
    <row r="10074" spans="6:6" x14ac:dyDescent="0.2">
      <c r="F10074" s="285" t="str">
        <f t="shared" si="306"/>
        <v/>
      </c>
    </row>
    <row r="10075" spans="6:6" x14ac:dyDescent="0.2">
      <c r="F10075" s="285" t="str">
        <f t="shared" si="306"/>
        <v/>
      </c>
    </row>
    <row r="10076" spans="6:6" x14ac:dyDescent="0.2">
      <c r="F10076" s="285" t="str">
        <f t="shared" si="306"/>
        <v/>
      </c>
    </row>
    <row r="10077" spans="6:6" x14ac:dyDescent="0.2">
      <c r="F10077" s="285" t="str">
        <f t="shared" si="306"/>
        <v/>
      </c>
    </row>
    <row r="10078" spans="6:6" x14ac:dyDescent="0.2">
      <c r="F10078" s="285" t="str">
        <f t="shared" si="306"/>
        <v/>
      </c>
    </row>
    <row r="10079" spans="6:6" x14ac:dyDescent="0.2">
      <c r="F10079" s="285" t="str">
        <f t="shared" si="306"/>
        <v/>
      </c>
    </row>
    <row r="10080" spans="6:6" x14ac:dyDescent="0.2">
      <c r="F10080" s="285" t="str">
        <f t="shared" si="306"/>
        <v/>
      </c>
    </row>
    <row r="10081" spans="6:6" x14ac:dyDescent="0.2">
      <c r="F10081" s="285" t="str">
        <f t="shared" si="306"/>
        <v/>
      </c>
    </row>
    <row r="10082" spans="6:6" x14ac:dyDescent="0.2">
      <c r="F10082" s="285" t="str">
        <f t="shared" si="306"/>
        <v/>
      </c>
    </row>
    <row r="10083" spans="6:6" x14ac:dyDescent="0.2">
      <c r="F10083" s="285" t="str">
        <f t="shared" si="306"/>
        <v/>
      </c>
    </row>
    <row r="10084" spans="6:6" x14ac:dyDescent="0.2">
      <c r="F10084" s="285" t="str">
        <f t="shared" si="306"/>
        <v/>
      </c>
    </row>
    <row r="10085" spans="6:6" x14ac:dyDescent="0.2">
      <c r="F10085" s="285" t="str">
        <f t="shared" si="306"/>
        <v/>
      </c>
    </row>
    <row r="10086" spans="6:6" x14ac:dyDescent="0.2">
      <c r="F10086" s="285" t="str">
        <f t="shared" si="306"/>
        <v/>
      </c>
    </row>
    <row r="10087" spans="6:6" x14ac:dyDescent="0.2">
      <c r="F10087" s="285" t="str">
        <f t="shared" si="306"/>
        <v/>
      </c>
    </row>
    <row r="10088" spans="6:6" x14ac:dyDescent="0.2">
      <c r="F10088" s="285" t="str">
        <f t="shared" si="306"/>
        <v/>
      </c>
    </row>
    <row r="10089" spans="6:6" x14ac:dyDescent="0.2">
      <c r="F10089" s="285" t="str">
        <f t="shared" si="306"/>
        <v/>
      </c>
    </row>
    <row r="10090" spans="6:6" x14ac:dyDescent="0.2">
      <c r="F10090" s="285" t="str">
        <f t="shared" si="306"/>
        <v/>
      </c>
    </row>
    <row r="10091" spans="6:6" x14ac:dyDescent="0.2">
      <c r="F10091" s="285" t="str">
        <f t="shared" si="306"/>
        <v/>
      </c>
    </row>
    <row r="10092" spans="6:6" x14ac:dyDescent="0.2">
      <c r="F10092" s="285" t="str">
        <f t="shared" si="306"/>
        <v/>
      </c>
    </row>
    <row r="10093" spans="6:6" x14ac:dyDescent="0.2">
      <c r="F10093" s="285" t="str">
        <f t="shared" si="306"/>
        <v/>
      </c>
    </row>
    <row r="10094" spans="6:6" x14ac:dyDescent="0.2">
      <c r="F10094" s="285" t="str">
        <f t="shared" si="306"/>
        <v/>
      </c>
    </row>
    <row r="10095" spans="6:6" x14ac:dyDescent="0.2">
      <c r="F10095" s="285" t="str">
        <f t="shared" si="306"/>
        <v/>
      </c>
    </row>
    <row r="10096" spans="6:6" x14ac:dyDescent="0.2">
      <c r="F10096" s="285" t="str">
        <f t="shared" si="306"/>
        <v/>
      </c>
    </row>
    <row r="10097" spans="6:6" x14ac:dyDescent="0.2">
      <c r="F10097" s="285" t="str">
        <f t="shared" si="306"/>
        <v/>
      </c>
    </row>
    <row r="10098" spans="6:6" x14ac:dyDescent="0.2">
      <c r="F10098" s="285" t="str">
        <f t="shared" si="306"/>
        <v/>
      </c>
    </row>
    <row r="10099" spans="6:6" x14ac:dyDescent="0.2">
      <c r="F10099" s="285" t="str">
        <f t="shared" si="306"/>
        <v/>
      </c>
    </row>
    <row r="10100" spans="6:6" x14ac:dyDescent="0.2">
      <c r="F10100" s="285" t="str">
        <f t="shared" si="306"/>
        <v/>
      </c>
    </row>
    <row r="10101" spans="6:6" x14ac:dyDescent="0.2">
      <c r="F10101" s="285" t="str">
        <f t="shared" si="306"/>
        <v/>
      </c>
    </row>
    <row r="10102" spans="6:6" x14ac:dyDescent="0.2">
      <c r="F10102" s="285" t="str">
        <f t="shared" si="306"/>
        <v/>
      </c>
    </row>
    <row r="10103" spans="6:6" x14ac:dyDescent="0.2">
      <c r="F10103" s="285" t="str">
        <f t="shared" si="306"/>
        <v/>
      </c>
    </row>
    <row r="10104" spans="6:6" x14ac:dyDescent="0.2">
      <c r="F10104" s="285" t="str">
        <f t="shared" si="306"/>
        <v/>
      </c>
    </row>
    <row r="10105" spans="6:6" x14ac:dyDescent="0.2">
      <c r="F10105" s="285" t="str">
        <f t="shared" si="306"/>
        <v/>
      </c>
    </row>
    <row r="10106" spans="6:6" x14ac:dyDescent="0.2">
      <c r="F10106" s="285" t="str">
        <f t="shared" si="306"/>
        <v/>
      </c>
    </row>
    <row r="10107" spans="6:6" x14ac:dyDescent="0.2">
      <c r="F10107" s="285" t="str">
        <f t="shared" si="306"/>
        <v/>
      </c>
    </row>
    <row r="10108" spans="6:6" x14ac:dyDescent="0.2">
      <c r="F10108" s="285" t="str">
        <f t="shared" si="306"/>
        <v/>
      </c>
    </row>
    <row r="10109" spans="6:6" x14ac:dyDescent="0.2">
      <c r="F10109" s="285" t="str">
        <f t="shared" si="306"/>
        <v/>
      </c>
    </row>
    <row r="10110" spans="6:6" x14ac:dyDescent="0.2">
      <c r="F10110" s="285" t="str">
        <f t="shared" si="306"/>
        <v/>
      </c>
    </row>
    <row r="10111" spans="6:6" x14ac:dyDescent="0.2">
      <c r="F10111" s="285" t="str">
        <f t="shared" si="306"/>
        <v/>
      </c>
    </row>
    <row r="10112" spans="6:6" x14ac:dyDescent="0.2">
      <c r="F10112" s="285" t="str">
        <f t="shared" si="306"/>
        <v/>
      </c>
    </row>
    <row r="10113" spans="6:6" x14ac:dyDescent="0.2">
      <c r="F10113" s="285" t="str">
        <f t="shared" si="306"/>
        <v/>
      </c>
    </row>
    <row r="10114" spans="6:6" x14ac:dyDescent="0.2">
      <c r="F10114" s="285" t="str">
        <f t="shared" si="306"/>
        <v/>
      </c>
    </row>
    <row r="10115" spans="6:6" x14ac:dyDescent="0.2">
      <c r="F10115" s="285" t="str">
        <f t="shared" si="306"/>
        <v/>
      </c>
    </row>
    <row r="10116" spans="6:6" x14ac:dyDescent="0.2">
      <c r="F10116" s="285" t="str">
        <f t="shared" si="306"/>
        <v/>
      </c>
    </row>
    <row r="10117" spans="6:6" x14ac:dyDescent="0.2">
      <c r="F10117" s="285" t="str">
        <f t="shared" ref="F10117:F10180" si="307">IF(A10117="","",A10117)</f>
        <v/>
      </c>
    </row>
    <row r="10118" spans="6:6" x14ac:dyDescent="0.2">
      <c r="F10118" s="285" t="str">
        <f t="shared" si="307"/>
        <v/>
      </c>
    </row>
    <row r="10119" spans="6:6" x14ac:dyDescent="0.2">
      <c r="F10119" s="285" t="str">
        <f t="shared" si="307"/>
        <v/>
      </c>
    </row>
    <row r="10120" spans="6:6" x14ac:dyDescent="0.2">
      <c r="F10120" s="285" t="str">
        <f t="shared" si="307"/>
        <v/>
      </c>
    </row>
    <row r="10121" spans="6:6" x14ac:dyDescent="0.2">
      <c r="F10121" s="285" t="str">
        <f t="shared" si="307"/>
        <v/>
      </c>
    </row>
    <row r="10122" spans="6:6" x14ac:dyDescent="0.2">
      <c r="F10122" s="285" t="str">
        <f t="shared" si="307"/>
        <v/>
      </c>
    </row>
    <row r="10123" spans="6:6" x14ac:dyDescent="0.2">
      <c r="F10123" s="285" t="str">
        <f t="shared" si="307"/>
        <v/>
      </c>
    </row>
    <row r="10124" spans="6:6" x14ac:dyDescent="0.2">
      <c r="F10124" s="285" t="str">
        <f t="shared" si="307"/>
        <v/>
      </c>
    </row>
    <row r="10125" spans="6:6" x14ac:dyDescent="0.2">
      <c r="F10125" s="285" t="str">
        <f t="shared" si="307"/>
        <v/>
      </c>
    </row>
    <row r="10126" spans="6:6" x14ac:dyDescent="0.2">
      <c r="F10126" s="285" t="str">
        <f t="shared" si="307"/>
        <v/>
      </c>
    </row>
    <row r="10127" spans="6:6" x14ac:dyDescent="0.2">
      <c r="F10127" s="285" t="str">
        <f t="shared" si="307"/>
        <v/>
      </c>
    </row>
    <row r="10128" spans="6:6" x14ac:dyDescent="0.2">
      <c r="F10128" s="285" t="str">
        <f t="shared" si="307"/>
        <v/>
      </c>
    </row>
    <row r="10129" spans="6:6" x14ac:dyDescent="0.2">
      <c r="F10129" s="285" t="str">
        <f t="shared" si="307"/>
        <v/>
      </c>
    </row>
    <row r="10130" spans="6:6" x14ac:dyDescent="0.2">
      <c r="F10130" s="285" t="str">
        <f t="shared" si="307"/>
        <v/>
      </c>
    </row>
    <row r="10131" spans="6:6" x14ac:dyDescent="0.2">
      <c r="F10131" s="285" t="str">
        <f t="shared" si="307"/>
        <v/>
      </c>
    </row>
    <row r="10132" spans="6:6" x14ac:dyDescent="0.2">
      <c r="F10132" s="285" t="str">
        <f t="shared" si="307"/>
        <v/>
      </c>
    </row>
    <row r="10133" spans="6:6" x14ac:dyDescent="0.2">
      <c r="F10133" s="285" t="str">
        <f t="shared" si="307"/>
        <v/>
      </c>
    </row>
    <row r="10134" spans="6:6" x14ac:dyDescent="0.2">
      <c r="F10134" s="285" t="str">
        <f t="shared" si="307"/>
        <v/>
      </c>
    </row>
    <row r="10135" spans="6:6" x14ac:dyDescent="0.2">
      <c r="F10135" s="285" t="str">
        <f t="shared" si="307"/>
        <v/>
      </c>
    </row>
    <row r="10136" spans="6:6" x14ac:dyDescent="0.2">
      <c r="F10136" s="285" t="str">
        <f t="shared" si="307"/>
        <v/>
      </c>
    </row>
    <row r="10137" spans="6:6" x14ac:dyDescent="0.2">
      <c r="F10137" s="285" t="str">
        <f t="shared" si="307"/>
        <v/>
      </c>
    </row>
    <row r="10138" spans="6:6" x14ac:dyDescent="0.2">
      <c r="F10138" s="285" t="str">
        <f t="shared" si="307"/>
        <v/>
      </c>
    </row>
    <row r="10139" spans="6:6" x14ac:dyDescent="0.2">
      <c r="F10139" s="285" t="str">
        <f t="shared" si="307"/>
        <v/>
      </c>
    </row>
    <row r="10140" spans="6:6" x14ac:dyDescent="0.2">
      <c r="F10140" s="285" t="str">
        <f t="shared" si="307"/>
        <v/>
      </c>
    </row>
    <row r="10141" spans="6:6" x14ac:dyDescent="0.2">
      <c r="F10141" s="285" t="str">
        <f t="shared" si="307"/>
        <v/>
      </c>
    </row>
    <row r="10142" spans="6:6" x14ac:dyDescent="0.2">
      <c r="F10142" s="285" t="str">
        <f t="shared" si="307"/>
        <v/>
      </c>
    </row>
    <row r="10143" spans="6:6" x14ac:dyDescent="0.2">
      <c r="F10143" s="285" t="str">
        <f t="shared" si="307"/>
        <v/>
      </c>
    </row>
    <row r="10144" spans="6:6" x14ac:dyDescent="0.2">
      <c r="F10144" s="285" t="str">
        <f t="shared" si="307"/>
        <v/>
      </c>
    </row>
    <row r="10145" spans="6:6" x14ac:dyDescent="0.2">
      <c r="F10145" s="285" t="str">
        <f t="shared" si="307"/>
        <v/>
      </c>
    </row>
    <row r="10146" spans="6:6" x14ac:dyDescent="0.2">
      <c r="F10146" s="285" t="str">
        <f t="shared" si="307"/>
        <v/>
      </c>
    </row>
    <row r="10147" spans="6:6" x14ac:dyDescent="0.2">
      <c r="F10147" s="285" t="str">
        <f t="shared" si="307"/>
        <v/>
      </c>
    </row>
    <row r="10148" spans="6:6" x14ac:dyDescent="0.2">
      <c r="F10148" s="285" t="str">
        <f t="shared" si="307"/>
        <v/>
      </c>
    </row>
    <row r="10149" spans="6:6" x14ac:dyDescent="0.2">
      <c r="F10149" s="285" t="str">
        <f t="shared" si="307"/>
        <v/>
      </c>
    </row>
    <row r="10150" spans="6:6" x14ac:dyDescent="0.2">
      <c r="F10150" s="285" t="str">
        <f t="shared" si="307"/>
        <v/>
      </c>
    </row>
    <row r="10151" spans="6:6" x14ac:dyDescent="0.2">
      <c r="F10151" s="285" t="str">
        <f t="shared" si="307"/>
        <v/>
      </c>
    </row>
    <row r="10152" spans="6:6" x14ac:dyDescent="0.2">
      <c r="F10152" s="285" t="str">
        <f t="shared" si="307"/>
        <v/>
      </c>
    </row>
    <row r="10153" spans="6:6" x14ac:dyDescent="0.2">
      <c r="F10153" s="285" t="str">
        <f t="shared" si="307"/>
        <v/>
      </c>
    </row>
    <row r="10154" spans="6:6" x14ac:dyDescent="0.2">
      <c r="F10154" s="285" t="str">
        <f t="shared" si="307"/>
        <v/>
      </c>
    </row>
    <row r="10155" spans="6:6" x14ac:dyDescent="0.2">
      <c r="F10155" s="285" t="str">
        <f t="shared" si="307"/>
        <v/>
      </c>
    </row>
    <row r="10156" spans="6:6" x14ac:dyDescent="0.2">
      <c r="F10156" s="285" t="str">
        <f t="shared" si="307"/>
        <v/>
      </c>
    </row>
    <row r="10157" spans="6:6" x14ac:dyDescent="0.2">
      <c r="F10157" s="285" t="str">
        <f t="shared" si="307"/>
        <v/>
      </c>
    </row>
    <row r="10158" spans="6:6" x14ac:dyDescent="0.2">
      <c r="F10158" s="285" t="str">
        <f t="shared" si="307"/>
        <v/>
      </c>
    </row>
    <row r="10159" spans="6:6" x14ac:dyDescent="0.2">
      <c r="F10159" s="285" t="str">
        <f t="shared" si="307"/>
        <v/>
      </c>
    </row>
    <row r="10160" spans="6:6" x14ac:dyDescent="0.2">
      <c r="F10160" s="285" t="str">
        <f t="shared" si="307"/>
        <v/>
      </c>
    </row>
    <row r="10161" spans="6:6" x14ac:dyDescent="0.2">
      <c r="F10161" s="285" t="str">
        <f t="shared" si="307"/>
        <v/>
      </c>
    </row>
    <row r="10162" spans="6:6" x14ac:dyDescent="0.2">
      <c r="F10162" s="285" t="str">
        <f t="shared" si="307"/>
        <v/>
      </c>
    </row>
    <row r="10163" spans="6:6" x14ac:dyDescent="0.2">
      <c r="F10163" s="285" t="str">
        <f t="shared" si="307"/>
        <v/>
      </c>
    </row>
    <row r="10164" spans="6:6" x14ac:dyDescent="0.2">
      <c r="F10164" s="285" t="str">
        <f t="shared" si="307"/>
        <v/>
      </c>
    </row>
    <row r="10165" spans="6:6" x14ac:dyDescent="0.2">
      <c r="F10165" s="285" t="str">
        <f t="shared" si="307"/>
        <v/>
      </c>
    </row>
    <row r="10166" spans="6:6" x14ac:dyDescent="0.2">
      <c r="F10166" s="285" t="str">
        <f t="shared" si="307"/>
        <v/>
      </c>
    </row>
    <row r="10167" spans="6:6" x14ac:dyDescent="0.2">
      <c r="F10167" s="285" t="str">
        <f t="shared" si="307"/>
        <v/>
      </c>
    </row>
    <row r="10168" spans="6:6" x14ac:dyDescent="0.2">
      <c r="F10168" s="285" t="str">
        <f t="shared" si="307"/>
        <v/>
      </c>
    </row>
    <row r="10169" spans="6:6" x14ac:dyDescent="0.2">
      <c r="F10169" s="285" t="str">
        <f t="shared" si="307"/>
        <v/>
      </c>
    </row>
    <row r="10170" spans="6:6" x14ac:dyDescent="0.2">
      <c r="F10170" s="285" t="str">
        <f t="shared" si="307"/>
        <v/>
      </c>
    </row>
    <row r="10171" spans="6:6" x14ac:dyDescent="0.2">
      <c r="F10171" s="285" t="str">
        <f t="shared" si="307"/>
        <v/>
      </c>
    </row>
    <row r="10172" spans="6:6" x14ac:dyDescent="0.2">
      <c r="F10172" s="285" t="str">
        <f t="shared" si="307"/>
        <v/>
      </c>
    </row>
    <row r="10173" spans="6:6" x14ac:dyDescent="0.2">
      <c r="F10173" s="285" t="str">
        <f t="shared" si="307"/>
        <v/>
      </c>
    </row>
    <row r="10174" spans="6:6" x14ac:dyDescent="0.2">
      <c r="F10174" s="285" t="str">
        <f t="shared" si="307"/>
        <v/>
      </c>
    </row>
    <row r="10175" spans="6:6" x14ac:dyDescent="0.2">
      <c r="F10175" s="285" t="str">
        <f t="shared" si="307"/>
        <v/>
      </c>
    </row>
    <row r="10176" spans="6:6" x14ac:dyDescent="0.2">
      <c r="F10176" s="285" t="str">
        <f t="shared" si="307"/>
        <v/>
      </c>
    </row>
    <row r="10177" spans="6:6" x14ac:dyDescent="0.2">
      <c r="F10177" s="285" t="str">
        <f t="shared" si="307"/>
        <v/>
      </c>
    </row>
    <row r="10178" spans="6:6" x14ac:dyDescent="0.2">
      <c r="F10178" s="285" t="str">
        <f t="shared" si="307"/>
        <v/>
      </c>
    </row>
    <row r="10179" spans="6:6" x14ac:dyDescent="0.2">
      <c r="F10179" s="285" t="str">
        <f t="shared" si="307"/>
        <v/>
      </c>
    </row>
    <row r="10180" spans="6:6" x14ac:dyDescent="0.2">
      <c r="F10180" s="285" t="str">
        <f t="shared" si="307"/>
        <v/>
      </c>
    </row>
    <row r="10181" spans="6:6" x14ac:dyDescent="0.2">
      <c r="F10181" s="285" t="str">
        <f t="shared" ref="F10181:F10244" si="308">IF(A10181="","",A10181)</f>
        <v/>
      </c>
    </row>
    <row r="10182" spans="6:6" x14ac:dyDescent="0.2">
      <c r="F10182" s="285" t="str">
        <f t="shared" si="308"/>
        <v/>
      </c>
    </row>
    <row r="10183" spans="6:6" x14ac:dyDescent="0.2">
      <c r="F10183" s="285" t="str">
        <f t="shared" si="308"/>
        <v/>
      </c>
    </row>
    <row r="10184" spans="6:6" x14ac:dyDescent="0.2">
      <c r="F10184" s="285" t="str">
        <f t="shared" si="308"/>
        <v/>
      </c>
    </row>
    <row r="10185" spans="6:6" x14ac:dyDescent="0.2">
      <c r="F10185" s="285" t="str">
        <f t="shared" si="308"/>
        <v/>
      </c>
    </row>
    <row r="10186" spans="6:6" x14ac:dyDescent="0.2">
      <c r="F10186" s="285" t="str">
        <f t="shared" si="308"/>
        <v/>
      </c>
    </row>
    <row r="10187" spans="6:6" x14ac:dyDescent="0.2">
      <c r="F10187" s="285" t="str">
        <f t="shared" si="308"/>
        <v/>
      </c>
    </row>
    <row r="10188" spans="6:6" x14ac:dyDescent="0.2">
      <c r="F10188" s="285" t="str">
        <f t="shared" si="308"/>
        <v/>
      </c>
    </row>
    <row r="10189" spans="6:6" x14ac:dyDescent="0.2">
      <c r="F10189" s="285" t="str">
        <f t="shared" si="308"/>
        <v/>
      </c>
    </row>
    <row r="10190" spans="6:6" x14ac:dyDescent="0.2">
      <c r="F10190" s="285" t="str">
        <f t="shared" si="308"/>
        <v/>
      </c>
    </row>
    <row r="10191" spans="6:6" x14ac:dyDescent="0.2">
      <c r="F10191" s="285" t="str">
        <f t="shared" si="308"/>
        <v/>
      </c>
    </row>
    <row r="10192" spans="6:6" x14ac:dyDescent="0.2">
      <c r="F10192" s="285" t="str">
        <f t="shared" si="308"/>
        <v/>
      </c>
    </row>
    <row r="10193" spans="6:6" x14ac:dyDescent="0.2">
      <c r="F10193" s="285" t="str">
        <f t="shared" si="308"/>
        <v/>
      </c>
    </row>
    <row r="10194" spans="6:6" x14ac:dyDescent="0.2">
      <c r="F10194" s="285" t="str">
        <f t="shared" si="308"/>
        <v/>
      </c>
    </row>
    <row r="10195" spans="6:6" x14ac:dyDescent="0.2">
      <c r="F10195" s="285" t="str">
        <f t="shared" si="308"/>
        <v/>
      </c>
    </row>
    <row r="10196" spans="6:6" x14ac:dyDescent="0.2">
      <c r="F10196" s="285" t="str">
        <f t="shared" si="308"/>
        <v/>
      </c>
    </row>
    <row r="10197" spans="6:6" x14ac:dyDescent="0.2">
      <c r="F10197" s="285" t="str">
        <f t="shared" si="308"/>
        <v/>
      </c>
    </row>
    <row r="10198" spans="6:6" x14ac:dyDescent="0.2">
      <c r="F10198" s="285" t="str">
        <f t="shared" si="308"/>
        <v/>
      </c>
    </row>
    <row r="10199" spans="6:6" x14ac:dyDescent="0.2">
      <c r="F10199" s="285" t="str">
        <f t="shared" si="308"/>
        <v/>
      </c>
    </row>
    <row r="10200" spans="6:6" x14ac:dyDescent="0.2">
      <c r="F10200" s="285" t="str">
        <f t="shared" si="308"/>
        <v/>
      </c>
    </row>
    <row r="10201" spans="6:6" x14ac:dyDescent="0.2">
      <c r="F10201" s="285" t="str">
        <f t="shared" si="308"/>
        <v/>
      </c>
    </row>
    <row r="10202" spans="6:6" x14ac:dyDescent="0.2">
      <c r="F10202" s="285" t="str">
        <f t="shared" si="308"/>
        <v/>
      </c>
    </row>
    <row r="10203" spans="6:6" x14ac:dyDescent="0.2">
      <c r="F10203" s="285" t="str">
        <f t="shared" si="308"/>
        <v/>
      </c>
    </row>
    <row r="10204" spans="6:6" x14ac:dyDescent="0.2">
      <c r="F10204" s="285" t="str">
        <f t="shared" si="308"/>
        <v/>
      </c>
    </row>
    <row r="10205" spans="6:6" x14ac:dyDescent="0.2">
      <c r="F10205" s="285" t="str">
        <f t="shared" si="308"/>
        <v/>
      </c>
    </row>
    <row r="10206" spans="6:6" x14ac:dyDescent="0.2">
      <c r="F10206" s="285" t="str">
        <f t="shared" si="308"/>
        <v/>
      </c>
    </row>
    <row r="10207" spans="6:6" x14ac:dyDescent="0.2">
      <c r="F10207" s="285" t="str">
        <f t="shared" si="308"/>
        <v/>
      </c>
    </row>
    <row r="10208" spans="6:6" x14ac:dyDescent="0.2">
      <c r="F10208" s="285" t="str">
        <f t="shared" si="308"/>
        <v/>
      </c>
    </row>
    <row r="10209" spans="6:6" x14ac:dyDescent="0.2">
      <c r="F10209" s="285" t="str">
        <f t="shared" si="308"/>
        <v/>
      </c>
    </row>
    <row r="10210" spans="6:6" x14ac:dyDescent="0.2">
      <c r="F10210" s="285" t="str">
        <f t="shared" si="308"/>
        <v/>
      </c>
    </row>
    <row r="10211" spans="6:6" x14ac:dyDescent="0.2">
      <c r="F10211" s="285" t="str">
        <f t="shared" si="308"/>
        <v/>
      </c>
    </row>
    <row r="10212" spans="6:6" x14ac:dyDescent="0.2">
      <c r="F10212" s="285" t="str">
        <f t="shared" si="308"/>
        <v/>
      </c>
    </row>
    <row r="10213" spans="6:6" x14ac:dyDescent="0.2">
      <c r="F10213" s="285" t="str">
        <f t="shared" si="308"/>
        <v/>
      </c>
    </row>
    <row r="10214" spans="6:6" x14ac:dyDescent="0.2">
      <c r="F10214" s="285" t="str">
        <f t="shared" si="308"/>
        <v/>
      </c>
    </row>
    <row r="10215" spans="6:6" x14ac:dyDescent="0.2">
      <c r="F10215" s="285" t="str">
        <f t="shared" si="308"/>
        <v/>
      </c>
    </row>
    <row r="10216" spans="6:6" x14ac:dyDescent="0.2">
      <c r="F10216" s="285" t="str">
        <f t="shared" si="308"/>
        <v/>
      </c>
    </row>
    <row r="10217" spans="6:6" x14ac:dyDescent="0.2">
      <c r="F10217" s="285" t="str">
        <f t="shared" si="308"/>
        <v/>
      </c>
    </row>
    <row r="10218" spans="6:6" x14ac:dyDescent="0.2">
      <c r="F10218" s="285" t="str">
        <f t="shared" si="308"/>
        <v/>
      </c>
    </row>
    <row r="10219" spans="6:6" x14ac:dyDescent="0.2">
      <c r="F10219" s="285" t="str">
        <f t="shared" si="308"/>
        <v/>
      </c>
    </row>
    <row r="10220" spans="6:6" x14ac:dyDescent="0.2">
      <c r="F10220" s="285" t="str">
        <f t="shared" si="308"/>
        <v/>
      </c>
    </row>
    <row r="10221" spans="6:6" x14ac:dyDescent="0.2">
      <c r="F10221" s="285" t="str">
        <f t="shared" si="308"/>
        <v/>
      </c>
    </row>
    <row r="10222" spans="6:6" x14ac:dyDescent="0.2">
      <c r="F10222" s="285" t="str">
        <f t="shared" si="308"/>
        <v/>
      </c>
    </row>
    <row r="10223" spans="6:6" x14ac:dyDescent="0.2">
      <c r="F10223" s="285" t="str">
        <f t="shared" si="308"/>
        <v/>
      </c>
    </row>
    <row r="10224" spans="6:6" x14ac:dyDescent="0.2">
      <c r="F10224" s="285" t="str">
        <f t="shared" si="308"/>
        <v/>
      </c>
    </row>
    <row r="10225" spans="6:6" x14ac:dyDescent="0.2">
      <c r="F10225" s="285" t="str">
        <f t="shared" si="308"/>
        <v/>
      </c>
    </row>
    <row r="10226" spans="6:6" x14ac:dyDescent="0.2">
      <c r="F10226" s="285" t="str">
        <f t="shared" si="308"/>
        <v/>
      </c>
    </row>
    <row r="10227" spans="6:6" x14ac:dyDescent="0.2">
      <c r="F10227" s="285" t="str">
        <f t="shared" si="308"/>
        <v/>
      </c>
    </row>
    <row r="10228" spans="6:6" x14ac:dyDescent="0.2">
      <c r="F10228" s="285" t="str">
        <f t="shared" si="308"/>
        <v/>
      </c>
    </row>
    <row r="10229" spans="6:6" x14ac:dyDescent="0.2">
      <c r="F10229" s="285" t="str">
        <f t="shared" si="308"/>
        <v/>
      </c>
    </row>
    <row r="10230" spans="6:6" x14ac:dyDescent="0.2">
      <c r="F10230" s="285" t="str">
        <f t="shared" si="308"/>
        <v/>
      </c>
    </row>
    <row r="10231" spans="6:6" x14ac:dyDescent="0.2">
      <c r="F10231" s="285" t="str">
        <f t="shared" si="308"/>
        <v/>
      </c>
    </row>
    <row r="10232" spans="6:6" x14ac:dyDescent="0.2">
      <c r="F10232" s="285" t="str">
        <f t="shared" si="308"/>
        <v/>
      </c>
    </row>
    <row r="10233" spans="6:6" x14ac:dyDescent="0.2">
      <c r="F10233" s="285" t="str">
        <f t="shared" si="308"/>
        <v/>
      </c>
    </row>
    <row r="10234" spans="6:6" x14ac:dyDescent="0.2">
      <c r="F10234" s="285" t="str">
        <f t="shared" si="308"/>
        <v/>
      </c>
    </row>
    <row r="10235" spans="6:6" x14ac:dyDescent="0.2">
      <c r="F10235" s="285" t="str">
        <f t="shared" si="308"/>
        <v/>
      </c>
    </row>
    <row r="10236" spans="6:6" x14ac:dyDescent="0.2">
      <c r="F10236" s="285" t="str">
        <f t="shared" si="308"/>
        <v/>
      </c>
    </row>
    <row r="10237" spans="6:6" x14ac:dyDescent="0.2">
      <c r="F10237" s="285" t="str">
        <f t="shared" si="308"/>
        <v/>
      </c>
    </row>
    <row r="10238" spans="6:6" x14ac:dyDescent="0.2">
      <c r="F10238" s="285" t="str">
        <f t="shared" si="308"/>
        <v/>
      </c>
    </row>
    <row r="10239" spans="6:6" x14ac:dyDescent="0.2">
      <c r="F10239" s="285" t="str">
        <f t="shared" si="308"/>
        <v/>
      </c>
    </row>
    <row r="10240" spans="6:6" x14ac:dyDescent="0.2">
      <c r="F10240" s="285" t="str">
        <f t="shared" si="308"/>
        <v/>
      </c>
    </row>
    <row r="10241" spans="6:6" x14ac:dyDescent="0.2">
      <c r="F10241" s="285" t="str">
        <f t="shared" si="308"/>
        <v/>
      </c>
    </row>
    <row r="10242" spans="6:6" x14ac:dyDescent="0.2">
      <c r="F10242" s="285" t="str">
        <f t="shared" si="308"/>
        <v/>
      </c>
    </row>
    <row r="10243" spans="6:6" x14ac:dyDescent="0.2">
      <c r="F10243" s="285" t="str">
        <f t="shared" si="308"/>
        <v/>
      </c>
    </row>
    <row r="10244" spans="6:6" x14ac:dyDescent="0.2">
      <c r="F10244" s="285" t="str">
        <f t="shared" si="308"/>
        <v/>
      </c>
    </row>
    <row r="10245" spans="6:6" x14ac:dyDescent="0.2">
      <c r="F10245" s="285" t="str">
        <f t="shared" ref="F10245:F10308" si="309">IF(A10245="","",A10245)</f>
        <v/>
      </c>
    </row>
    <row r="10246" spans="6:6" x14ac:dyDescent="0.2">
      <c r="F10246" s="285" t="str">
        <f t="shared" si="309"/>
        <v/>
      </c>
    </row>
    <row r="10247" spans="6:6" x14ac:dyDescent="0.2">
      <c r="F10247" s="285" t="str">
        <f t="shared" si="309"/>
        <v/>
      </c>
    </row>
    <row r="10248" spans="6:6" x14ac:dyDescent="0.2">
      <c r="F10248" s="285" t="str">
        <f t="shared" si="309"/>
        <v/>
      </c>
    </row>
    <row r="10249" spans="6:6" x14ac:dyDescent="0.2">
      <c r="F10249" s="285" t="str">
        <f t="shared" si="309"/>
        <v/>
      </c>
    </row>
    <row r="10250" spans="6:6" x14ac:dyDescent="0.2">
      <c r="F10250" s="285" t="str">
        <f t="shared" si="309"/>
        <v/>
      </c>
    </row>
    <row r="10251" spans="6:6" x14ac:dyDescent="0.2">
      <c r="F10251" s="285" t="str">
        <f t="shared" si="309"/>
        <v/>
      </c>
    </row>
    <row r="10252" spans="6:6" x14ac:dyDescent="0.2">
      <c r="F10252" s="285" t="str">
        <f t="shared" si="309"/>
        <v/>
      </c>
    </row>
    <row r="10253" spans="6:6" x14ac:dyDescent="0.2">
      <c r="F10253" s="285" t="str">
        <f t="shared" si="309"/>
        <v/>
      </c>
    </row>
    <row r="10254" spans="6:6" x14ac:dyDescent="0.2">
      <c r="F10254" s="285" t="str">
        <f t="shared" si="309"/>
        <v/>
      </c>
    </row>
    <row r="10255" spans="6:6" x14ac:dyDescent="0.2">
      <c r="F10255" s="285" t="str">
        <f t="shared" si="309"/>
        <v/>
      </c>
    </row>
    <row r="10256" spans="6:6" x14ac:dyDescent="0.2">
      <c r="F10256" s="285" t="str">
        <f t="shared" si="309"/>
        <v/>
      </c>
    </row>
    <row r="10257" spans="6:6" x14ac:dyDescent="0.2">
      <c r="F10257" s="285" t="str">
        <f t="shared" si="309"/>
        <v/>
      </c>
    </row>
    <row r="10258" spans="6:6" x14ac:dyDescent="0.2">
      <c r="F10258" s="285" t="str">
        <f t="shared" si="309"/>
        <v/>
      </c>
    </row>
    <row r="10259" spans="6:6" x14ac:dyDescent="0.2">
      <c r="F10259" s="285" t="str">
        <f t="shared" si="309"/>
        <v/>
      </c>
    </row>
    <row r="10260" spans="6:6" x14ac:dyDescent="0.2">
      <c r="F10260" s="285" t="str">
        <f t="shared" si="309"/>
        <v/>
      </c>
    </row>
    <row r="10261" spans="6:6" x14ac:dyDescent="0.2">
      <c r="F10261" s="285" t="str">
        <f t="shared" si="309"/>
        <v/>
      </c>
    </row>
    <row r="10262" spans="6:6" x14ac:dyDescent="0.2">
      <c r="F10262" s="285" t="str">
        <f t="shared" si="309"/>
        <v/>
      </c>
    </row>
    <row r="10263" spans="6:6" x14ac:dyDescent="0.2">
      <c r="F10263" s="285" t="str">
        <f t="shared" si="309"/>
        <v/>
      </c>
    </row>
    <row r="10264" spans="6:6" x14ac:dyDescent="0.2">
      <c r="F10264" s="285" t="str">
        <f t="shared" si="309"/>
        <v/>
      </c>
    </row>
    <row r="10265" spans="6:6" x14ac:dyDescent="0.2">
      <c r="F10265" s="285" t="str">
        <f t="shared" si="309"/>
        <v/>
      </c>
    </row>
    <row r="10266" spans="6:6" x14ac:dyDescent="0.2">
      <c r="F10266" s="285" t="str">
        <f t="shared" si="309"/>
        <v/>
      </c>
    </row>
    <row r="10267" spans="6:6" x14ac:dyDescent="0.2">
      <c r="F10267" s="285" t="str">
        <f t="shared" si="309"/>
        <v/>
      </c>
    </row>
    <row r="10268" spans="6:6" x14ac:dyDescent="0.2">
      <c r="F10268" s="285" t="str">
        <f t="shared" si="309"/>
        <v/>
      </c>
    </row>
    <row r="10269" spans="6:6" x14ac:dyDescent="0.2">
      <c r="F10269" s="285" t="str">
        <f t="shared" si="309"/>
        <v/>
      </c>
    </row>
    <row r="10270" spans="6:6" x14ac:dyDescent="0.2">
      <c r="F10270" s="285" t="str">
        <f t="shared" si="309"/>
        <v/>
      </c>
    </row>
    <row r="10271" spans="6:6" x14ac:dyDescent="0.2">
      <c r="F10271" s="285" t="str">
        <f t="shared" si="309"/>
        <v/>
      </c>
    </row>
    <row r="10272" spans="6:6" x14ac:dyDescent="0.2">
      <c r="F10272" s="285" t="str">
        <f t="shared" si="309"/>
        <v/>
      </c>
    </row>
    <row r="10273" spans="6:6" x14ac:dyDescent="0.2">
      <c r="F10273" s="285" t="str">
        <f t="shared" si="309"/>
        <v/>
      </c>
    </row>
    <row r="10274" spans="6:6" x14ac:dyDescent="0.2">
      <c r="F10274" s="285" t="str">
        <f t="shared" si="309"/>
        <v/>
      </c>
    </row>
    <row r="10275" spans="6:6" x14ac:dyDescent="0.2">
      <c r="F10275" s="285" t="str">
        <f t="shared" si="309"/>
        <v/>
      </c>
    </row>
    <row r="10276" spans="6:6" x14ac:dyDescent="0.2">
      <c r="F10276" s="285" t="str">
        <f t="shared" si="309"/>
        <v/>
      </c>
    </row>
    <row r="10277" spans="6:6" x14ac:dyDescent="0.2">
      <c r="F10277" s="285" t="str">
        <f t="shared" si="309"/>
        <v/>
      </c>
    </row>
    <row r="10278" spans="6:6" x14ac:dyDescent="0.2">
      <c r="F10278" s="285" t="str">
        <f t="shared" si="309"/>
        <v/>
      </c>
    </row>
    <row r="10279" spans="6:6" x14ac:dyDescent="0.2">
      <c r="F10279" s="285" t="str">
        <f t="shared" si="309"/>
        <v/>
      </c>
    </row>
    <row r="10280" spans="6:6" x14ac:dyDescent="0.2">
      <c r="F10280" s="285" t="str">
        <f t="shared" si="309"/>
        <v/>
      </c>
    </row>
    <row r="10281" spans="6:6" x14ac:dyDescent="0.2">
      <c r="F10281" s="285" t="str">
        <f t="shared" si="309"/>
        <v/>
      </c>
    </row>
    <row r="10282" spans="6:6" x14ac:dyDescent="0.2">
      <c r="F10282" s="285" t="str">
        <f t="shared" si="309"/>
        <v/>
      </c>
    </row>
    <row r="10283" spans="6:6" x14ac:dyDescent="0.2">
      <c r="F10283" s="285" t="str">
        <f t="shared" si="309"/>
        <v/>
      </c>
    </row>
    <row r="10284" spans="6:6" x14ac:dyDescent="0.2">
      <c r="F10284" s="285" t="str">
        <f t="shared" si="309"/>
        <v/>
      </c>
    </row>
    <row r="10285" spans="6:6" x14ac:dyDescent="0.2">
      <c r="F10285" s="285" t="str">
        <f t="shared" si="309"/>
        <v/>
      </c>
    </row>
    <row r="10286" spans="6:6" x14ac:dyDescent="0.2">
      <c r="F10286" s="285" t="str">
        <f t="shared" si="309"/>
        <v/>
      </c>
    </row>
    <row r="10287" spans="6:6" x14ac:dyDescent="0.2">
      <c r="F10287" s="285" t="str">
        <f t="shared" si="309"/>
        <v/>
      </c>
    </row>
    <row r="10288" spans="6:6" x14ac:dyDescent="0.2">
      <c r="F10288" s="285" t="str">
        <f t="shared" si="309"/>
        <v/>
      </c>
    </row>
    <row r="10289" spans="6:6" x14ac:dyDescent="0.2">
      <c r="F10289" s="285" t="str">
        <f t="shared" si="309"/>
        <v/>
      </c>
    </row>
    <row r="10290" spans="6:6" x14ac:dyDescent="0.2">
      <c r="F10290" s="285" t="str">
        <f t="shared" si="309"/>
        <v/>
      </c>
    </row>
    <row r="10291" spans="6:6" x14ac:dyDescent="0.2">
      <c r="F10291" s="285" t="str">
        <f t="shared" si="309"/>
        <v/>
      </c>
    </row>
    <row r="10292" spans="6:6" x14ac:dyDescent="0.2">
      <c r="F10292" s="285" t="str">
        <f t="shared" si="309"/>
        <v/>
      </c>
    </row>
    <row r="10293" spans="6:6" x14ac:dyDescent="0.2">
      <c r="F10293" s="285" t="str">
        <f t="shared" si="309"/>
        <v/>
      </c>
    </row>
    <row r="10294" spans="6:6" x14ac:dyDescent="0.2">
      <c r="F10294" s="285" t="str">
        <f t="shared" si="309"/>
        <v/>
      </c>
    </row>
    <row r="10295" spans="6:6" x14ac:dyDescent="0.2">
      <c r="F10295" s="285" t="str">
        <f t="shared" si="309"/>
        <v/>
      </c>
    </row>
    <row r="10296" spans="6:6" x14ac:dyDescent="0.2">
      <c r="F10296" s="285" t="str">
        <f t="shared" si="309"/>
        <v/>
      </c>
    </row>
    <row r="10297" spans="6:6" x14ac:dyDescent="0.2">
      <c r="F10297" s="285" t="str">
        <f t="shared" si="309"/>
        <v/>
      </c>
    </row>
    <row r="10298" spans="6:6" x14ac:dyDescent="0.2">
      <c r="F10298" s="285" t="str">
        <f t="shared" si="309"/>
        <v/>
      </c>
    </row>
    <row r="10299" spans="6:6" x14ac:dyDescent="0.2">
      <c r="F10299" s="285" t="str">
        <f t="shared" si="309"/>
        <v/>
      </c>
    </row>
    <row r="10300" spans="6:6" x14ac:dyDescent="0.2">
      <c r="F10300" s="285" t="str">
        <f t="shared" si="309"/>
        <v/>
      </c>
    </row>
    <row r="10301" spans="6:6" x14ac:dyDescent="0.2">
      <c r="F10301" s="285" t="str">
        <f t="shared" si="309"/>
        <v/>
      </c>
    </row>
    <row r="10302" spans="6:6" x14ac:dyDescent="0.2">
      <c r="F10302" s="285" t="str">
        <f t="shared" si="309"/>
        <v/>
      </c>
    </row>
    <row r="10303" spans="6:6" x14ac:dyDescent="0.2">
      <c r="F10303" s="285" t="str">
        <f t="shared" si="309"/>
        <v/>
      </c>
    </row>
    <row r="10304" spans="6:6" x14ac:dyDescent="0.2">
      <c r="F10304" s="285" t="str">
        <f t="shared" si="309"/>
        <v/>
      </c>
    </row>
    <row r="10305" spans="6:6" x14ac:dyDescent="0.2">
      <c r="F10305" s="285" t="str">
        <f t="shared" si="309"/>
        <v/>
      </c>
    </row>
    <row r="10306" spans="6:6" x14ac:dyDescent="0.2">
      <c r="F10306" s="285" t="str">
        <f t="shared" si="309"/>
        <v/>
      </c>
    </row>
    <row r="10307" spans="6:6" x14ac:dyDescent="0.2">
      <c r="F10307" s="285" t="str">
        <f t="shared" si="309"/>
        <v/>
      </c>
    </row>
    <row r="10308" spans="6:6" x14ac:dyDescent="0.2">
      <c r="F10308" s="285" t="str">
        <f t="shared" si="309"/>
        <v/>
      </c>
    </row>
    <row r="10309" spans="6:6" x14ac:dyDescent="0.2">
      <c r="F10309" s="285" t="str">
        <f t="shared" ref="F10309:F10372" si="310">IF(A10309="","",A10309)</f>
        <v/>
      </c>
    </row>
    <row r="10310" spans="6:6" x14ac:dyDescent="0.2">
      <c r="F10310" s="285" t="str">
        <f t="shared" si="310"/>
        <v/>
      </c>
    </row>
    <row r="10311" spans="6:6" x14ac:dyDescent="0.2">
      <c r="F10311" s="285" t="str">
        <f t="shared" si="310"/>
        <v/>
      </c>
    </row>
    <row r="10312" spans="6:6" x14ac:dyDescent="0.2">
      <c r="F10312" s="285" t="str">
        <f t="shared" si="310"/>
        <v/>
      </c>
    </row>
    <row r="10313" spans="6:6" x14ac:dyDescent="0.2">
      <c r="F10313" s="285" t="str">
        <f t="shared" si="310"/>
        <v/>
      </c>
    </row>
    <row r="10314" spans="6:6" x14ac:dyDescent="0.2">
      <c r="F10314" s="285" t="str">
        <f t="shared" si="310"/>
        <v/>
      </c>
    </row>
    <row r="10315" spans="6:6" x14ac:dyDescent="0.2">
      <c r="F10315" s="285" t="str">
        <f t="shared" si="310"/>
        <v/>
      </c>
    </row>
    <row r="10316" spans="6:6" x14ac:dyDescent="0.2">
      <c r="F10316" s="285" t="str">
        <f t="shared" si="310"/>
        <v/>
      </c>
    </row>
    <row r="10317" spans="6:6" x14ac:dyDescent="0.2">
      <c r="F10317" s="285" t="str">
        <f t="shared" si="310"/>
        <v/>
      </c>
    </row>
    <row r="10318" spans="6:6" x14ac:dyDescent="0.2">
      <c r="F10318" s="285" t="str">
        <f t="shared" si="310"/>
        <v/>
      </c>
    </row>
    <row r="10319" spans="6:6" x14ac:dyDescent="0.2">
      <c r="F10319" s="285" t="str">
        <f t="shared" si="310"/>
        <v/>
      </c>
    </row>
    <row r="10320" spans="6:6" x14ac:dyDescent="0.2">
      <c r="F10320" s="285" t="str">
        <f t="shared" si="310"/>
        <v/>
      </c>
    </row>
    <row r="10321" spans="6:6" x14ac:dyDescent="0.2">
      <c r="F10321" s="285" t="str">
        <f t="shared" si="310"/>
        <v/>
      </c>
    </row>
    <row r="10322" spans="6:6" x14ac:dyDescent="0.2">
      <c r="F10322" s="285" t="str">
        <f t="shared" si="310"/>
        <v/>
      </c>
    </row>
    <row r="10323" spans="6:6" x14ac:dyDescent="0.2">
      <c r="F10323" s="285" t="str">
        <f t="shared" si="310"/>
        <v/>
      </c>
    </row>
    <row r="10324" spans="6:6" x14ac:dyDescent="0.2">
      <c r="F10324" s="285" t="str">
        <f t="shared" si="310"/>
        <v/>
      </c>
    </row>
    <row r="10325" spans="6:6" x14ac:dyDescent="0.2">
      <c r="F10325" s="285" t="str">
        <f t="shared" si="310"/>
        <v/>
      </c>
    </row>
    <row r="10326" spans="6:6" x14ac:dyDescent="0.2">
      <c r="F10326" s="285" t="str">
        <f t="shared" si="310"/>
        <v/>
      </c>
    </row>
    <row r="10327" spans="6:6" x14ac:dyDescent="0.2">
      <c r="F10327" s="285" t="str">
        <f t="shared" si="310"/>
        <v/>
      </c>
    </row>
    <row r="10328" spans="6:6" x14ac:dyDescent="0.2">
      <c r="F10328" s="285" t="str">
        <f t="shared" si="310"/>
        <v/>
      </c>
    </row>
    <row r="10329" spans="6:6" x14ac:dyDescent="0.2">
      <c r="F10329" s="285" t="str">
        <f t="shared" si="310"/>
        <v/>
      </c>
    </row>
    <row r="10330" spans="6:6" x14ac:dyDescent="0.2">
      <c r="F10330" s="285" t="str">
        <f t="shared" si="310"/>
        <v/>
      </c>
    </row>
    <row r="10331" spans="6:6" x14ac:dyDescent="0.2">
      <c r="F10331" s="285" t="str">
        <f t="shared" si="310"/>
        <v/>
      </c>
    </row>
    <row r="10332" spans="6:6" x14ac:dyDescent="0.2">
      <c r="F10332" s="285" t="str">
        <f t="shared" si="310"/>
        <v/>
      </c>
    </row>
    <row r="10333" spans="6:6" x14ac:dyDescent="0.2">
      <c r="F10333" s="285" t="str">
        <f t="shared" si="310"/>
        <v/>
      </c>
    </row>
    <row r="10334" spans="6:6" x14ac:dyDescent="0.2">
      <c r="F10334" s="285" t="str">
        <f t="shared" si="310"/>
        <v/>
      </c>
    </row>
    <row r="10335" spans="6:6" x14ac:dyDescent="0.2">
      <c r="F10335" s="285" t="str">
        <f t="shared" si="310"/>
        <v/>
      </c>
    </row>
    <row r="10336" spans="6:6" x14ac:dyDescent="0.2">
      <c r="F10336" s="285" t="str">
        <f t="shared" si="310"/>
        <v/>
      </c>
    </row>
    <row r="10337" spans="6:6" x14ac:dyDescent="0.2">
      <c r="F10337" s="285" t="str">
        <f t="shared" si="310"/>
        <v/>
      </c>
    </row>
    <row r="10338" spans="6:6" x14ac:dyDescent="0.2">
      <c r="F10338" s="285" t="str">
        <f t="shared" si="310"/>
        <v/>
      </c>
    </row>
    <row r="10339" spans="6:6" x14ac:dyDescent="0.2">
      <c r="F10339" s="285" t="str">
        <f t="shared" si="310"/>
        <v/>
      </c>
    </row>
    <row r="10340" spans="6:6" x14ac:dyDescent="0.2">
      <c r="F10340" s="285" t="str">
        <f t="shared" si="310"/>
        <v/>
      </c>
    </row>
    <row r="10341" spans="6:6" x14ac:dyDescent="0.2">
      <c r="F10341" s="285" t="str">
        <f t="shared" si="310"/>
        <v/>
      </c>
    </row>
    <row r="10342" spans="6:6" x14ac:dyDescent="0.2">
      <c r="F10342" s="285" t="str">
        <f t="shared" si="310"/>
        <v/>
      </c>
    </row>
    <row r="10343" spans="6:6" x14ac:dyDescent="0.2">
      <c r="F10343" s="285" t="str">
        <f t="shared" si="310"/>
        <v/>
      </c>
    </row>
    <row r="10344" spans="6:6" x14ac:dyDescent="0.2">
      <c r="F10344" s="285" t="str">
        <f t="shared" si="310"/>
        <v/>
      </c>
    </row>
    <row r="10345" spans="6:6" x14ac:dyDescent="0.2">
      <c r="F10345" s="285" t="str">
        <f t="shared" si="310"/>
        <v/>
      </c>
    </row>
    <row r="10346" spans="6:6" x14ac:dyDescent="0.2">
      <c r="F10346" s="285" t="str">
        <f t="shared" si="310"/>
        <v/>
      </c>
    </row>
    <row r="10347" spans="6:6" x14ac:dyDescent="0.2">
      <c r="F10347" s="285" t="str">
        <f t="shared" si="310"/>
        <v/>
      </c>
    </row>
    <row r="10348" spans="6:6" x14ac:dyDescent="0.2">
      <c r="F10348" s="285" t="str">
        <f t="shared" si="310"/>
        <v/>
      </c>
    </row>
    <row r="10349" spans="6:6" x14ac:dyDescent="0.2">
      <c r="F10349" s="285" t="str">
        <f t="shared" si="310"/>
        <v/>
      </c>
    </row>
    <row r="10350" spans="6:6" x14ac:dyDescent="0.2">
      <c r="F10350" s="285" t="str">
        <f t="shared" si="310"/>
        <v/>
      </c>
    </row>
    <row r="10351" spans="6:6" x14ac:dyDescent="0.2">
      <c r="F10351" s="285" t="str">
        <f t="shared" si="310"/>
        <v/>
      </c>
    </row>
    <row r="10352" spans="6:6" x14ac:dyDescent="0.2">
      <c r="F10352" s="285" t="str">
        <f t="shared" si="310"/>
        <v/>
      </c>
    </row>
    <row r="10353" spans="6:6" x14ac:dyDescent="0.2">
      <c r="F10353" s="285" t="str">
        <f t="shared" si="310"/>
        <v/>
      </c>
    </row>
    <row r="10354" spans="6:6" x14ac:dyDescent="0.2">
      <c r="F10354" s="285" t="str">
        <f t="shared" si="310"/>
        <v/>
      </c>
    </row>
    <row r="10355" spans="6:6" x14ac:dyDescent="0.2">
      <c r="F10355" s="285" t="str">
        <f t="shared" si="310"/>
        <v/>
      </c>
    </row>
    <row r="10356" spans="6:6" x14ac:dyDescent="0.2">
      <c r="F10356" s="285" t="str">
        <f t="shared" si="310"/>
        <v/>
      </c>
    </row>
    <row r="10357" spans="6:6" x14ac:dyDescent="0.2">
      <c r="F10357" s="285" t="str">
        <f t="shared" si="310"/>
        <v/>
      </c>
    </row>
    <row r="10358" spans="6:6" x14ac:dyDescent="0.2">
      <c r="F10358" s="285" t="str">
        <f t="shared" si="310"/>
        <v/>
      </c>
    </row>
    <row r="10359" spans="6:6" x14ac:dyDescent="0.2">
      <c r="F10359" s="285" t="str">
        <f t="shared" si="310"/>
        <v/>
      </c>
    </row>
    <row r="10360" spans="6:6" x14ac:dyDescent="0.2">
      <c r="F10360" s="285" t="str">
        <f t="shared" si="310"/>
        <v/>
      </c>
    </row>
    <row r="10361" spans="6:6" x14ac:dyDescent="0.2">
      <c r="F10361" s="285" t="str">
        <f t="shared" si="310"/>
        <v/>
      </c>
    </row>
    <row r="10362" spans="6:6" x14ac:dyDescent="0.2">
      <c r="F10362" s="285" t="str">
        <f t="shared" si="310"/>
        <v/>
      </c>
    </row>
    <row r="10363" spans="6:6" x14ac:dyDescent="0.2">
      <c r="F10363" s="285" t="str">
        <f t="shared" si="310"/>
        <v/>
      </c>
    </row>
    <row r="10364" spans="6:6" x14ac:dyDescent="0.2">
      <c r="F10364" s="285" t="str">
        <f t="shared" si="310"/>
        <v/>
      </c>
    </row>
    <row r="10365" spans="6:6" x14ac:dyDescent="0.2">
      <c r="F10365" s="285" t="str">
        <f t="shared" si="310"/>
        <v/>
      </c>
    </row>
    <row r="10366" spans="6:6" x14ac:dyDescent="0.2">
      <c r="F10366" s="285" t="str">
        <f t="shared" si="310"/>
        <v/>
      </c>
    </row>
    <row r="10367" spans="6:6" x14ac:dyDescent="0.2">
      <c r="F10367" s="285" t="str">
        <f t="shared" si="310"/>
        <v/>
      </c>
    </row>
    <row r="10368" spans="6:6" x14ac:dyDescent="0.2">
      <c r="F10368" s="285" t="str">
        <f t="shared" si="310"/>
        <v/>
      </c>
    </row>
    <row r="10369" spans="6:6" x14ac:dyDescent="0.2">
      <c r="F10369" s="285" t="str">
        <f t="shared" si="310"/>
        <v/>
      </c>
    </row>
    <row r="10370" spans="6:6" x14ac:dyDescent="0.2">
      <c r="F10370" s="285" t="str">
        <f t="shared" si="310"/>
        <v/>
      </c>
    </row>
    <row r="10371" spans="6:6" x14ac:dyDescent="0.2">
      <c r="F10371" s="285" t="str">
        <f t="shared" si="310"/>
        <v/>
      </c>
    </row>
    <row r="10372" spans="6:6" x14ac:dyDescent="0.2">
      <c r="F10372" s="285" t="str">
        <f t="shared" si="310"/>
        <v/>
      </c>
    </row>
    <row r="10373" spans="6:6" x14ac:dyDescent="0.2">
      <c r="F10373" s="285" t="str">
        <f t="shared" ref="F10373:F10436" si="311">IF(A10373="","",A10373)</f>
        <v/>
      </c>
    </row>
    <row r="10374" spans="6:6" x14ac:dyDescent="0.2">
      <c r="F10374" s="285" t="str">
        <f t="shared" si="311"/>
        <v/>
      </c>
    </row>
    <row r="10375" spans="6:6" x14ac:dyDescent="0.2">
      <c r="F10375" s="285" t="str">
        <f t="shared" si="311"/>
        <v/>
      </c>
    </row>
    <row r="10376" spans="6:6" x14ac:dyDescent="0.2">
      <c r="F10376" s="285" t="str">
        <f t="shared" si="311"/>
        <v/>
      </c>
    </row>
    <row r="10377" spans="6:6" x14ac:dyDescent="0.2">
      <c r="F10377" s="285" t="str">
        <f t="shared" si="311"/>
        <v/>
      </c>
    </row>
    <row r="10378" spans="6:6" x14ac:dyDescent="0.2">
      <c r="F10378" s="285" t="str">
        <f t="shared" si="311"/>
        <v/>
      </c>
    </row>
    <row r="10379" spans="6:6" x14ac:dyDescent="0.2">
      <c r="F10379" s="285" t="str">
        <f t="shared" si="311"/>
        <v/>
      </c>
    </row>
    <row r="10380" spans="6:6" x14ac:dyDescent="0.2">
      <c r="F10380" s="285" t="str">
        <f t="shared" si="311"/>
        <v/>
      </c>
    </row>
    <row r="10381" spans="6:6" x14ac:dyDescent="0.2">
      <c r="F10381" s="285" t="str">
        <f t="shared" si="311"/>
        <v/>
      </c>
    </row>
    <row r="10382" spans="6:6" x14ac:dyDescent="0.2">
      <c r="F10382" s="285" t="str">
        <f t="shared" si="311"/>
        <v/>
      </c>
    </row>
    <row r="10383" spans="6:6" x14ac:dyDescent="0.2">
      <c r="F10383" s="285" t="str">
        <f t="shared" si="311"/>
        <v/>
      </c>
    </row>
    <row r="10384" spans="6:6" x14ac:dyDescent="0.2">
      <c r="F10384" s="285" t="str">
        <f t="shared" si="311"/>
        <v/>
      </c>
    </row>
    <row r="10385" spans="6:6" x14ac:dyDescent="0.2">
      <c r="F10385" s="285" t="str">
        <f t="shared" si="311"/>
        <v/>
      </c>
    </row>
    <row r="10386" spans="6:6" x14ac:dyDescent="0.2">
      <c r="F10386" s="285" t="str">
        <f t="shared" si="311"/>
        <v/>
      </c>
    </row>
    <row r="10387" spans="6:6" x14ac:dyDescent="0.2">
      <c r="F10387" s="285" t="str">
        <f t="shared" si="311"/>
        <v/>
      </c>
    </row>
    <row r="10388" spans="6:6" x14ac:dyDescent="0.2">
      <c r="F10388" s="285" t="str">
        <f t="shared" si="311"/>
        <v/>
      </c>
    </row>
    <row r="10389" spans="6:6" x14ac:dyDescent="0.2">
      <c r="F10389" s="285" t="str">
        <f t="shared" si="311"/>
        <v/>
      </c>
    </row>
    <row r="10390" spans="6:6" x14ac:dyDescent="0.2">
      <c r="F10390" s="285" t="str">
        <f t="shared" si="311"/>
        <v/>
      </c>
    </row>
    <row r="10391" spans="6:6" x14ac:dyDescent="0.2">
      <c r="F10391" s="285" t="str">
        <f t="shared" si="311"/>
        <v/>
      </c>
    </row>
    <row r="10392" spans="6:6" x14ac:dyDescent="0.2">
      <c r="F10392" s="285" t="str">
        <f t="shared" si="311"/>
        <v/>
      </c>
    </row>
    <row r="10393" spans="6:6" x14ac:dyDescent="0.2">
      <c r="F10393" s="285" t="str">
        <f t="shared" si="311"/>
        <v/>
      </c>
    </row>
    <row r="10394" spans="6:6" x14ac:dyDescent="0.2">
      <c r="F10394" s="285" t="str">
        <f t="shared" si="311"/>
        <v/>
      </c>
    </row>
    <row r="10395" spans="6:6" x14ac:dyDescent="0.2">
      <c r="F10395" s="285" t="str">
        <f t="shared" si="311"/>
        <v/>
      </c>
    </row>
    <row r="10396" spans="6:6" x14ac:dyDescent="0.2">
      <c r="F10396" s="285" t="str">
        <f t="shared" si="311"/>
        <v/>
      </c>
    </row>
    <row r="10397" spans="6:6" x14ac:dyDescent="0.2">
      <c r="F10397" s="285" t="str">
        <f t="shared" si="311"/>
        <v/>
      </c>
    </row>
    <row r="10398" spans="6:6" x14ac:dyDescent="0.2">
      <c r="F10398" s="285" t="str">
        <f t="shared" si="311"/>
        <v/>
      </c>
    </row>
    <row r="10399" spans="6:6" x14ac:dyDescent="0.2">
      <c r="F10399" s="285" t="str">
        <f t="shared" si="311"/>
        <v/>
      </c>
    </row>
    <row r="10400" spans="6:6" x14ac:dyDescent="0.2">
      <c r="F10400" s="285" t="str">
        <f t="shared" si="311"/>
        <v/>
      </c>
    </row>
    <row r="10401" spans="6:6" x14ac:dyDescent="0.2">
      <c r="F10401" s="285" t="str">
        <f t="shared" si="311"/>
        <v/>
      </c>
    </row>
    <row r="10402" spans="6:6" x14ac:dyDescent="0.2">
      <c r="F10402" s="285" t="str">
        <f t="shared" si="311"/>
        <v/>
      </c>
    </row>
    <row r="10403" spans="6:6" x14ac:dyDescent="0.2">
      <c r="F10403" s="285" t="str">
        <f t="shared" si="311"/>
        <v/>
      </c>
    </row>
    <row r="10404" spans="6:6" x14ac:dyDescent="0.2">
      <c r="F10404" s="285" t="str">
        <f t="shared" si="311"/>
        <v/>
      </c>
    </row>
    <row r="10405" spans="6:6" x14ac:dyDescent="0.2">
      <c r="F10405" s="285" t="str">
        <f t="shared" si="311"/>
        <v/>
      </c>
    </row>
    <row r="10406" spans="6:6" x14ac:dyDescent="0.2">
      <c r="F10406" s="285" t="str">
        <f t="shared" si="311"/>
        <v/>
      </c>
    </row>
    <row r="10407" spans="6:6" x14ac:dyDescent="0.2">
      <c r="F10407" s="285" t="str">
        <f t="shared" si="311"/>
        <v/>
      </c>
    </row>
    <row r="10408" spans="6:6" x14ac:dyDescent="0.2">
      <c r="F10408" s="285" t="str">
        <f t="shared" si="311"/>
        <v/>
      </c>
    </row>
    <row r="10409" spans="6:6" x14ac:dyDescent="0.2">
      <c r="F10409" s="285" t="str">
        <f t="shared" si="311"/>
        <v/>
      </c>
    </row>
    <row r="10410" spans="6:6" x14ac:dyDescent="0.2">
      <c r="F10410" s="285" t="str">
        <f t="shared" si="311"/>
        <v/>
      </c>
    </row>
    <row r="10411" spans="6:6" x14ac:dyDescent="0.2">
      <c r="F10411" s="285" t="str">
        <f t="shared" si="311"/>
        <v/>
      </c>
    </row>
    <row r="10412" spans="6:6" x14ac:dyDescent="0.2">
      <c r="F10412" s="285" t="str">
        <f t="shared" si="311"/>
        <v/>
      </c>
    </row>
    <row r="10413" spans="6:6" x14ac:dyDescent="0.2">
      <c r="F10413" s="285" t="str">
        <f t="shared" si="311"/>
        <v/>
      </c>
    </row>
    <row r="10414" spans="6:6" x14ac:dyDescent="0.2">
      <c r="F10414" s="285" t="str">
        <f t="shared" si="311"/>
        <v/>
      </c>
    </row>
    <row r="10415" spans="6:6" x14ac:dyDescent="0.2">
      <c r="F10415" s="285" t="str">
        <f t="shared" si="311"/>
        <v/>
      </c>
    </row>
    <row r="10416" spans="6:6" x14ac:dyDescent="0.2">
      <c r="F10416" s="285" t="str">
        <f t="shared" si="311"/>
        <v/>
      </c>
    </row>
    <row r="10417" spans="6:6" x14ac:dyDescent="0.2">
      <c r="F10417" s="285" t="str">
        <f t="shared" si="311"/>
        <v/>
      </c>
    </row>
    <row r="10418" spans="6:6" x14ac:dyDescent="0.2">
      <c r="F10418" s="285" t="str">
        <f t="shared" si="311"/>
        <v/>
      </c>
    </row>
    <row r="10419" spans="6:6" x14ac:dyDescent="0.2">
      <c r="F10419" s="285" t="str">
        <f t="shared" si="311"/>
        <v/>
      </c>
    </row>
    <row r="10420" spans="6:6" x14ac:dyDescent="0.2">
      <c r="F10420" s="285" t="str">
        <f t="shared" si="311"/>
        <v/>
      </c>
    </row>
    <row r="10421" spans="6:6" x14ac:dyDescent="0.2">
      <c r="F10421" s="285" t="str">
        <f t="shared" si="311"/>
        <v/>
      </c>
    </row>
    <row r="10422" spans="6:6" x14ac:dyDescent="0.2">
      <c r="F10422" s="285" t="str">
        <f t="shared" si="311"/>
        <v/>
      </c>
    </row>
    <row r="10423" spans="6:6" x14ac:dyDescent="0.2">
      <c r="F10423" s="285" t="str">
        <f t="shared" si="311"/>
        <v/>
      </c>
    </row>
    <row r="10424" spans="6:6" x14ac:dyDescent="0.2">
      <c r="F10424" s="285" t="str">
        <f t="shared" si="311"/>
        <v/>
      </c>
    </row>
    <row r="10425" spans="6:6" x14ac:dyDescent="0.2">
      <c r="F10425" s="285" t="str">
        <f t="shared" si="311"/>
        <v/>
      </c>
    </row>
    <row r="10426" spans="6:6" x14ac:dyDescent="0.2">
      <c r="F10426" s="285" t="str">
        <f t="shared" si="311"/>
        <v/>
      </c>
    </row>
    <row r="10427" spans="6:6" x14ac:dyDescent="0.2">
      <c r="F10427" s="285" t="str">
        <f t="shared" si="311"/>
        <v/>
      </c>
    </row>
    <row r="10428" spans="6:6" x14ac:dyDescent="0.2">
      <c r="F10428" s="285" t="str">
        <f t="shared" si="311"/>
        <v/>
      </c>
    </row>
    <row r="10429" spans="6:6" x14ac:dyDescent="0.2">
      <c r="F10429" s="285" t="str">
        <f t="shared" si="311"/>
        <v/>
      </c>
    </row>
    <row r="10430" spans="6:6" x14ac:dyDescent="0.2">
      <c r="F10430" s="285" t="str">
        <f t="shared" si="311"/>
        <v/>
      </c>
    </row>
    <row r="10431" spans="6:6" x14ac:dyDescent="0.2">
      <c r="F10431" s="285" t="str">
        <f t="shared" si="311"/>
        <v/>
      </c>
    </row>
    <row r="10432" spans="6:6" x14ac:dyDescent="0.2">
      <c r="F10432" s="285" t="str">
        <f t="shared" si="311"/>
        <v/>
      </c>
    </row>
    <row r="10433" spans="6:6" x14ac:dyDescent="0.2">
      <c r="F10433" s="285" t="str">
        <f t="shared" si="311"/>
        <v/>
      </c>
    </row>
    <row r="10434" spans="6:6" x14ac:dyDescent="0.2">
      <c r="F10434" s="285" t="str">
        <f t="shared" si="311"/>
        <v/>
      </c>
    </row>
    <row r="10435" spans="6:6" x14ac:dyDescent="0.2">
      <c r="F10435" s="285" t="str">
        <f t="shared" si="311"/>
        <v/>
      </c>
    </row>
    <row r="10436" spans="6:6" x14ac:dyDescent="0.2">
      <c r="F10436" s="285" t="str">
        <f t="shared" si="311"/>
        <v/>
      </c>
    </row>
    <row r="10437" spans="6:6" x14ac:dyDescent="0.2">
      <c r="F10437" s="285" t="str">
        <f t="shared" ref="F10437:F10500" si="312">IF(A10437="","",A10437)</f>
        <v/>
      </c>
    </row>
    <row r="10438" spans="6:6" x14ac:dyDescent="0.2">
      <c r="F10438" s="285" t="str">
        <f t="shared" si="312"/>
        <v/>
      </c>
    </row>
    <row r="10439" spans="6:6" x14ac:dyDescent="0.2">
      <c r="F10439" s="285" t="str">
        <f t="shared" si="312"/>
        <v/>
      </c>
    </row>
    <row r="10440" spans="6:6" x14ac:dyDescent="0.2">
      <c r="F10440" s="285" t="str">
        <f t="shared" si="312"/>
        <v/>
      </c>
    </row>
    <row r="10441" spans="6:6" x14ac:dyDescent="0.2">
      <c r="F10441" s="285" t="str">
        <f t="shared" si="312"/>
        <v/>
      </c>
    </row>
    <row r="10442" spans="6:6" x14ac:dyDescent="0.2">
      <c r="F10442" s="285" t="str">
        <f t="shared" si="312"/>
        <v/>
      </c>
    </row>
    <row r="10443" spans="6:6" x14ac:dyDescent="0.2">
      <c r="F10443" s="285" t="str">
        <f t="shared" si="312"/>
        <v/>
      </c>
    </row>
    <row r="10444" spans="6:6" x14ac:dyDescent="0.2">
      <c r="F10444" s="285" t="str">
        <f t="shared" si="312"/>
        <v/>
      </c>
    </row>
    <row r="10445" spans="6:6" x14ac:dyDescent="0.2">
      <c r="F10445" s="285" t="str">
        <f t="shared" si="312"/>
        <v/>
      </c>
    </row>
    <row r="10446" spans="6:6" x14ac:dyDescent="0.2">
      <c r="F10446" s="285" t="str">
        <f t="shared" si="312"/>
        <v/>
      </c>
    </row>
    <row r="10447" spans="6:6" x14ac:dyDescent="0.2">
      <c r="F10447" s="285" t="str">
        <f t="shared" si="312"/>
        <v/>
      </c>
    </row>
    <row r="10448" spans="6:6" x14ac:dyDescent="0.2">
      <c r="F10448" s="285" t="str">
        <f t="shared" si="312"/>
        <v/>
      </c>
    </row>
    <row r="10449" spans="6:6" x14ac:dyDescent="0.2">
      <c r="F10449" s="285" t="str">
        <f t="shared" si="312"/>
        <v/>
      </c>
    </row>
    <row r="10450" spans="6:6" x14ac:dyDescent="0.2">
      <c r="F10450" s="285" t="str">
        <f t="shared" si="312"/>
        <v/>
      </c>
    </row>
    <row r="10451" spans="6:6" x14ac:dyDescent="0.2">
      <c r="F10451" s="285" t="str">
        <f t="shared" si="312"/>
        <v/>
      </c>
    </row>
    <row r="10452" spans="6:6" x14ac:dyDescent="0.2">
      <c r="F10452" s="285" t="str">
        <f t="shared" si="312"/>
        <v/>
      </c>
    </row>
    <row r="10453" spans="6:6" x14ac:dyDescent="0.2">
      <c r="F10453" s="285" t="str">
        <f t="shared" si="312"/>
        <v/>
      </c>
    </row>
    <row r="10454" spans="6:6" x14ac:dyDescent="0.2">
      <c r="F10454" s="285" t="str">
        <f t="shared" si="312"/>
        <v/>
      </c>
    </row>
    <row r="10455" spans="6:6" x14ac:dyDescent="0.2">
      <c r="F10455" s="285" t="str">
        <f t="shared" si="312"/>
        <v/>
      </c>
    </row>
    <row r="10456" spans="6:6" x14ac:dyDescent="0.2">
      <c r="F10456" s="285" t="str">
        <f t="shared" si="312"/>
        <v/>
      </c>
    </row>
    <row r="10457" spans="6:6" x14ac:dyDescent="0.2">
      <c r="F10457" s="285" t="str">
        <f t="shared" si="312"/>
        <v/>
      </c>
    </row>
    <row r="10458" spans="6:6" x14ac:dyDescent="0.2">
      <c r="F10458" s="285" t="str">
        <f t="shared" si="312"/>
        <v/>
      </c>
    </row>
    <row r="10459" spans="6:6" x14ac:dyDescent="0.2">
      <c r="F10459" s="285" t="str">
        <f t="shared" si="312"/>
        <v/>
      </c>
    </row>
    <row r="10460" spans="6:6" x14ac:dyDescent="0.2">
      <c r="F10460" s="285" t="str">
        <f t="shared" si="312"/>
        <v/>
      </c>
    </row>
    <row r="10461" spans="6:6" x14ac:dyDescent="0.2">
      <c r="F10461" s="285" t="str">
        <f t="shared" si="312"/>
        <v/>
      </c>
    </row>
    <row r="10462" spans="6:6" x14ac:dyDescent="0.2">
      <c r="F10462" s="285" t="str">
        <f t="shared" si="312"/>
        <v/>
      </c>
    </row>
    <row r="10463" spans="6:6" x14ac:dyDescent="0.2">
      <c r="F10463" s="285" t="str">
        <f t="shared" si="312"/>
        <v/>
      </c>
    </row>
    <row r="10464" spans="6:6" x14ac:dyDescent="0.2">
      <c r="F10464" s="285" t="str">
        <f t="shared" si="312"/>
        <v/>
      </c>
    </row>
    <row r="10465" spans="6:6" x14ac:dyDescent="0.2">
      <c r="F10465" s="285" t="str">
        <f t="shared" si="312"/>
        <v/>
      </c>
    </row>
    <row r="10466" spans="6:6" x14ac:dyDescent="0.2">
      <c r="F10466" s="285" t="str">
        <f t="shared" si="312"/>
        <v/>
      </c>
    </row>
    <row r="10467" spans="6:6" x14ac:dyDescent="0.2">
      <c r="F10467" s="285" t="str">
        <f t="shared" si="312"/>
        <v/>
      </c>
    </row>
    <row r="10468" spans="6:6" x14ac:dyDescent="0.2">
      <c r="F10468" s="285" t="str">
        <f t="shared" si="312"/>
        <v/>
      </c>
    </row>
    <row r="10469" spans="6:6" x14ac:dyDescent="0.2">
      <c r="F10469" s="285" t="str">
        <f t="shared" si="312"/>
        <v/>
      </c>
    </row>
    <row r="10470" spans="6:6" x14ac:dyDescent="0.2">
      <c r="F10470" s="285" t="str">
        <f t="shared" si="312"/>
        <v/>
      </c>
    </row>
    <row r="10471" spans="6:6" x14ac:dyDescent="0.2">
      <c r="F10471" s="285" t="str">
        <f t="shared" si="312"/>
        <v/>
      </c>
    </row>
    <row r="10472" spans="6:6" x14ac:dyDescent="0.2">
      <c r="F10472" s="285" t="str">
        <f t="shared" si="312"/>
        <v/>
      </c>
    </row>
    <row r="10473" spans="6:6" x14ac:dyDescent="0.2">
      <c r="F10473" s="285" t="str">
        <f t="shared" si="312"/>
        <v/>
      </c>
    </row>
    <row r="10474" spans="6:6" x14ac:dyDescent="0.2">
      <c r="F10474" s="285" t="str">
        <f t="shared" si="312"/>
        <v/>
      </c>
    </row>
    <row r="10475" spans="6:6" x14ac:dyDescent="0.2">
      <c r="F10475" s="285" t="str">
        <f t="shared" si="312"/>
        <v/>
      </c>
    </row>
    <row r="10476" spans="6:6" x14ac:dyDescent="0.2">
      <c r="F10476" s="285" t="str">
        <f t="shared" si="312"/>
        <v/>
      </c>
    </row>
    <row r="10477" spans="6:6" x14ac:dyDescent="0.2">
      <c r="F10477" s="285" t="str">
        <f t="shared" si="312"/>
        <v/>
      </c>
    </row>
    <row r="10478" spans="6:6" x14ac:dyDescent="0.2">
      <c r="F10478" s="285" t="str">
        <f t="shared" si="312"/>
        <v/>
      </c>
    </row>
    <row r="10479" spans="6:6" x14ac:dyDescent="0.2">
      <c r="F10479" s="285" t="str">
        <f t="shared" si="312"/>
        <v/>
      </c>
    </row>
    <row r="10480" spans="6:6" x14ac:dyDescent="0.2">
      <c r="F10480" s="285" t="str">
        <f t="shared" si="312"/>
        <v/>
      </c>
    </row>
    <row r="10481" spans="6:6" x14ac:dyDescent="0.2">
      <c r="F10481" s="285" t="str">
        <f t="shared" si="312"/>
        <v/>
      </c>
    </row>
    <row r="10482" spans="6:6" x14ac:dyDescent="0.2">
      <c r="F10482" s="285" t="str">
        <f t="shared" si="312"/>
        <v/>
      </c>
    </row>
    <row r="10483" spans="6:6" x14ac:dyDescent="0.2">
      <c r="F10483" s="285" t="str">
        <f t="shared" si="312"/>
        <v/>
      </c>
    </row>
    <row r="10484" spans="6:6" x14ac:dyDescent="0.2">
      <c r="F10484" s="285" t="str">
        <f t="shared" si="312"/>
        <v/>
      </c>
    </row>
    <row r="10485" spans="6:6" x14ac:dyDescent="0.2">
      <c r="F10485" s="285" t="str">
        <f t="shared" si="312"/>
        <v/>
      </c>
    </row>
    <row r="10486" spans="6:6" x14ac:dyDescent="0.2">
      <c r="F10486" s="285" t="str">
        <f t="shared" si="312"/>
        <v/>
      </c>
    </row>
    <row r="10487" spans="6:6" x14ac:dyDescent="0.2">
      <c r="F10487" s="285" t="str">
        <f t="shared" si="312"/>
        <v/>
      </c>
    </row>
    <row r="10488" spans="6:6" x14ac:dyDescent="0.2">
      <c r="F10488" s="285" t="str">
        <f t="shared" si="312"/>
        <v/>
      </c>
    </row>
    <row r="10489" spans="6:6" x14ac:dyDescent="0.2">
      <c r="F10489" s="285" t="str">
        <f t="shared" si="312"/>
        <v/>
      </c>
    </row>
    <row r="10490" spans="6:6" x14ac:dyDescent="0.2">
      <c r="F10490" s="285" t="str">
        <f t="shared" si="312"/>
        <v/>
      </c>
    </row>
    <row r="10491" spans="6:6" x14ac:dyDescent="0.2">
      <c r="F10491" s="285" t="str">
        <f t="shared" si="312"/>
        <v/>
      </c>
    </row>
    <row r="10492" spans="6:6" x14ac:dyDescent="0.2">
      <c r="F10492" s="285" t="str">
        <f t="shared" si="312"/>
        <v/>
      </c>
    </row>
    <row r="10493" spans="6:6" x14ac:dyDescent="0.2">
      <c r="F10493" s="285" t="str">
        <f t="shared" si="312"/>
        <v/>
      </c>
    </row>
    <row r="10494" spans="6:6" x14ac:dyDescent="0.2">
      <c r="F10494" s="285" t="str">
        <f t="shared" si="312"/>
        <v/>
      </c>
    </row>
    <row r="10495" spans="6:6" x14ac:dyDescent="0.2">
      <c r="F10495" s="285" t="str">
        <f t="shared" si="312"/>
        <v/>
      </c>
    </row>
    <row r="10496" spans="6:6" x14ac:dyDescent="0.2">
      <c r="F10496" s="285" t="str">
        <f t="shared" si="312"/>
        <v/>
      </c>
    </row>
    <row r="10497" spans="6:6" x14ac:dyDescent="0.2">
      <c r="F10497" s="285" t="str">
        <f t="shared" si="312"/>
        <v/>
      </c>
    </row>
    <row r="10498" spans="6:6" x14ac:dyDescent="0.2">
      <c r="F10498" s="285" t="str">
        <f t="shared" si="312"/>
        <v/>
      </c>
    </row>
    <row r="10499" spans="6:6" x14ac:dyDescent="0.2">
      <c r="F10499" s="285" t="str">
        <f t="shared" si="312"/>
        <v/>
      </c>
    </row>
    <row r="10500" spans="6:6" x14ac:dyDescent="0.2">
      <c r="F10500" s="285" t="str">
        <f t="shared" si="312"/>
        <v/>
      </c>
    </row>
    <row r="10501" spans="6:6" x14ac:dyDescent="0.2">
      <c r="F10501" s="285" t="str">
        <f t="shared" ref="F10501:F10564" si="313">IF(A10501="","",A10501)</f>
        <v/>
      </c>
    </row>
    <row r="10502" spans="6:6" x14ac:dyDescent="0.2">
      <c r="F10502" s="285" t="str">
        <f t="shared" si="313"/>
        <v/>
      </c>
    </row>
    <row r="10503" spans="6:6" x14ac:dyDescent="0.2">
      <c r="F10503" s="285" t="str">
        <f t="shared" si="313"/>
        <v/>
      </c>
    </row>
    <row r="10504" spans="6:6" x14ac:dyDescent="0.2">
      <c r="F10504" s="285" t="str">
        <f t="shared" si="313"/>
        <v/>
      </c>
    </row>
    <row r="10505" spans="6:6" x14ac:dyDescent="0.2">
      <c r="F10505" s="285" t="str">
        <f t="shared" si="313"/>
        <v/>
      </c>
    </row>
    <row r="10506" spans="6:6" x14ac:dyDescent="0.2">
      <c r="F10506" s="285" t="str">
        <f t="shared" si="313"/>
        <v/>
      </c>
    </row>
    <row r="10507" spans="6:6" x14ac:dyDescent="0.2">
      <c r="F10507" s="285" t="str">
        <f t="shared" si="313"/>
        <v/>
      </c>
    </row>
    <row r="10508" spans="6:6" x14ac:dyDescent="0.2">
      <c r="F10508" s="285" t="str">
        <f t="shared" si="313"/>
        <v/>
      </c>
    </row>
    <row r="10509" spans="6:6" x14ac:dyDescent="0.2">
      <c r="F10509" s="285" t="str">
        <f t="shared" si="313"/>
        <v/>
      </c>
    </row>
    <row r="10510" spans="6:6" x14ac:dyDescent="0.2">
      <c r="F10510" s="285" t="str">
        <f t="shared" si="313"/>
        <v/>
      </c>
    </row>
    <row r="10511" spans="6:6" x14ac:dyDescent="0.2">
      <c r="F10511" s="285" t="str">
        <f t="shared" si="313"/>
        <v/>
      </c>
    </row>
    <row r="10512" spans="6:6" x14ac:dyDescent="0.2">
      <c r="F10512" s="285" t="str">
        <f t="shared" si="313"/>
        <v/>
      </c>
    </row>
    <row r="10513" spans="6:6" x14ac:dyDescent="0.2">
      <c r="F10513" s="285" t="str">
        <f t="shared" si="313"/>
        <v/>
      </c>
    </row>
    <row r="10514" spans="6:6" x14ac:dyDescent="0.2">
      <c r="F10514" s="285" t="str">
        <f t="shared" si="313"/>
        <v/>
      </c>
    </row>
    <row r="10515" spans="6:6" x14ac:dyDescent="0.2">
      <c r="F10515" s="285" t="str">
        <f t="shared" si="313"/>
        <v/>
      </c>
    </row>
    <row r="10516" spans="6:6" x14ac:dyDescent="0.2">
      <c r="F10516" s="285" t="str">
        <f t="shared" si="313"/>
        <v/>
      </c>
    </row>
    <row r="10517" spans="6:6" x14ac:dyDescent="0.2">
      <c r="F10517" s="285" t="str">
        <f t="shared" si="313"/>
        <v/>
      </c>
    </row>
    <row r="10518" spans="6:6" x14ac:dyDescent="0.2">
      <c r="F10518" s="285" t="str">
        <f t="shared" si="313"/>
        <v/>
      </c>
    </row>
    <row r="10519" spans="6:6" x14ac:dyDescent="0.2">
      <c r="F10519" s="285" t="str">
        <f t="shared" si="313"/>
        <v/>
      </c>
    </row>
    <row r="10520" spans="6:6" x14ac:dyDescent="0.2">
      <c r="F10520" s="285" t="str">
        <f t="shared" si="313"/>
        <v/>
      </c>
    </row>
    <row r="10521" spans="6:6" x14ac:dyDescent="0.2">
      <c r="F10521" s="285" t="str">
        <f t="shared" si="313"/>
        <v/>
      </c>
    </row>
    <row r="10522" spans="6:6" x14ac:dyDescent="0.2">
      <c r="F10522" s="285" t="str">
        <f t="shared" si="313"/>
        <v/>
      </c>
    </row>
    <row r="10523" spans="6:6" x14ac:dyDescent="0.2">
      <c r="F10523" s="285" t="str">
        <f t="shared" si="313"/>
        <v/>
      </c>
    </row>
    <row r="10524" spans="6:6" x14ac:dyDescent="0.2">
      <c r="F10524" s="285" t="str">
        <f t="shared" si="313"/>
        <v/>
      </c>
    </row>
    <row r="10525" spans="6:6" x14ac:dyDescent="0.2">
      <c r="F10525" s="285" t="str">
        <f t="shared" si="313"/>
        <v/>
      </c>
    </row>
    <row r="10526" spans="6:6" x14ac:dyDescent="0.2">
      <c r="F10526" s="285" t="str">
        <f t="shared" si="313"/>
        <v/>
      </c>
    </row>
    <row r="10527" spans="6:6" x14ac:dyDescent="0.2">
      <c r="F10527" s="285" t="str">
        <f t="shared" si="313"/>
        <v/>
      </c>
    </row>
    <row r="10528" spans="6:6" x14ac:dyDescent="0.2">
      <c r="F10528" s="285" t="str">
        <f t="shared" si="313"/>
        <v/>
      </c>
    </row>
    <row r="10529" spans="6:6" x14ac:dyDescent="0.2">
      <c r="F10529" s="285" t="str">
        <f t="shared" si="313"/>
        <v/>
      </c>
    </row>
    <row r="10530" spans="6:6" x14ac:dyDescent="0.2">
      <c r="F10530" s="285" t="str">
        <f t="shared" si="313"/>
        <v/>
      </c>
    </row>
    <row r="10531" spans="6:6" x14ac:dyDescent="0.2">
      <c r="F10531" s="285" t="str">
        <f t="shared" si="313"/>
        <v/>
      </c>
    </row>
    <row r="10532" spans="6:6" x14ac:dyDescent="0.2">
      <c r="F10532" s="285" t="str">
        <f t="shared" si="313"/>
        <v/>
      </c>
    </row>
    <row r="10533" spans="6:6" x14ac:dyDescent="0.2">
      <c r="F10533" s="285" t="str">
        <f t="shared" si="313"/>
        <v/>
      </c>
    </row>
    <row r="10534" spans="6:6" x14ac:dyDescent="0.2">
      <c r="F10534" s="285" t="str">
        <f t="shared" si="313"/>
        <v/>
      </c>
    </row>
    <row r="10535" spans="6:6" x14ac:dyDescent="0.2">
      <c r="F10535" s="285" t="str">
        <f t="shared" si="313"/>
        <v/>
      </c>
    </row>
    <row r="10536" spans="6:6" x14ac:dyDescent="0.2">
      <c r="F10536" s="285" t="str">
        <f t="shared" si="313"/>
        <v/>
      </c>
    </row>
    <row r="10537" spans="6:6" x14ac:dyDescent="0.2">
      <c r="F10537" s="285" t="str">
        <f t="shared" si="313"/>
        <v/>
      </c>
    </row>
    <row r="10538" spans="6:6" x14ac:dyDescent="0.2">
      <c r="F10538" s="285" t="str">
        <f t="shared" si="313"/>
        <v/>
      </c>
    </row>
    <row r="10539" spans="6:6" x14ac:dyDescent="0.2">
      <c r="F10539" s="285" t="str">
        <f t="shared" si="313"/>
        <v/>
      </c>
    </row>
    <row r="10540" spans="6:6" x14ac:dyDescent="0.2">
      <c r="F10540" s="285" t="str">
        <f t="shared" si="313"/>
        <v/>
      </c>
    </row>
    <row r="10541" spans="6:6" x14ac:dyDescent="0.2">
      <c r="F10541" s="285" t="str">
        <f t="shared" si="313"/>
        <v/>
      </c>
    </row>
    <row r="10542" spans="6:6" x14ac:dyDescent="0.2">
      <c r="F10542" s="285" t="str">
        <f t="shared" si="313"/>
        <v/>
      </c>
    </row>
    <row r="10543" spans="6:6" x14ac:dyDescent="0.2">
      <c r="F10543" s="285" t="str">
        <f t="shared" si="313"/>
        <v/>
      </c>
    </row>
    <row r="10544" spans="6:6" x14ac:dyDescent="0.2">
      <c r="F10544" s="285" t="str">
        <f t="shared" si="313"/>
        <v/>
      </c>
    </row>
    <row r="10545" spans="6:6" x14ac:dyDescent="0.2">
      <c r="F10545" s="285" t="str">
        <f t="shared" si="313"/>
        <v/>
      </c>
    </row>
    <row r="10546" spans="6:6" x14ac:dyDescent="0.2">
      <c r="F10546" s="285" t="str">
        <f t="shared" si="313"/>
        <v/>
      </c>
    </row>
    <row r="10547" spans="6:6" x14ac:dyDescent="0.2">
      <c r="F10547" s="285" t="str">
        <f t="shared" si="313"/>
        <v/>
      </c>
    </row>
    <row r="10548" spans="6:6" x14ac:dyDescent="0.2">
      <c r="F10548" s="285" t="str">
        <f t="shared" si="313"/>
        <v/>
      </c>
    </row>
    <row r="10549" spans="6:6" x14ac:dyDescent="0.2">
      <c r="F10549" s="285" t="str">
        <f t="shared" si="313"/>
        <v/>
      </c>
    </row>
    <row r="10550" spans="6:6" x14ac:dyDescent="0.2">
      <c r="F10550" s="285" t="str">
        <f t="shared" si="313"/>
        <v/>
      </c>
    </row>
    <row r="10551" spans="6:6" x14ac:dyDescent="0.2">
      <c r="F10551" s="285" t="str">
        <f t="shared" si="313"/>
        <v/>
      </c>
    </row>
    <row r="10552" spans="6:6" x14ac:dyDescent="0.2">
      <c r="F10552" s="285" t="str">
        <f t="shared" si="313"/>
        <v/>
      </c>
    </row>
    <row r="10553" spans="6:6" x14ac:dyDescent="0.2">
      <c r="F10553" s="285" t="str">
        <f t="shared" si="313"/>
        <v/>
      </c>
    </row>
    <row r="10554" spans="6:6" x14ac:dyDescent="0.2">
      <c r="F10554" s="285" t="str">
        <f t="shared" si="313"/>
        <v/>
      </c>
    </row>
    <row r="10555" spans="6:6" x14ac:dyDescent="0.2">
      <c r="F10555" s="285" t="str">
        <f t="shared" si="313"/>
        <v/>
      </c>
    </row>
    <row r="10556" spans="6:6" x14ac:dyDescent="0.2">
      <c r="F10556" s="285" t="str">
        <f t="shared" si="313"/>
        <v/>
      </c>
    </row>
    <row r="10557" spans="6:6" x14ac:dyDescent="0.2">
      <c r="F10557" s="285" t="str">
        <f t="shared" si="313"/>
        <v/>
      </c>
    </row>
    <row r="10558" spans="6:6" x14ac:dyDescent="0.2">
      <c r="F10558" s="285" t="str">
        <f t="shared" si="313"/>
        <v/>
      </c>
    </row>
    <row r="10559" spans="6:6" x14ac:dyDescent="0.2">
      <c r="F10559" s="285" t="str">
        <f t="shared" si="313"/>
        <v/>
      </c>
    </row>
    <row r="10560" spans="6:6" x14ac:dyDescent="0.2">
      <c r="F10560" s="285" t="str">
        <f t="shared" si="313"/>
        <v/>
      </c>
    </row>
    <row r="10561" spans="6:6" x14ac:dyDescent="0.2">
      <c r="F10561" s="285" t="str">
        <f t="shared" si="313"/>
        <v/>
      </c>
    </row>
    <row r="10562" spans="6:6" x14ac:dyDescent="0.2">
      <c r="F10562" s="285" t="str">
        <f t="shared" si="313"/>
        <v/>
      </c>
    </row>
    <row r="10563" spans="6:6" x14ac:dyDescent="0.2">
      <c r="F10563" s="285" t="str">
        <f t="shared" si="313"/>
        <v/>
      </c>
    </row>
    <row r="10564" spans="6:6" x14ac:dyDescent="0.2">
      <c r="F10564" s="285" t="str">
        <f t="shared" si="313"/>
        <v/>
      </c>
    </row>
    <row r="10565" spans="6:6" x14ac:dyDescent="0.2">
      <c r="F10565" s="285" t="str">
        <f t="shared" ref="F10565:F10628" si="314">IF(A10565="","",A10565)</f>
        <v/>
      </c>
    </row>
    <row r="10566" spans="6:6" x14ac:dyDescent="0.2">
      <c r="F10566" s="285" t="str">
        <f t="shared" si="314"/>
        <v/>
      </c>
    </row>
    <row r="10567" spans="6:6" x14ac:dyDescent="0.2">
      <c r="F10567" s="285" t="str">
        <f t="shared" si="314"/>
        <v/>
      </c>
    </row>
    <row r="10568" spans="6:6" x14ac:dyDescent="0.2">
      <c r="F10568" s="285" t="str">
        <f t="shared" si="314"/>
        <v/>
      </c>
    </row>
    <row r="10569" spans="6:6" x14ac:dyDescent="0.2">
      <c r="F10569" s="285" t="str">
        <f t="shared" si="314"/>
        <v/>
      </c>
    </row>
    <row r="10570" spans="6:6" x14ac:dyDescent="0.2">
      <c r="F10570" s="285" t="str">
        <f t="shared" si="314"/>
        <v/>
      </c>
    </row>
    <row r="10571" spans="6:6" x14ac:dyDescent="0.2">
      <c r="F10571" s="285" t="str">
        <f t="shared" si="314"/>
        <v/>
      </c>
    </row>
    <row r="10572" spans="6:6" x14ac:dyDescent="0.2">
      <c r="F10572" s="285" t="str">
        <f t="shared" si="314"/>
        <v/>
      </c>
    </row>
    <row r="10573" spans="6:6" x14ac:dyDescent="0.2">
      <c r="F10573" s="285" t="str">
        <f t="shared" si="314"/>
        <v/>
      </c>
    </row>
    <row r="10574" spans="6:6" x14ac:dyDescent="0.2">
      <c r="F10574" s="285" t="str">
        <f t="shared" si="314"/>
        <v/>
      </c>
    </row>
    <row r="10575" spans="6:6" x14ac:dyDescent="0.2">
      <c r="F10575" s="285" t="str">
        <f t="shared" si="314"/>
        <v/>
      </c>
    </row>
    <row r="10576" spans="6:6" x14ac:dyDescent="0.2">
      <c r="F10576" s="285" t="str">
        <f t="shared" si="314"/>
        <v/>
      </c>
    </row>
    <row r="10577" spans="6:6" x14ac:dyDescent="0.2">
      <c r="F10577" s="285" t="str">
        <f t="shared" si="314"/>
        <v/>
      </c>
    </row>
    <row r="10578" spans="6:6" x14ac:dyDescent="0.2">
      <c r="F10578" s="285" t="str">
        <f t="shared" si="314"/>
        <v/>
      </c>
    </row>
    <row r="10579" spans="6:6" x14ac:dyDescent="0.2">
      <c r="F10579" s="285" t="str">
        <f t="shared" si="314"/>
        <v/>
      </c>
    </row>
    <row r="10580" spans="6:6" x14ac:dyDescent="0.2">
      <c r="F10580" s="285" t="str">
        <f t="shared" si="314"/>
        <v/>
      </c>
    </row>
    <row r="10581" spans="6:6" x14ac:dyDescent="0.2">
      <c r="F10581" s="285" t="str">
        <f t="shared" si="314"/>
        <v/>
      </c>
    </row>
    <row r="10582" spans="6:6" x14ac:dyDescent="0.2">
      <c r="F10582" s="285" t="str">
        <f t="shared" si="314"/>
        <v/>
      </c>
    </row>
    <row r="10583" spans="6:6" x14ac:dyDescent="0.2">
      <c r="F10583" s="285" t="str">
        <f t="shared" si="314"/>
        <v/>
      </c>
    </row>
    <row r="10584" spans="6:6" x14ac:dyDescent="0.2">
      <c r="F10584" s="285" t="str">
        <f t="shared" si="314"/>
        <v/>
      </c>
    </row>
    <row r="10585" spans="6:6" x14ac:dyDescent="0.2">
      <c r="F10585" s="285" t="str">
        <f t="shared" si="314"/>
        <v/>
      </c>
    </row>
    <row r="10586" spans="6:6" x14ac:dyDescent="0.2">
      <c r="F10586" s="285" t="str">
        <f t="shared" si="314"/>
        <v/>
      </c>
    </row>
    <row r="10587" spans="6:6" x14ac:dyDescent="0.2">
      <c r="F10587" s="285" t="str">
        <f t="shared" si="314"/>
        <v/>
      </c>
    </row>
    <row r="10588" spans="6:6" x14ac:dyDescent="0.2">
      <c r="F10588" s="285" t="str">
        <f t="shared" si="314"/>
        <v/>
      </c>
    </row>
    <row r="10589" spans="6:6" x14ac:dyDescent="0.2">
      <c r="F10589" s="285" t="str">
        <f t="shared" si="314"/>
        <v/>
      </c>
    </row>
    <row r="10590" spans="6:6" x14ac:dyDescent="0.2">
      <c r="F10590" s="285" t="str">
        <f t="shared" si="314"/>
        <v/>
      </c>
    </row>
    <row r="10591" spans="6:6" x14ac:dyDescent="0.2">
      <c r="F10591" s="285" t="str">
        <f t="shared" si="314"/>
        <v/>
      </c>
    </row>
    <row r="10592" spans="6:6" x14ac:dyDescent="0.2">
      <c r="F10592" s="285" t="str">
        <f t="shared" si="314"/>
        <v/>
      </c>
    </row>
    <row r="10593" spans="6:6" x14ac:dyDescent="0.2">
      <c r="F10593" s="285" t="str">
        <f t="shared" si="314"/>
        <v/>
      </c>
    </row>
    <row r="10594" spans="6:6" x14ac:dyDescent="0.2">
      <c r="F10594" s="285" t="str">
        <f t="shared" si="314"/>
        <v/>
      </c>
    </row>
    <row r="10595" spans="6:6" x14ac:dyDescent="0.2">
      <c r="F10595" s="285" t="str">
        <f t="shared" si="314"/>
        <v/>
      </c>
    </row>
    <row r="10596" spans="6:6" x14ac:dyDescent="0.2">
      <c r="F10596" s="285" t="str">
        <f t="shared" si="314"/>
        <v/>
      </c>
    </row>
    <row r="10597" spans="6:6" x14ac:dyDescent="0.2">
      <c r="F10597" s="285" t="str">
        <f t="shared" si="314"/>
        <v/>
      </c>
    </row>
    <row r="10598" spans="6:6" x14ac:dyDescent="0.2">
      <c r="F10598" s="285" t="str">
        <f t="shared" si="314"/>
        <v/>
      </c>
    </row>
    <row r="10599" spans="6:6" x14ac:dyDescent="0.2">
      <c r="F10599" s="285" t="str">
        <f t="shared" si="314"/>
        <v/>
      </c>
    </row>
    <row r="10600" spans="6:6" x14ac:dyDescent="0.2">
      <c r="F10600" s="285" t="str">
        <f t="shared" si="314"/>
        <v/>
      </c>
    </row>
    <row r="10601" spans="6:6" x14ac:dyDescent="0.2">
      <c r="F10601" s="285" t="str">
        <f t="shared" si="314"/>
        <v/>
      </c>
    </row>
    <row r="10602" spans="6:6" x14ac:dyDescent="0.2">
      <c r="F10602" s="285" t="str">
        <f t="shared" si="314"/>
        <v/>
      </c>
    </row>
    <row r="10603" spans="6:6" x14ac:dyDescent="0.2">
      <c r="F10603" s="285" t="str">
        <f t="shared" si="314"/>
        <v/>
      </c>
    </row>
    <row r="10604" spans="6:6" x14ac:dyDescent="0.2">
      <c r="F10604" s="285" t="str">
        <f t="shared" si="314"/>
        <v/>
      </c>
    </row>
    <row r="10605" spans="6:6" x14ac:dyDescent="0.2">
      <c r="F10605" s="285" t="str">
        <f t="shared" si="314"/>
        <v/>
      </c>
    </row>
    <row r="10606" spans="6:6" x14ac:dyDescent="0.2">
      <c r="F10606" s="285" t="str">
        <f t="shared" si="314"/>
        <v/>
      </c>
    </row>
    <row r="10607" spans="6:6" x14ac:dyDescent="0.2">
      <c r="F10607" s="285" t="str">
        <f t="shared" si="314"/>
        <v/>
      </c>
    </row>
    <row r="10608" spans="6:6" x14ac:dyDescent="0.2">
      <c r="F10608" s="285" t="str">
        <f t="shared" si="314"/>
        <v/>
      </c>
    </row>
    <row r="10609" spans="6:6" x14ac:dyDescent="0.2">
      <c r="F10609" s="285" t="str">
        <f t="shared" si="314"/>
        <v/>
      </c>
    </row>
    <row r="10610" spans="6:6" x14ac:dyDescent="0.2">
      <c r="F10610" s="285" t="str">
        <f t="shared" si="314"/>
        <v/>
      </c>
    </row>
    <row r="10611" spans="6:6" x14ac:dyDescent="0.2">
      <c r="F10611" s="285" t="str">
        <f t="shared" si="314"/>
        <v/>
      </c>
    </row>
    <row r="10612" spans="6:6" x14ac:dyDescent="0.2">
      <c r="F10612" s="285" t="str">
        <f t="shared" si="314"/>
        <v/>
      </c>
    </row>
    <row r="10613" spans="6:6" x14ac:dyDescent="0.2">
      <c r="F10613" s="285" t="str">
        <f t="shared" si="314"/>
        <v/>
      </c>
    </row>
    <row r="10614" spans="6:6" x14ac:dyDescent="0.2">
      <c r="F10614" s="285" t="str">
        <f t="shared" si="314"/>
        <v/>
      </c>
    </row>
    <row r="10615" spans="6:6" x14ac:dyDescent="0.2">
      <c r="F10615" s="285" t="str">
        <f t="shared" si="314"/>
        <v/>
      </c>
    </row>
    <row r="10616" spans="6:6" x14ac:dyDescent="0.2">
      <c r="F10616" s="285" t="str">
        <f t="shared" si="314"/>
        <v/>
      </c>
    </row>
    <row r="10617" spans="6:6" x14ac:dyDescent="0.2">
      <c r="F10617" s="285" t="str">
        <f t="shared" si="314"/>
        <v/>
      </c>
    </row>
    <row r="10618" spans="6:6" x14ac:dyDescent="0.2">
      <c r="F10618" s="285" t="str">
        <f t="shared" si="314"/>
        <v/>
      </c>
    </row>
    <row r="10619" spans="6:6" x14ac:dyDescent="0.2">
      <c r="F10619" s="285" t="str">
        <f t="shared" si="314"/>
        <v/>
      </c>
    </row>
    <row r="10620" spans="6:6" x14ac:dyDescent="0.2">
      <c r="F10620" s="285" t="str">
        <f t="shared" si="314"/>
        <v/>
      </c>
    </row>
    <row r="10621" spans="6:6" x14ac:dyDescent="0.2">
      <c r="F10621" s="285" t="str">
        <f t="shared" si="314"/>
        <v/>
      </c>
    </row>
    <row r="10622" spans="6:6" x14ac:dyDescent="0.2">
      <c r="F10622" s="285" t="str">
        <f t="shared" si="314"/>
        <v/>
      </c>
    </row>
    <row r="10623" spans="6:6" x14ac:dyDescent="0.2">
      <c r="F10623" s="285" t="str">
        <f t="shared" si="314"/>
        <v/>
      </c>
    </row>
    <row r="10624" spans="6:6" x14ac:dyDescent="0.2">
      <c r="F10624" s="285" t="str">
        <f t="shared" si="314"/>
        <v/>
      </c>
    </row>
    <row r="10625" spans="6:6" x14ac:dyDescent="0.2">
      <c r="F10625" s="285" t="str">
        <f t="shared" si="314"/>
        <v/>
      </c>
    </row>
    <row r="10626" spans="6:6" x14ac:dyDescent="0.2">
      <c r="F10626" s="285" t="str">
        <f t="shared" si="314"/>
        <v/>
      </c>
    </row>
    <row r="10627" spans="6:6" x14ac:dyDescent="0.2">
      <c r="F10627" s="285" t="str">
        <f t="shared" si="314"/>
        <v/>
      </c>
    </row>
    <row r="10628" spans="6:6" x14ac:dyDescent="0.2">
      <c r="F10628" s="285" t="str">
        <f t="shared" si="314"/>
        <v/>
      </c>
    </row>
    <row r="10629" spans="6:6" x14ac:dyDescent="0.2">
      <c r="F10629" s="285" t="str">
        <f t="shared" ref="F10629:F10692" si="315">IF(A10629="","",A10629)</f>
        <v/>
      </c>
    </row>
    <row r="10630" spans="6:6" x14ac:dyDescent="0.2">
      <c r="F10630" s="285" t="str">
        <f t="shared" si="315"/>
        <v/>
      </c>
    </row>
    <row r="10631" spans="6:6" x14ac:dyDescent="0.2">
      <c r="F10631" s="285" t="str">
        <f t="shared" si="315"/>
        <v/>
      </c>
    </row>
    <row r="10632" spans="6:6" x14ac:dyDescent="0.2">
      <c r="F10632" s="285" t="str">
        <f t="shared" si="315"/>
        <v/>
      </c>
    </row>
    <row r="10633" spans="6:6" x14ac:dyDescent="0.2">
      <c r="F10633" s="285" t="str">
        <f t="shared" si="315"/>
        <v/>
      </c>
    </row>
    <row r="10634" spans="6:6" x14ac:dyDescent="0.2">
      <c r="F10634" s="285" t="str">
        <f t="shared" si="315"/>
        <v/>
      </c>
    </row>
    <row r="10635" spans="6:6" x14ac:dyDescent="0.2">
      <c r="F10635" s="285" t="str">
        <f t="shared" si="315"/>
        <v/>
      </c>
    </row>
    <row r="10636" spans="6:6" x14ac:dyDescent="0.2">
      <c r="F10636" s="285" t="str">
        <f t="shared" si="315"/>
        <v/>
      </c>
    </row>
    <row r="10637" spans="6:6" x14ac:dyDescent="0.2">
      <c r="F10637" s="285" t="str">
        <f t="shared" si="315"/>
        <v/>
      </c>
    </row>
    <row r="10638" spans="6:6" x14ac:dyDescent="0.2">
      <c r="F10638" s="285" t="str">
        <f t="shared" si="315"/>
        <v/>
      </c>
    </row>
    <row r="10639" spans="6:6" x14ac:dyDescent="0.2">
      <c r="F10639" s="285" t="str">
        <f t="shared" si="315"/>
        <v/>
      </c>
    </row>
    <row r="10640" spans="6:6" x14ac:dyDescent="0.2">
      <c r="F10640" s="285" t="str">
        <f t="shared" si="315"/>
        <v/>
      </c>
    </row>
    <row r="10641" spans="6:6" x14ac:dyDescent="0.2">
      <c r="F10641" s="285" t="str">
        <f t="shared" si="315"/>
        <v/>
      </c>
    </row>
    <row r="10642" spans="6:6" x14ac:dyDescent="0.2">
      <c r="F10642" s="285" t="str">
        <f t="shared" si="315"/>
        <v/>
      </c>
    </row>
    <row r="10643" spans="6:6" x14ac:dyDescent="0.2">
      <c r="F10643" s="285" t="str">
        <f t="shared" si="315"/>
        <v/>
      </c>
    </row>
    <row r="10644" spans="6:6" x14ac:dyDescent="0.2">
      <c r="F10644" s="285" t="str">
        <f t="shared" si="315"/>
        <v/>
      </c>
    </row>
    <row r="10645" spans="6:6" x14ac:dyDescent="0.2">
      <c r="F10645" s="285" t="str">
        <f t="shared" si="315"/>
        <v/>
      </c>
    </row>
    <row r="10646" spans="6:6" x14ac:dyDescent="0.2">
      <c r="F10646" s="285" t="str">
        <f t="shared" si="315"/>
        <v/>
      </c>
    </row>
    <row r="10647" spans="6:6" x14ac:dyDescent="0.2">
      <c r="F10647" s="285" t="str">
        <f t="shared" si="315"/>
        <v/>
      </c>
    </row>
    <row r="10648" spans="6:6" x14ac:dyDescent="0.2">
      <c r="F10648" s="285" t="str">
        <f t="shared" si="315"/>
        <v/>
      </c>
    </row>
    <row r="10649" spans="6:6" x14ac:dyDescent="0.2">
      <c r="F10649" s="285" t="str">
        <f t="shared" si="315"/>
        <v/>
      </c>
    </row>
    <row r="10650" spans="6:6" x14ac:dyDescent="0.2">
      <c r="F10650" s="285" t="str">
        <f t="shared" si="315"/>
        <v/>
      </c>
    </row>
    <row r="10651" spans="6:6" x14ac:dyDescent="0.2">
      <c r="F10651" s="285" t="str">
        <f t="shared" si="315"/>
        <v/>
      </c>
    </row>
    <row r="10652" spans="6:6" x14ac:dyDescent="0.2">
      <c r="F10652" s="285" t="str">
        <f t="shared" si="315"/>
        <v/>
      </c>
    </row>
    <row r="10653" spans="6:6" x14ac:dyDescent="0.2">
      <c r="F10653" s="285" t="str">
        <f t="shared" si="315"/>
        <v/>
      </c>
    </row>
    <row r="10654" spans="6:6" x14ac:dyDescent="0.2">
      <c r="F10654" s="285" t="str">
        <f t="shared" si="315"/>
        <v/>
      </c>
    </row>
    <row r="10655" spans="6:6" x14ac:dyDescent="0.2">
      <c r="F10655" s="285" t="str">
        <f t="shared" si="315"/>
        <v/>
      </c>
    </row>
    <row r="10656" spans="6:6" x14ac:dyDescent="0.2">
      <c r="F10656" s="285" t="str">
        <f t="shared" si="315"/>
        <v/>
      </c>
    </row>
    <row r="10657" spans="6:6" x14ac:dyDescent="0.2">
      <c r="F10657" s="285" t="str">
        <f t="shared" si="315"/>
        <v/>
      </c>
    </row>
    <row r="10658" spans="6:6" x14ac:dyDescent="0.2">
      <c r="F10658" s="285" t="str">
        <f t="shared" si="315"/>
        <v/>
      </c>
    </row>
    <row r="10659" spans="6:6" x14ac:dyDescent="0.2">
      <c r="F10659" s="285" t="str">
        <f t="shared" si="315"/>
        <v/>
      </c>
    </row>
    <row r="10660" spans="6:6" x14ac:dyDescent="0.2">
      <c r="F10660" s="285" t="str">
        <f t="shared" si="315"/>
        <v/>
      </c>
    </row>
    <row r="10661" spans="6:6" x14ac:dyDescent="0.2">
      <c r="F10661" s="285" t="str">
        <f t="shared" si="315"/>
        <v/>
      </c>
    </row>
    <row r="10662" spans="6:6" x14ac:dyDescent="0.2">
      <c r="F10662" s="285" t="str">
        <f t="shared" si="315"/>
        <v/>
      </c>
    </row>
    <row r="10663" spans="6:6" x14ac:dyDescent="0.2">
      <c r="F10663" s="285" t="str">
        <f t="shared" si="315"/>
        <v/>
      </c>
    </row>
    <row r="10664" spans="6:6" x14ac:dyDescent="0.2">
      <c r="F10664" s="285" t="str">
        <f t="shared" si="315"/>
        <v/>
      </c>
    </row>
    <row r="10665" spans="6:6" x14ac:dyDescent="0.2">
      <c r="F10665" s="285" t="str">
        <f t="shared" si="315"/>
        <v/>
      </c>
    </row>
    <row r="10666" spans="6:6" x14ac:dyDescent="0.2">
      <c r="F10666" s="285" t="str">
        <f t="shared" si="315"/>
        <v/>
      </c>
    </row>
    <row r="10667" spans="6:6" x14ac:dyDescent="0.2">
      <c r="F10667" s="285" t="str">
        <f t="shared" si="315"/>
        <v/>
      </c>
    </row>
    <row r="10668" spans="6:6" x14ac:dyDescent="0.2">
      <c r="F10668" s="285" t="str">
        <f t="shared" si="315"/>
        <v/>
      </c>
    </row>
    <row r="10669" spans="6:6" x14ac:dyDescent="0.2">
      <c r="F10669" s="285" t="str">
        <f t="shared" si="315"/>
        <v/>
      </c>
    </row>
    <row r="10670" spans="6:6" x14ac:dyDescent="0.2">
      <c r="F10670" s="285" t="str">
        <f t="shared" si="315"/>
        <v/>
      </c>
    </row>
    <row r="10671" spans="6:6" x14ac:dyDescent="0.2">
      <c r="F10671" s="285" t="str">
        <f t="shared" si="315"/>
        <v/>
      </c>
    </row>
    <row r="10672" spans="6:6" x14ac:dyDescent="0.2">
      <c r="F10672" s="285" t="str">
        <f t="shared" si="315"/>
        <v/>
      </c>
    </row>
    <row r="10673" spans="6:6" x14ac:dyDescent="0.2">
      <c r="F10673" s="285" t="str">
        <f t="shared" si="315"/>
        <v/>
      </c>
    </row>
    <row r="10674" spans="6:6" x14ac:dyDescent="0.2">
      <c r="F10674" s="285" t="str">
        <f t="shared" si="315"/>
        <v/>
      </c>
    </row>
    <row r="10675" spans="6:6" x14ac:dyDescent="0.2">
      <c r="F10675" s="285" t="str">
        <f t="shared" si="315"/>
        <v/>
      </c>
    </row>
    <row r="10676" spans="6:6" x14ac:dyDescent="0.2">
      <c r="F10676" s="285" t="str">
        <f t="shared" si="315"/>
        <v/>
      </c>
    </row>
    <row r="10677" spans="6:6" x14ac:dyDescent="0.2">
      <c r="F10677" s="285" t="str">
        <f t="shared" si="315"/>
        <v/>
      </c>
    </row>
    <row r="10678" spans="6:6" x14ac:dyDescent="0.2">
      <c r="F10678" s="285" t="str">
        <f t="shared" si="315"/>
        <v/>
      </c>
    </row>
    <row r="10679" spans="6:6" x14ac:dyDescent="0.2">
      <c r="F10679" s="285" t="str">
        <f t="shared" si="315"/>
        <v/>
      </c>
    </row>
    <row r="10680" spans="6:6" x14ac:dyDescent="0.2">
      <c r="F10680" s="285" t="str">
        <f t="shared" si="315"/>
        <v/>
      </c>
    </row>
    <row r="10681" spans="6:6" x14ac:dyDescent="0.2">
      <c r="F10681" s="285" t="str">
        <f t="shared" si="315"/>
        <v/>
      </c>
    </row>
    <row r="10682" spans="6:6" x14ac:dyDescent="0.2">
      <c r="F10682" s="285" t="str">
        <f t="shared" si="315"/>
        <v/>
      </c>
    </row>
    <row r="10683" spans="6:6" x14ac:dyDescent="0.2">
      <c r="F10683" s="285" t="str">
        <f t="shared" si="315"/>
        <v/>
      </c>
    </row>
    <row r="10684" spans="6:6" x14ac:dyDescent="0.2">
      <c r="F10684" s="285" t="str">
        <f t="shared" si="315"/>
        <v/>
      </c>
    </row>
    <row r="10685" spans="6:6" x14ac:dyDescent="0.2">
      <c r="F10685" s="285" t="str">
        <f t="shared" si="315"/>
        <v/>
      </c>
    </row>
    <row r="10686" spans="6:6" x14ac:dyDescent="0.2">
      <c r="F10686" s="285" t="str">
        <f t="shared" si="315"/>
        <v/>
      </c>
    </row>
    <row r="10687" spans="6:6" x14ac:dyDescent="0.2">
      <c r="F10687" s="285" t="str">
        <f t="shared" si="315"/>
        <v/>
      </c>
    </row>
    <row r="10688" spans="6:6" x14ac:dyDescent="0.2">
      <c r="F10688" s="285" t="str">
        <f t="shared" si="315"/>
        <v/>
      </c>
    </row>
    <row r="10689" spans="6:6" x14ac:dyDescent="0.2">
      <c r="F10689" s="285" t="str">
        <f t="shared" si="315"/>
        <v/>
      </c>
    </row>
    <row r="10690" spans="6:6" x14ac:dyDescent="0.2">
      <c r="F10690" s="285" t="str">
        <f t="shared" si="315"/>
        <v/>
      </c>
    </row>
    <row r="10691" spans="6:6" x14ac:dyDescent="0.2">
      <c r="F10691" s="285" t="str">
        <f t="shared" si="315"/>
        <v/>
      </c>
    </row>
    <row r="10692" spans="6:6" x14ac:dyDescent="0.2">
      <c r="F10692" s="285" t="str">
        <f t="shared" si="315"/>
        <v/>
      </c>
    </row>
    <row r="10693" spans="6:6" x14ac:dyDescent="0.2">
      <c r="F10693" s="285" t="str">
        <f t="shared" ref="F10693:F10756" si="316">IF(A10693="","",A10693)</f>
        <v/>
      </c>
    </row>
    <row r="10694" spans="6:6" x14ac:dyDescent="0.2">
      <c r="F10694" s="285" t="str">
        <f t="shared" si="316"/>
        <v/>
      </c>
    </row>
    <row r="10695" spans="6:6" x14ac:dyDescent="0.2">
      <c r="F10695" s="285" t="str">
        <f t="shared" si="316"/>
        <v/>
      </c>
    </row>
    <row r="10696" spans="6:6" x14ac:dyDescent="0.2">
      <c r="F10696" s="285" t="str">
        <f t="shared" si="316"/>
        <v/>
      </c>
    </row>
    <row r="10697" spans="6:6" x14ac:dyDescent="0.2">
      <c r="F10697" s="285" t="str">
        <f t="shared" si="316"/>
        <v/>
      </c>
    </row>
    <row r="10698" spans="6:6" x14ac:dyDescent="0.2">
      <c r="F10698" s="285" t="str">
        <f t="shared" si="316"/>
        <v/>
      </c>
    </row>
    <row r="10699" spans="6:6" x14ac:dyDescent="0.2">
      <c r="F10699" s="285" t="str">
        <f t="shared" si="316"/>
        <v/>
      </c>
    </row>
    <row r="10700" spans="6:6" x14ac:dyDescent="0.2">
      <c r="F10700" s="285" t="str">
        <f t="shared" si="316"/>
        <v/>
      </c>
    </row>
    <row r="10701" spans="6:6" x14ac:dyDescent="0.2">
      <c r="F10701" s="285" t="str">
        <f t="shared" si="316"/>
        <v/>
      </c>
    </row>
    <row r="10702" spans="6:6" x14ac:dyDescent="0.2">
      <c r="F10702" s="285" t="str">
        <f t="shared" si="316"/>
        <v/>
      </c>
    </row>
    <row r="10703" spans="6:6" x14ac:dyDescent="0.2">
      <c r="F10703" s="285" t="str">
        <f t="shared" si="316"/>
        <v/>
      </c>
    </row>
    <row r="10704" spans="6:6" x14ac:dyDescent="0.2">
      <c r="F10704" s="285" t="str">
        <f t="shared" si="316"/>
        <v/>
      </c>
    </row>
    <row r="10705" spans="6:6" x14ac:dyDescent="0.2">
      <c r="F10705" s="285" t="str">
        <f t="shared" si="316"/>
        <v/>
      </c>
    </row>
    <row r="10706" spans="6:6" x14ac:dyDescent="0.2">
      <c r="F10706" s="285" t="str">
        <f t="shared" si="316"/>
        <v/>
      </c>
    </row>
    <row r="10707" spans="6:6" x14ac:dyDescent="0.2">
      <c r="F10707" s="285" t="str">
        <f t="shared" si="316"/>
        <v/>
      </c>
    </row>
    <row r="10708" spans="6:6" x14ac:dyDescent="0.2">
      <c r="F10708" s="285" t="str">
        <f t="shared" si="316"/>
        <v/>
      </c>
    </row>
    <row r="10709" spans="6:6" x14ac:dyDescent="0.2">
      <c r="F10709" s="285" t="str">
        <f t="shared" si="316"/>
        <v/>
      </c>
    </row>
    <row r="10710" spans="6:6" x14ac:dyDescent="0.2">
      <c r="F10710" s="285" t="str">
        <f t="shared" si="316"/>
        <v/>
      </c>
    </row>
    <row r="10711" spans="6:6" x14ac:dyDescent="0.2">
      <c r="F10711" s="285" t="str">
        <f t="shared" si="316"/>
        <v/>
      </c>
    </row>
    <row r="10712" spans="6:6" x14ac:dyDescent="0.2">
      <c r="F10712" s="285" t="str">
        <f t="shared" si="316"/>
        <v/>
      </c>
    </row>
    <row r="10713" spans="6:6" x14ac:dyDescent="0.2">
      <c r="F10713" s="285" t="str">
        <f t="shared" si="316"/>
        <v/>
      </c>
    </row>
    <row r="10714" spans="6:6" x14ac:dyDescent="0.2">
      <c r="F10714" s="285" t="str">
        <f t="shared" si="316"/>
        <v/>
      </c>
    </row>
    <row r="10715" spans="6:6" x14ac:dyDescent="0.2">
      <c r="F10715" s="285" t="str">
        <f t="shared" si="316"/>
        <v/>
      </c>
    </row>
    <row r="10716" spans="6:6" x14ac:dyDescent="0.2">
      <c r="F10716" s="285" t="str">
        <f t="shared" si="316"/>
        <v/>
      </c>
    </row>
    <row r="10717" spans="6:6" x14ac:dyDescent="0.2">
      <c r="F10717" s="285" t="str">
        <f t="shared" si="316"/>
        <v/>
      </c>
    </row>
    <row r="10718" spans="6:6" x14ac:dyDescent="0.2">
      <c r="F10718" s="285" t="str">
        <f t="shared" si="316"/>
        <v/>
      </c>
    </row>
    <row r="10719" spans="6:6" x14ac:dyDescent="0.2">
      <c r="F10719" s="285" t="str">
        <f t="shared" si="316"/>
        <v/>
      </c>
    </row>
    <row r="10720" spans="6:6" x14ac:dyDescent="0.2">
      <c r="F10720" s="285" t="str">
        <f t="shared" si="316"/>
        <v/>
      </c>
    </row>
    <row r="10721" spans="6:6" x14ac:dyDescent="0.2">
      <c r="F10721" s="285" t="str">
        <f t="shared" si="316"/>
        <v/>
      </c>
    </row>
    <row r="10722" spans="6:6" x14ac:dyDescent="0.2">
      <c r="F10722" s="285" t="str">
        <f t="shared" si="316"/>
        <v/>
      </c>
    </row>
    <row r="10723" spans="6:6" x14ac:dyDescent="0.2">
      <c r="F10723" s="285" t="str">
        <f t="shared" si="316"/>
        <v/>
      </c>
    </row>
    <row r="10724" spans="6:6" x14ac:dyDescent="0.2">
      <c r="F10724" s="285" t="str">
        <f t="shared" si="316"/>
        <v/>
      </c>
    </row>
    <row r="10725" spans="6:6" x14ac:dyDescent="0.2">
      <c r="F10725" s="285" t="str">
        <f t="shared" si="316"/>
        <v/>
      </c>
    </row>
    <row r="10726" spans="6:6" x14ac:dyDescent="0.2">
      <c r="F10726" s="285" t="str">
        <f t="shared" si="316"/>
        <v/>
      </c>
    </row>
    <row r="10727" spans="6:6" x14ac:dyDescent="0.2">
      <c r="F10727" s="285" t="str">
        <f t="shared" si="316"/>
        <v/>
      </c>
    </row>
    <row r="10728" spans="6:6" x14ac:dyDescent="0.2">
      <c r="F10728" s="285" t="str">
        <f t="shared" si="316"/>
        <v/>
      </c>
    </row>
    <row r="10729" spans="6:6" x14ac:dyDescent="0.2">
      <c r="F10729" s="285" t="str">
        <f t="shared" si="316"/>
        <v/>
      </c>
    </row>
    <row r="10730" spans="6:6" x14ac:dyDescent="0.2">
      <c r="F10730" s="285" t="str">
        <f t="shared" si="316"/>
        <v/>
      </c>
    </row>
    <row r="10731" spans="6:6" x14ac:dyDescent="0.2">
      <c r="F10731" s="285" t="str">
        <f t="shared" si="316"/>
        <v/>
      </c>
    </row>
    <row r="10732" spans="6:6" x14ac:dyDescent="0.2">
      <c r="F10732" s="285" t="str">
        <f t="shared" si="316"/>
        <v/>
      </c>
    </row>
    <row r="10733" spans="6:6" x14ac:dyDescent="0.2">
      <c r="F10733" s="285" t="str">
        <f t="shared" si="316"/>
        <v/>
      </c>
    </row>
    <row r="10734" spans="6:6" x14ac:dyDescent="0.2">
      <c r="F10734" s="285" t="str">
        <f t="shared" si="316"/>
        <v/>
      </c>
    </row>
    <row r="10735" spans="6:6" x14ac:dyDescent="0.2">
      <c r="F10735" s="285" t="str">
        <f t="shared" si="316"/>
        <v/>
      </c>
    </row>
    <row r="10736" spans="6:6" x14ac:dyDescent="0.2">
      <c r="F10736" s="285" t="str">
        <f t="shared" si="316"/>
        <v/>
      </c>
    </row>
    <row r="10737" spans="6:6" x14ac:dyDescent="0.2">
      <c r="F10737" s="285" t="str">
        <f t="shared" si="316"/>
        <v/>
      </c>
    </row>
    <row r="10738" spans="6:6" x14ac:dyDescent="0.2">
      <c r="F10738" s="285" t="str">
        <f t="shared" si="316"/>
        <v/>
      </c>
    </row>
    <row r="10739" spans="6:6" x14ac:dyDescent="0.2">
      <c r="F10739" s="285" t="str">
        <f t="shared" si="316"/>
        <v/>
      </c>
    </row>
    <row r="10740" spans="6:6" x14ac:dyDescent="0.2">
      <c r="F10740" s="285" t="str">
        <f t="shared" si="316"/>
        <v/>
      </c>
    </row>
    <row r="10741" spans="6:6" x14ac:dyDescent="0.2">
      <c r="F10741" s="285" t="str">
        <f t="shared" si="316"/>
        <v/>
      </c>
    </row>
    <row r="10742" spans="6:6" x14ac:dyDescent="0.2">
      <c r="F10742" s="285" t="str">
        <f t="shared" si="316"/>
        <v/>
      </c>
    </row>
    <row r="10743" spans="6:6" x14ac:dyDescent="0.2">
      <c r="F10743" s="285" t="str">
        <f t="shared" si="316"/>
        <v/>
      </c>
    </row>
    <row r="10744" spans="6:6" x14ac:dyDescent="0.2">
      <c r="F10744" s="285" t="str">
        <f t="shared" si="316"/>
        <v/>
      </c>
    </row>
    <row r="10745" spans="6:6" x14ac:dyDescent="0.2">
      <c r="F10745" s="285" t="str">
        <f t="shared" si="316"/>
        <v/>
      </c>
    </row>
    <row r="10746" spans="6:6" x14ac:dyDescent="0.2">
      <c r="F10746" s="285" t="str">
        <f t="shared" si="316"/>
        <v/>
      </c>
    </row>
    <row r="10747" spans="6:6" x14ac:dyDescent="0.2">
      <c r="F10747" s="285" t="str">
        <f t="shared" si="316"/>
        <v/>
      </c>
    </row>
    <row r="10748" spans="6:6" x14ac:dyDescent="0.2">
      <c r="F10748" s="285" t="str">
        <f t="shared" si="316"/>
        <v/>
      </c>
    </row>
    <row r="10749" spans="6:6" x14ac:dyDescent="0.2">
      <c r="F10749" s="285" t="str">
        <f t="shared" si="316"/>
        <v/>
      </c>
    </row>
    <row r="10750" spans="6:6" x14ac:dyDescent="0.2">
      <c r="F10750" s="285" t="str">
        <f t="shared" si="316"/>
        <v/>
      </c>
    </row>
    <row r="10751" spans="6:6" x14ac:dyDescent="0.2">
      <c r="F10751" s="285" t="str">
        <f t="shared" si="316"/>
        <v/>
      </c>
    </row>
    <row r="10752" spans="6:6" x14ac:dyDescent="0.2">
      <c r="F10752" s="285" t="str">
        <f t="shared" si="316"/>
        <v/>
      </c>
    </row>
    <row r="10753" spans="6:6" x14ac:dyDescent="0.2">
      <c r="F10753" s="285" t="str">
        <f t="shared" si="316"/>
        <v/>
      </c>
    </row>
    <row r="10754" spans="6:6" x14ac:dyDescent="0.2">
      <c r="F10754" s="285" t="str">
        <f t="shared" si="316"/>
        <v/>
      </c>
    </row>
    <row r="10755" spans="6:6" x14ac:dyDescent="0.2">
      <c r="F10755" s="285" t="str">
        <f t="shared" si="316"/>
        <v/>
      </c>
    </row>
    <row r="10756" spans="6:6" x14ac:dyDescent="0.2">
      <c r="F10756" s="285" t="str">
        <f t="shared" si="316"/>
        <v/>
      </c>
    </row>
    <row r="10757" spans="6:6" x14ac:dyDescent="0.2">
      <c r="F10757" s="285" t="str">
        <f t="shared" ref="F10757:F10820" si="317">IF(A10757="","",A10757)</f>
        <v/>
      </c>
    </row>
    <row r="10758" spans="6:6" x14ac:dyDescent="0.2">
      <c r="F10758" s="285" t="str">
        <f t="shared" si="317"/>
        <v/>
      </c>
    </row>
    <row r="10759" spans="6:6" x14ac:dyDescent="0.2">
      <c r="F10759" s="285" t="str">
        <f t="shared" si="317"/>
        <v/>
      </c>
    </row>
    <row r="10760" spans="6:6" x14ac:dyDescent="0.2">
      <c r="F10760" s="285" t="str">
        <f t="shared" si="317"/>
        <v/>
      </c>
    </row>
    <row r="10761" spans="6:6" x14ac:dyDescent="0.2">
      <c r="F10761" s="285" t="str">
        <f t="shared" si="317"/>
        <v/>
      </c>
    </row>
    <row r="10762" spans="6:6" x14ac:dyDescent="0.2">
      <c r="F10762" s="285" t="str">
        <f t="shared" si="317"/>
        <v/>
      </c>
    </row>
    <row r="10763" spans="6:6" x14ac:dyDescent="0.2">
      <c r="F10763" s="285" t="str">
        <f t="shared" si="317"/>
        <v/>
      </c>
    </row>
    <row r="10764" spans="6:6" x14ac:dyDescent="0.2">
      <c r="F10764" s="285" t="str">
        <f t="shared" si="317"/>
        <v/>
      </c>
    </row>
    <row r="10765" spans="6:6" x14ac:dyDescent="0.2">
      <c r="F10765" s="285" t="str">
        <f t="shared" si="317"/>
        <v/>
      </c>
    </row>
    <row r="10766" spans="6:6" x14ac:dyDescent="0.2">
      <c r="F10766" s="285" t="str">
        <f t="shared" si="317"/>
        <v/>
      </c>
    </row>
    <row r="10767" spans="6:6" x14ac:dyDescent="0.2">
      <c r="F10767" s="285" t="str">
        <f t="shared" si="317"/>
        <v/>
      </c>
    </row>
    <row r="10768" spans="6:6" x14ac:dyDescent="0.2">
      <c r="F10768" s="285" t="str">
        <f t="shared" si="317"/>
        <v/>
      </c>
    </row>
    <row r="10769" spans="6:6" x14ac:dyDescent="0.2">
      <c r="F10769" s="285" t="str">
        <f t="shared" si="317"/>
        <v/>
      </c>
    </row>
    <row r="10770" spans="6:6" x14ac:dyDescent="0.2">
      <c r="F10770" s="285" t="str">
        <f t="shared" si="317"/>
        <v/>
      </c>
    </row>
    <row r="10771" spans="6:6" x14ac:dyDescent="0.2">
      <c r="F10771" s="285" t="str">
        <f t="shared" si="317"/>
        <v/>
      </c>
    </row>
    <row r="10772" spans="6:6" x14ac:dyDescent="0.2">
      <c r="F10772" s="285" t="str">
        <f t="shared" si="317"/>
        <v/>
      </c>
    </row>
    <row r="10773" spans="6:6" x14ac:dyDescent="0.2">
      <c r="F10773" s="285" t="str">
        <f t="shared" si="317"/>
        <v/>
      </c>
    </row>
    <row r="10774" spans="6:6" x14ac:dyDescent="0.2">
      <c r="F10774" s="285" t="str">
        <f t="shared" si="317"/>
        <v/>
      </c>
    </row>
    <row r="10775" spans="6:6" x14ac:dyDescent="0.2">
      <c r="F10775" s="285" t="str">
        <f t="shared" si="317"/>
        <v/>
      </c>
    </row>
    <row r="10776" spans="6:6" x14ac:dyDescent="0.2">
      <c r="F10776" s="285" t="str">
        <f t="shared" si="317"/>
        <v/>
      </c>
    </row>
    <row r="10777" spans="6:6" x14ac:dyDescent="0.2">
      <c r="F10777" s="285" t="str">
        <f t="shared" si="317"/>
        <v/>
      </c>
    </row>
    <row r="10778" spans="6:6" x14ac:dyDescent="0.2">
      <c r="F10778" s="285" t="str">
        <f t="shared" si="317"/>
        <v/>
      </c>
    </row>
    <row r="10779" spans="6:6" x14ac:dyDescent="0.2">
      <c r="F10779" s="285" t="str">
        <f t="shared" si="317"/>
        <v/>
      </c>
    </row>
    <row r="10780" spans="6:6" x14ac:dyDescent="0.2">
      <c r="F10780" s="285" t="str">
        <f t="shared" si="317"/>
        <v/>
      </c>
    </row>
    <row r="10781" spans="6:6" x14ac:dyDescent="0.2">
      <c r="F10781" s="285" t="str">
        <f t="shared" si="317"/>
        <v/>
      </c>
    </row>
    <row r="10782" spans="6:6" x14ac:dyDescent="0.2">
      <c r="F10782" s="285" t="str">
        <f t="shared" si="317"/>
        <v/>
      </c>
    </row>
    <row r="10783" spans="6:6" x14ac:dyDescent="0.2">
      <c r="F10783" s="285" t="str">
        <f t="shared" si="317"/>
        <v/>
      </c>
    </row>
    <row r="10784" spans="6:6" x14ac:dyDescent="0.2">
      <c r="F10784" s="285" t="str">
        <f t="shared" si="317"/>
        <v/>
      </c>
    </row>
    <row r="10785" spans="6:6" x14ac:dyDescent="0.2">
      <c r="F10785" s="285" t="str">
        <f t="shared" si="317"/>
        <v/>
      </c>
    </row>
    <row r="10786" spans="6:6" x14ac:dyDescent="0.2">
      <c r="F10786" s="285" t="str">
        <f t="shared" si="317"/>
        <v/>
      </c>
    </row>
    <row r="10787" spans="6:6" x14ac:dyDescent="0.2">
      <c r="F10787" s="285" t="str">
        <f t="shared" si="317"/>
        <v/>
      </c>
    </row>
    <row r="10788" spans="6:6" x14ac:dyDescent="0.2">
      <c r="F10788" s="285" t="str">
        <f t="shared" si="317"/>
        <v/>
      </c>
    </row>
    <row r="10789" spans="6:6" x14ac:dyDescent="0.2">
      <c r="F10789" s="285" t="str">
        <f t="shared" si="317"/>
        <v/>
      </c>
    </row>
    <row r="10790" spans="6:6" x14ac:dyDescent="0.2">
      <c r="F10790" s="285" t="str">
        <f t="shared" si="317"/>
        <v/>
      </c>
    </row>
    <row r="10791" spans="6:6" x14ac:dyDescent="0.2">
      <c r="F10791" s="285" t="str">
        <f t="shared" si="317"/>
        <v/>
      </c>
    </row>
    <row r="10792" spans="6:6" x14ac:dyDescent="0.2">
      <c r="F10792" s="285" t="str">
        <f t="shared" si="317"/>
        <v/>
      </c>
    </row>
    <row r="10793" spans="6:6" x14ac:dyDescent="0.2">
      <c r="F10793" s="285" t="str">
        <f t="shared" si="317"/>
        <v/>
      </c>
    </row>
    <row r="10794" spans="6:6" x14ac:dyDescent="0.2">
      <c r="F10794" s="285" t="str">
        <f t="shared" si="317"/>
        <v/>
      </c>
    </row>
    <row r="10795" spans="6:6" x14ac:dyDescent="0.2">
      <c r="F10795" s="285" t="str">
        <f t="shared" si="317"/>
        <v/>
      </c>
    </row>
    <row r="10796" spans="6:6" x14ac:dyDescent="0.2">
      <c r="F10796" s="285" t="str">
        <f t="shared" si="317"/>
        <v/>
      </c>
    </row>
    <row r="10797" spans="6:6" x14ac:dyDescent="0.2">
      <c r="F10797" s="285" t="str">
        <f t="shared" si="317"/>
        <v/>
      </c>
    </row>
    <row r="10798" spans="6:6" x14ac:dyDescent="0.2">
      <c r="F10798" s="285" t="str">
        <f t="shared" si="317"/>
        <v/>
      </c>
    </row>
    <row r="10799" spans="6:6" x14ac:dyDescent="0.2">
      <c r="F10799" s="285" t="str">
        <f t="shared" si="317"/>
        <v/>
      </c>
    </row>
    <row r="10800" spans="6:6" x14ac:dyDescent="0.2">
      <c r="F10800" s="285" t="str">
        <f t="shared" si="317"/>
        <v/>
      </c>
    </row>
    <row r="10801" spans="6:6" x14ac:dyDescent="0.2">
      <c r="F10801" s="285" t="str">
        <f t="shared" si="317"/>
        <v/>
      </c>
    </row>
    <row r="10802" spans="6:6" x14ac:dyDescent="0.2">
      <c r="F10802" s="285" t="str">
        <f t="shared" si="317"/>
        <v/>
      </c>
    </row>
    <row r="10803" spans="6:6" x14ac:dyDescent="0.2">
      <c r="F10803" s="285" t="str">
        <f t="shared" si="317"/>
        <v/>
      </c>
    </row>
    <row r="10804" spans="6:6" x14ac:dyDescent="0.2">
      <c r="F10804" s="285" t="str">
        <f t="shared" si="317"/>
        <v/>
      </c>
    </row>
    <row r="10805" spans="6:6" x14ac:dyDescent="0.2">
      <c r="F10805" s="285" t="str">
        <f t="shared" si="317"/>
        <v/>
      </c>
    </row>
    <row r="10806" spans="6:6" x14ac:dyDescent="0.2">
      <c r="F10806" s="285" t="str">
        <f t="shared" si="317"/>
        <v/>
      </c>
    </row>
    <row r="10807" spans="6:6" x14ac:dyDescent="0.2">
      <c r="F10807" s="285" t="str">
        <f t="shared" si="317"/>
        <v/>
      </c>
    </row>
    <row r="10808" spans="6:6" x14ac:dyDescent="0.2">
      <c r="F10808" s="285" t="str">
        <f t="shared" si="317"/>
        <v/>
      </c>
    </row>
    <row r="10809" spans="6:6" x14ac:dyDescent="0.2">
      <c r="F10809" s="285" t="str">
        <f t="shared" si="317"/>
        <v/>
      </c>
    </row>
    <row r="10810" spans="6:6" x14ac:dyDescent="0.2">
      <c r="F10810" s="285" t="str">
        <f t="shared" si="317"/>
        <v/>
      </c>
    </row>
    <row r="10811" spans="6:6" x14ac:dyDescent="0.2">
      <c r="F10811" s="285" t="str">
        <f t="shared" si="317"/>
        <v/>
      </c>
    </row>
    <row r="10812" spans="6:6" x14ac:dyDescent="0.2">
      <c r="F10812" s="285" t="str">
        <f t="shared" si="317"/>
        <v/>
      </c>
    </row>
    <row r="10813" spans="6:6" x14ac:dyDescent="0.2">
      <c r="F10813" s="285" t="str">
        <f t="shared" si="317"/>
        <v/>
      </c>
    </row>
    <row r="10814" spans="6:6" x14ac:dyDescent="0.2">
      <c r="F10814" s="285" t="str">
        <f t="shared" si="317"/>
        <v/>
      </c>
    </row>
    <row r="10815" spans="6:6" x14ac:dyDescent="0.2">
      <c r="F10815" s="285" t="str">
        <f t="shared" si="317"/>
        <v/>
      </c>
    </row>
    <row r="10816" spans="6:6" x14ac:dyDescent="0.2">
      <c r="F10816" s="285" t="str">
        <f t="shared" si="317"/>
        <v/>
      </c>
    </row>
    <row r="10817" spans="6:6" x14ac:dyDescent="0.2">
      <c r="F10817" s="285" t="str">
        <f t="shared" si="317"/>
        <v/>
      </c>
    </row>
    <row r="10818" spans="6:6" x14ac:dyDescent="0.2">
      <c r="F10818" s="285" t="str">
        <f t="shared" si="317"/>
        <v/>
      </c>
    </row>
    <row r="10819" spans="6:6" x14ac:dyDescent="0.2">
      <c r="F10819" s="285" t="str">
        <f t="shared" si="317"/>
        <v/>
      </c>
    </row>
    <row r="10820" spans="6:6" x14ac:dyDescent="0.2">
      <c r="F10820" s="285" t="str">
        <f t="shared" si="317"/>
        <v/>
      </c>
    </row>
    <row r="10821" spans="6:6" x14ac:dyDescent="0.2">
      <c r="F10821" s="285" t="str">
        <f t="shared" ref="F10821:F10884" si="318">IF(A10821="","",A10821)</f>
        <v/>
      </c>
    </row>
    <row r="10822" spans="6:6" x14ac:dyDescent="0.2">
      <c r="F10822" s="285" t="str">
        <f t="shared" si="318"/>
        <v/>
      </c>
    </row>
    <row r="10823" spans="6:6" x14ac:dyDescent="0.2">
      <c r="F10823" s="285" t="str">
        <f t="shared" si="318"/>
        <v/>
      </c>
    </row>
    <row r="10824" spans="6:6" x14ac:dyDescent="0.2">
      <c r="F10824" s="285" t="str">
        <f t="shared" si="318"/>
        <v/>
      </c>
    </row>
    <row r="10825" spans="6:6" x14ac:dyDescent="0.2">
      <c r="F10825" s="285" t="str">
        <f t="shared" si="318"/>
        <v/>
      </c>
    </row>
    <row r="10826" spans="6:6" x14ac:dyDescent="0.2">
      <c r="F10826" s="285" t="str">
        <f t="shared" si="318"/>
        <v/>
      </c>
    </row>
    <row r="10827" spans="6:6" x14ac:dyDescent="0.2">
      <c r="F10827" s="285" t="str">
        <f t="shared" si="318"/>
        <v/>
      </c>
    </row>
    <row r="10828" spans="6:6" x14ac:dyDescent="0.2">
      <c r="F10828" s="285" t="str">
        <f t="shared" si="318"/>
        <v/>
      </c>
    </row>
    <row r="10829" spans="6:6" x14ac:dyDescent="0.2">
      <c r="F10829" s="285" t="str">
        <f t="shared" si="318"/>
        <v/>
      </c>
    </row>
    <row r="10830" spans="6:6" x14ac:dyDescent="0.2">
      <c r="F10830" s="285" t="str">
        <f t="shared" si="318"/>
        <v/>
      </c>
    </row>
    <row r="10831" spans="6:6" x14ac:dyDescent="0.2">
      <c r="F10831" s="285" t="str">
        <f t="shared" si="318"/>
        <v/>
      </c>
    </row>
    <row r="10832" spans="6:6" x14ac:dyDescent="0.2">
      <c r="F10832" s="285" t="str">
        <f t="shared" si="318"/>
        <v/>
      </c>
    </row>
    <row r="10833" spans="6:6" x14ac:dyDescent="0.2">
      <c r="F10833" s="285" t="str">
        <f t="shared" si="318"/>
        <v/>
      </c>
    </row>
    <row r="10834" spans="6:6" x14ac:dyDescent="0.2">
      <c r="F10834" s="285" t="str">
        <f t="shared" si="318"/>
        <v/>
      </c>
    </row>
    <row r="10835" spans="6:6" x14ac:dyDescent="0.2">
      <c r="F10835" s="285" t="str">
        <f t="shared" si="318"/>
        <v/>
      </c>
    </row>
    <row r="10836" spans="6:6" x14ac:dyDescent="0.2">
      <c r="F10836" s="285" t="str">
        <f t="shared" si="318"/>
        <v/>
      </c>
    </row>
    <row r="10837" spans="6:6" x14ac:dyDescent="0.2">
      <c r="F10837" s="285" t="str">
        <f t="shared" si="318"/>
        <v/>
      </c>
    </row>
    <row r="10838" spans="6:6" x14ac:dyDescent="0.2">
      <c r="F10838" s="285" t="str">
        <f t="shared" si="318"/>
        <v/>
      </c>
    </row>
    <row r="10839" spans="6:6" x14ac:dyDescent="0.2">
      <c r="F10839" s="285" t="str">
        <f t="shared" si="318"/>
        <v/>
      </c>
    </row>
    <row r="10840" spans="6:6" x14ac:dyDescent="0.2">
      <c r="F10840" s="285" t="str">
        <f t="shared" si="318"/>
        <v/>
      </c>
    </row>
    <row r="10841" spans="6:6" x14ac:dyDescent="0.2">
      <c r="F10841" s="285" t="str">
        <f t="shared" si="318"/>
        <v/>
      </c>
    </row>
    <row r="10842" spans="6:6" x14ac:dyDescent="0.2">
      <c r="F10842" s="285" t="str">
        <f t="shared" si="318"/>
        <v/>
      </c>
    </row>
    <row r="10843" spans="6:6" x14ac:dyDescent="0.2">
      <c r="F10843" s="285" t="str">
        <f t="shared" si="318"/>
        <v/>
      </c>
    </row>
    <row r="10844" spans="6:6" x14ac:dyDescent="0.2">
      <c r="F10844" s="285" t="str">
        <f t="shared" si="318"/>
        <v/>
      </c>
    </row>
    <row r="10845" spans="6:6" x14ac:dyDescent="0.2">
      <c r="F10845" s="285" t="str">
        <f t="shared" si="318"/>
        <v/>
      </c>
    </row>
    <row r="10846" spans="6:6" x14ac:dyDescent="0.2">
      <c r="F10846" s="285" t="str">
        <f t="shared" si="318"/>
        <v/>
      </c>
    </row>
    <row r="10847" spans="6:6" x14ac:dyDescent="0.2">
      <c r="F10847" s="285" t="str">
        <f t="shared" si="318"/>
        <v/>
      </c>
    </row>
    <row r="10848" spans="6:6" x14ac:dyDescent="0.2">
      <c r="F10848" s="285" t="str">
        <f t="shared" si="318"/>
        <v/>
      </c>
    </row>
    <row r="10849" spans="6:6" x14ac:dyDescent="0.2">
      <c r="F10849" s="285" t="str">
        <f t="shared" si="318"/>
        <v/>
      </c>
    </row>
    <row r="10850" spans="6:6" x14ac:dyDescent="0.2">
      <c r="F10850" s="285" t="str">
        <f t="shared" si="318"/>
        <v/>
      </c>
    </row>
    <row r="10851" spans="6:6" x14ac:dyDescent="0.2">
      <c r="F10851" s="285" t="str">
        <f t="shared" si="318"/>
        <v/>
      </c>
    </row>
    <row r="10852" spans="6:6" x14ac:dyDescent="0.2">
      <c r="F10852" s="285" t="str">
        <f t="shared" si="318"/>
        <v/>
      </c>
    </row>
    <row r="10853" spans="6:6" x14ac:dyDescent="0.2">
      <c r="F10853" s="285" t="str">
        <f t="shared" si="318"/>
        <v/>
      </c>
    </row>
    <row r="10854" spans="6:6" x14ac:dyDescent="0.2">
      <c r="F10854" s="285" t="str">
        <f t="shared" si="318"/>
        <v/>
      </c>
    </row>
    <row r="10855" spans="6:6" x14ac:dyDescent="0.2">
      <c r="F10855" s="285" t="str">
        <f t="shared" si="318"/>
        <v/>
      </c>
    </row>
    <row r="10856" spans="6:6" x14ac:dyDescent="0.2">
      <c r="F10856" s="285" t="str">
        <f t="shared" si="318"/>
        <v/>
      </c>
    </row>
    <row r="10857" spans="6:6" x14ac:dyDescent="0.2">
      <c r="F10857" s="285" t="str">
        <f t="shared" si="318"/>
        <v/>
      </c>
    </row>
    <row r="10858" spans="6:6" x14ac:dyDescent="0.2">
      <c r="F10858" s="285" t="str">
        <f t="shared" si="318"/>
        <v/>
      </c>
    </row>
    <row r="10859" spans="6:6" x14ac:dyDescent="0.2">
      <c r="F10859" s="285" t="str">
        <f t="shared" si="318"/>
        <v/>
      </c>
    </row>
    <row r="10860" spans="6:6" x14ac:dyDescent="0.2">
      <c r="F10860" s="285" t="str">
        <f t="shared" si="318"/>
        <v/>
      </c>
    </row>
    <row r="10861" spans="6:6" x14ac:dyDescent="0.2">
      <c r="F10861" s="285" t="str">
        <f t="shared" si="318"/>
        <v/>
      </c>
    </row>
    <row r="10862" spans="6:6" x14ac:dyDescent="0.2">
      <c r="F10862" s="285" t="str">
        <f t="shared" si="318"/>
        <v/>
      </c>
    </row>
    <row r="10863" spans="6:6" x14ac:dyDescent="0.2">
      <c r="F10863" s="285" t="str">
        <f t="shared" si="318"/>
        <v/>
      </c>
    </row>
    <row r="10864" spans="6:6" x14ac:dyDescent="0.2">
      <c r="F10864" s="285" t="str">
        <f t="shared" si="318"/>
        <v/>
      </c>
    </row>
    <row r="10865" spans="6:6" x14ac:dyDescent="0.2">
      <c r="F10865" s="285" t="str">
        <f t="shared" si="318"/>
        <v/>
      </c>
    </row>
    <row r="10866" spans="6:6" x14ac:dyDescent="0.2">
      <c r="F10866" s="285" t="str">
        <f t="shared" si="318"/>
        <v/>
      </c>
    </row>
    <row r="10867" spans="6:6" x14ac:dyDescent="0.2">
      <c r="F10867" s="285" t="str">
        <f t="shared" si="318"/>
        <v/>
      </c>
    </row>
    <row r="10868" spans="6:6" x14ac:dyDescent="0.2">
      <c r="F10868" s="285" t="str">
        <f t="shared" si="318"/>
        <v/>
      </c>
    </row>
    <row r="10869" spans="6:6" x14ac:dyDescent="0.2">
      <c r="F10869" s="285" t="str">
        <f t="shared" si="318"/>
        <v/>
      </c>
    </row>
    <row r="10870" spans="6:6" x14ac:dyDescent="0.2">
      <c r="F10870" s="285" t="str">
        <f t="shared" si="318"/>
        <v/>
      </c>
    </row>
    <row r="10871" spans="6:6" x14ac:dyDescent="0.2">
      <c r="F10871" s="285" t="str">
        <f t="shared" si="318"/>
        <v/>
      </c>
    </row>
    <row r="10872" spans="6:6" x14ac:dyDescent="0.2">
      <c r="F10872" s="285" t="str">
        <f t="shared" si="318"/>
        <v/>
      </c>
    </row>
    <row r="10873" spans="6:6" x14ac:dyDescent="0.2">
      <c r="F10873" s="285" t="str">
        <f t="shared" si="318"/>
        <v/>
      </c>
    </row>
    <row r="10874" spans="6:6" x14ac:dyDescent="0.2">
      <c r="F10874" s="285" t="str">
        <f t="shared" si="318"/>
        <v/>
      </c>
    </row>
    <row r="10875" spans="6:6" x14ac:dyDescent="0.2">
      <c r="F10875" s="285" t="str">
        <f t="shared" si="318"/>
        <v/>
      </c>
    </row>
    <row r="10876" spans="6:6" x14ac:dyDescent="0.2">
      <c r="F10876" s="285" t="str">
        <f t="shared" si="318"/>
        <v/>
      </c>
    </row>
    <row r="10877" spans="6:6" x14ac:dyDescent="0.2">
      <c r="F10877" s="285" t="str">
        <f t="shared" si="318"/>
        <v/>
      </c>
    </row>
    <row r="10878" spans="6:6" x14ac:dyDescent="0.2">
      <c r="F10878" s="285" t="str">
        <f t="shared" si="318"/>
        <v/>
      </c>
    </row>
    <row r="10879" spans="6:6" x14ac:dyDescent="0.2">
      <c r="F10879" s="285" t="str">
        <f t="shared" si="318"/>
        <v/>
      </c>
    </row>
    <row r="10880" spans="6:6" x14ac:dyDescent="0.2">
      <c r="F10880" s="285" t="str">
        <f t="shared" si="318"/>
        <v/>
      </c>
    </row>
    <row r="10881" spans="6:6" x14ac:dyDescent="0.2">
      <c r="F10881" s="285" t="str">
        <f t="shared" si="318"/>
        <v/>
      </c>
    </row>
    <row r="10882" spans="6:6" x14ac:dyDescent="0.2">
      <c r="F10882" s="285" t="str">
        <f t="shared" si="318"/>
        <v/>
      </c>
    </row>
    <row r="10883" spans="6:6" x14ac:dyDescent="0.2">
      <c r="F10883" s="285" t="str">
        <f t="shared" si="318"/>
        <v/>
      </c>
    </row>
    <row r="10884" spans="6:6" x14ac:dyDescent="0.2">
      <c r="F10884" s="285" t="str">
        <f t="shared" si="318"/>
        <v/>
      </c>
    </row>
    <row r="10885" spans="6:6" x14ac:dyDescent="0.2">
      <c r="F10885" s="285" t="str">
        <f t="shared" ref="F10885:F10948" si="319">IF(A10885="","",A10885)</f>
        <v/>
      </c>
    </row>
    <row r="10886" spans="6:6" x14ac:dyDescent="0.2">
      <c r="F10886" s="285" t="str">
        <f t="shared" si="319"/>
        <v/>
      </c>
    </row>
    <row r="10887" spans="6:6" x14ac:dyDescent="0.2">
      <c r="F10887" s="285" t="str">
        <f t="shared" si="319"/>
        <v/>
      </c>
    </row>
    <row r="10888" spans="6:6" x14ac:dyDescent="0.2">
      <c r="F10888" s="285" t="str">
        <f t="shared" si="319"/>
        <v/>
      </c>
    </row>
    <row r="10889" spans="6:6" x14ac:dyDescent="0.2">
      <c r="F10889" s="285" t="str">
        <f t="shared" si="319"/>
        <v/>
      </c>
    </row>
    <row r="10890" spans="6:6" x14ac:dyDescent="0.2">
      <c r="F10890" s="285" t="str">
        <f t="shared" si="319"/>
        <v/>
      </c>
    </row>
    <row r="10891" spans="6:6" x14ac:dyDescent="0.2">
      <c r="F10891" s="285" t="str">
        <f t="shared" si="319"/>
        <v/>
      </c>
    </row>
    <row r="10892" spans="6:6" x14ac:dyDescent="0.2">
      <c r="F10892" s="285" t="str">
        <f t="shared" si="319"/>
        <v/>
      </c>
    </row>
    <row r="10893" spans="6:6" x14ac:dyDescent="0.2">
      <c r="F10893" s="285" t="str">
        <f t="shared" si="319"/>
        <v/>
      </c>
    </row>
    <row r="10894" spans="6:6" x14ac:dyDescent="0.2">
      <c r="F10894" s="285" t="str">
        <f t="shared" si="319"/>
        <v/>
      </c>
    </row>
    <row r="10895" spans="6:6" x14ac:dyDescent="0.2">
      <c r="F10895" s="285" t="str">
        <f t="shared" si="319"/>
        <v/>
      </c>
    </row>
    <row r="10896" spans="6:6" x14ac:dyDescent="0.2">
      <c r="F10896" s="285" t="str">
        <f t="shared" si="319"/>
        <v/>
      </c>
    </row>
    <row r="10897" spans="6:6" x14ac:dyDescent="0.2">
      <c r="F10897" s="285" t="str">
        <f t="shared" si="319"/>
        <v/>
      </c>
    </row>
    <row r="10898" spans="6:6" x14ac:dyDescent="0.2">
      <c r="F10898" s="285" t="str">
        <f t="shared" si="319"/>
        <v/>
      </c>
    </row>
    <row r="10899" spans="6:6" x14ac:dyDescent="0.2">
      <c r="F10899" s="285" t="str">
        <f t="shared" si="319"/>
        <v/>
      </c>
    </row>
    <row r="10900" spans="6:6" x14ac:dyDescent="0.2">
      <c r="F10900" s="285" t="str">
        <f t="shared" si="319"/>
        <v/>
      </c>
    </row>
    <row r="10901" spans="6:6" x14ac:dyDescent="0.2">
      <c r="F10901" s="285" t="str">
        <f t="shared" si="319"/>
        <v/>
      </c>
    </row>
    <row r="10902" spans="6:6" x14ac:dyDescent="0.2">
      <c r="F10902" s="285" t="str">
        <f t="shared" si="319"/>
        <v/>
      </c>
    </row>
    <row r="10903" spans="6:6" x14ac:dyDescent="0.2">
      <c r="F10903" s="285" t="str">
        <f t="shared" si="319"/>
        <v/>
      </c>
    </row>
    <row r="10904" spans="6:6" x14ac:dyDescent="0.2">
      <c r="F10904" s="285" t="str">
        <f t="shared" si="319"/>
        <v/>
      </c>
    </row>
    <row r="10905" spans="6:6" x14ac:dyDescent="0.2">
      <c r="F10905" s="285" t="str">
        <f t="shared" si="319"/>
        <v/>
      </c>
    </row>
    <row r="10906" spans="6:6" x14ac:dyDescent="0.2">
      <c r="F10906" s="285" t="str">
        <f t="shared" si="319"/>
        <v/>
      </c>
    </row>
    <row r="10907" spans="6:6" x14ac:dyDescent="0.2">
      <c r="F10907" s="285" t="str">
        <f t="shared" si="319"/>
        <v/>
      </c>
    </row>
    <row r="10908" spans="6:6" x14ac:dyDescent="0.2">
      <c r="F10908" s="285" t="str">
        <f t="shared" si="319"/>
        <v/>
      </c>
    </row>
    <row r="10909" spans="6:6" x14ac:dyDescent="0.2">
      <c r="F10909" s="285" t="str">
        <f t="shared" si="319"/>
        <v/>
      </c>
    </row>
    <row r="10910" spans="6:6" x14ac:dyDescent="0.2">
      <c r="F10910" s="285" t="str">
        <f t="shared" si="319"/>
        <v/>
      </c>
    </row>
    <row r="10911" spans="6:6" x14ac:dyDescent="0.2">
      <c r="F10911" s="285" t="str">
        <f t="shared" si="319"/>
        <v/>
      </c>
    </row>
    <row r="10912" spans="6:6" x14ac:dyDescent="0.2">
      <c r="F10912" s="285" t="str">
        <f t="shared" si="319"/>
        <v/>
      </c>
    </row>
    <row r="10913" spans="6:6" x14ac:dyDescent="0.2">
      <c r="F10913" s="285" t="str">
        <f t="shared" si="319"/>
        <v/>
      </c>
    </row>
    <row r="10914" spans="6:6" x14ac:dyDescent="0.2">
      <c r="F10914" s="285" t="str">
        <f t="shared" si="319"/>
        <v/>
      </c>
    </row>
    <row r="10915" spans="6:6" x14ac:dyDescent="0.2">
      <c r="F10915" s="285" t="str">
        <f t="shared" si="319"/>
        <v/>
      </c>
    </row>
    <row r="10916" spans="6:6" x14ac:dyDescent="0.2">
      <c r="F10916" s="285" t="str">
        <f t="shared" si="319"/>
        <v/>
      </c>
    </row>
    <row r="10917" spans="6:6" x14ac:dyDescent="0.2">
      <c r="F10917" s="285" t="str">
        <f t="shared" si="319"/>
        <v/>
      </c>
    </row>
    <row r="10918" spans="6:6" x14ac:dyDescent="0.2">
      <c r="F10918" s="285" t="str">
        <f t="shared" si="319"/>
        <v/>
      </c>
    </row>
    <row r="10919" spans="6:6" x14ac:dyDescent="0.2">
      <c r="F10919" s="285" t="str">
        <f t="shared" si="319"/>
        <v/>
      </c>
    </row>
    <row r="10920" spans="6:6" x14ac:dyDescent="0.2">
      <c r="F10920" s="285" t="str">
        <f t="shared" si="319"/>
        <v/>
      </c>
    </row>
    <row r="10921" spans="6:6" x14ac:dyDescent="0.2">
      <c r="F10921" s="285" t="str">
        <f t="shared" si="319"/>
        <v/>
      </c>
    </row>
    <row r="10922" spans="6:6" x14ac:dyDescent="0.2">
      <c r="F10922" s="285" t="str">
        <f t="shared" si="319"/>
        <v/>
      </c>
    </row>
    <row r="10923" spans="6:6" x14ac:dyDescent="0.2">
      <c r="F10923" s="285" t="str">
        <f t="shared" si="319"/>
        <v/>
      </c>
    </row>
    <row r="10924" spans="6:6" x14ac:dyDescent="0.2">
      <c r="F10924" s="285" t="str">
        <f t="shared" si="319"/>
        <v/>
      </c>
    </row>
    <row r="10925" spans="6:6" x14ac:dyDescent="0.2">
      <c r="F10925" s="285" t="str">
        <f t="shared" si="319"/>
        <v/>
      </c>
    </row>
    <row r="10926" spans="6:6" x14ac:dyDescent="0.2">
      <c r="F10926" s="285" t="str">
        <f t="shared" si="319"/>
        <v/>
      </c>
    </row>
    <row r="10927" spans="6:6" x14ac:dyDescent="0.2">
      <c r="F10927" s="285" t="str">
        <f t="shared" si="319"/>
        <v/>
      </c>
    </row>
    <row r="10928" spans="6:6" x14ac:dyDescent="0.2">
      <c r="F10928" s="285" t="str">
        <f t="shared" si="319"/>
        <v/>
      </c>
    </row>
    <row r="10929" spans="6:6" x14ac:dyDescent="0.2">
      <c r="F10929" s="285" t="str">
        <f t="shared" si="319"/>
        <v/>
      </c>
    </row>
    <row r="10930" spans="6:6" x14ac:dyDescent="0.2">
      <c r="F10930" s="285" t="str">
        <f t="shared" si="319"/>
        <v/>
      </c>
    </row>
    <row r="10931" spans="6:6" x14ac:dyDescent="0.2">
      <c r="F10931" s="285" t="str">
        <f t="shared" si="319"/>
        <v/>
      </c>
    </row>
    <row r="10932" spans="6:6" x14ac:dyDescent="0.2">
      <c r="F10932" s="285" t="str">
        <f t="shared" si="319"/>
        <v/>
      </c>
    </row>
    <row r="10933" spans="6:6" x14ac:dyDescent="0.2">
      <c r="F10933" s="285" t="str">
        <f t="shared" si="319"/>
        <v/>
      </c>
    </row>
    <row r="10934" spans="6:6" x14ac:dyDescent="0.2">
      <c r="F10934" s="285" t="str">
        <f t="shared" si="319"/>
        <v/>
      </c>
    </row>
    <row r="10935" spans="6:6" x14ac:dyDescent="0.2">
      <c r="F10935" s="285" t="str">
        <f t="shared" si="319"/>
        <v/>
      </c>
    </row>
    <row r="10936" spans="6:6" x14ac:dyDescent="0.2">
      <c r="F10936" s="285" t="str">
        <f t="shared" si="319"/>
        <v/>
      </c>
    </row>
    <row r="10937" spans="6:6" x14ac:dyDescent="0.2">
      <c r="F10937" s="285" t="str">
        <f t="shared" si="319"/>
        <v/>
      </c>
    </row>
    <row r="10938" spans="6:6" x14ac:dyDescent="0.2">
      <c r="F10938" s="285" t="str">
        <f t="shared" si="319"/>
        <v/>
      </c>
    </row>
    <row r="10939" spans="6:6" x14ac:dyDescent="0.2">
      <c r="F10939" s="285" t="str">
        <f t="shared" si="319"/>
        <v/>
      </c>
    </row>
    <row r="10940" spans="6:6" x14ac:dyDescent="0.2">
      <c r="F10940" s="285" t="str">
        <f t="shared" si="319"/>
        <v/>
      </c>
    </row>
    <row r="10941" spans="6:6" x14ac:dyDescent="0.2">
      <c r="F10941" s="285" t="str">
        <f t="shared" si="319"/>
        <v/>
      </c>
    </row>
    <row r="10942" spans="6:6" x14ac:dyDescent="0.2">
      <c r="F10942" s="285" t="str">
        <f t="shared" si="319"/>
        <v/>
      </c>
    </row>
    <row r="10943" spans="6:6" x14ac:dyDescent="0.2">
      <c r="F10943" s="285" t="str">
        <f t="shared" si="319"/>
        <v/>
      </c>
    </row>
    <row r="10944" spans="6:6" x14ac:dyDescent="0.2">
      <c r="F10944" s="285" t="str">
        <f t="shared" si="319"/>
        <v/>
      </c>
    </row>
    <row r="10945" spans="6:6" x14ac:dyDescent="0.2">
      <c r="F10945" s="285" t="str">
        <f t="shared" si="319"/>
        <v/>
      </c>
    </row>
    <row r="10946" spans="6:6" x14ac:dyDescent="0.2">
      <c r="F10946" s="285" t="str">
        <f t="shared" si="319"/>
        <v/>
      </c>
    </row>
    <row r="10947" spans="6:6" x14ac:dyDescent="0.2">
      <c r="F10947" s="285" t="str">
        <f t="shared" si="319"/>
        <v/>
      </c>
    </row>
    <row r="10948" spans="6:6" x14ac:dyDescent="0.2">
      <c r="F10948" s="285" t="str">
        <f t="shared" si="319"/>
        <v/>
      </c>
    </row>
    <row r="10949" spans="6:6" x14ac:dyDescent="0.2">
      <c r="F10949" s="285" t="str">
        <f t="shared" ref="F10949:F11012" si="320">IF(A10949="","",A10949)</f>
        <v/>
      </c>
    </row>
    <row r="10950" spans="6:6" x14ac:dyDescent="0.2">
      <c r="F10950" s="285" t="str">
        <f t="shared" si="320"/>
        <v/>
      </c>
    </row>
    <row r="10951" spans="6:6" x14ac:dyDescent="0.2">
      <c r="F10951" s="285" t="str">
        <f t="shared" si="320"/>
        <v/>
      </c>
    </row>
    <row r="10952" spans="6:6" x14ac:dyDescent="0.2">
      <c r="F10952" s="285" t="str">
        <f t="shared" si="320"/>
        <v/>
      </c>
    </row>
    <row r="10953" spans="6:6" x14ac:dyDescent="0.2">
      <c r="F10953" s="285" t="str">
        <f t="shared" si="320"/>
        <v/>
      </c>
    </row>
    <row r="10954" spans="6:6" x14ac:dyDescent="0.2">
      <c r="F10954" s="285" t="str">
        <f t="shared" si="320"/>
        <v/>
      </c>
    </row>
    <row r="10955" spans="6:6" x14ac:dyDescent="0.2">
      <c r="F10955" s="285" t="str">
        <f t="shared" si="320"/>
        <v/>
      </c>
    </row>
    <row r="10956" spans="6:6" x14ac:dyDescent="0.2">
      <c r="F10956" s="285" t="str">
        <f t="shared" si="320"/>
        <v/>
      </c>
    </row>
    <row r="10957" spans="6:6" x14ac:dyDescent="0.2">
      <c r="F10957" s="285" t="str">
        <f t="shared" si="320"/>
        <v/>
      </c>
    </row>
    <row r="10958" spans="6:6" x14ac:dyDescent="0.2">
      <c r="F10958" s="285" t="str">
        <f t="shared" si="320"/>
        <v/>
      </c>
    </row>
    <row r="10959" spans="6:6" x14ac:dyDescent="0.2">
      <c r="F10959" s="285" t="str">
        <f t="shared" si="320"/>
        <v/>
      </c>
    </row>
    <row r="10960" spans="6:6" x14ac:dyDescent="0.2">
      <c r="F10960" s="285" t="str">
        <f t="shared" si="320"/>
        <v/>
      </c>
    </row>
    <row r="10961" spans="6:6" x14ac:dyDescent="0.2">
      <c r="F10961" s="285" t="str">
        <f t="shared" si="320"/>
        <v/>
      </c>
    </row>
    <row r="10962" spans="6:6" x14ac:dyDescent="0.2">
      <c r="F10962" s="285" t="str">
        <f t="shared" si="320"/>
        <v/>
      </c>
    </row>
    <row r="10963" spans="6:6" x14ac:dyDescent="0.2">
      <c r="F10963" s="285" t="str">
        <f t="shared" si="320"/>
        <v/>
      </c>
    </row>
    <row r="10964" spans="6:6" x14ac:dyDescent="0.2">
      <c r="F10964" s="285" t="str">
        <f t="shared" si="320"/>
        <v/>
      </c>
    </row>
    <row r="10965" spans="6:6" x14ac:dyDescent="0.2">
      <c r="F10965" s="285" t="str">
        <f t="shared" si="320"/>
        <v/>
      </c>
    </row>
    <row r="10966" spans="6:6" x14ac:dyDescent="0.2">
      <c r="F10966" s="285" t="str">
        <f t="shared" si="320"/>
        <v/>
      </c>
    </row>
    <row r="10967" spans="6:6" x14ac:dyDescent="0.2">
      <c r="F10967" s="285" t="str">
        <f t="shared" si="320"/>
        <v/>
      </c>
    </row>
    <row r="10968" spans="6:6" x14ac:dyDescent="0.2">
      <c r="F10968" s="285" t="str">
        <f t="shared" si="320"/>
        <v/>
      </c>
    </row>
    <row r="10969" spans="6:6" x14ac:dyDescent="0.2">
      <c r="F10969" s="285" t="str">
        <f t="shared" si="320"/>
        <v/>
      </c>
    </row>
    <row r="10970" spans="6:6" x14ac:dyDescent="0.2">
      <c r="F10970" s="285" t="str">
        <f t="shared" si="320"/>
        <v/>
      </c>
    </row>
    <row r="10971" spans="6:6" x14ac:dyDescent="0.2">
      <c r="F10971" s="285" t="str">
        <f t="shared" si="320"/>
        <v/>
      </c>
    </row>
    <row r="10972" spans="6:6" x14ac:dyDescent="0.2">
      <c r="F10972" s="285" t="str">
        <f t="shared" si="320"/>
        <v/>
      </c>
    </row>
    <row r="10973" spans="6:6" x14ac:dyDescent="0.2">
      <c r="F10973" s="285" t="str">
        <f t="shared" si="320"/>
        <v/>
      </c>
    </row>
    <row r="10974" spans="6:6" x14ac:dyDescent="0.2">
      <c r="F10974" s="285" t="str">
        <f t="shared" si="320"/>
        <v/>
      </c>
    </row>
    <row r="10975" spans="6:6" x14ac:dyDescent="0.2">
      <c r="F10975" s="285" t="str">
        <f t="shared" si="320"/>
        <v/>
      </c>
    </row>
    <row r="10976" spans="6:6" x14ac:dyDescent="0.2">
      <c r="F10976" s="285" t="str">
        <f t="shared" si="320"/>
        <v/>
      </c>
    </row>
    <row r="10977" spans="6:6" x14ac:dyDescent="0.2">
      <c r="F10977" s="285" t="str">
        <f t="shared" si="320"/>
        <v/>
      </c>
    </row>
    <row r="10978" spans="6:6" x14ac:dyDescent="0.2">
      <c r="F10978" s="285" t="str">
        <f t="shared" si="320"/>
        <v/>
      </c>
    </row>
    <row r="10979" spans="6:6" x14ac:dyDescent="0.2">
      <c r="F10979" s="285" t="str">
        <f t="shared" si="320"/>
        <v/>
      </c>
    </row>
    <row r="10980" spans="6:6" x14ac:dyDescent="0.2">
      <c r="F10980" s="285" t="str">
        <f t="shared" si="320"/>
        <v/>
      </c>
    </row>
    <row r="10981" spans="6:6" x14ac:dyDescent="0.2">
      <c r="F10981" s="285" t="str">
        <f t="shared" si="320"/>
        <v/>
      </c>
    </row>
    <row r="10982" spans="6:6" x14ac:dyDescent="0.2">
      <c r="F10982" s="285" t="str">
        <f t="shared" si="320"/>
        <v/>
      </c>
    </row>
    <row r="10983" spans="6:6" x14ac:dyDescent="0.2">
      <c r="F10983" s="285" t="str">
        <f t="shared" si="320"/>
        <v/>
      </c>
    </row>
    <row r="10984" spans="6:6" x14ac:dyDescent="0.2">
      <c r="F10984" s="285" t="str">
        <f t="shared" si="320"/>
        <v/>
      </c>
    </row>
    <row r="10985" spans="6:6" x14ac:dyDescent="0.2">
      <c r="F10985" s="285" t="str">
        <f t="shared" si="320"/>
        <v/>
      </c>
    </row>
    <row r="10986" spans="6:6" x14ac:dyDescent="0.2">
      <c r="F10986" s="285" t="str">
        <f t="shared" si="320"/>
        <v/>
      </c>
    </row>
    <row r="10987" spans="6:6" x14ac:dyDescent="0.2">
      <c r="F10987" s="285" t="str">
        <f t="shared" si="320"/>
        <v/>
      </c>
    </row>
    <row r="10988" spans="6:6" x14ac:dyDescent="0.2">
      <c r="F10988" s="285" t="str">
        <f t="shared" si="320"/>
        <v/>
      </c>
    </row>
    <row r="10989" spans="6:6" x14ac:dyDescent="0.2">
      <c r="F10989" s="285" t="str">
        <f t="shared" si="320"/>
        <v/>
      </c>
    </row>
    <row r="10990" spans="6:6" x14ac:dyDescent="0.2">
      <c r="F10990" s="285" t="str">
        <f t="shared" si="320"/>
        <v/>
      </c>
    </row>
    <row r="10991" spans="6:6" x14ac:dyDescent="0.2">
      <c r="F10991" s="285" t="str">
        <f t="shared" si="320"/>
        <v/>
      </c>
    </row>
    <row r="10992" spans="6:6" x14ac:dyDescent="0.2">
      <c r="F10992" s="285" t="str">
        <f t="shared" si="320"/>
        <v/>
      </c>
    </row>
    <row r="10993" spans="6:6" x14ac:dyDescent="0.2">
      <c r="F10993" s="285" t="str">
        <f t="shared" si="320"/>
        <v/>
      </c>
    </row>
    <row r="10994" spans="6:6" x14ac:dyDescent="0.2">
      <c r="F10994" s="285" t="str">
        <f t="shared" si="320"/>
        <v/>
      </c>
    </row>
    <row r="10995" spans="6:6" x14ac:dyDescent="0.2">
      <c r="F10995" s="285" t="str">
        <f t="shared" si="320"/>
        <v/>
      </c>
    </row>
    <row r="10996" spans="6:6" x14ac:dyDescent="0.2">
      <c r="F10996" s="285" t="str">
        <f t="shared" si="320"/>
        <v/>
      </c>
    </row>
    <row r="10997" spans="6:6" x14ac:dyDescent="0.2">
      <c r="F10997" s="285" t="str">
        <f t="shared" si="320"/>
        <v/>
      </c>
    </row>
    <row r="10998" spans="6:6" x14ac:dyDescent="0.2">
      <c r="F10998" s="285" t="str">
        <f t="shared" si="320"/>
        <v/>
      </c>
    </row>
    <row r="10999" spans="6:6" x14ac:dyDescent="0.2">
      <c r="F10999" s="285" t="str">
        <f t="shared" si="320"/>
        <v/>
      </c>
    </row>
    <row r="11000" spans="6:6" x14ac:dyDescent="0.2">
      <c r="F11000" s="285" t="str">
        <f t="shared" si="320"/>
        <v/>
      </c>
    </row>
    <row r="11001" spans="6:6" x14ac:dyDescent="0.2">
      <c r="F11001" s="285" t="str">
        <f t="shared" si="320"/>
        <v/>
      </c>
    </row>
    <row r="11002" spans="6:6" x14ac:dyDescent="0.2">
      <c r="F11002" s="285" t="str">
        <f t="shared" si="320"/>
        <v/>
      </c>
    </row>
    <row r="11003" spans="6:6" x14ac:dyDescent="0.2">
      <c r="F11003" s="285" t="str">
        <f t="shared" si="320"/>
        <v/>
      </c>
    </row>
    <row r="11004" spans="6:6" x14ac:dyDescent="0.2">
      <c r="F11004" s="285" t="str">
        <f t="shared" si="320"/>
        <v/>
      </c>
    </row>
    <row r="11005" spans="6:6" x14ac:dyDescent="0.2">
      <c r="F11005" s="285" t="str">
        <f t="shared" si="320"/>
        <v/>
      </c>
    </row>
    <row r="11006" spans="6:6" x14ac:dyDescent="0.2">
      <c r="F11006" s="285" t="str">
        <f t="shared" si="320"/>
        <v/>
      </c>
    </row>
    <row r="11007" spans="6:6" x14ac:dyDescent="0.2">
      <c r="F11007" s="285" t="str">
        <f t="shared" si="320"/>
        <v/>
      </c>
    </row>
    <row r="11008" spans="6:6" x14ac:dyDescent="0.2">
      <c r="F11008" s="285" t="str">
        <f t="shared" si="320"/>
        <v/>
      </c>
    </row>
    <row r="11009" spans="6:6" x14ac:dyDescent="0.2">
      <c r="F11009" s="285" t="str">
        <f t="shared" si="320"/>
        <v/>
      </c>
    </row>
    <row r="11010" spans="6:6" x14ac:dyDescent="0.2">
      <c r="F11010" s="285" t="str">
        <f t="shared" si="320"/>
        <v/>
      </c>
    </row>
    <row r="11011" spans="6:6" x14ac:dyDescent="0.2">
      <c r="F11011" s="285" t="str">
        <f t="shared" si="320"/>
        <v/>
      </c>
    </row>
    <row r="11012" spans="6:6" x14ac:dyDescent="0.2">
      <c r="F11012" s="285" t="str">
        <f t="shared" si="320"/>
        <v/>
      </c>
    </row>
    <row r="11013" spans="6:6" x14ac:dyDescent="0.2">
      <c r="F11013" s="285" t="str">
        <f t="shared" ref="F11013:F11076" si="321">IF(A11013="","",A11013)</f>
        <v/>
      </c>
    </row>
    <row r="11014" spans="6:6" x14ac:dyDescent="0.2">
      <c r="F11014" s="285" t="str">
        <f t="shared" si="321"/>
        <v/>
      </c>
    </row>
    <row r="11015" spans="6:6" x14ac:dyDescent="0.2">
      <c r="F11015" s="285" t="str">
        <f t="shared" si="321"/>
        <v/>
      </c>
    </row>
    <row r="11016" spans="6:6" x14ac:dyDescent="0.2">
      <c r="F11016" s="285" t="str">
        <f t="shared" si="321"/>
        <v/>
      </c>
    </row>
    <row r="11017" spans="6:6" x14ac:dyDescent="0.2">
      <c r="F11017" s="285" t="str">
        <f t="shared" si="321"/>
        <v/>
      </c>
    </row>
    <row r="11018" spans="6:6" x14ac:dyDescent="0.2">
      <c r="F11018" s="285" t="str">
        <f t="shared" si="321"/>
        <v/>
      </c>
    </row>
    <row r="11019" spans="6:6" x14ac:dyDescent="0.2">
      <c r="F11019" s="285" t="str">
        <f t="shared" si="321"/>
        <v/>
      </c>
    </row>
    <row r="11020" spans="6:6" x14ac:dyDescent="0.2">
      <c r="F11020" s="285" t="str">
        <f t="shared" si="321"/>
        <v/>
      </c>
    </row>
    <row r="11021" spans="6:6" x14ac:dyDescent="0.2">
      <c r="F11021" s="285" t="str">
        <f t="shared" si="321"/>
        <v/>
      </c>
    </row>
    <row r="11022" spans="6:6" x14ac:dyDescent="0.2">
      <c r="F11022" s="285" t="str">
        <f t="shared" si="321"/>
        <v/>
      </c>
    </row>
    <row r="11023" spans="6:6" x14ac:dyDescent="0.2">
      <c r="F11023" s="285" t="str">
        <f t="shared" si="321"/>
        <v/>
      </c>
    </row>
    <row r="11024" spans="6:6" x14ac:dyDescent="0.2">
      <c r="F11024" s="285" t="str">
        <f t="shared" si="321"/>
        <v/>
      </c>
    </row>
    <row r="11025" spans="6:6" x14ac:dyDescent="0.2">
      <c r="F11025" s="285" t="str">
        <f t="shared" si="321"/>
        <v/>
      </c>
    </row>
    <row r="11026" spans="6:6" x14ac:dyDescent="0.2">
      <c r="F11026" s="285" t="str">
        <f t="shared" si="321"/>
        <v/>
      </c>
    </row>
    <row r="11027" spans="6:6" x14ac:dyDescent="0.2">
      <c r="F11027" s="285" t="str">
        <f t="shared" si="321"/>
        <v/>
      </c>
    </row>
    <row r="11028" spans="6:6" x14ac:dyDescent="0.2">
      <c r="F11028" s="285" t="str">
        <f t="shared" si="321"/>
        <v/>
      </c>
    </row>
    <row r="11029" spans="6:6" x14ac:dyDescent="0.2">
      <c r="F11029" s="285" t="str">
        <f t="shared" si="321"/>
        <v/>
      </c>
    </row>
    <row r="11030" spans="6:6" x14ac:dyDescent="0.2">
      <c r="F11030" s="285" t="str">
        <f t="shared" si="321"/>
        <v/>
      </c>
    </row>
    <row r="11031" spans="6:6" x14ac:dyDescent="0.2">
      <c r="F11031" s="285" t="str">
        <f t="shared" si="321"/>
        <v/>
      </c>
    </row>
    <row r="11032" spans="6:6" x14ac:dyDescent="0.2">
      <c r="F11032" s="285" t="str">
        <f t="shared" si="321"/>
        <v/>
      </c>
    </row>
    <row r="11033" spans="6:6" x14ac:dyDescent="0.2">
      <c r="F11033" s="285" t="str">
        <f t="shared" si="321"/>
        <v/>
      </c>
    </row>
    <row r="11034" spans="6:6" x14ac:dyDescent="0.2">
      <c r="F11034" s="285" t="str">
        <f t="shared" si="321"/>
        <v/>
      </c>
    </row>
    <row r="11035" spans="6:6" x14ac:dyDescent="0.2">
      <c r="F11035" s="285" t="str">
        <f t="shared" si="321"/>
        <v/>
      </c>
    </row>
    <row r="11036" spans="6:6" x14ac:dyDescent="0.2">
      <c r="F11036" s="285" t="str">
        <f t="shared" si="321"/>
        <v/>
      </c>
    </row>
    <row r="11037" spans="6:6" x14ac:dyDescent="0.2">
      <c r="F11037" s="285" t="str">
        <f t="shared" si="321"/>
        <v/>
      </c>
    </row>
    <row r="11038" spans="6:6" x14ac:dyDescent="0.2">
      <c r="F11038" s="285" t="str">
        <f t="shared" si="321"/>
        <v/>
      </c>
    </row>
    <row r="11039" spans="6:6" x14ac:dyDescent="0.2">
      <c r="F11039" s="285" t="str">
        <f t="shared" si="321"/>
        <v/>
      </c>
    </row>
    <row r="11040" spans="6:6" x14ac:dyDescent="0.2">
      <c r="F11040" s="285" t="str">
        <f t="shared" si="321"/>
        <v/>
      </c>
    </row>
    <row r="11041" spans="6:6" x14ac:dyDescent="0.2">
      <c r="F11041" s="285" t="str">
        <f t="shared" si="321"/>
        <v/>
      </c>
    </row>
    <row r="11042" spans="6:6" x14ac:dyDescent="0.2">
      <c r="F11042" s="285" t="str">
        <f t="shared" si="321"/>
        <v/>
      </c>
    </row>
    <row r="11043" spans="6:6" x14ac:dyDescent="0.2">
      <c r="F11043" s="285" t="str">
        <f t="shared" si="321"/>
        <v/>
      </c>
    </row>
    <row r="11044" spans="6:6" x14ac:dyDescent="0.2">
      <c r="F11044" s="285" t="str">
        <f t="shared" si="321"/>
        <v/>
      </c>
    </row>
    <row r="11045" spans="6:6" x14ac:dyDescent="0.2">
      <c r="F11045" s="285" t="str">
        <f t="shared" si="321"/>
        <v/>
      </c>
    </row>
    <row r="11046" spans="6:6" x14ac:dyDescent="0.2">
      <c r="F11046" s="285" t="str">
        <f t="shared" si="321"/>
        <v/>
      </c>
    </row>
    <row r="11047" spans="6:6" x14ac:dyDescent="0.2">
      <c r="F11047" s="285" t="str">
        <f t="shared" si="321"/>
        <v/>
      </c>
    </row>
    <row r="11048" spans="6:6" x14ac:dyDescent="0.2">
      <c r="F11048" s="285" t="str">
        <f t="shared" si="321"/>
        <v/>
      </c>
    </row>
    <row r="11049" spans="6:6" x14ac:dyDescent="0.2">
      <c r="F11049" s="285" t="str">
        <f t="shared" si="321"/>
        <v/>
      </c>
    </row>
    <row r="11050" spans="6:6" x14ac:dyDescent="0.2">
      <c r="F11050" s="285" t="str">
        <f t="shared" si="321"/>
        <v/>
      </c>
    </row>
    <row r="11051" spans="6:6" x14ac:dyDescent="0.2">
      <c r="F11051" s="285" t="str">
        <f t="shared" si="321"/>
        <v/>
      </c>
    </row>
    <row r="11052" spans="6:6" x14ac:dyDescent="0.2">
      <c r="F11052" s="285" t="str">
        <f t="shared" si="321"/>
        <v/>
      </c>
    </row>
    <row r="11053" spans="6:6" x14ac:dyDescent="0.2">
      <c r="F11053" s="285" t="str">
        <f t="shared" si="321"/>
        <v/>
      </c>
    </row>
    <row r="11054" spans="6:6" x14ac:dyDescent="0.2">
      <c r="F11054" s="285" t="str">
        <f t="shared" si="321"/>
        <v/>
      </c>
    </row>
    <row r="11055" spans="6:6" x14ac:dyDescent="0.2">
      <c r="F11055" s="285" t="str">
        <f t="shared" si="321"/>
        <v/>
      </c>
    </row>
    <row r="11056" spans="6:6" x14ac:dyDescent="0.2">
      <c r="F11056" s="285" t="str">
        <f t="shared" si="321"/>
        <v/>
      </c>
    </row>
    <row r="11057" spans="6:6" x14ac:dyDescent="0.2">
      <c r="F11057" s="285" t="str">
        <f t="shared" si="321"/>
        <v/>
      </c>
    </row>
    <row r="11058" spans="6:6" x14ac:dyDescent="0.2">
      <c r="F11058" s="285" t="str">
        <f t="shared" si="321"/>
        <v/>
      </c>
    </row>
    <row r="11059" spans="6:6" x14ac:dyDescent="0.2">
      <c r="F11059" s="285" t="str">
        <f t="shared" si="321"/>
        <v/>
      </c>
    </row>
    <row r="11060" spans="6:6" x14ac:dyDescent="0.2">
      <c r="F11060" s="285" t="str">
        <f t="shared" si="321"/>
        <v/>
      </c>
    </row>
    <row r="11061" spans="6:6" x14ac:dyDescent="0.2">
      <c r="F11061" s="285" t="str">
        <f t="shared" si="321"/>
        <v/>
      </c>
    </row>
    <row r="11062" spans="6:6" x14ac:dyDescent="0.2">
      <c r="F11062" s="285" t="str">
        <f t="shared" si="321"/>
        <v/>
      </c>
    </row>
    <row r="11063" spans="6:6" x14ac:dyDescent="0.2">
      <c r="F11063" s="285" t="str">
        <f t="shared" si="321"/>
        <v/>
      </c>
    </row>
    <row r="11064" spans="6:6" x14ac:dyDescent="0.2">
      <c r="F11064" s="285" t="str">
        <f t="shared" si="321"/>
        <v/>
      </c>
    </row>
    <row r="11065" spans="6:6" x14ac:dyDescent="0.2">
      <c r="F11065" s="285" t="str">
        <f t="shared" si="321"/>
        <v/>
      </c>
    </row>
    <row r="11066" spans="6:6" x14ac:dyDescent="0.2">
      <c r="F11066" s="285" t="str">
        <f t="shared" si="321"/>
        <v/>
      </c>
    </row>
    <row r="11067" spans="6:6" x14ac:dyDescent="0.2">
      <c r="F11067" s="285" t="str">
        <f t="shared" si="321"/>
        <v/>
      </c>
    </row>
    <row r="11068" spans="6:6" x14ac:dyDescent="0.2">
      <c r="F11068" s="285" t="str">
        <f t="shared" si="321"/>
        <v/>
      </c>
    </row>
    <row r="11069" spans="6:6" x14ac:dyDescent="0.2">
      <c r="F11069" s="285" t="str">
        <f t="shared" si="321"/>
        <v/>
      </c>
    </row>
    <row r="11070" spans="6:6" x14ac:dyDescent="0.2">
      <c r="F11070" s="285" t="str">
        <f t="shared" si="321"/>
        <v/>
      </c>
    </row>
    <row r="11071" spans="6:6" x14ac:dyDescent="0.2">
      <c r="F11071" s="285" t="str">
        <f t="shared" si="321"/>
        <v/>
      </c>
    </row>
    <row r="11072" spans="6:6" x14ac:dyDescent="0.2">
      <c r="F11072" s="285" t="str">
        <f t="shared" si="321"/>
        <v/>
      </c>
    </row>
    <row r="11073" spans="6:6" x14ac:dyDescent="0.2">
      <c r="F11073" s="285" t="str">
        <f t="shared" si="321"/>
        <v/>
      </c>
    </row>
    <row r="11074" spans="6:6" x14ac:dyDescent="0.2">
      <c r="F11074" s="285" t="str">
        <f t="shared" si="321"/>
        <v/>
      </c>
    </row>
    <row r="11075" spans="6:6" x14ac:dyDescent="0.2">
      <c r="F11075" s="285" t="str">
        <f t="shared" si="321"/>
        <v/>
      </c>
    </row>
    <row r="11076" spans="6:6" x14ac:dyDescent="0.2">
      <c r="F11076" s="285" t="str">
        <f t="shared" si="321"/>
        <v/>
      </c>
    </row>
    <row r="11077" spans="6:6" x14ac:dyDescent="0.2">
      <c r="F11077" s="285" t="str">
        <f t="shared" ref="F11077:F11140" si="322">IF(A11077="","",A11077)</f>
        <v/>
      </c>
    </row>
    <row r="11078" spans="6:6" x14ac:dyDescent="0.2">
      <c r="F11078" s="285" t="str">
        <f t="shared" si="322"/>
        <v/>
      </c>
    </row>
    <row r="11079" spans="6:6" x14ac:dyDescent="0.2">
      <c r="F11079" s="285" t="str">
        <f t="shared" si="322"/>
        <v/>
      </c>
    </row>
    <row r="11080" spans="6:6" x14ac:dyDescent="0.2">
      <c r="F11080" s="285" t="str">
        <f t="shared" si="322"/>
        <v/>
      </c>
    </row>
    <row r="11081" spans="6:6" x14ac:dyDescent="0.2">
      <c r="F11081" s="285" t="str">
        <f t="shared" si="322"/>
        <v/>
      </c>
    </row>
    <row r="11082" spans="6:6" x14ac:dyDescent="0.2">
      <c r="F11082" s="285" t="str">
        <f t="shared" si="322"/>
        <v/>
      </c>
    </row>
    <row r="11083" spans="6:6" x14ac:dyDescent="0.2">
      <c r="F11083" s="285" t="str">
        <f t="shared" si="322"/>
        <v/>
      </c>
    </row>
    <row r="11084" spans="6:6" x14ac:dyDescent="0.2">
      <c r="F11084" s="285" t="str">
        <f t="shared" si="322"/>
        <v/>
      </c>
    </row>
    <row r="11085" spans="6:6" x14ac:dyDescent="0.2">
      <c r="F11085" s="285" t="str">
        <f t="shared" si="322"/>
        <v/>
      </c>
    </row>
    <row r="11086" spans="6:6" x14ac:dyDescent="0.2">
      <c r="F11086" s="285" t="str">
        <f t="shared" si="322"/>
        <v/>
      </c>
    </row>
    <row r="11087" spans="6:6" x14ac:dyDescent="0.2">
      <c r="F11087" s="285" t="str">
        <f t="shared" si="322"/>
        <v/>
      </c>
    </row>
    <row r="11088" spans="6:6" x14ac:dyDescent="0.2">
      <c r="F11088" s="285" t="str">
        <f t="shared" si="322"/>
        <v/>
      </c>
    </row>
    <row r="11089" spans="6:6" x14ac:dyDescent="0.2">
      <c r="F11089" s="285" t="str">
        <f t="shared" si="322"/>
        <v/>
      </c>
    </row>
    <row r="11090" spans="6:6" x14ac:dyDescent="0.2">
      <c r="F11090" s="285" t="str">
        <f t="shared" si="322"/>
        <v/>
      </c>
    </row>
    <row r="11091" spans="6:6" x14ac:dyDescent="0.2">
      <c r="F11091" s="285" t="str">
        <f t="shared" si="322"/>
        <v/>
      </c>
    </row>
    <row r="11092" spans="6:6" x14ac:dyDescent="0.2">
      <c r="F11092" s="285" t="str">
        <f t="shared" si="322"/>
        <v/>
      </c>
    </row>
    <row r="11093" spans="6:6" x14ac:dyDescent="0.2">
      <c r="F11093" s="285" t="str">
        <f t="shared" si="322"/>
        <v/>
      </c>
    </row>
    <row r="11094" spans="6:6" x14ac:dyDescent="0.2">
      <c r="F11094" s="285" t="str">
        <f t="shared" si="322"/>
        <v/>
      </c>
    </row>
    <row r="11095" spans="6:6" x14ac:dyDescent="0.2">
      <c r="F11095" s="285" t="str">
        <f t="shared" si="322"/>
        <v/>
      </c>
    </row>
    <row r="11096" spans="6:6" x14ac:dyDescent="0.2">
      <c r="F11096" s="285" t="str">
        <f t="shared" si="322"/>
        <v/>
      </c>
    </row>
    <row r="11097" spans="6:6" x14ac:dyDescent="0.2">
      <c r="F11097" s="285" t="str">
        <f t="shared" si="322"/>
        <v/>
      </c>
    </row>
    <row r="11098" spans="6:6" x14ac:dyDescent="0.2">
      <c r="F11098" s="285" t="str">
        <f t="shared" si="322"/>
        <v/>
      </c>
    </row>
    <row r="11099" spans="6:6" x14ac:dyDescent="0.2">
      <c r="F11099" s="285" t="str">
        <f t="shared" si="322"/>
        <v/>
      </c>
    </row>
    <row r="11100" spans="6:6" x14ac:dyDescent="0.2">
      <c r="F11100" s="285" t="str">
        <f t="shared" si="322"/>
        <v/>
      </c>
    </row>
    <row r="11101" spans="6:6" x14ac:dyDescent="0.2">
      <c r="F11101" s="285" t="str">
        <f t="shared" si="322"/>
        <v/>
      </c>
    </row>
    <row r="11102" spans="6:6" x14ac:dyDescent="0.2">
      <c r="F11102" s="285" t="str">
        <f t="shared" si="322"/>
        <v/>
      </c>
    </row>
    <row r="11103" spans="6:6" x14ac:dyDescent="0.2">
      <c r="F11103" s="285" t="str">
        <f t="shared" si="322"/>
        <v/>
      </c>
    </row>
    <row r="11104" spans="6:6" x14ac:dyDescent="0.2">
      <c r="F11104" s="285" t="str">
        <f t="shared" si="322"/>
        <v/>
      </c>
    </row>
    <row r="11105" spans="6:6" x14ac:dyDescent="0.2">
      <c r="F11105" s="285" t="str">
        <f t="shared" si="322"/>
        <v/>
      </c>
    </row>
    <row r="11106" spans="6:6" x14ac:dyDescent="0.2">
      <c r="F11106" s="285" t="str">
        <f t="shared" si="322"/>
        <v/>
      </c>
    </row>
    <row r="11107" spans="6:6" x14ac:dyDescent="0.2">
      <c r="F11107" s="285" t="str">
        <f t="shared" si="322"/>
        <v/>
      </c>
    </row>
    <row r="11108" spans="6:6" x14ac:dyDescent="0.2">
      <c r="F11108" s="285" t="str">
        <f t="shared" si="322"/>
        <v/>
      </c>
    </row>
    <row r="11109" spans="6:6" x14ac:dyDescent="0.2">
      <c r="F11109" s="285" t="str">
        <f t="shared" si="322"/>
        <v/>
      </c>
    </row>
    <row r="11110" spans="6:6" x14ac:dyDescent="0.2">
      <c r="F11110" s="285" t="str">
        <f t="shared" si="322"/>
        <v/>
      </c>
    </row>
    <row r="11111" spans="6:6" x14ac:dyDescent="0.2">
      <c r="F11111" s="285" t="str">
        <f t="shared" si="322"/>
        <v/>
      </c>
    </row>
    <row r="11112" spans="6:6" x14ac:dyDescent="0.2">
      <c r="F11112" s="285" t="str">
        <f t="shared" si="322"/>
        <v/>
      </c>
    </row>
    <row r="11113" spans="6:6" x14ac:dyDescent="0.2">
      <c r="F11113" s="285" t="str">
        <f t="shared" si="322"/>
        <v/>
      </c>
    </row>
    <row r="11114" spans="6:6" x14ac:dyDescent="0.2">
      <c r="F11114" s="285" t="str">
        <f t="shared" si="322"/>
        <v/>
      </c>
    </row>
    <row r="11115" spans="6:6" x14ac:dyDescent="0.2">
      <c r="F11115" s="285" t="str">
        <f t="shared" si="322"/>
        <v/>
      </c>
    </row>
    <row r="11116" spans="6:6" x14ac:dyDescent="0.2">
      <c r="F11116" s="285" t="str">
        <f t="shared" si="322"/>
        <v/>
      </c>
    </row>
    <row r="11117" spans="6:6" x14ac:dyDescent="0.2">
      <c r="F11117" s="285" t="str">
        <f t="shared" si="322"/>
        <v/>
      </c>
    </row>
    <row r="11118" spans="6:6" x14ac:dyDescent="0.2">
      <c r="F11118" s="285" t="str">
        <f t="shared" si="322"/>
        <v/>
      </c>
    </row>
    <row r="11119" spans="6:6" x14ac:dyDescent="0.2">
      <c r="F11119" s="285" t="str">
        <f t="shared" si="322"/>
        <v/>
      </c>
    </row>
    <row r="11120" spans="6:6" x14ac:dyDescent="0.2">
      <c r="F11120" s="285" t="str">
        <f t="shared" si="322"/>
        <v/>
      </c>
    </row>
    <row r="11121" spans="6:6" x14ac:dyDescent="0.2">
      <c r="F11121" s="285" t="str">
        <f t="shared" si="322"/>
        <v/>
      </c>
    </row>
    <row r="11122" spans="6:6" x14ac:dyDescent="0.2">
      <c r="F11122" s="285" t="str">
        <f t="shared" si="322"/>
        <v/>
      </c>
    </row>
    <row r="11123" spans="6:6" x14ac:dyDescent="0.2">
      <c r="F11123" s="285" t="str">
        <f t="shared" si="322"/>
        <v/>
      </c>
    </row>
    <row r="11124" spans="6:6" x14ac:dyDescent="0.2">
      <c r="F11124" s="285" t="str">
        <f t="shared" si="322"/>
        <v/>
      </c>
    </row>
    <row r="11125" spans="6:6" x14ac:dyDescent="0.2">
      <c r="F11125" s="285" t="str">
        <f t="shared" si="322"/>
        <v/>
      </c>
    </row>
    <row r="11126" spans="6:6" x14ac:dyDescent="0.2">
      <c r="F11126" s="285" t="str">
        <f t="shared" si="322"/>
        <v/>
      </c>
    </row>
    <row r="11127" spans="6:6" x14ac:dyDescent="0.2">
      <c r="F11127" s="285" t="str">
        <f t="shared" si="322"/>
        <v/>
      </c>
    </row>
    <row r="11128" spans="6:6" x14ac:dyDescent="0.2">
      <c r="F11128" s="285" t="str">
        <f t="shared" si="322"/>
        <v/>
      </c>
    </row>
    <row r="11129" spans="6:6" x14ac:dyDescent="0.2">
      <c r="F11129" s="285" t="str">
        <f t="shared" si="322"/>
        <v/>
      </c>
    </row>
    <row r="11130" spans="6:6" x14ac:dyDescent="0.2">
      <c r="F11130" s="285" t="str">
        <f t="shared" si="322"/>
        <v/>
      </c>
    </row>
    <row r="11131" spans="6:6" x14ac:dyDescent="0.2">
      <c r="F11131" s="285" t="str">
        <f t="shared" si="322"/>
        <v/>
      </c>
    </row>
    <row r="11132" spans="6:6" x14ac:dyDescent="0.2">
      <c r="F11132" s="285" t="str">
        <f t="shared" si="322"/>
        <v/>
      </c>
    </row>
    <row r="11133" spans="6:6" x14ac:dyDescent="0.2">
      <c r="F11133" s="285" t="str">
        <f t="shared" si="322"/>
        <v/>
      </c>
    </row>
    <row r="11134" spans="6:6" x14ac:dyDescent="0.2">
      <c r="F11134" s="285" t="str">
        <f t="shared" si="322"/>
        <v/>
      </c>
    </row>
    <row r="11135" spans="6:6" x14ac:dyDescent="0.2">
      <c r="F11135" s="285" t="str">
        <f t="shared" si="322"/>
        <v/>
      </c>
    </row>
    <row r="11136" spans="6:6" x14ac:dyDescent="0.2">
      <c r="F11136" s="285" t="str">
        <f t="shared" si="322"/>
        <v/>
      </c>
    </row>
    <row r="11137" spans="6:6" x14ac:dyDescent="0.2">
      <c r="F11137" s="285" t="str">
        <f t="shared" si="322"/>
        <v/>
      </c>
    </row>
    <row r="11138" spans="6:6" x14ac:dyDescent="0.2">
      <c r="F11138" s="285" t="str">
        <f t="shared" si="322"/>
        <v/>
      </c>
    </row>
    <row r="11139" spans="6:6" x14ac:dyDescent="0.2">
      <c r="F11139" s="285" t="str">
        <f t="shared" si="322"/>
        <v/>
      </c>
    </row>
    <row r="11140" spans="6:6" x14ac:dyDescent="0.2">
      <c r="F11140" s="285" t="str">
        <f t="shared" si="322"/>
        <v/>
      </c>
    </row>
    <row r="11141" spans="6:6" x14ac:dyDescent="0.2">
      <c r="F11141" s="285" t="str">
        <f t="shared" ref="F11141:F11204" si="323">IF(A11141="","",A11141)</f>
        <v/>
      </c>
    </row>
    <row r="11142" spans="6:6" x14ac:dyDescent="0.2">
      <c r="F11142" s="285" t="str">
        <f t="shared" si="323"/>
        <v/>
      </c>
    </row>
    <row r="11143" spans="6:6" x14ac:dyDescent="0.2">
      <c r="F11143" s="285" t="str">
        <f t="shared" si="323"/>
        <v/>
      </c>
    </row>
    <row r="11144" spans="6:6" x14ac:dyDescent="0.2">
      <c r="F11144" s="285" t="str">
        <f t="shared" si="323"/>
        <v/>
      </c>
    </row>
    <row r="11145" spans="6:6" x14ac:dyDescent="0.2">
      <c r="F11145" s="285" t="str">
        <f t="shared" si="323"/>
        <v/>
      </c>
    </row>
    <row r="11146" spans="6:6" x14ac:dyDescent="0.2">
      <c r="F11146" s="285" t="str">
        <f t="shared" si="323"/>
        <v/>
      </c>
    </row>
    <row r="11147" spans="6:6" x14ac:dyDescent="0.2">
      <c r="F11147" s="285" t="str">
        <f t="shared" si="323"/>
        <v/>
      </c>
    </row>
    <row r="11148" spans="6:6" x14ac:dyDescent="0.2">
      <c r="F11148" s="285" t="str">
        <f t="shared" si="323"/>
        <v/>
      </c>
    </row>
    <row r="11149" spans="6:6" x14ac:dyDescent="0.2">
      <c r="F11149" s="285" t="str">
        <f t="shared" si="323"/>
        <v/>
      </c>
    </row>
    <row r="11150" spans="6:6" x14ac:dyDescent="0.2">
      <c r="F11150" s="285" t="str">
        <f t="shared" si="323"/>
        <v/>
      </c>
    </row>
    <row r="11151" spans="6:6" x14ac:dyDescent="0.2">
      <c r="F11151" s="285" t="str">
        <f t="shared" si="323"/>
        <v/>
      </c>
    </row>
    <row r="11152" spans="6:6" x14ac:dyDescent="0.2">
      <c r="F11152" s="285" t="str">
        <f t="shared" si="323"/>
        <v/>
      </c>
    </row>
    <row r="11153" spans="6:6" x14ac:dyDescent="0.2">
      <c r="F11153" s="285" t="str">
        <f t="shared" si="323"/>
        <v/>
      </c>
    </row>
    <row r="11154" spans="6:6" x14ac:dyDescent="0.2">
      <c r="F11154" s="285" t="str">
        <f t="shared" si="323"/>
        <v/>
      </c>
    </row>
    <row r="11155" spans="6:6" x14ac:dyDescent="0.2">
      <c r="F11155" s="285" t="str">
        <f t="shared" si="323"/>
        <v/>
      </c>
    </row>
    <row r="11156" spans="6:6" x14ac:dyDescent="0.2">
      <c r="F11156" s="285" t="str">
        <f t="shared" si="323"/>
        <v/>
      </c>
    </row>
    <row r="11157" spans="6:6" x14ac:dyDescent="0.2">
      <c r="F11157" s="285" t="str">
        <f t="shared" si="323"/>
        <v/>
      </c>
    </row>
    <row r="11158" spans="6:6" x14ac:dyDescent="0.2">
      <c r="F11158" s="285" t="str">
        <f t="shared" si="323"/>
        <v/>
      </c>
    </row>
    <row r="11159" spans="6:6" x14ac:dyDescent="0.2">
      <c r="F11159" s="285" t="str">
        <f t="shared" si="323"/>
        <v/>
      </c>
    </row>
    <row r="11160" spans="6:6" x14ac:dyDescent="0.2">
      <c r="F11160" s="285" t="str">
        <f t="shared" si="323"/>
        <v/>
      </c>
    </row>
    <row r="11161" spans="6:6" x14ac:dyDescent="0.2">
      <c r="F11161" s="285" t="str">
        <f t="shared" si="323"/>
        <v/>
      </c>
    </row>
    <row r="11162" spans="6:6" x14ac:dyDescent="0.2">
      <c r="F11162" s="285" t="str">
        <f t="shared" si="323"/>
        <v/>
      </c>
    </row>
    <row r="11163" spans="6:6" x14ac:dyDescent="0.2">
      <c r="F11163" s="285" t="str">
        <f t="shared" si="323"/>
        <v/>
      </c>
    </row>
    <row r="11164" spans="6:6" x14ac:dyDescent="0.2">
      <c r="F11164" s="285" t="str">
        <f t="shared" si="323"/>
        <v/>
      </c>
    </row>
    <row r="11165" spans="6:6" x14ac:dyDescent="0.2">
      <c r="F11165" s="285" t="str">
        <f t="shared" si="323"/>
        <v/>
      </c>
    </row>
    <row r="11166" spans="6:6" x14ac:dyDescent="0.2">
      <c r="F11166" s="285" t="str">
        <f t="shared" si="323"/>
        <v/>
      </c>
    </row>
    <row r="11167" spans="6:6" x14ac:dyDescent="0.2">
      <c r="F11167" s="285" t="str">
        <f t="shared" si="323"/>
        <v/>
      </c>
    </row>
    <row r="11168" spans="6:6" x14ac:dyDescent="0.2">
      <c r="F11168" s="285" t="str">
        <f t="shared" si="323"/>
        <v/>
      </c>
    </row>
    <row r="11169" spans="6:6" x14ac:dyDescent="0.2">
      <c r="F11169" s="285" t="str">
        <f t="shared" si="323"/>
        <v/>
      </c>
    </row>
    <row r="11170" spans="6:6" x14ac:dyDescent="0.2">
      <c r="F11170" s="285" t="str">
        <f t="shared" si="323"/>
        <v/>
      </c>
    </row>
    <row r="11171" spans="6:6" x14ac:dyDescent="0.2">
      <c r="F11171" s="285" t="str">
        <f t="shared" si="323"/>
        <v/>
      </c>
    </row>
    <row r="11172" spans="6:6" x14ac:dyDescent="0.2">
      <c r="F11172" s="285" t="str">
        <f t="shared" si="323"/>
        <v/>
      </c>
    </row>
    <row r="11173" spans="6:6" x14ac:dyDescent="0.2">
      <c r="F11173" s="285" t="str">
        <f t="shared" si="323"/>
        <v/>
      </c>
    </row>
    <row r="11174" spans="6:6" x14ac:dyDescent="0.2">
      <c r="F11174" s="285" t="str">
        <f t="shared" si="323"/>
        <v/>
      </c>
    </row>
    <row r="11175" spans="6:6" x14ac:dyDescent="0.2">
      <c r="F11175" s="285" t="str">
        <f t="shared" si="323"/>
        <v/>
      </c>
    </row>
    <row r="11176" spans="6:6" x14ac:dyDescent="0.2">
      <c r="F11176" s="285" t="str">
        <f t="shared" si="323"/>
        <v/>
      </c>
    </row>
    <row r="11177" spans="6:6" x14ac:dyDescent="0.2">
      <c r="F11177" s="285" t="str">
        <f t="shared" si="323"/>
        <v/>
      </c>
    </row>
    <row r="11178" spans="6:6" x14ac:dyDescent="0.2">
      <c r="F11178" s="285" t="str">
        <f t="shared" si="323"/>
        <v/>
      </c>
    </row>
    <row r="11179" spans="6:6" x14ac:dyDescent="0.2">
      <c r="F11179" s="285" t="str">
        <f t="shared" si="323"/>
        <v/>
      </c>
    </row>
    <row r="11180" spans="6:6" x14ac:dyDescent="0.2">
      <c r="F11180" s="285" t="str">
        <f t="shared" si="323"/>
        <v/>
      </c>
    </row>
    <row r="11181" spans="6:6" x14ac:dyDescent="0.2">
      <c r="F11181" s="285" t="str">
        <f t="shared" si="323"/>
        <v/>
      </c>
    </row>
    <row r="11182" spans="6:6" x14ac:dyDescent="0.2">
      <c r="F11182" s="285" t="str">
        <f t="shared" si="323"/>
        <v/>
      </c>
    </row>
    <row r="11183" spans="6:6" x14ac:dyDescent="0.2">
      <c r="F11183" s="285" t="str">
        <f t="shared" si="323"/>
        <v/>
      </c>
    </row>
    <row r="11184" spans="6:6" x14ac:dyDescent="0.2">
      <c r="F11184" s="285" t="str">
        <f t="shared" si="323"/>
        <v/>
      </c>
    </row>
    <row r="11185" spans="6:6" x14ac:dyDescent="0.2">
      <c r="F11185" s="285" t="str">
        <f t="shared" si="323"/>
        <v/>
      </c>
    </row>
    <row r="11186" spans="6:6" x14ac:dyDescent="0.2">
      <c r="F11186" s="285" t="str">
        <f t="shared" si="323"/>
        <v/>
      </c>
    </row>
    <row r="11187" spans="6:6" x14ac:dyDescent="0.2">
      <c r="F11187" s="285" t="str">
        <f t="shared" si="323"/>
        <v/>
      </c>
    </row>
    <row r="11188" spans="6:6" x14ac:dyDescent="0.2">
      <c r="F11188" s="285" t="str">
        <f t="shared" si="323"/>
        <v/>
      </c>
    </row>
    <row r="11189" spans="6:6" x14ac:dyDescent="0.2">
      <c r="F11189" s="285" t="str">
        <f t="shared" si="323"/>
        <v/>
      </c>
    </row>
    <row r="11190" spans="6:6" x14ac:dyDescent="0.2">
      <c r="F11190" s="285" t="str">
        <f t="shared" si="323"/>
        <v/>
      </c>
    </row>
    <row r="11191" spans="6:6" x14ac:dyDescent="0.2">
      <c r="F11191" s="285" t="str">
        <f t="shared" si="323"/>
        <v/>
      </c>
    </row>
    <row r="11192" spans="6:6" x14ac:dyDescent="0.2">
      <c r="F11192" s="285" t="str">
        <f t="shared" si="323"/>
        <v/>
      </c>
    </row>
    <row r="11193" spans="6:6" x14ac:dyDescent="0.2">
      <c r="F11193" s="285" t="str">
        <f t="shared" si="323"/>
        <v/>
      </c>
    </row>
    <row r="11194" spans="6:6" x14ac:dyDescent="0.2">
      <c r="F11194" s="285" t="str">
        <f t="shared" si="323"/>
        <v/>
      </c>
    </row>
    <row r="11195" spans="6:6" x14ac:dyDescent="0.2">
      <c r="F11195" s="285" t="str">
        <f t="shared" si="323"/>
        <v/>
      </c>
    </row>
    <row r="11196" spans="6:6" x14ac:dyDescent="0.2">
      <c r="F11196" s="285" t="str">
        <f t="shared" si="323"/>
        <v/>
      </c>
    </row>
    <row r="11197" spans="6:6" x14ac:dyDescent="0.2">
      <c r="F11197" s="285" t="str">
        <f t="shared" si="323"/>
        <v/>
      </c>
    </row>
    <row r="11198" spans="6:6" x14ac:dyDescent="0.2">
      <c r="F11198" s="285" t="str">
        <f t="shared" si="323"/>
        <v/>
      </c>
    </row>
    <row r="11199" spans="6:6" x14ac:dyDescent="0.2">
      <c r="F11199" s="285" t="str">
        <f t="shared" si="323"/>
        <v/>
      </c>
    </row>
    <row r="11200" spans="6:6" x14ac:dyDescent="0.2">
      <c r="F11200" s="285" t="str">
        <f t="shared" si="323"/>
        <v/>
      </c>
    </row>
    <row r="11201" spans="6:6" x14ac:dyDescent="0.2">
      <c r="F11201" s="285" t="str">
        <f t="shared" si="323"/>
        <v/>
      </c>
    </row>
    <row r="11202" spans="6:6" x14ac:dyDescent="0.2">
      <c r="F11202" s="285" t="str">
        <f t="shared" si="323"/>
        <v/>
      </c>
    </row>
    <row r="11203" spans="6:6" x14ac:dyDescent="0.2">
      <c r="F11203" s="285" t="str">
        <f t="shared" si="323"/>
        <v/>
      </c>
    </row>
    <row r="11204" spans="6:6" x14ac:dyDescent="0.2">
      <c r="F11204" s="285" t="str">
        <f t="shared" si="323"/>
        <v/>
      </c>
    </row>
    <row r="11205" spans="6:6" x14ac:dyDescent="0.2">
      <c r="F11205" s="285" t="str">
        <f t="shared" ref="F11205:F11268" si="324">IF(A11205="","",A11205)</f>
        <v/>
      </c>
    </row>
    <row r="11206" spans="6:6" x14ac:dyDescent="0.2">
      <c r="F11206" s="285" t="str">
        <f t="shared" si="324"/>
        <v/>
      </c>
    </row>
    <row r="11207" spans="6:6" x14ac:dyDescent="0.2">
      <c r="F11207" s="285" t="str">
        <f t="shared" si="324"/>
        <v/>
      </c>
    </row>
    <row r="11208" spans="6:6" x14ac:dyDescent="0.2">
      <c r="F11208" s="285" t="str">
        <f t="shared" si="324"/>
        <v/>
      </c>
    </row>
    <row r="11209" spans="6:6" x14ac:dyDescent="0.2">
      <c r="F11209" s="285" t="str">
        <f t="shared" si="324"/>
        <v/>
      </c>
    </row>
    <row r="11210" spans="6:6" x14ac:dyDescent="0.2">
      <c r="F11210" s="285" t="str">
        <f t="shared" si="324"/>
        <v/>
      </c>
    </row>
    <row r="11211" spans="6:6" x14ac:dyDescent="0.2">
      <c r="F11211" s="285" t="str">
        <f t="shared" si="324"/>
        <v/>
      </c>
    </row>
    <row r="11212" spans="6:6" x14ac:dyDescent="0.2">
      <c r="F11212" s="285" t="str">
        <f t="shared" si="324"/>
        <v/>
      </c>
    </row>
    <row r="11213" spans="6:6" x14ac:dyDescent="0.2">
      <c r="F11213" s="285" t="str">
        <f t="shared" si="324"/>
        <v/>
      </c>
    </row>
    <row r="11214" spans="6:6" x14ac:dyDescent="0.2">
      <c r="F11214" s="285" t="str">
        <f t="shared" si="324"/>
        <v/>
      </c>
    </row>
    <row r="11215" spans="6:6" x14ac:dyDescent="0.2">
      <c r="F11215" s="285" t="str">
        <f t="shared" si="324"/>
        <v/>
      </c>
    </row>
    <row r="11216" spans="6:6" x14ac:dyDescent="0.2">
      <c r="F11216" s="285" t="str">
        <f t="shared" si="324"/>
        <v/>
      </c>
    </row>
    <row r="11217" spans="6:6" x14ac:dyDescent="0.2">
      <c r="F11217" s="285" t="str">
        <f t="shared" si="324"/>
        <v/>
      </c>
    </row>
    <row r="11218" spans="6:6" x14ac:dyDescent="0.2">
      <c r="F11218" s="285" t="str">
        <f t="shared" si="324"/>
        <v/>
      </c>
    </row>
    <row r="11219" spans="6:6" x14ac:dyDescent="0.2">
      <c r="F11219" s="285" t="str">
        <f t="shared" si="324"/>
        <v/>
      </c>
    </row>
    <row r="11220" spans="6:6" x14ac:dyDescent="0.2">
      <c r="F11220" s="285" t="str">
        <f t="shared" si="324"/>
        <v/>
      </c>
    </row>
    <row r="11221" spans="6:6" x14ac:dyDescent="0.2">
      <c r="F11221" s="285" t="str">
        <f t="shared" si="324"/>
        <v/>
      </c>
    </row>
    <row r="11222" spans="6:6" x14ac:dyDescent="0.2">
      <c r="F11222" s="285" t="str">
        <f t="shared" si="324"/>
        <v/>
      </c>
    </row>
    <row r="11223" spans="6:6" x14ac:dyDescent="0.2">
      <c r="F11223" s="285" t="str">
        <f t="shared" si="324"/>
        <v/>
      </c>
    </row>
    <row r="11224" spans="6:6" x14ac:dyDescent="0.2">
      <c r="F11224" s="285" t="str">
        <f t="shared" si="324"/>
        <v/>
      </c>
    </row>
    <row r="11225" spans="6:6" x14ac:dyDescent="0.2">
      <c r="F11225" s="285" t="str">
        <f t="shared" si="324"/>
        <v/>
      </c>
    </row>
    <row r="11226" spans="6:6" x14ac:dyDescent="0.2">
      <c r="F11226" s="285" t="str">
        <f t="shared" si="324"/>
        <v/>
      </c>
    </row>
    <row r="11227" spans="6:6" x14ac:dyDescent="0.2">
      <c r="F11227" s="285" t="str">
        <f t="shared" si="324"/>
        <v/>
      </c>
    </row>
    <row r="11228" spans="6:6" x14ac:dyDescent="0.2">
      <c r="F11228" s="285" t="str">
        <f t="shared" si="324"/>
        <v/>
      </c>
    </row>
    <row r="11229" spans="6:6" x14ac:dyDescent="0.2">
      <c r="F11229" s="285" t="str">
        <f t="shared" si="324"/>
        <v/>
      </c>
    </row>
    <row r="11230" spans="6:6" x14ac:dyDescent="0.2">
      <c r="F11230" s="285" t="str">
        <f t="shared" si="324"/>
        <v/>
      </c>
    </row>
    <row r="11231" spans="6:6" x14ac:dyDescent="0.2">
      <c r="F11231" s="285" t="str">
        <f t="shared" si="324"/>
        <v/>
      </c>
    </row>
    <row r="11232" spans="6:6" x14ac:dyDescent="0.2">
      <c r="F11232" s="285" t="str">
        <f t="shared" si="324"/>
        <v/>
      </c>
    </row>
    <row r="11233" spans="6:6" x14ac:dyDescent="0.2">
      <c r="F11233" s="285" t="str">
        <f t="shared" si="324"/>
        <v/>
      </c>
    </row>
    <row r="11234" spans="6:6" x14ac:dyDescent="0.2">
      <c r="F11234" s="285" t="str">
        <f t="shared" si="324"/>
        <v/>
      </c>
    </row>
    <row r="11235" spans="6:6" x14ac:dyDescent="0.2">
      <c r="F11235" s="285" t="str">
        <f t="shared" si="324"/>
        <v/>
      </c>
    </row>
    <row r="11236" spans="6:6" x14ac:dyDescent="0.2">
      <c r="F11236" s="285" t="str">
        <f t="shared" si="324"/>
        <v/>
      </c>
    </row>
    <row r="11237" spans="6:6" x14ac:dyDescent="0.2">
      <c r="F11237" s="285" t="str">
        <f t="shared" si="324"/>
        <v/>
      </c>
    </row>
    <row r="11238" spans="6:6" x14ac:dyDescent="0.2">
      <c r="F11238" s="285" t="str">
        <f t="shared" si="324"/>
        <v/>
      </c>
    </row>
    <row r="11239" spans="6:6" x14ac:dyDescent="0.2">
      <c r="F11239" s="285" t="str">
        <f t="shared" si="324"/>
        <v/>
      </c>
    </row>
    <row r="11240" spans="6:6" x14ac:dyDescent="0.2">
      <c r="F11240" s="285" t="str">
        <f t="shared" si="324"/>
        <v/>
      </c>
    </row>
    <row r="11241" spans="6:6" x14ac:dyDescent="0.2">
      <c r="F11241" s="285" t="str">
        <f t="shared" si="324"/>
        <v/>
      </c>
    </row>
    <row r="11242" spans="6:6" x14ac:dyDescent="0.2">
      <c r="F11242" s="285" t="str">
        <f t="shared" si="324"/>
        <v/>
      </c>
    </row>
    <row r="11243" spans="6:6" x14ac:dyDescent="0.2">
      <c r="F11243" s="285" t="str">
        <f t="shared" si="324"/>
        <v/>
      </c>
    </row>
    <row r="11244" spans="6:6" x14ac:dyDescent="0.2">
      <c r="F11244" s="285" t="str">
        <f t="shared" si="324"/>
        <v/>
      </c>
    </row>
    <row r="11245" spans="6:6" x14ac:dyDescent="0.2">
      <c r="F11245" s="285" t="str">
        <f t="shared" si="324"/>
        <v/>
      </c>
    </row>
    <row r="11246" spans="6:6" x14ac:dyDescent="0.2">
      <c r="F11246" s="285" t="str">
        <f t="shared" si="324"/>
        <v/>
      </c>
    </row>
    <row r="11247" spans="6:6" x14ac:dyDescent="0.2">
      <c r="F11247" s="285" t="str">
        <f t="shared" si="324"/>
        <v/>
      </c>
    </row>
    <row r="11248" spans="6:6" x14ac:dyDescent="0.2">
      <c r="F11248" s="285" t="str">
        <f t="shared" si="324"/>
        <v/>
      </c>
    </row>
    <row r="11249" spans="6:6" x14ac:dyDescent="0.2">
      <c r="F11249" s="285" t="str">
        <f t="shared" si="324"/>
        <v/>
      </c>
    </row>
    <row r="11250" spans="6:6" x14ac:dyDescent="0.2">
      <c r="F11250" s="285" t="str">
        <f t="shared" si="324"/>
        <v/>
      </c>
    </row>
    <row r="11251" spans="6:6" x14ac:dyDescent="0.2">
      <c r="F11251" s="285" t="str">
        <f t="shared" si="324"/>
        <v/>
      </c>
    </row>
    <row r="11252" spans="6:6" x14ac:dyDescent="0.2">
      <c r="F11252" s="285" t="str">
        <f t="shared" si="324"/>
        <v/>
      </c>
    </row>
    <row r="11253" spans="6:6" x14ac:dyDescent="0.2">
      <c r="F11253" s="285" t="str">
        <f t="shared" si="324"/>
        <v/>
      </c>
    </row>
    <row r="11254" spans="6:6" x14ac:dyDescent="0.2">
      <c r="F11254" s="285" t="str">
        <f t="shared" si="324"/>
        <v/>
      </c>
    </row>
    <row r="11255" spans="6:6" x14ac:dyDescent="0.2">
      <c r="F11255" s="285" t="str">
        <f t="shared" si="324"/>
        <v/>
      </c>
    </row>
    <row r="11256" spans="6:6" x14ac:dyDescent="0.2">
      <c r="F11256" s="285" t="str">
        <f t="shared" si="324"/>
        <v/>
      </c>
    </row>
    <row r="11257" spans="6:6" x14ac:dyDescent="0.2">
      <c r="F11257" s="285" t="str">
        <f t="shared" si="324"/>
        <v/>
      </c>
    </row>
    <row r="11258" spans="6:6" x14ac:dyDescent="0.2">
      <c r="F11258" s="285" t="str">
        <f t="shared" si="324"/>
        <v/>
      </c>
    </row>
    <row r="11259" spans="6:6" x14ac:dyDescent="0.2">
      <c r="F11259" s="285" t="str">
        <f t="shared" si="324"/>
        <v/>
      </c>
    </row>
    <row r="11260" spans="6:6" x14ac:dyDescent="0.2">
      <c r="F11260" s="285" t="str">
        <f t="shared" si="324"/>
        <v/>
      </c>
    </row>
    <row r="11261" spans="6:6" x14ac:dyDescent="0.2">
      <c r="F11261" s="285" t="str">
        <f t="shared" si="324"/>
        <v/>
      </c>
    </row>
    <row r="11262" spans="6:6" x14ac:dyDescent="0.2">
      <c r="F11262" s="285" t="str">
        <f t="shared" si="324"/>
        <v/>
      </c>
    </row>
    <row r="11263" spans="6:6" x14ac:dyDescent="0.2">
      <c r="F11263" s="285" t="str">
        <f t="shared" si="324"/>
        <v/>
      </c>
    </row>
    <row r="11264" spans="6:6" x14ac:dyDescent="0.2">
      <c r="F11264" s="285" t="str">
        <f t="shared" si="324"/>
        <v/>
      </c>
    </row>
    <row r="11265" spans="6:6" x14ac:dyDescent="0.2">
      <c r="F11265" s="285" t="str">
        <f t="shared" si="324"/>
        <v/>
      </c>
    </row>
    <row r="11266" spans="6:6" x14ac:dyDescent="0.2">
      <c r="F11266" s="285" t="str">
        <f t="shared" si="324"/>
        <v/>
      </c>
    </row>
    <row r="11267" spans="6:6" x14ac:dyDescent="0.2">
      <c r="F11267" s="285" t="str">
        <f t="shared" si="324"/>
        <v/>
      </c>
    </row>
    <row r="11268" spans="6:6" x14ac:dyDescent="0.2">
      <c r="F11268" s="285" t="str">
        <f t="shared" si="324"/>
        <v/>
      </c>
    </row>
    <row r="11269" spans="6:6" x14ac:dyDescent="0.2">
      <c r="F11269" s="285" t="str">
        <f t="shared" ref="F11269:F11332" si="325">IF(A11269="","",A11269)</f>
        <v/>
      </c>
    </row>
    <row r="11270" spans="6:6" x14ac:dyDescent="0.2">
      <c r="F11270" s="285" t="str">
        <f t="shared" si="325"/>
        <v/>
      </c>
    </row>
    <row r="11271" spans="6:6" x14ac:dyDescent="0.2">
      <c r="F11271" s="285" t="str">
        <f t="shared" si="325"/>
        <v/>
      </c>
    </row>
    <row r="11272" spans="6:6" x14ac:dyDescent="0.2">
      <c r="F11272" s="285" t="str">
        <f t="shared" si="325"/>
        <v/>
      </c>
    </row>
    <row r="11273" spans="6:6" x14ac:dyDescent="0.2">
      <c r="F11273" s="285" t="str">
        <f t="shared" si="325"/>
        <v/>
      </c>
    </row>
    <row r="11274" spans="6:6" x14ac:dyDescent="0.2">
      <c r="F11274" s="285" t="str">
        <f t="shared" si="325"/>
        <v/>
      </c>
    </row>
    <row r="11275" spans="6:6" x14ac:dyDescent="0.2">
      <c r="F11275" s="285" t="str">
        <f t="shared" si="325"/>
        <v/>
      </c>
    </row>
    <row r="11276" spans="6:6" x14ac:dyDescent="0.2">
      <c r="F11276" s="285" t="str">
        <f t="shared" si="325"/>
        <v/>
      </c>
    </row>
    <row r="11277" spans="6:6" x14ac:dyDescent="0.2">
      <c r="F11277" s="285" t="str">
        <f t="shared" si="325"/>
        <v/>
      </c>
    </row>
    <row r="11278" spans="6:6" x14ac:dyDescent="0.2">
      <c r="F11278" s="285" t="str">
        <f t="shared" si="325"/>
        <v/>
      </c>
    </row>
    <row r="11279" spans="6:6" x14ac:dyDescent="0.2">
      <c r="F11279" s="285" t="str">
        <f t="shared" si="325"/>
        <v/>
      </c>
    </row>
    <row r="11280" spans="6:6" x14ac:dyDescent="0.2">
      <c r="F11280" s="285" t="str">
        <f t="shared" si="325"/>
        <v/>
      </c>
    </row>
    <row r="11281" spans="6:6" x14ac:dyDescent="0.2">
      <c r="F11281" s="285" t="str">
        <f t="shared" si="325"/>
        <v/>
      </c>
    </row>
    <row r="11282" spans="6:6" x14ac:dyDescent="0.2">
      <c r="F11282" s="285" t="str">
        <f t="shared" si="325"/>
        <v/>
      </c>
    </row>
    <row r="11283" spans="6:6" x14ac:dyDescent="0.2">
      <c r="F11283" s="285" t="str">
        <f t="shared" si="325"/>
        <v/>
      </c>
    </row>
    <row r="11284" spans="6:6" x14ac:dyDescent="0.2">
      <c r="F11284" s="285" t="str">
        <f t="shared" si="325"/>
        <v/>
      </c>
    </row>
    <row r="11285" spans="6:6" x14ac:dyDescent="0.2">
      <c r="F11285" s="285" t="str">
        <f t="shared" si="325"/>
        <v/>
      </c>
    </row>
    <row r="11286" spans="6:6" x14ac:dyDescent="0.2">
      <c r="F11286" s="285" t="str">
        <f t="shared" si="325"/>
        <v/>
      </c>
    </row>
    <row r="11287" spans="6:6" x14ac:dyDescent="0.2">
      <c r="F11287" s="285" t="str">
        <f t="shared" si="325"/>
        <v/>
      </c>
    </row>
    <row r="11288" spans="6:6" x14ac:dyDescent="0.2">
      <c r="F11288" s="285" t="str">
        <f t="shared" si="325"/>
        <v/>
      </c>
    </row>
    <row r="11289" spans="6:6" x14ac:dyDescent="0.2">
      <c r="F11289" s="285" t="str">
        <f t="shared" si="325"/>
        <v/>
      </c>
    </row>
    <row r="11290" spans="6:6" x14ac:dyDescent="0.2">
      <c r="F11290" s="285" t="str">
        <f t="shared" si="325"/>
        <v/>
      </c>
    </row>
    <row r="11291" spans="6:6" x14ac:dyDescent="0.2">
      <c r="F11291" s="285" t="str">
        <f t="shared" si="325"/>
        <v/>
      </c>
    </row>
    <row r="11292" spans="6:6" x14ac:dyDescent="0.2">
      <c r="F11292" s="285" t="str">
        <f t="shared" si="325"/>
        <v/>
      </c>
    </row>
    <row r="11293" spans="6:6" x14ac:dyDescent="0.2">
      <c r="F11293" s="285" t="str">
        <f t="shared" si="325"/>
        <v/>
      </c>
    </row>
    <row r="11294" spans="6:6" x14ac:dyDescent="0.2">
      <c r="F11294" s="285" t="str">
        <f t="shared" si="325"/>
        <v/>
      </c>
    </row>
    <row r="11295" spans="6:6" x14ac:dyDescent="0.2">
      <c r="F11295" s="285" t="str">
        <f t="shared" si="325"/>
        <v/>
      </c>
    </row>
    <row r="11296" spans="6:6" x14ac:dyDescent="0.2">
      <c r="F11296" s="285" t="str">
        <f t="shared" si="325"/>
        <v/>
      </c>
    </row>
    <row r="11297" spans="6:6" x14ac:dyDescent="0.2">
      <c r="F11297" s="285" t="str">
        <f t="shared" si="325"/>
        <v/>
      </c>
    </row>
    <row r="11298" spans="6:6" x14ac:dyDescent="0.2">
      <c r="F11298" s="285" t="str">
        <f t="shared" si="325"/>
        <v/>
      </c>
    </row>
    <row r="11299" spans="6:6" x14ac:dyDescent="0.2">
      <c r="F11299" s="285" t="str">
        <f t="shared" si="325"/>
        <v/>
      </c>
    </row>
    <row r="11300" spans="6:6" x14ac:dyDescent="0.2">
      <c r="F11300" s="285" t="str">
        <f t="shared" si="325"/>
        <v/>
      </c>
    </row>
    <row r="11301" spans="6:6" x14ac:dyDescent="0.2">
      <c r="F11301" s="285" t="str">
        <f t="shared" si="325"/>
        <v/>
      </c>
    </row>
    <row r="11302" spans="6:6" x14ac:dyDescent="0.2">
      <c r="F11302" s="285" t="str">
        <f t="shared" si="325"/>
        <v/>
      </c>
    </row>
    <row r="11303" spans="6:6" x14ac:dyDescent="0.2">
      <c r="F11303" s="285" t="str">
        <f t="shared" si="325"/>
        <v/>
      </c>
    </row>
    <row r="11304" spans="6:6" x14ac:dyDescent="0.2">
      <c r="F11304" s="285" t="str">
        <f t="shared" si="325"/>
        <v/>
      </c>
    </row>
    <row r="11305" spans="6:6" x14ac:dyDescent="0.2">
      <c r="F11305" s="285" t="str">
        <f t="shared" si="325"/>
        <v/>
      </c>
    </row>
    <row r="11306" spans="6:6" x14ac:dyDescent="0.2">
      <c r="F11306" s="285" t="str">
        <f t="shared" si="325"/>
        <v/>
      </c>
    </row>
    <row r="11307" spans="6:6" x14ac:dyDescent="0.2">
      <c r="F11307" s="285" t="str">
        <f t="shared" si="325"/>
        <v/>
      </c>
    </row>
    <row r="11308" spans="6:6" x14ac:dyDescent="0.2">
      <c r="F11308" s="285" t="str">
        <f t="shared" si="325"/>
        <v/>
      </c>
    </row>
    <row r="11309" spans="6:6" x14ac:dyDescent="0.2">
      <c r="F11309" s="285" t="str">
        <f t="shared" si="325"/>
        <v/>
      </c>
    </row>
    <row r="11310" spans="6:6" x14ac:dyDescent="0.2">
      <c r="F11310" s="285" t="str">
        <f t="shared" si="325"/>
        <v/>
      </c>
    </row>
    <row r="11311" spans="6:6" x14ac:dyDescent="0.2">
      <c r="F11311" s="285" t="str">
        <f t="shared" si="325"/>
        <v/>
      </c>
    </row>
    <row r="11312" spans="6:6" x14ac:dyDescent="0.2">
      <c r="F11312" s="285" t="str">
        <f t="shared" si="325"/>
        <v/>
      </c>
    </row>
    <row r="11313" spans="6:6" x14ac:dyDescent="0.2">
      <c r="F11313" s="285" t="str">
        <f t="shared" si="325"/>
        <v/>
      </c>
    </row>
    <row r="11314" spans="6:6" x14ac:dyDescent="0.2">
      <c r="F11314" s="285" t="str">
        <f t="shared" si="325"/>
        <v/>
      </c>
    </row>
    <row r="11315" spans="6:6" x14ac:dyDescent="0.2">
      <c r="F11315" s="285" t="str">
        <f t="shared" si="325"/>
        <v/>
      </c>
    </row>
    <row r="11316" spans="6:6" x14ac:dyDescent="0.2">
      <c r="F11316" s="285" t="str">
        <f t="shared" si="325"/>
        <v/>
      </c>
    </row>
    <row r="11317" spans="6:6" x14ac:dyDescent="0.2">
      <c r="F11317" s="285" t="str">
        <f t="shared" si="325"/>
        <v/>
      </c>
    </row>
    <row r="11318" spans="6:6" x14ac:dyDescent="0.2">
      <c r="F11318" s="285" t="str">
        <f t="shared" si="325"/>
        <v/>
      </c>
    </row>
    <row r="11319" spans="6:6" x14ac:dyDescent="0.2">
      <c r="F11319" s="285" t="str">
        <f t="shared" si="325"/>
        <v/>
      </c>
    </row>
    <row r="11320" spans="6:6" x14ac:dyDescent="0.2">
      <c r="F11320" s="285" t="str">
        <f t="shared" si="325"/>
        <v/>
      </c>
    </row>
    <row r="11321" spans="6:6" x14ac:dyDescent="0.2">
      <c r="F11321" s="285" t="str">
        <f t="shared" si="325"/>
        <v/>
      </c>
    </row>
    <row r="11322" spans="6:6" x14ac:dyDescent="0.2">
      <c r="F11322" s="285" t="str">
        <f t="shared" si="325"/>
        <v/>
      </c>
    </row>
    <row r="11323" spans="6:6" x14ac:dyDescent="0.2">
      <c r="F11323" s="285" t="str">
        <f t="shared" si="325"/>
        <v/>
      </c>
    </row>
    <row r="11324" spans="6:6" x14ac:dyDescent="0.2">
      <c r="F11324" s="285" t="str">
        <f t="shared" si="325"/>
        <v/>
      </c>
    </row>
    <row r="11325" spans="6:6" x14ac:dyDescent="0.2">
      <c r="F11325" s="285" t="str">
        <f t="shared" si="325"/>
        <v/>
      </c>
    </row>
    <row r="11326" spans="6:6" x14ac:dyDescent="0.2">
      <c r="F11326" s="285" t="str">
        <f t="shared" si="325"/>
        <v/>
      </c>
    </row>
    <row r="11327" spans="6:6" x14ac:dyDescent="0.2">
      <c r="F11327" s="285" t="str">
        <f t="shared" si="325"/>
        <v/>
      </c>
    </row>
    <row r="11328" spans="6:6" x14ac:dyDescent="0.2">
      <c r="F11328" s="285" t="str">
        <f t="shared" si="325"/>
        <v/>
      </c>
    </row>
    <row r="11329" spans="6:6" x14ac:dyDescent="0.2">
      <c r="F11329" s="285" t="str">
        <f t="shared" si="325"/>
        <v/>
      </c>
    </row>
    <row r="11330" spans="6:6" x14ac:dyDescent="0.2">
      <c r="F11330" s="285" t="str">
        <f t="shared" si="325"/>
        <v/>
      </c>
    </row>
    <row r="11331" spans="6:6" x14ac:dyDescent="0.2">
      <c r="F11331" s="285" t="str">
        <f t="shared" si="325"/>
        <v/>
      </c>
    </row>
    <row r="11332" spans="6:6" x14ac:dyDescent="0.2">
      <c r="F11332" s="285" t="str">
        <f t="shared" si="325"/>
        <v/>
      </c>
    </row>
    <row r="11333" spans="6:6" x14ac:dyDescent="0.2">
      <c r="F11333" s="285" t="str">
        <f t="shared" ref="F11333:F11396" si="326">IF(A11333="","",A11333)</f>
        <v/>
      </c>
    </row>
    <row r="11334" spans="6:6" x14ac:dyDescent="0.2">
      <c r="F11334" s="285" t="str">
        <f t="shared" si="326"/>
        <v/>
      </c>
    </row>
    <row r="11335" spans="6:6" x14ac:dyDescent="0.2">
      <c r="F11335" s="285" t="str">
        <f t="shared" si="326"/>
        <v/>
      </c>
    </row>
    <row r="11336" spans="6:6" x14ac:dyDescent="0.2">
      <c r="F11336" s="285" t="str">
        <f t="shared" si="326"/>
        <v/>
      </c>
    </row>
    <row r="11337" spans="6:6" x14ac:dyDescent="0.2">
      <c r="F11337" s="285" t="str">
        <f t="shared" si="326"/>
        <v/>
      </c>
    </row>
    <row r="11338" spans="6:6" x14ac:dyDescent="0.2">
      <c r="F11338" s="285" t="str">
        <f t="shared" si="326"/>
        <v/>
      </c>
    </row>
    <row r="11339" spans="6:6" x14ac:dyDescent="0.2">
      <c r="F11339" s="285" t="str">
        <f t="shared" si="326"/>
        <v/>
      </c>
    </row>
    <row r="11340" spans="6:6" x14ac:dyDescent="0.2">
      <c r="F11340" s="285" t="str">
        <f t="shared" si="326"/>
        <v/>
      </c>
    </row>
    <row r="11341" spans="6:6" x14ac:dyDescent="0.2">
      <c r="F11341" s="285" t="str">
        <f t="shared" si="326"/>
        <v/>
      </c>
    </row>
    <row r="11342" spans="6:6" x14ac:dyDescent="0.2">
      <c r="F11342" s="285" t="str">
        <f t="shared" si="326"/>
        <v/>
      </c>
    </row>
    <row r="11343" spans="6:6" x14ac:dyDescent="0.2">
      <c r="F11343" s="285" t="str">
        <f t="shared" si="326"/>
        <v/>
      </c>
    </row>
    <row r="11344" spans="6:6" x14ac:dyDescent="0.2">
      <c r="F11344" s="285" t="str">
        <f t="shared" si="326"/>
        <v/>
      </c>
    </row>
    <row r="11345" spans="6:6" x14ac:dyDescent="0.2">
      <c r="F11345" s="285" t="str">
        <f t="shared" si="326"/>
        <v/>
      </c>
    </row>
    <row r="11346" spans="6:6" x14ac:dyDescent="0.2">
      <c r="F11346" s="285" t="str">
        <f t="shared" si="326"/>
        <v/>
      </c>
    </row>
    <row r="11347" spans="6:6" x14ac:dyDescent="0.2">
      <c r="F11347" s="285" t="str">
        <f t="shared" si="326"/>
        <v/>
      </c>
    </row>
    <row r="11348" spans="6:6" x14ac:dyDescent="0.2">
      <c r="F11348" s="285" t="str">
        <f t="shared" si="326"/>
        <v/>
      </c>
    </row>
    <row r="11349" spans="6:6" x14ac:dyDescent="0.2">
      <c r="F11349" s="285" t="str">
        <f t="shared" si="326"/>
        <v/>
      </c>
    </row>
    <row r="11350" spans="6:6" x14ac:dyDescent="0.2">
      <c r="F11350" s="285" t="str">
        <f t="shared" si="326"/>
        <v/>
      </c>
    </row>
    <row r="11351" spans="6:6" x14ac:dyDescent="0.2">
      <c r="F11351" s="285" t="str">
        <f t="shared" si="326"/>
        <v/>
      </c>
    </row>
    <row r="11352" spans="6:6" x14ac:dyDescent="0.2">
      <c r="F11352" s="285" t="str">
        <f t="shared" si="326"/>
        <v/>
      </c>
    </row>
    <row r="11353" spans="6:6" x14ac:dyDescent="0.2">
      <c r="F11353" s="285" t="str">
        <f t="shared" si="326"/>
        <v/>
      </c>
    </row>
    <row r="11354" spans="6:6" x14ac:dyDescent="0.2">
      <c r="F11354" s="285" t="str">
        <f t="shared" si="326"/>
        <v/>
      </c>
    </row>
    <row r="11355" spans="6:6" x14ac:dyDescent="0.2">
      <c r="F11355" s="285" t="str">
        <f t="shared" si="326"/>
        <v/>
      </c>
    </row>
    <row r="11356" spans="6:6" x14ac:dyDescent="0.2">
      <c r="F11356" s="285" t="str">
        <f t="shared" si="326"/>
        <v/>
      </c>
    </row>
    <row r="11357" spans="6:6" x14ac:dyDescent="0.2">
      <c r="F11357" s="285" t="str">
        <f t="shared" si="326"/>
        <v/>
      </c>
    </row>
    <row r="11358" spans="6:6" x14ac:dyDescent="0.2">
      <c r="F11358" s="285" t="str">
        <f t="shared" si="326"/>
        <v/>
      </c>
    </row>
    <row r="11359" spans="6:6" x14ac:dyDescent="0.2">
      <c r="F11359" s="285" t="str">
        <f t="shared" si="326"/>
        <v/>
      </c>
    </row>
    <row r="11360" spans="6:6" x14ac:dyDescent="0.2">
      <c r="F11360" s="285" t="str">
        <f t="shared" si="326"/>
        <v/>
      </c>
    </row>
    <row r="11361" spans="6:6" x14ac:dyDescent="0.2">
      <c r="F11361" s="285" t="str">
        <f t="shared" si="326"/>
        <v/>
      </c>
    </row>
    <row r="11362" spans="6:6" x14ac:dyDescent="0.2">
      <c r="F11362" s="285" t="str">
        <f t="shared" si="326"/>
        <v/>
      </c>
    </row>
    <row r="11363" spans="6:6" x14ac:dyDescent="0.2">
      <c r="F11363" s="285" t="str">
        <f t="shared" si="326"/>
        <v/>
      </c>
    </row>
    <row r="11364" spans="6:6" x14ac:dyDescent="0.2">
      <c r="F11364" s="285" t="str">
        <f t="shared" si="326"/>
        <v/>
      </c>
    </row>
    <row r="11365" spans="6:6" x14ac:dyDescent="0.2">
      <c r="F11365" s="285" t="str">
        <f t="shared" si="326"/>
        <v/>
      </c>
    </row>
    <row r="11366" spans="6:6" x14ac:dyDescent="0.2">
      <c r="F11366" s="285" t="str">
        <f t="shared" si="326"/>
        <v/>
      </c>
    </row>
    <row r="11367" spans="6:6" x14ac:dyDescent="0.2">
      <c r="F11367" s="285" t="str">
        <f t="shared" si="326"/>
        <v/>
      </c>
    </row>
    <row r="11368" spans="6:6" x14ac:dyDescent="0.2">
      <c r="F11368" s="285" t="str">
        <f t="shared" si="326"/>
        <v/>
      </c>
    </row>
    <row r="11369" spans="6:6" x14ac:dyDescent="0.2">
      <c r="F11369" s="285" t="str">
        <f t="shared" si="326"/>
        <v/>
      </c>
    </row>
    <row r="11370" spans="6:6" x14ac:dyDescent="0.2">
      <c r="F11370" s="285" t="str">
        <f t="shared" si="326"/>
        <v/>
      </c>
    </row>
    <row r="11371" spans="6:6" x14ac:dyDescent="0.2">
      <c r="F11371" s="285" t="str">
        <f t="shared" si="326"/>
        <v/>
      </c>
    </row>
    <row r="11372" spans="6:6" x14ac:dyDescent="0.2">
      <c r="F11372" s="285" t="str">
        <f t="shared" si="326"/>
        <v/>
      </c>
    </row>
    <row r="11373" spans="6:6" x14ac:dyDescent="0.2">
      <c r="F11373" s="285" t="str">
        <f t="shared" si="326"/>
        <v/>
      </c>
    </row>
    <row r="11374" spans="6:6" x14ac:dyDescent="0.2">
      <c r="F11374" s="285" t="str">
        <f t="shared" si="326"/>
        <v/>
      </c>
    </row>
    <row r="11375" spans="6:6" x14ac:dyDescent="0.2">
      <c r="F11375" s="285" t="str">
        <f t="shared" si="326"/>
        <v/>
      </c>
    </row>
    <row r="11376" spans="6:6" x14ac:dyDescent="0.2">
      <c r="F11376" s="285" t="str">
        <f t="shared" si="326"/>
        <v/>
      </c>
    </row>
    <row r="11377" spans="6:6" x14ac:dyDescent="0.2">
      <c r="F11377" s="285" t="str">
        <f t="shared" si="326"/>
        <v/>
      </c>
    </row>
    <row r="11378" spans="6:6" x14ac:dyDescent="0.2">
      <c r="F11378" s="285" t="str">
        <f t="shared" si="326"/>
        <v/>
      </c>
    </row>
    <row r="11379" spans="6:6" x14ac:dyDescent="0.2">
      <c r="F11379" s="285" t="str">
        <f t="shared" si="326"/>
        <v/>
      </c>
    </row>
    <row r="11380" spans="6:6" x14ac:dyDescent="0.2">
      <c r="F11380" s="285" t="str">
        <f t="shared" si="326"/>
        <v/>
      </c>
    </row>
    <row r="11381" spans="6:6" x14ac:dyDescent="0.2">
      <c r="F11381" s="285" t="str">
        <f t="shared" si="326"/>
        <v/>
      </c>
    </row>
    <row r="11382" spans="6:6" x14ac:dyDescent="0.2">
      <c r="F11382" s="285" t="str">
        <f t="shared" si="326"/>
        <v/>
      </c>
    </row>
    <row r="11383" spans="6:6" x14ac:dyDescent="0.2">
      <c r="F11383" s="285" t="str">
        <f t="shared" si="326"/>
        <v/>
      </c>
    </row>
    <row r="11384" spans="6:6" x14ac:dyDescent="0.2">
      <c r="F11384" s="285" t="str">
        <f t="shared" si="326"/>
        <v/>
      </c>
    </row>
    <row r="11385" spans="6:6" x14ac:dyDescent="0.2">
      <c r="F11385" s="285" t="str">
        <f t="shared" si="326"/>
        <v/>
      </c>
    </row>
    <row r="11386" spans="6:6" x14ac:dyDescent="0.2">
      <c r="F11386" s="285" t="str">
        <f t="shared" si="326"/>
        <v/>
      </c>
    </row>
    <row r="11387" spans="6:6" x14ac:dyDescent="0.2">
      <c r="F11387" s="285" t="str">
        <f t="shared" si="326"/>
        <v/>
      </c>
    </row>
    <row r="11388" spans="6:6" x14ac:dyDescent="0.2">
      <c r="F11388" s="285" t="str">
        <f t="shared" si="326"/>
        <v/>
      </c>
    </row>
    <row r="11389" spans="6:6" x14ac:dyDescent="0.2">
      <c r="F11389" s="285" t="str">
        <f t="shared" si="326"/>
        <v/>
      </c>
    </row>
    <row r="11390" spans="6:6" x14ac:dyDescent="0.2">
      <c r="F11390" s="285" t="str">
        <f t="shared" si="326"/>
        <v/>
      </c>
    </row>
    <row r="11391" spans="6:6" x14ac:dyDescent="0.2">
      <c r="F11391" s="285" t="str">
        <f t="shared" si="326"/>
        <v/>
      </c>
    </row>
    <row r="11392" spans="6:6" x14ac:dyDescent="0.2">
      <c r="F11392" s="285" t="str">
        <f t="shared" si="326"/>
        <v/>
      </c>
    </row>
    <row r="11393" spans="6:6" x14ac:dyDescent="0.2">
      <c r="F11393" s="285" t="str">
        <f t="shared" si="326"/>
        <v/>
      </c>
    </row>
    <row r="11394" spans="6:6" x14ac:dyDescent="0.2">
      <c r="F11394" s="285" t="str">
        <f t="shared" si="326"/>
        <v/>
      </c>
    </row>
    <row r="11395" spans="6:6" x14ac:dyDescent="0.2">
      <c r="F11395" s="285" t="str">
        <f t="shared" si="326"/>
        <v/>
      </c>
    </row>
    <row r="11396" spans="6:6" x14ac:dyDescent="0.2">
      <c r="F11396" s="285" t="str">
        <f t="shared" si="326"/>
        <v/>
      </c>
    </row>
    <row r="11397" spans="6:6" x14ac:dyDescent="0.2">
      <c r="F11397" s="285" t="str">
        <f t="shared" ref="F11397:F11460" si="327">IF(A11397="","",A11397)</f>
        <v/>
      </c>
    </row>
    <row r="11398" spans="6:6" x14ac:dyDescent="0.2">
      <c r="F11398" s="285" t="str">
        <f t="shared" si="327"/>
        <v/>
      </c>
    </row>
    <row r="11399" spans="6:6" x14ac:dyDescent="0.2">
      <c r="F11399" s="285" t="str">
        <f t="shared" si="327"/>
        <v/>
      </c>
    </row>
    <row r="11400" spans="6:6" x14ac:dyDescent="0.2">
      <c r="F11400" s="285" t="str">
        <f t="shared" si="327"/>
        <v/>
      </c>
    </row>
    <row r="11401" spans="6:6" x14ac:dyDescent="0.2">
      <c r="F11401" s="285" t="str">
        <f t="shared" si="327"/>
        <v/>
      </c>
    </row>
    <row r="11402" spans="6:6" x14ac:dyDescent="0.2">
      <c r="F11402" s="285" t="str">
        <f t="shared" si="327"/>
        <v/>
      </c>
    </row>
    <row r="11403" spans="6:6" x14ac:dyDescent="0.2">
      <c r="F11403" s="285" t="str">
        <f t="shared" si="327"/>
        <v/>
      </c>
    </row>
    <row r="11404" spans="6:6" x14ac:dyDescent="0.2">
      <c r="F11404" s="285" t="str">
        <f t="shared" si="327"/>
        <v/>
      </c>
    </row>
    <row r="11405" spans="6:6" x14ac:dyDescent="0.2">
      <c r="F11405" s="285" t="str">
        <f t="shared" si="327"/>
        <v/>
      </c>
    </row>
    <row r="11406" spans="6:6" x14ac:dyDescent="0.2">
      <c r="F11406" s="285" t="str">
        <f t="shared" si="327"/>
        <v/>
      </c>
    </row>
    <row r="11407" spans="6:6" x14ac:dyDescent="0.2">
      <c r="F11407" s="285" t="str">
        <f t="shared" si="327"/>
        <v/>
      </c>
    </row>
    <row r="11408" spans="6:6" x14ac:dyDescent="0.2">
      <c r="F11408" s="285" t="str">
        <f t="shared" si="327"/>
        <v/>
      </c>
    </row>
    <row r="11409" spans="6:6" x14ac:dyDescent="0.2">
      <c r="F11409" s="285" t="str">
        <f t="shared" si="327"/>
        <v/>
      </c>
    </row>
    <row r="11410" spans="6:6" x14ac:dyDescent="0.2">
      <c r="F11410" s="285" t="str">
        <f t="shared" si="327"/>
        <v/>
      </c>
    </row>
    <row r="11411" spans="6:6" x14ac:dyDescent="0.2">
      <c r="F11411" s="285" t="str">
        <f t="shared" si="327"/>
        <v/>
      </c>
    </row>
    <row r="11412" spans="6:6" x14ac:dyDescent="0.2">
      <c r="F11412" s="285" t="str">
        <f t="shared" si="327"/>
        <v/>
      </c>
    </row>
    <row r="11413" spans="6:6" x14ac:dyDescent="0.2">
      <c r="F11413" s="285" t="str">
        <f t="shared" si="327"/>
        <v/>
      </c>
    </row>
    <row r="11414" spans="6:6" x14ac:dyDescent="0.2">
      <c r="F11414" s="285" t="str">
        <f t="shared" si="327"/>
        <v/>
      </c>
    </row>
    <row r="11415" spans="6:6" x14ac:dyDescent="0.2">
      <c r="F11415" s="285" t="str">
        <f t="shared" si="327"/>
        <v/>
      </c>
    </row>
    <row r="11416" spans="6:6" x14ac:dyDescent="0.2">
      <c r="F11416" s="285" t="str">
        <f t="shared" si="327"/>
        <v/>
      </c>
    </row>
    <row r="11417" spans="6:6" x14ac:dyDescent="0.2">
      <c r="F11417" s="285" t="str">
        <f t="shared" si="327"/>
        <v/>
      </c>
    </row>
    <row r="11418" spans="6:6" x14ac:dyDescent="0.2">
      <c r="F11418" s="285" t="str">
        <f t="shared" si="327"/>
        <v/>
      </c>
    </row>
    <row r="11419" spans="6:6" x14ac:dyDescent="0.2">
      <c r="F11419" s="285" t="str">
        <f t="shared" si="327"/>
        <v/>
      </c>
    </row>
    <row r="11420" spans="6:6" x14ac:dyDescent="0.2">
      <c r="F11420" s="285" t="str">
        <f t="shared" si="327"/>
        <v/>
      </c>
    </row>
    <row r="11421" spans="6:6" x14ac:dyDescent="0.2">
      <c r="F11421" s="285" t="str">
        <f t="shared" si="327"/>
        <v/>
      </c>
    </row>
    <row r="11422" spans="6:6" x14ac:dyDescent="0.2">
      <c r="F11422" s="285" t="str">
        <f t="shared" si="327"/>
        <v/>
      </c>
    </row>
    <row r="11423" spans="6:6" x14ac:dyDescent="0.2">
      <c r="F11423" s="285" t="str">
        <f t="shared" si="327"/>
        <v/>
      </c>
    </row>
    <row r="11424" spans="6:6" x14ac:dyDescent="0.2">
      <c r="F11424" s="285" t="str">
        <f t="shared" si="327"/>
        <v/>
      </c>
    </row>
    <row r="11425" spans="6:6" x14ac:dyDescent="0.2">
      <c r="F11425" s="285" t="str">
        <f t="shared" si="327"/>
        <v/>
      </c>
    </row>
    <row r="11426" spans="6:6" x14ac:dyDescent="0.2">
      <c r="F11426" s="285" t="str">
        <f t="shared" si="327"/>
        <v/>
      </c>
    </row>
    <row r="11427" spans="6:6" x14ac:dyDescent="0.2">
      <c r="F11427" s="285" t="str">
        <f t="shared" si="327"/>
        <v/>
      </c>
    </row>
    <row r="11428" spans="6:6" x14ac:dyDescent="0.2">
      <c r="F11428" s="285" t="str">
        <f t="shared" si="327"/>
        <v/>
      </c>
    </row>
    <row r="11429" spans="6:6" x14ac:dyDescent="0.2">
      <c r="F11429" s="285" t="str">
        <f t="shared" si="327"/>
        <v/>
      </c>
    </row>
    <row r="11430" spans="6:6" x14ac:dyDescent="0.2">
      <c r="F11430" s="285" t="str">
        <f t="shared" si="327"/>
        <v/>
      </c>
    </row>
    <row r="11431" spans="6:6" x14ac:dyDescent="0.2">
      <c r="F11431" s="285" t="str">
        <f t="shared" si="327"/>
        <v/>
      </c>
    </row>
    <row r="11432" spans="6:6" x14ac:dyDescent="0.2">
      <c r="F11432" s="285" t="str">
        <f t="shared" si="327"/>
        <v/>
      </c>
    </row>
    <row r="11433" spans="6:6" x14ac:dyDescent="0.2">
      <c r="F11433" s="285" t="str">
        <f t="shared" si="327"/>
        <v/>
      </c>
    </row>
    <row r="11434" spans="6:6" x14ac:dyDescent="0.2">
      <c r="F11434" s="285" t="str">
        <f t="shared" si="327"/>
        <v/>
      </c>
    </row>
    <row r="11435" spans="6:6" x14ac:dyDescent="0.2">
      <c r="F11435" s="285" t="str">
        <f t="shared" si="327"/>
        <v/>
      </c>
    </row>
    <row r="11436" spans="6:6" x14ac:dyDescent="0.2">
      <c r="F11436" s="285" t="str">
        <f t="shared" si="327"/>
        <v/>
      </c>
    </row>
    <row r="11437" spans="6:6" x14ac:dyDescent="0.2">
      <c r="F11437" s="285" t="str">
        <f t="shared" si="327"/>
        <v/>
      </c>
    </row>
    <row r="11438" spans="6:6" x14ac:dyDescent="0.2">
      <c r="F11438" s="285" t="str">
        <f t="shared" si="327"/>
        <v/>
      </c>
    </row>
    <row r="11439" spans="6:6" x14ac:dyDescent="0.2">
      <c r="F11439" s="285" t="str">
        <f t="shared" si="327"/>
        <v/>
      </c>
    </row>
    <row r="11440" spans="6:6" x14ac:dyDescent="0.2">
      <c r="F11440" s="285" t="str">
        <f t="shared" si="327"/>
        <v/>
      </c>
    </row>
    <row r="11441" spans="6:6" x14ac:dyDescent="0.2">
      <c r="F11441" s="285" t="str">
        <f t="shared" si="327"/>
        <v/>
      </c>
    </row>
    <row r="11442" spans="6:6" x14ac:dyDescent="0.2">
      <c r="F11442" s="285" t="str">
        <f t="shared" si="327"/>
        <v/>
      </c>
    </row>
    <row r="11443" spans="6:6" x14ac:dyDescent="0.2">
      <c r="F11443" s="285" t="str">
        <f t="shared" si="327"/>
        <v/>
      </c>
    </row>
    <row r="11444" spans="6:6" x14ac:dyDescent="0.2">
      <c r="F11444" s="285" t="str">
        <f t="shared" si="327"/>
        <v/>
      </c>
    </row>
    <row r="11445" spans="6:6" x14ac:dyDescent="0.2">
      <c r="F11445" s="285" t="str">
        <f t="shared" si="327"/>
        <v/>
      </c>
    </row>
    <row r="11446" spans="6:6" x14ac:dyDescent="0.2">
      <c r="F11446" s="285" t="str">
        <f t="shared" si="327"/>
        <v/>
      </c>
    </row>
    <row r="11447" spans="6:6" x14ac:dyDescent="0.2">
      <c r="F11447" s="285" t="str">
        <f t="shared" si="327"/>
        <v/>
      </c>
    </row>
    <row r="11448" spans="6:6" x14ac:dyDescent="0.2">
      <c r="F11448" s="285" t="str">
        <f t="shared" si="327"/>
        <v/>
      </c>
    </row>
    <row r="11449" spans="6:6" x14ac:dyDescent="0.2">
      <c r="F11449" s="285" t="str">
        <f t="shared" si="327"/>
        <v/>
      </c>
    </row>
    <row r="11450" spans="6:6" x14ac:dyDescent="0.2">
      <c r="F11450" s="285" t="str">
        <f t="shared" si="327"/>
        <v/>
      </c>
    </row>
    <row r="11451" spans="6:6" x14ac:dyDescent="0.2">
      <c r="F11451" s="285" t="str">
        <f t="shared" si="327"/>
        <v/>
      </c>
    </row>
    <row r="11452" spans="6:6" x14ac:dyDescent="0.2">
      <c r="F11452" s="285" t="str">
        <f t="shared" si="327"/>
        <v/>
      </c>
    </row>
    <row r="11453" spans="6:6" x14ac:dyDescent="0.2">
      <c r="F11453" s="285" t="str">
        <f t="shared" si="327"/>
        <v/>
      </c>
    </row>
    <row r="11454" spans="6:6" x14ac:dyDescent="0.2">
      <c r="F11454" s="285" t="str">
        <f t="shared" si="327"/>
        <v/>
      </c>
    </row>
    <row r="11455" spans="6:6" x14ac:dyDescent="0.2">
      <c r="F11455" s="285" t="str">
        <f t="shared" si="327"/>
        <v/>
      </c>
    </row>
    <row r="11456" spans="6:6" x14ac:dyDescent="0.2">
      <c r="F11456" s="285" t="str">
        <f t="shared" si="327"/>
        <v/>
      </c>
    </row>
    <row r="11457" spans="6:6" x14ac:dyDescent="0.2">
      <c r="F11457" s="285" t="str">
        <f t="shared" si="327"/>
        <v/>
      </c>
    </row>
    <row r="11458" spans="6:6" x14ac:dyDescent="0.2">
      <c r="F11458" s="285" t="str">
        <f t="shared" si="327"/>
        <v/>
      </c>
    </row>
    <row r="11459" spans="6:6" x14ac:dyDescent="0.2">
      <c r="F11459" s="285" t="str">
        <f t="shared" si="327"/>
        <v/>
      </c>
    </row>
    <row r="11460" spans="6:6" x14ac:dyDescent="0.2">
      <c r="F11460" s="285" t="str">
        <f t="shared" si="327"/>
        <v/>
      </c>
    </row>
    <row r="11461" spans="6:6" x14ac:dyDescent="0.2">
      <c r="F11461" s="285" t="str">
        <f t="shared" ref="F11461:F11524" si="328">IF(A11461="","",A11461)</f>
        <v/>
      </c>
    </row>
    <row r="11462" spans="6:6" x14ac:dyDescent="0.2">
      <c r="F11462" s="285" t="str">
        <f t="shared" si="328"/>
        <v/>
      </c>
    </row>
    <row r="11463" spans="6:6" x14ac:dyDescent="0.2">
      <c r="F11463" s="285" t="str">
        <f t="shared" si="328"/>
        <v/>
      </c>
    </row>
    <row r="11464" spans="6:6" x14ac:dyDescent="0.2">
      <c r="F11464" s="285" t="str">
        <f t="shared" si="328"/>
        <v/>
      </c>
    </row>
    <row r="11465" spans="6:6" x14ac:dyDescent="0.2">
      <c r="F11465" s="285" t="str">
        <f t="shared" si="328"/>
        <v/>
      </c>
    </row>
    <row r="11466" spans="6:6" x14ac:dyDescent="0.2">
      <c r="F11466" s="285" t="str">
        <f t="shared" si="328"/>
        <v/>
      </c>
    </row>
    <row r="11467" spans="6:6" x14ac:dyDescent="0.2">
      <c r="F11467" s="285" t="str">
        <f t="shared" si="328"/>
        <v/>
      </c>
    </row>
    <row r="11468" spans="6:6" x14ac:dyDescent="0.2">
      <c r="F11468" s="285" t="str">
        <f t="shared" si="328"/>
        <v/>
      </c>
    </row>
    <row r="11469" spans="6:6" x14ac:dyDescent="0.2">
      <c r="F11469" s="285" t="str">
        <f t="shared" si="328"/>
        <v/>
      </c>
    </row>
    <row r="11470" spans="6:6" x14ac:dyDescent="0.2">
      <c r="F11470" s="285" t="str">
        <f t="shared" si="328"/>
        <v/>
      </c>
    </row>
    <row r="11471" spans="6:6" x14ac:dyDescent="0.2">
      <c r="F11471" s="285" t="str">
        <f t="shared" si="328"/>
        <v/>
      </c>
    </row>
    <row r="11472" spans="6:6" x14ac:dyDescent="0.2">
      <c r="F11472" s="285" t="str">
        <f t="shared" si="328"/>
        <v/>
      </c>
    </row>
    <row r="11473" spans="6:6" x14ac:dyDescent="0.2">
      <c r="F11473" s="285" t="str">
        <f t="shared" si="328"/>
        <v/>
      </c>
    </row>
    <row r="11474" spans="6:6" x14ac:dyDescent="0.2">
      <c r="F11474" s="285" t="str">
        <f t="shared" si="328"/>
        <v/>
      </c>
    </row>
    <row r="11475" spans="6:6" x14ac:dyDescent="0.2">
      <c r="F11475" s="285" t="str">
        <f t="shared" si="328"/>
        <v/>
      </c>
    </row>
    <row r="11476" spans="6:6" x14ac:dyDescent="0.2">
      <c r="F11476" s="285" t="str">
        <f t="shared" si="328"/>
        <v/>
      </c>
    </row>
    <row r="11477" spans="6:6" x14ac:dyDescent="0.2">
      <c r="F11477" s="285" t="str">
        <f t="shared" si="328"/>
        <v/>
      </c>
    </row>
    <row r="11478" spans="6:6" x14ac:dyDescent="0.2">
      <c r="F11478" s="285" t="str">
        <f t="shared" si="328"/>
        <v/>
      </c>
    </row>
    <row r="11479" spans="6:6" x14ac:dyDescent="0.2">
      <c r="F11479" s="285" t="str">
        <f t="shared" si="328"/>
        <v/>
      </c>
    </row>
    <row r="11480" spans="6:6" x14ac:dyDescent="0.2">
      <c r="F11480" s="285" t="str">
        <f t="shared" si="328"/>
        <v/>
      </c>
    </row>
    <row r="11481" spans="6:6" x14ac:dyDescent="0.2">
      <c r="F11481" s="285" t="str">
        <f t="shared" si="328"/>
        <v/>
      </c>
    </row>
    <row r="11482" spans="6:6" x14ac:dyDescent="0.2">
      <c r="F11482" s="285" t="str">
        <f t="shared" si="328"/>
        <v/>
      </c>
    </row>
    <row r="11483" spans="6:6" x14ac:dyDescent="0.2">
      <c r="F11483" s="285" t="str">
        <f t="shared" si="328"/>
        <v/>
      </c>
    </row>
    <row r="11484" spans="6:6" x14ac:dyDescent="0.2">
      <c r="F11484" s="285" t="str">
        <f t="shared" si="328"/>
        <v/>
      </c>
    </row>
    <row r="11485" spans="6:6" x14ac:dyDescent="0.2">
      <c r="F11485" s="285" t="str">
        <f t="shared" si="328"/>
        <v/>
      </c>
    </row>
    <row r="11486" spans="6:6" x14ac:dyDescent="0.2">
      <c r="F11486" s="285" t="str">
        <f t="shared" si="328"/>
        <v/>
      </c>
    </row>
    <row r="11487" spans="6:6" x14ac:dyDescent="0.2">
      <c r="F11487" s="285" t="str">
        <f t="shared" si="328"/>
        <v/>
      </c>
    </row>
    <row r="11488" spans="6:6" x14ac:dyDescent="0.2">
      <c r="F11488" s="285" t="str">
        <f t="shared" si="328"/>
        <v/>
      </c>
    </row>
    <row r="11489" spans="6:6" x14ac:dyDescent="0.2">
      <c r="F11489" s="285" t="str">
        <f t="shared" si="328"/>
        <v/>
      </c>
    </row>
    <row r="11490" spans="6:6" x14ac:dyDescent="0.2">
      <c r="F11490" s="285" t="str">
        <f t="shared" si="328"/>
        <v/>
      </c>
    </row>
    <row r="11491" spans="6:6" x14ac:dyDescent="0.2">
      <c r="F11491" s="285" t="str">
        <f t="shared" si="328"/>
        <v/>
      </c>
    </row>
    <row r="11492" spans="6:6" x14ac:dyDescent="0.2">
      <c r="F11492" s="285" t="str">
        <f t="shared" si="328"/>
        <v/>
      </c>
    </row>
    <row r="11493" spans="6:6" x14ac:dyDescent="0.2">
      <c r="F11493" s="285" t="str">
        <f t="shared" si="328"/>
        <v/>
      </c>
    </row>
    <row r="11494" spans="6:6" x14ac:dyDescent="0.2">
      <c r="F11494" s="285" t="str">
        <f t="shared" si="328"/>
        <v/>
      </c>
    </row>
    <row r="11495" spans="6:6" x14ac:dyDescent="0.2">
      <c r="F11495" s="285" t="str">
        <f t="shared" si="328"/>
        <v/>
      </c>
    </row>
    <row r="11496" spans="6:6" x14ac:dyDescent="0.2">
      <c r="F11496" s="285" t="str">
        <f t="shared" si="328"/>
        <v/>
      </c>
    </row>
    <row r="11497" spans="6:6" x14ac:dyDescent="0.2">
      <c r="F11497" s="285" t="str">
        <f t="shared" si="328"/>
        <v/>
      </c>
    </row>
    <row r="11498" spans="6:6" x14ac:dyDescent="0.2">
      <c r="F11498" s="285" t="str">
        <f t="shared" si="328"/>
        <v/>
      </c>
    </row>
    <row r="11499" spans="6:6" x14ac:dyDescent="0.2">
      <c r="F11499" s="285" t="str">
        <f t="shared" si="328"/>
        <v/>
      </c>
    </row>
    <row r="11500" spans="6:6" x14ac:dyDescent="0.2">
      <c r="F11500" s="285" t="str">
        <f t="shared" si="328"/>
        <v/>
      </c>
    </row>
    <row r="11501" spans="6:6" x14ac:dyDescent="0.2">
      <c r="F11501" s="285" t="str">
        <f t="shared" si="328"/>
        <v/>
      </c>
    </row>
    <row r="11502" spans="6:6" x14ac:dyDescent="0.2">
      <c r="F11502" s="285" t="str">
        <f t="shared" si="328"/>
        <v/>
      </c>
    </row>
    <row r="11503" spans="6:6" x14ac:dyDescent="0.2">
      <c r="F11503" s="285" t="str">
        <f t="shared" si="328"/>
        <v/>
      </c>
    </row>
    <row r="11504" spans="6:6" x14ac:dyDescent="0.2">
      <c r="F11504" s="285" t="str">
        <f t="shared" si="328"/>
        <v/>
      </c>
    </row>
    <row r="11505" spans="6:6" x14ac:dyDescent="0.2">
      <c r="F11505" s="285" t="str">
        <f t="shared" si="328"/>
        <v/>
      </c>
    </row>
    <row r="11506" spans="6:6" x14ac:dyDescent="0.2">
      <c r="F11506" s="285" t="str">
        <f t="shared" si="328"/>
        <v/>
      </c>
    </row>
    <row r="11507" spans="6:6" x14ac:dyDescent="0.2">
      <c r="F11507" s="285" t="str">
        <f t="shared" si="328"/>
        <v/>
      </c>
    </row>
    <row r="11508" spans="6:6" x14ac:dyDescent="0.2">
      <c r="F11508" s="285" t="str">
        <f t="shared" si="328"/>
        <v/>
      </c>
    </row>
    <row r="11509" spans="6:6" x14ac:dyDescent="0.2">
      <c r="F11509" s="285" t="str">
        <f t="shared" si="328"/>
        <v/>
      </c>
    </row>
    <row r="11510" spans="6:6" x14ac:dyDescent="0.2">
      <c r="F11510" s="285" t="str">
        <f t="shared" si="328"/>
        <v/>
      </c>
    </row>
    <row r="11511" spans="6:6" x14ac:dyDescent="0.2">
      <c r="F11511" s="285" t="str">
        <f t="shared" si="328"/>
        <v/>
      </c>
    </row>
    <row r="11512" spans="6:6" x14ac:dyDescent="0.2">
      <c r="F11512" s="285" t="str">
        <f t="shared" si="328"/>
        <v/>
      </c>
    </row>
    <row r="11513" spans="6:6" x14ac:dyDescent="0.2">
      <c r="F11513" s="285" t="str">
        <f t="shared" si="328"/>
        <v/>
      </c>
    </row>
    <row r="11514" spans="6:6" x14ac:dyDescent="0.2">
      <c r="F11514" s="285" t="str">
        <f t="shared" si="328"/>
        <v/>
      </c>
    </row>
    <row r="11515" spans="6:6" x14ac:dyDescent="0.2">
      <c r="F11515" s="285" t="str">
        <f t="shared" si="328"/>
        <v/>
      </c>
    </row>
    <row r="11516" spans="6:6" x14ac:dyDescent="0.2">
      <c r="F11516" s="285" t="str">
        <f t="shared" si="328"/>
        <v/>
      </c>
    </row>
    <row r="11517" spans="6:6" x14ac:dyDescent="0.2">
      <c r="F11517" s="285" t="str">
        <f t="shared" si="328"/>
        <v/>
      </c>
    </row>
    <row r="11518" spans="6:6" x14ac:dyDescent="0.2">
      <c r="F11518" s="285" t="str">
        <f t="shared" si="328"/>
        <v/>
      </c>
    </row>
    <row r="11519" spans="6:6" x14ac:dyDescent="0.2">
      <c r="F11519" s="285" t="str">
        <f t="shared" si="328"/>
        <v/>
      </c>
    </row>
    <row r="11520" spans="6:6" x14ac:dyDescent="0.2">
      <c r="F11520" s="285" t="str">
        <f t="shared" si="328"/>
        <v/>
      </c>
    </row>
    <row r="11521" spans="6:6" x14ac:dyDescent="0.2">
      <c r="F11521" s="285" t="str">
        <f t="shared" si="328"/>
        <v/>
      </c>
    </row>
    <row r="11522" spans="6:6" x14ac:dyDescent="0.2">
      <c r="F11522" s="285" t="str">
        <f t="shared" si="328"/>
        <v/>
      </c>
    </row>
    <row r="11523" spans="6:6" x14ac:dyDescent="0.2">
      <c r="F11523" s="285" t="str">
        <f t="shared" si="328"/>
        <v/>
      </c>
    </row>
    <row r="11524" spans="6:6" x14ac:dyDescent="0.2">
      <c r="F11524" s="285" t="str">
        <f t="shared" si="328"/>
        <v/>
      </c>
    </row>
    <row r="11525" spans="6:6" x14ac:dyDescent="0.2">
      <c r="F11525" s="285" t="str">
        <f t="shared" ref="F11525:F11588" si="329">IF(A11525="","",A11525)</f>
        <v/>
      </c>
    </row>
    <row r="11526" spans="6:6" x14ac:dyDescent="0.2">
      <c r="F11526" s="285" t="str">
        <f t="shared" si="329"/>
        <v/>
      </c>
    </row>
    <row r="11527" spans="6:6" x14ac:dyDescent="0.2">
      <c r="F11527" s="285" t="str">
        <f t="shared" si="329"/>
        <v/>
      </c>
    </row>
    <row r="11528" spans="6:6" x14ac:dyDescent="0.2">
      <c r="F11528" s="285" t="str">
        <f t="shared" si="329"/>
        <v/>
      </c>
    </row>
    <row r="11529" spans="6:6" x14ac:dyDescent="0.2">
      <c r="F11529" s="285" t="str">
        <f t="shared" si="329"/>
        <v/>
      </c>
    </row>
    <row r="11530" spans="6:6" x14ac:dyDescent="0.2">
      <c r="F11530" s="285" t="str">
        <f t="shared" si="329"/>
        <v/>
      </c>
    </row>
    <row r="11531" spans="6:6" x14ac:dyDescent="0.2">
      <c r="F11531" s="285" t="str">
        <f t="shared" si="329"/>
        <v/>
      </c>
    </row>
    <row r="11532" spans="6:6" x14ac:dyDescent="0.2">
      <c r="F11532" s="285" t="str">
        <f t="shared" si="329"/>
        <v/>
      </c>
    </row>
    <row r="11533" spans="6:6" x14ac:dyDescent="0.2">
      <c r="F11533" s="285" t="str">
        <f t="shared" si="329"/>
        <v/>
      </c>
    </row>
    <row r="11534" spans="6:6" x14ac:dyDescent="0.2">
      <c r="F11534" s="285" t="str">
        <f t="shared" si="329"/>
        <v/>
      </c>
    </row>
    <row r="11535" spans="6:6" x14ac:dyDescent="0.2">
      <c r="F11535" s="285" t="str">
        <f t="shared" si="329"/>
        <v/>
      </c>
    </row>
    <row r="11536" spans="6:6" x14ac:dyDescent="0.2">
      <c r="F11536" s="285" t="str">
        <f t="shared" si="329"/>
        <v/>
      </c>
    </row>
    <row r="11537" spans="6:6" x14ac:dyDescent="0.2">
      <c r="F11537" s="285" t="str">
        <f t="shared" si="329"/>
        <v/>
      </c>
    </row>
    <row r="11538" spans="6:6" x14ac:dyDescent="0.2">
      <c r="F11538" s="285" t="str">
        <f t="shared" si="329"/>
        <v/>
      </c>
    </row>
    <row r="11539" spans="6:6" x14ac:dyDescent="0.2">
      <c r="F11539" s="285" t="str">
        <f t="shared" si="329"/>
        <v/>
      </c>
    </row>
    <row r="11540" spans="6:6" x14ac:dyDescent="0.2">
      <c r="F11540" s="285" t="str">
        <f t="shared" si="329"/>
        <v/>
      </c>
    </row>
    <row r="11541" spans="6:6" x14ac:dyDescent="0.2">
      <c r="F11541" s="285" t="str">
        <f t="shared" si="329"/>
        <v/>
      </c>
    </row>
    <row r="11542" spans="6:6" x14ac:dyDescent="0.2">
      <c r="F11542" s="285" t="str">
        <f t="shared" si="329"/>
        <v/>
      </c>
    </row>
    <row r="11543" spans="6:6" x14ac:dyDescent="0.2">
      <c r="F11543" s="285" t="str">
        <f t="shared" si="329"/>
        <v/>
      </c>
    </row>
    <row r="11544" spans="6:6" x14ac:dyDescent="0.2">
      <c r="F11544" s="285" t="str">
        <f t="shared" si="329"/>
        <v/>
      </c>
    </row>
    <row r="11545" spans="6:6" x14ac:dyDescent="0.2">
      <c r="F11545" s="285" t="str">
        <f t="shared" si="329"/>
        <v/>
      </c>
    </row>
    <row r="11546" spans="6:6" x14ac:dyDescent="0.2">
      <c r="F11546" s="285" t="str">
        <f t="shared" si="329"/>
        <v/>
      </c>
    </row>
    <row r="11547" spans="6:6" x14ac:dyDescent="0.2">
      <c r="F11547" s="285" t="str">
        <f t="shared" si="329"/>
        <v/>
      </c>
    </row>
    <row r="11548" spans="6:6" x14ac:dyDescent="0.2">
      <c r="F11548" s="285" t="str">
        <f t="shared" si="329"/>
        <v/>
      </c>
    </row>
    <row r="11549" spans="6:6" x14ac:dyDescent="0.2">
      <c r="F11549" s="285" t="str">
        <f t="shared" si="329"/>
        <v/>
      </c>
    </row>
    <row r="11550" spans="6:6" x14ac:dyDescent="0.2">
      <c r="F11550" s="285" t="str">
        <f t="shared" si="329"/>
        <v/>
      </c>
    </row>
    <row r="11551" spans="6:6" x14ac:dyDescent="0.2">
      <c r="F11551" s="285" t="str">
        <f t="shared" si="329"/>
        <v/>
      </c>
    </row>
    <row r="11552" spans="6:6" x14ac:dyDescent="0.2">
      <c r="F11552" s="285" t="str">
        <f t="shared" si="329"/>
        <v/>
      </c>
    </row>
    <row r="11553" spans="6:6" x14ac:dyDescent="0.2">
      <c r="F11553" s="285" t="str">
        <f t="shared" si="329"/>
        <v/>
      </c>
    </row>
    <row r="11554" spans="6:6" x14ac:dyDescent="0.2">
      <c r="F11554" s="285" t="str">
        <f t="shared" si="329"/>
        <v/>
      </c>
    </row>
    <row r="11555" spans="6:6" x14ac:dyDescent="0.2">
      <c r="F11555" s="285" t="str">
        <f t="shared" si="329"/>
        <v/>
      </c>
    </row>
    <row r="11556" spans="6:6" x14ac:dyDescent="0.2">
      <c r="F11556" s="285" t="str">
        <f t="shared" si="329"/>
        <v/>
      </c>
    </row>
    <row r="11557" spans="6:6" x14ac:dyDescent="0.2">
      <c r="F11557" s="285" t="str">
        <f t="shared" si="329"/>
        <v/>
      </c>
    </row>
    <row r="11558" spans="6:6" x14ac:dyDescent="0.2">
      <c r="F11558" s="285" t="str">
        <f t="shared" si="329"/>
        <v/>
      </c>
    </row>
    <row r="11559" spans="6:6" x14ac:dyDescent="0.2">
      <c r="F11559" s="285" t="str">
        <f t="shared" si="329"/>
        <v/>
      </c>
    </row>
    <row r="11560" spans="6:6" x14ac:dyDescent="0.2">
      <c r="F11560" s="285" t="str">
        <f t="shared" si="329"/>
        <v/>
      </c>
    </row>
    <row r="11561" spans="6:6" x14ac:dyDescent="0.2">
      <c r="F11561" s="285" t="str">
        <f t="shared" si="329"/>
        <v/>
      </c>
    </row>
    <row r="11562" spans="6:6" x14ac:dyDescent="0.2">
      <c r="F11562" s="285" t="str">
        <f t="shared" si="329"/>
        <v/>
      </c>
    </row>
    <row r="11563" spans="6:6" x14ac:dyDescent="0.2">
      <c r="F11563" s="285" t="str">
        <f t="shared" si="329"/>
        <v/>
      </c>
    </row>
    <row r="11564" spans="6:6" x14ac:dyDescent="0.2">
      <c r="F11564" s="285" t="str">
        <f t="shared" si="329"/>
        <v/>
      </c>
    </row>
    <row r="11565" spans="6:6" x14ac:dyDescent="0.2">
      <c r="F11565" s="285" t="str">
        <f t="shared" si="329"/>
        <v/>
      </c>
    </row>
    <row r="11566" spans="6:6" x14ac:dyDescent="0.2">
      <c r="F11566" s="285" t="str">
        <f t="shared" si="329"/>
        <v/>
      </c>
    </row>
    <row r="11567" spans="6:6" x14ac:dyDescent="0.2">
      <c r="F11567" s="285" t="str">
        <f t="shared" si="329"/>
        <v/>
      </c>
    </row>
    <row r="11568" spans="6:6" x14ac:dyDescent="0.2">
      <c r="F11568" s="285" t="str">
        <f t="shared" si="329"/>
        <v/>
      </c>
    </row>
    <row r="11569" spans="6:6" x14ac:dyDescent="0.2">
      <c r="F11569" s="285" t="str">
        <f t="shared" si="329"/>
        <v/>
      </c>
    </row>
    <row r="11570" spans="6:6" x14ac:dyDescent="0.2">
      <c r="F11570" s="285" t="str">
        <f t="shared" si="329"/>
        <v/>
      </c>
    </row>
    <row r="11571" spans="6:6" x14ac:dyDescent="0.2">
      <c r="F11571" s="285" t="str">
        <f t="shared" si="329"/>
        <v/>
      </c>
    </row>
    <row r="11572" spans="6:6" x14ac:dyDescent="0.2">
      <c r="F11572" s="285" t="str">
        <f t="shared" si="329"/>
        <v/>
      </c>
    </row>
    <row r="11573" spans="6:6" x14ac:dyDescent="0.2">
      <c r="F11573" s="285" t="str">
        <f t="shared" si="329"/>
        <v/>
      </c>
    </row>
    <row r="11574" spans="6:6" x14ac:dyDescent="0.2">
      <c r="F11574" s="285" t="str">
        <f t="shared" si="329"/>
        <v/>
      </c>
    </row>
    <row r="11575" spans="6:6" x14ac:dyDescent="0.2">
      <c r="F11575" s="285" t="str">
        <f t="shared" si="329"/>
        <v/>
      </c>
    </row>
    <row r="11576" spans="6:6" x14ac:dyDescent="0.2">
      <c r="F11576" s="285" t="str">
        <f t="shared" si="329"/>
        <v/>
      </c>
    </row>
    <row r="11577" spans="6:6" x14ac:dyDescent="0.2">
      <c r="F11577" s="285" t="str">
        <f t="shared" si="329"/>
        <v/>
      </c>
    </row>
    <row r="11578" spans="6:6" x14ac:dyDescent="0.2">
      <c r="F11578" s="285" t="str">
        <f t="shared" si="329"/>
        <v/>
      </c>
    </row>
    <row r="11579" spans="6:6" x14ac:dyDescent="0.2">
      <c r="F11579" s="285" t="str">
        <f t="shared" si="329"/>
        <v/>
      </c>
    </row>
    <row r="11580" spans="6:6" x14ac:dyDescent="0.2">
      <c r="F11580" s="285" t="str">
        <f t="shared" si="329"/>
        <v/>
      </c>
    </row>
    <row r="11581" spans="6:6" x14ac:dyDescent="0.2">
      <c r="F11581" s="285" t="str">
        <f t="shared" si="329"/>
        <v/>
      </c>
    </row>
    <row r="11582" spans="6:6" x14ac:dyDescent="0.2">
      <c r="F11582" s="285" t="str">
        <f t="shared" si="329"/>
        <v/>
      </c>
    </row>
    <row r="11583" spans="6:6" x14ac:dyDescent="0.2">
      <c r="F11583" s="285" t="str">
        <f t="shared" si="329"/>
        <v/>
      </c>
    </row>
    <row r="11584" spans="6:6" x14ac:dyDescent="0.2">
      <c r="F11584" s="285" t="str">
        <f t="shared" si="329"/>
        <v/>
      </c>
    </row>
    <row r="11585" spans="6:6" x14ac:dyDescent="0.2">
      <c r="F11585" s="285" t="str">
        <f t="shared" si="329"/>
        <v/>
      </c>
    </row>
    <row r="11586" spans="6:6" x14ac:dyDescent="0.2">
      <c r="F11586" s="285" t="str">
        <f t="shared" si="329"/>
        <v/>
      </c>
    </row>
    <row r="11587" spans="6:6" x14ac:dyDescent="0.2">
      <c r="F11587" s="285" t="str">
        <f t="shared" si="329"/>
        <v/>
      </c>
    </row>
    <row r="11588" spans="6:6" x14ac:dyDescent="0.2">
      <c r="F11588" s="285" t="str">
        <f t="shared" si="329"/>
        <v/>
      </c>
    </row>
    <row r="11589" spans="6:6" x14ac:dyDescent="0.2">
      <c r="F11589" s="285" t="str">
        <f t="shared" ref="F11589:F11652" si="330">IF(A11589="","",A11589)</f>
        <v/>
      </c>
    </row>
    <row r="11590" spans="6:6" x14ac:dyDescent="0.2">
      <c r="F11590" s="285" t="str">
        <f t="shared" si="330"/>
        <v/>
      </c>
    </row>
    <row r="11591" spans="6:6" x14ac:dyDescent="0.2">
      <c r="F11591" s="285" t="str">
        <f t="shared" si="330"/>
        <v/>
      </c>
    </row>
    <row r="11592" spans="6:6" x14ac:dyDescent="0.2">
      <c r="F11592" s="285" t="str">
        <f t="shared" si="330"/>
        <v/>
      </c>
    </row>
    <row r="11593" spans="6:6" x14ac:dyDescent="0.2">
      <c r="F11593" s="285" t="str">
        <f t="shared" si="330"/>
        <v/>
      </c>
    </row>
    <row r="11594" spans="6:6" x14ac:dyDescent="0.2">
      <c r="F11594" s="285" t="str">
        <f t="shared" si="330"/>
        <v/>
      </c>
    </row>
    <row r="11595" spans="6:6" x14ac:dyDescent="0.2">
      <c r="F11595" s="285" t="str">
        <f t="shared" si="330"/>
        <v/>
      </c>
    </row>
    <row r="11596" spans="6:6" x14ac:dyDescent="0.2">
      <c r="F11596" s="285" t="str">
        <f t="shared" si="330"/>
        <v/>
      </c>
    </row>
    <row r="11597" spans="6:6" x14ac:dyDescent="0.2">
      <c r="F11597" s="285" t="str">
        <f t="shared" si="330"/>
        <v/>
      </c>
    </row>
    <row r="11598" spans="6:6" x14ac:dyDescent="0.2">
      <c r="F11598" s="285" t="str">
        <f t="shared" si="330"/>
        <v/>
      </c>
    </row>
    <row r="11599" spans="6:6" x14ac:dyDescent="0.2">
      <c r="F11599" s="285" t="str">
        <f t="shared" si="330"/>
        <v/>
      </c>
    </row>
    <row r="11600" spans="6:6" x14ac:dyDescent="0.2">
      <c r="F11600" s="285" t="str">
        <f t="shared" si="330"/>
        <v/>
      </c>
    </row>
    <row r="11601" spans="6:6" x14ac:dyDescent="0.2">
      <c r="F11601" s="285" t="str">
        <f t="shared" si="330"/>
        <v/>
      </c>
    </row>
    <row r="11602" spans="6:6" x14ac:dyDescent="0.2">
      <c r="F11602" s="285" t="str">
        <f t="shared" si="330"/>
        <v/>
      </c>
    </row>
    <row r="11603" spans="6:6" x14ac:dyDescent="0.2">
      <c r="F11603" s="285" t="str">
        <f t="shared" si="330"/>
        <v/>
      </c>
    </row>
    <row r="11604" spans="6:6" x14ac:dyDescent="0.2">
      <c r="F11604" s="285" t="str">
        <f t="shared" si="330"/>
        <v/>
      </c>
    </row>
    <row r="11605" spans="6:6" x14ac:dyDescent="0.2">
      <c r="F11605" s="285" t="str">
        <f t="shared" si="330"/>
        <v/>
      </c>
    </row>
    <row r="11606" spans="6:6" x14ac:dyDescent="0.2">
      <c r="F11606" s="285" t="str">
        <f t="shared" si="330"/>
        <v/>
      </c>
    </row>
    <row r="11607" spans="6:6" x14ac:dyDescent="0.2">
      <c r="F11607" s="285" t="str">
        <f t="shared" si="330"/>
        <v/>
      </c>
    </row>
    <row r="11608" spans="6:6" x14ac:dyDescent="0.2">
      <c r="F11608" s="285" t="str">
        <f t="shared" si="330"/>
        <v/>
      </c>
    </row>
    <row r="11609" spans="6:6" x14ac:dyDescent="0.2">
      <c r="F11609" s="285" t="str">
        <f t="shared" si="330"/>
        <v/>
      </c>
    </row>
    <row r="11610" spans="6:6" x14ac:dyDescent="0.2">
      <c r="F11610" s="285" t="str">
        <f t="shared" si="330"/>
        <v/>
      </c>
    </row>
    <row r="11611" spans="6:6" x14ac:dyDescent="0.2">
      <c r="F11611" s="285" t="str">
        <f t="shared" si="330"/>
        <v/>
      </c>
    </row>
    <row r="11612" spans="6:6" x14ac:dyDescent="0.2">
      <c r="F11612" s="285" t="str">
        <f t="shared" si="330"/>
        <v/>
      </c>
    </row>
    <row r="11613" spans="6:6" x14ac:dyDescent="0.2">
      <c r="F11613" s="285" t="str">
        <f t="shared" si="330"/>
        <v/>
      </c>
    </row>
    <row r="11614" spans="6:6" x14ac:dyDescent="0.2">
      <c r="F11614" s="285" t="str">
        <f t="shared" si="330"/>
        <v/>
      </c>
    </row>
    <row r="11615" spans="6:6" x14ac:dyDescent="0.2">
      <c r="F11615" s="285" t="str">
        <f t="shared" si="330"/>
        <v/>
      </c>
    </row>
    <row r="11616" spans="6:6" x14ac:dyDescent="0.2">
      <c r="F11616" s="285" t="str">
        <f t="shared" si="330"/>
        <v/>
      </c>
    </row>
    <row r="11617" spans="6:6" x14ac:dyDescent="0.2">
      <c r="F11617" s="285" t="str">
        <f t="shared" si="330"/>
        <v/>
      </c>
    </row>
    <row r="11618" spans="6:6" x14ac:dyDescent="0.2">
      <c r="F11618" s="285" t="str">
        <f t="shared" si="330"/>
        <v/>
      </c>
    </row>
    <row r="11619" spans="6:6" x14ac:dyDescent="0.2">
      <c r="F11619" s="285" t="str">
        <f t="shared" si="330"/>
        <v/>
      </c>
    </row>
    <row r="11620" spans="6:6" x14ac:dyDescent="0.2">
      <c r="F11620" s="285" t="str">
        <f t="shared" si="330"/>
        <v/>
      </c>
    </row>
    <row r="11621" spans="6:6" x14ac:dyDescent="0.2">
      <c r="F11621" s="285" t="str">
        <f t="shared" si="330"/>
        <v/>
      </c>
    </row>
    <row r="11622" spans="6:6" x14ac:dyDescent="0.2">
      <c r="F11622" s="285" t="str">
        <f t="shared" si="330"/>
        <v/>
      </c>
    </row>
    <row r="11623" spans="6:6" x14ac:dyDescent="0.2">
      <c r="F11623" s="285" t="str">
        <f t="shared" si="330"/>
        <v/>
      </c>
    </row>
    <row r="11624" spans="6:6" x14ac:dyDescent="0.2">
      <c r="F11624" s="285" t="str">
        <f t="shared" si="330"/>
        <v/>
      </c>
    </row>
    <row r="11625" spans="6:6" x14ac:dyDescent="0.2">
      <c r="F11625" s="285" t="str">
        <f t="shared" si="330"/>
        <v/>
      </c>
    </row>
    <row r="11626" spans="6:6" x14ac:dyDescent="0.2">
      <c r="F11626" s="285" t="str">
        <f t="shared" si="330"/>
        <v/>
      </c>
    </row>
    <row r="11627" spans="6:6" x14ac:dyDescent="0.2">
      <c r="F11627" s="285" t="str">
        <f t="shared" si="330"/>
        <v/>
      </c>
    </row>
    <row r="11628" spans="6:6" x14ac:dyDescent="0.2">
      <c r="F11628" s="285" t="str">
        <f t="shared" si="330"/>
        <v/>
      </c>
    </row>
    <row r="11629" spans="6:6" x14ac:dyDescent="0.2">
      <c r="F11629" s="285" t="str">
        <f t="shared" si="330"/>
        <v/>
      </c>
    </row>
    <row r="11630" spans="6:6" x14ac:dyDescent="0.2">
      <c r="F11630" s="285" t="str">
        <f t="shared" si="330"/>
        <v/>
      </c>
    </row>
    <row r="11631" spans="6:6" x14ac:dyDescent="0.2">
      <c r="F11631" s="285" t="str">
        <f t="shared" si="330"/>
        <v/>
      </c>
    </row>
    <row r="11632" spans="6:6" x14ac:dyDescent="0.2">
      <c r="F11632" s="285" t="str">
        <f t="shared" si="330"/>
        <v/>
      </c>
    </row>
    <row r="11633" spans="6:6" x14ac:dyDescent="0.2">
      <c r="F11633" s="285" t="str">
        <f t="shared" si="330"/>
        <v/>
      </c>
    </row>
    <row r="11634" spans="6:6" x14ac:dyDescent="0.2">
      <c r="F11634" s="285" t="str">
        <f t="shared" si="330"/>
        <v/>
      </c>
    </row>
    <row r="11635" spans="6:6" x14ac:dyDescent="0.2">
      <c r="F11635" s="285" t="str">
        <f t="shared" si="330"/>
        <v/>
      </c>
    </row>
    <row r="11636" spans="6:6" x14ac:dyDescent="0.2">
      <c r="F11636" s="285" t="str">
        <f t="shared" si="330"/>
        <v/>
      </c>
    </row>
    <row r="11637" spans="6:6" x14ac:dyDescent="0.2">
      <c r="F11637" s="285" t="str">
        <f t="shared" si="330"/>
        <v/>
      </c>
    </row>
    <row r="11638" spans="6:6" x14ac:dyDescent="0.2">
      <c r="F11638" s="285" t="str">
        <f t="shared" si="330"/>
        <v/>
      </c>
    </row>
    <row r="11639" spans="6:6" x14ac:dyDescent="0.2">
      <c r="F11639" s="285" t="str">
        <f t="shared" si="330"/>
        <v/>
      </c>
    </row>
    <row r="11640" spans="6:6" x14ac:dyDescent="0.2">
      <c r="F11640" s="285" t="str">
        <f t="shared" si="330"/>
        <v/>
      </c>
    </row>
    <row r="11641" spans="6:6" x14ac:dyDescent="0.2">
      <c r="F11641" s="285" t="str">
        <f t="shared" si="330"/>
        <v/>
      </c>
    </row>
    <row r="11642" spans="6:6" x14ac:dyDescent="0.2">
      <c r="F11642" s="285" t="str">
        <f t="shared" si="330"/>
        <v/>
      </c>
    </row>
    <row r="11643" spans="6:6" x14ac:dyDescent="0.2">
      <c r="F11643" s="285" t="str">
        <f t="shared" si="330"/>
        <v/>
      </c>
    </row>
    <row r="11644" spans="6:6" x14ac:dyDescent="0.2">
      <c r="F11644" s="285" t="str">
        <f t="shared" si="330"/>
        <v/>
      </c>
    </row>
    <row r="11645" spans="6:6" x14ac:dyDescent="0.2">
      <c r="F11645" s="285" t="str">
        <f t="shared" si="330"/>
        <v/>
      </c>
    </row>
    <row r="11646" spans="6:6" x14ac:dyDescent="0.2">
      <c r="F11646" s="285" t="str">
        <f t="shared" si="330"/>
        <v/>
      </c>
    </row>
    <row r="11647" spans="6:6" x14ac:dyDescent="0.2">
      <c r="F11647" s="285" t="str">
        <f t="shared" si="330"/>
        <v/>
      </c>
    </row>
    <row r="11648" spans="6:6" x14ac:dyDescent="0.2">
      <c r="F11648" s="285" t="str">
        <f t="shared" si="330"/>
        <v/>
      </c>
    </row>
    <row r="11649" spans="6:6" x14ac:dyDescent="0.2">
      <c r="F11649" s="285" t="str">
        <f t="shared" si="330"/>
        <v/>
      </c>
    </row>
    <row r="11650" spans="6:6" x14ac:dyDescent="0.2">
      <c r="F11650" s="285" t="str">
        <f t="shared" si="330"/>
        <v/>
      </c>
    </row>
    <row r="11651" spans="6:6" x14ac:dyDescent="0.2">
      <c r="F11651" s="285" t="str">
        <f t="shared" si="330"/>
        <v/>
      </c>
    </row>
    <row r="11652" spans="6:6" x14ac:dyDescent="0.2">
      <c r="F11652" s="285" t="str">
        <f t="shared" si="330"/>
        <v/>
      </c>
    </row>
    <row r="11653" spans="6:6" x14ac:dyDescent="0.2">
      <c r="F11653" s="285" t="str">
        <f t="shared" ref="F11653:F11716" si="331">IF(A11653="","",A11653)</f>
        <v/>
      </c>
    </row>
    <row r="11654" spans="6:6" x14ac:dyDescent="0.2">
      <c r="F11654" s="285" t="str">
        <f t="shared" si="331"/>
        <v/>
      </c>
    </row>
    <row r="11655" spans="6:6" x14ac:dyDescent="0.2">
      <c r="F11655" s="285" t="str">
        <f t="shared" si="331"/>
        <v/>
      </c>
    </row>
    <row r="11656" spans="6:6" x14ac:dyDescent="0.2">
      <c r="F11656" s="285" t="str">
        <f t="shared" si="331"/>
        <v/>
      </c>
    </row>
    <row r="11657" spans="6:6" x14ac:dyDescent="0.2">
      <c r="F11657" s="285" t="str">
        <f t="shared" si="331"/>
        <v/>
      </c>
    </row>
    <row r="11658" spans="6:6" x14ac:dyDescent="0.2">
      <c r="F11658" s="285" t="str">
        <f t="shared" si="331"/>
        <v/>
      </c>
    </row>
    <row r="11659" spans="6:6" x14ac:dyDescent="0.2">
      <c r="F11659" s="285" t="str">
        <f t="shared" si="331"/>
        <v/>
      </c>
    </row>
    <row r="11660" spans="6:6" x14ac:dyDescent="0.2">
      <c r="F11660" s="285" t="str">
        <f t="shared" si="331"/>
        <v/>
      </c>
    </row>
    <row r="11661" spans="6:6" x14ac:dyDescent="0.2">
      <c r="F11661" s="285" t="str">
        <f t="shared" si="331"/>
        <v/>
      </c>
    </row>
    <row r="11662" spans="6:6" x14ac:dyDescent="0.2">
      <c r="F11662" s="285" t="str">
        <f t="shared" si="331"/>
        <v/>
      </c>
    </row>
    <row r="11663" spans="6:6" x14ac:dyDescent="0.2">
      <c r="F11663" s="285" t="str">
        <f t="shared" si="331"/>
        <v/>
      </c>
    </row>
    <row r="11664" spans="6:6" x14ac:dyDescent="0.2">
      <c r="F11664" s="285" t="str">
        <f t="shared" si="331"/>
        <v/>
      </c>
    </row>
    <row r="11665" spans="6:6" x14ac:dyDescent="0.2">
      <c r="F11665" s="285" t="str">
        <f t="shared" si="331"/>
        <v/>
      </c>
    </row>
    <row r="11666" spans="6:6" x14ac:dyDescent="0.2">
      <c r="F11666" s="285" t="str">
        <f t="shared" si="331"/>
        <v/>
      </c>
    </row>
    <row r="11667" spans="6:6" x14ac:dyDescent="0.2">
      <c r="F11667" s="285" t="str">
        <f t="shared" si="331"/>
        <v/>
      </c>
    </row>
    <row r="11668" spans="6:6" x14ac:dyDescent="0.2">
      <c r="F11668" s="285" t="str">
        <f t="shared" si="331"/>
        <v/>
      </c>
    </row>
    <row r="11669" spans="6:6" x14ac:dyDescent="0.2">
      <c r="F11669" s="285" t="str">
        <f t="shared" si="331"/>
        <v/>
      </c>
    </row>
    <row r="11670" spans="6:6" x14ac:dyDescent="0.2">
      <c r="F11670" s="285" t="str">
        <f t="shared" si="331"/>
        <v/>
      </c>
    </row>
    <row r="11671" spans="6:6" x14ac:dyDescent="0.2">
      <c r="F11671" s="285" t="str">
        <f t="shared" si="331"/>
        <v/>
      </c>
    </row>
    <row r="11672" spans="6:6" x14ac:dyDescent="0.2">
      <c r="F11672" s="285" t="str">
        <f t="shared" si="331"/>
        <v/>
      </c>
    </row>
    <row r="11673" spans="6:6" x14ac:dyDescent="0.2">
      <c r="F11673" s="285" t="str">
        <f t="shared" si="331"/>
        <v/>
      </c>
    </row>
    <row r="11674" spans="6:6" x14ac:dyDescent="0.2">
      <c r="F11674" s="285" t="str">
        <f t="shared" si="331"/>
        <v/>
      </c>
    </row>
    <row r="11675" spans="6:6" x14ac:dyDescent="0.2">
      <c r="F11675" s="285" t="str">
        <f t="shared" si="331"/>
        <v/>
      </c>
    </row>
    <row r="11676" spans="6:6" x14ac:dyDescent="0.2">
      <c r="F11676" s="285" t="str">
        <f t="shared" si="331"/>
        <v/>
      </c>
    </row>
    <row r="11677" spans="6:6" x14ac:dyDescent="0.2">
      <c r="F11677" s="285" t="str">
        <f t="shared" si="331"/>
        <v/>
      </c>
    </row>
    <row r="11678" spans="6:6" x14ac:dyDescent="0.2">
      <c r="F11678" s="285" t="str">
        <f t="shared" si="331"/>
        <v/>
      </c>
    </row>
    <row r="11679" spans="6:6" x14ac:dyDescent="0.2">
      <c r="F11679" s="285" t="str">
        <f t="shared" si="331"/>
        <v/>
      </c>
    </row>
    <row r="11680" spans="6:6" x14ac:dyDescent="0.2">
      <c r="F11680" s="285" t="str">
        <f t="shared" si="331"/>
        <v/>
      </c>
    </row>
    <row r="11681" spans="6:6" x14ac:dyDescent="0.2">
      <c r="F11681" s="285" t="str">
        <f t="shared" si="331"/>
        <v/>
      </c>
    </row>
    <row r="11682" spans="6:6" x14ac:dyDescent="0.2">
      <c r="F11682" s="285" t="str">
        <f t="shared" si="331"/>
        <v/>
      </c>
    </row>
    <row r="11683" spans="6:6" x14ac:dyDescent="0.2">
      <c r="F11683" s="285" t="str">
        <f t="shared" si="331"/>
        <v/>
      </c>
    </row>
    <row r="11684" spans="6:6" x14ac:dyDescent="0.2">
      <c r="F11684" s="285" t="str">
        <f t="shared" si="331"/>
        <v/>
      </c>
    </row>
    <row r="11685" spans="6:6" x14ac:dyDescent="0.2">
      <c r="F11685" s="285" t="str">
        <f t="shared" si="331"/>
        <v/>
      </c>
    </row>
    <row r="11686" spans="6:6" x14ac:dyDescent="0.2">
      <c r="F11686" s="285" t="str">
        <f t="shared" si="331"/>
        <v/>
      </c>
    </row>
    <row r="11687" spans="6:6" x14ac:dyDescent="0.2">
      <c r="F11687" s="285" t="str">
        <f t="shared" si="331"/>
        <v/>
      </c>
    </row>
    <row r="11688" spans="6:6" x14ac:dyDescent="0.2">
      <c r="F11688" s="285" t="str">
        <f t="shared" si="331"/>
        <v/>
      </c>
    </row>
    <row r="11689" spans="6:6" x14ac:dyDescent="0.2">
      <c r="F11689" s="285" t="str">
        <f t="shared" si="331"/>
        <v/>
      </c>
    </row>
    <row r="11690" spans="6:6" x14ac:dyDescent="0.2">
      <c r="F11690" s="285" t="str">
        <f t="shared" si="331"/>
        <v/>
      </c>
    </row>
    <row r="11691" spans="6:6" x14ac:dyDescent="0.2">
      <c r="F11691" s="285" t="str">
        <f t="shared" si="331"/>
        <v/>
      </c>
    </row>
    <row r="11692" spans="6:6" x14ac:dyDescent="0.2">
      <c r="F11692" s="285" t="str">
        <f t="shared" si="331"/>
        <v/>
      </c>
    </row>
    <row r="11693" spans="6:6" x14ac:dyDescent="0.2">
      <c r="F11693" s="285" t="str">
        <f t="shared" si="331"/>
        <v/>
      </c>
    </row>
    <row r="11694" spans="6:6" x14ac:dyDescent="0.2">
      <c r="F11694" s="285" t="str">
        <f t="shared" si="331"/>
        <v/>
      </c>
    </row>
    <row r="11695" spans="6:6" x14ac:dyDescent="0.2">
      <c r="F11695" s="285" t="str">
        <f t="shared" si="331"/>
        <v/>
      </c>
    </row>
    <row r="11696" spans="6:6" x14ac:dyDescent="0.2">
      <c r="F11696" s="285" t="str">
        <f t="shared" si="331"/>
        <v/>
      </c>
    </row>
    <row r="11697" spans="6:6" x14ac:dyDescent="0.2">
      <c r="F11697" s="285" t="str">
        <f t="shared" si="331"/>
        <v/>
      </c>
    </row>
    <row r="11698" spans="6:6" x14ac:dyDescent="0.2">
      <c r="F11698" s="285" t="str">
        <f t="shared" si="331"/>
        <v/>
      </c>
    </row>
    <row r="11699" spans="6:6" x14ac:dyDescent="0.2">
      <c r="F11699" s="285" t="str">
        <f t="shared" si="331"/>
        <v/>
      </c>
    </row>
    <row r="11700" spans="6:6" x14ac:dyDescent="0.2">
      <c r="F11700" s="285" t="str">
        <f t="shared" si="331"/>
        <v/>
      </c>
    </row>
    <row r="11701" spans="6:6" x14ac:dyDescent="0.2">
      <c r="F11701" s="285" t="str">
        <f t="shared" si="331"/>
        <v/>
      </c>
    </row>
    <row r="11702" spans="6:6" x14ac:dyDescent="0.2">
      <c r="F11702" s="285" t="str">
        <f t="shared" si="331"/>
        <v/>
      </c>
    </row>
    <row r="11703" spans="6:6" x14ac:dyDescent="0.2">
      <c r="F11703" s="285" t="str">
        <f t="shared" si="331"/>
        <v/>
      </c>
    </row>
    <row r="11704" spans="6:6" x14ac:dyDescent="0.2">
      <c r="F11704" s="285" t="str">
        <f t="shared" si="331"/>
        <v/>
      </c>
    </row>
    <row r="11705" spans="6:6" x14ac:dyDescent="0.2">
      <c r="F11705" s="285" t="str">
        <f t="shared" si="331"/>
        <v/>
      </c>
    </row>
    <row r="11706" spans="6:6" x14ac:dyDescent="0.2">
      <c r="F11706" s="285" t="str">
        <f t="shared" si="331"/>
        <v/>
      </c>
    </row>
    <row r="11707" spans="6:6" x14ac:dyDescent="0.2">
      <c r="F11707" s="285" t="str">
        <f t="shared" si="331"/>
        <v/>
      </c>
    </row>
    <row r="11708" spans="6:6" x14ac:dyDescent="0.2">
      <c r="F11708" s="285" t="str">
        <f t="shared" si="331"/>
        <v/>
      </c>
    </row>
    <row r="11709" spans="6:6" x14ac:dyDescent="0.2">
      <c r="F11709" s="285" t="str">
        <f t="shared" si="331"/>
        <v/>
      </c>
    </row>
    <row r="11710" spans="6:6" x14ac:dyDescent="0.2">
      <c r="F11710" s="285" t="str">
        <f t="shared" si="331"/>
        <v/>
      </c>
    </row>
    <row r="11711" spans="6:6" x14ac:dyDescent="0.2">
      <c r="F11711" s="285" t="str">
        <f t="shared" si="331"/>
        <v/>
      </c>
    </row>
    <row r="11712" spans="6:6" x14ac:dyDescent="0.2">
      <c r="F11712" s="285" t="str">
        <f t="shared" si="331"/>
        <v/>
      </c>
    </row>
    <row r="11713" spans="6:6" x14ac:dyDescent="0.2">
      <c r="F11713" s="285" t="str">
        <f t="shared" si="331"/>
        <v/>
      </c>
    </row>
    <row r="11714" spans="6:6" x14ac:dyDescent="0.2">
      <c r="F11714" s="285" t="str">
        <f t="shared" si="331"/>
        <v/>
      </c>
    </row>
    <row r="11715" spans="6:6" x14ac:dyDescent="0.2">
      <c r="F11715" s="285" t="str">
        <f t="shared" si="331"/>
        <v/>
      </c>
    </row>
    <row r="11716" spans="6:6" x14ac:dyDescent="0.2">
      <c r="F11716" s="285" t="str">
        <f t="shared" si="331"/>
        <v/>
      </c>
    </row>
    <row r="11717" spans="6:6" x14ac:dyDescent="0.2">
      <c r="F11717" s="285" t="str">
        <f t="shared" ref="F11717:F11780" si="332">IF(A11717="","",A11717)</f>
        <v/>
      </c>
    </row>
    <row r="11718" spans="6:6" x14ac:dyDescent="0.2">
      <c r="F11718" s="285" t="str">
        <f t="shared" si="332"/>
        <v/>
      </c>
    </row>
    <row r="11719" spans="6:6" x14ac:dyDescent="0.2">
      <c r="F11719" s="285" t="str">
        <f t="shared" si="332"/>
        <v/>
      </c>
    </row>
    <row r="11720" spans="6:6" x14ac:dyDescent="0.2">
      <c r="F11720" s="285" t="str">
        <f t="shared" si="332"/>
        <v/>
      </c>
    </row>
    <row r="11721" spans="6:6" x14ac:dyDescent="0.2">
      <c r="F11721" s="285" t="str">
        <f t="shared" si="332"/>
        <v/>
      </c>
    </row>
    <row r="11722" spans="6:6" x14ac:dyDescent="0.2">
      <c r="F11722" s="285" t="str">
        <f t="shared" si="332"/>
        <v/>
      </c>
    </row>
    <row r="11723" spans="6:6" x14ac:dyDescent="0.2">
      <c r="F11723" s="285" t="str">
        <f t="shared" si="332"/>
        <v/>
      </c>
    </row>
    <row r="11724" spans="6:6" x14ac:dyDescent="0.2">
      <c r="F11724" s="285" t="str">
        <f t="shared" si="332"/>
        <v/>
      </c>
    </row>
    <row r="11725" spans="6:6" x14ac:dyDescent="0.2">
      <c r="F11725" s="285" t="str">
        <f t="shared" si="332"/>
        <v/>
      </c>
    </row>
    <row r="11726" spans="6:6" x14ac:dyDescent="0.2">
      <c r="F11726" s="285" t="str">
        <f t="shared" si="332"/>
        <v/>
      </c>
    </row>
    <row r="11727" spans="6:6" x14ac:dyDescent="0.2">
      <c r="F11727" s="285" t="str">
        <f t="shared" si="332"/>
        <v/>
      </c>
    </row>
    <row r="11728" spans="6:6" x14ac:dyDescent="0.2">
      <c r="F11728" s="285" t="str">
        <f t="shared" si="332"/>
        <v/>
      </c>
    </row>
    <row r="11729" spans="6:6" x14ac:dyDescent="0.2">
      <c r="F11729" s="285" t="str">
        <f t="shared" si="332"/>
        <v/>
      </c>
    </row>
    <row r="11730" spans="6:6" x14ac:dyDescent="0.2">
      <c r="F11730" s="285" t="str">
        <f t="shared" si="332"/>
        <v/>
      </c>
    </row>
    <row r="11731" spans="6:6" x14ac:dyDescent="0.2">
      <c r="F11731" s="285" t="str">
        <f t="shared" si="332"/>
        <v/>
      </c>
    </row>
    <row r="11732" spans="6:6" x14ac:dyDescent="0.2">
      <c r="F11732" s="285" t="str">
        <f t="shared" si="332"/>
        <v/>
      </c>
    </row>
    <row r="11733" spans="6:6" x14ac:dyDescent="0.2">
      <c r="F11733" s="285" t="str">
        <f t="shared" si="332"/>
        <v/>
      </c>
    </row>
    <row r="11734" spans="6:6" x14ac:dyDescent="0.2">
      <c r="F11734" s="285" t="str">
        <f t="shared" si="332"/>
        <v/>
      </c>
    </row>
    <row r="11735" spans="6:6" x14ac:dyDescent="0.2">
      <c r="F11735" s="285" t="str">
        <f t="shared" si="332"/>
        <v/>
      </c>
    </row>
    <row r="11736" spans="6:6" x14ac:dyDescent="0.2">
      <c r="F11736" s="285" t="str">
        <f t="shared" si="332"/>
        <v/>
      </c>
    </row>
    <row r="11737" spans="6:6" x14ac:dyDescent="0.2">
      <c r="F11737" s="285" t="str">
        <f t="shared" si="332"/>
        <v/>
      </c>
    </row>
    <row r="11738" spans="6:6" x14ac:dyDescent="0.2">
      <c r="F11738" s="285" t="str">
        <f t="shared" si="332"/>
        <v/>
      </c>
    </row>
    <row r="11739" spans="6:6" x14ac:dyDescent="0.2">
      <c r="F11739" s="285" t="str">
        <f t="shared" si="332"/>
        <v/>
      </c>
    </row>
    <row r="11740" spans="6:6" x14ac:dyDescent="0.2">
      <c r="F11740" s="285" t="str">
        <f t="shared" si="332"/>
        <v/>
      </c>
    </row>
    <row r="11741" spans="6:6" x14ac:dyDescent="0.2">
      <c r="F11741" s="285" t="str">
        <f t="shared" si="332"/>
        <v/>
      </c>
    </row>
    <row r="11742" spans="6:6" x14ac:dyDescent="0.2">
      <c r="F11742" s="285" t="str">
        <f t="shared" si="332"/>
        <v/>
      </c>
    </row>
    <row r="11743" spans="6:6" x14ac:dyDescent="0.2">
      <c r="F11743" s="285" t="str">
        <f t="shared" si="332"/>
        <v/>
      </c>
    </row>
    <row r="11744" spans="6:6" x14ac:dyDescent="0.2">
      <c r="F11744" s="285" t="str">
        <f t="shared" si="332"/>
        <v/>
      </c>
    </row>
    <row r="11745" spans="6:6" x14ac:dyDescent="0.2">
      <c r="F11745" s="285" t="str">
        <f t="shared" si="332"/>
        <v/>
      </c>
    </row>
    <row r="11746" spans="6:6" x14ac:dyDescent="0.2">
      <c r="F11746" s="285" t="str">
        <f t="shared" si="332"/>
        <v/>
      </c>
    </row>
    <row r="11747" spans="6:6" x14ac:dyDescent="0.2">
      <c r="F11747" s="285" t="str">
        <f t="shared" si="332"/>
        <v/>
      </c>
    </row>
    <row r="11748" spans="6:6" x14ac:dyDescent="0.2">
      <c r="F11748" s="285" t="str">
        <f t="shared" si="332"/>
        <v/>
      </c>
    </row>
    <row r="11749" spans="6:6" x14ac:dyDescent="0.2">
      <c r="F11749" s="285" t="str">
        <f t="shared" si="332"/>
        <v/>
      </c>
    </row>
    <row r="11750" spans="6:6" x14ac:dyDescent="0.2">
      <c r="F11750" s="285" t="str">
        <f t="shared" si="332"/>
        <v/>
      </c>
    </row>
    <row r="11751" spans="6:6" x14ac:dyDescent="0.2">
      <c r="F11751" s="285" t="str">
        <f t="shared" si="332"/>
        <v/>
      </c>
    </row>
    <row r="11752" spans="6:6" x14ac:dyDescent="0.2">
      <c r="F11752" s="285" t="str">
        <f t="shared" si="332"/>
        <v/>
      </c>
    </row>
    <row r="11753" spans="6:6" x14ac:dyDescent="0.2">
      <c r="F11753" s="285" t="str">
        <f t="shared" si="332"/>
        <v/>
      </c>
    </row>
    <row r="11754" spans="6:6" x14ac:dyDescent="0.2">
      <c r="F11754" s="285" t="str">
        <f t="shared" si="332"/>
        <v/>
      </c>
    </row>
    <row r="11755" spans="6:6" x14ac:dyDescent="0.2">
      <c r="F11755" s="285" t="str">
        <f t="shared" si="332"/>
        <v/>
      </c>
    </row>
    <row r="11756" spans="6:6" x14ac:dyDescent="0.2">
      <c r="F11756" s="285" t="str">
        <f t="shared" si="332"/>
        <v/>
      </c>
    </row>
    <row r="11757" spans="6:6" x14ac:dyDescent="0.2">
      <c r="F11757" s="285" t="str">
        <f t="shared" si="332"/>
        <v/>
      </c>
    </row>
    <row r="11758" spans="6:6" x14ac:dyDescent="0.2">
      <c r="F11758" s="285" t="str">
        <f t="shared" si="332"/>
        <v/>
      </c>
    </row>
    <row r="11759" spans="6:6" x14ac:dyDescent="0.2">
      <c r="F11759" s="285" t="str">
        <f t="shared" si="332"/>
        <v/>
      </c>
    </row>
    <row r="11760" spans="6:6" x14ac:dyDescent="0.2">
      <c r="F11760" s="285" t="str">
        <f t="shared" si="332"/>
        <v/>
      </c>
    </row>
    <row r="11761" spans="6:6" x14ac:dyDescent="0.2">
      <c r="F11761" s="285" t="str">
        <f t="shared" si="332"/>
        <v/>
      </c>
    </row>
    <row r="11762" spans="6:6" x14ac:dyDescent="0.2">
      <c r="F11762" s="285" t="str">
        <f t="shared" si="332"/>
        <v/>
      </c>
    </row>
    <row r="11763" spans="6:6" x14ac:dyDescent="0.2">
      <c r="F11763" s="285" t="str">
        <f t="shared" si="332"/>
        <v/>
      </c>
    </row>
    <row r="11764" spans="6:6" x14ac:dyDescent="0.2">
      <c r="F11764" s="285" t="str">
        <f t="shared" si="332"/>
        <v/>
      </c>
    </row>
    <row r="11765" spans="6:6" x14ac:dyDescent="0.2">
      <c r="F11765" s="285" t="str">
        <f t="shared" si="332"/>
        <v/>
      </c>
    </row>
    <row r="11766" spans="6:6" x14ac:dyDescent="0.2">
      <c r="F11766" s="285" t="str">
        <f t="shared" si="332"/>
        <v/>
      </c>
    </row>
    <row r="11767" spans="6:6" x14ac:dyDescent="0.2">
      <c r="F11767" s="285" t="str">
        <f t="shared" si="332"/>
        <v/>
      </c>
    </row>
    <row r="11768" spans="6:6" x14ac:dyDescent="0.2">
      <c r="F11768" s="285" t="str">
        <f t="shared" si="332"/>
        <v/>
      </c>
    </row>
    <row r="11769" spans="6:6" x14ac:dyDescent="0.2">
      <c r="F11769" s="285" t="str">
        <f t="shared" si="332"/>
        <v/>
      </c>
    </row>
    <row r="11770" spans="6:6" x14ac:dyDescent="0.2">
      <c r="F11770" s="285" t="str">
        <f t="shared" si="332"/>
        <v/>
      </c>
    </row>
    <row r="11771" spans="6:6" x14ac:dyDescent="0.2">
      <c r="F11771" s="285" t="str">
        <f t="shared" si="332"/>
        <v/>
      </c>
    </row>
    <row r="11772" spans="6:6" x14ac:dyDescent="0.2">
      <c r="F11772" s="285" t="str">
        <f t="shared" si="332"/>
        <v/>
      </c>
    </row>
    <row r="11773" spans="6:6" x14ac:dyDescent="0.2">
      <c r="F11773" s="285" t="str">
        <f t="shared" si="332"/>
        <v/>
      </c>
    </row>
    <row r="11774" spans="6:6" x14ac:dyDescent="0.2">
      <c r="F11774" s="285" t="str">
        <f t="shared" si="332"/>
        <v/>
      </c>
    </row>
    <row r="11775" spans="6:6" x14ac:dyDescent="0.2">
      <c r="F11775" s="285" t="str">
        <f t="shared" si="332"/>
        <v/>
      </c>
    </row>
    <row r="11776" spans="6:6" x14ac:dyDescent="0.2">
      <c r="F11776" s="285" t="str">
        <f t="shared" si="332"/>
        <v/>
      </c>
    </row>
    <row r="11777" spans="6:6" x14ac:dyDescent="0.2">
      <c r="F11777" s="285" t="str">
        <f t="shared" si="332"/>
        <v/>
      </c>
    </row>
    <row r="11778" spans="6:6" x14ac:dyDescent="0.2">
      <c r="F11778" s="285" t="str">
        <f t="shared" si="332"/>
        <v/>
      </c>
    </row>
    <row r="11779" spans="6:6" x14ac:dyDescent="0.2">
      <c r="F11779" s="285" t="str">
        <f t="shared" si="332"/>
        <v/>
      </c>
    </row>
    <row r="11780" spans="6:6" x14ac:dyDescent="0.2">
      <c r="F11780" s="285" t="str">
        <f t="shared" si="332"/>
        <v/>
      </c>
    </row>
    <row r="11781" spans="6:6" x14ac:dyDescent="0.2">
      <c r="F11781" s="285" t="str">
        <f t="shared" ref="F11781:F11844" si="333">IF(A11781="","",A11781)</f>
        <v/>
      </c>
    </row>
    <row r="11782" spans="6:6" x14ac:dyDescent="0.2">
      <c r="F11782" s="285" t="str">
        <f t="shared" si="333"/>
        <v/>
      </c>
    </row>
    <row r="11783" spans="6:6" x14ac:dyDescent="0.2">
      <c r="F11783" s="285" t="str">
        <f t="shared" si="333"/>
        <v/>
      </c>
    </row>
    <row r="11784" spans="6:6" x14ac:dyDescent="0.2">
      <c r="F11784" s="285" t="str">
        <f t="shared" si="333"/>
        <v/>
      </c>
    </row>
    <row r="11785" spans="6:6" x14ac:dyDescent="0.2">
      <c r="F11785" s="285" t="str">
        <f t="shared" si="333"/>
        <v/>
      </c>
    </row>
    <row r="11786" spans="6:6" x14ac:dyDescent="0.2">
      <c r="F11786" s="285" t="str">
        <f t="shared" si="333"/>
        <v/>
      </c>
    </row>
    <row r="11787" spans="6:6" x14ac:dyDescent="0.2">
      <c r="F11787" s="285" t="str">
        <f t="shared" si="333"/>
        <v/>
      </c>
    </row>
    <row r="11788" spans="6:6" x14ac:dyDescent="0.2">
      <c r="F11788" s="285" t="str">
        <f t="shared" si="333"/>
        <v/>
      </c>
    </row>
    <row r="11789" spans="6:6" x14ac:dyDescent="0.2">
      <c r="F11789" s="285" t="str">
        <f t="shared" si="333"/>
        <v/>
      </c>
    </row>
    <row r="11790" spans="6:6" x14ac:dyDescent="0.2">
      <c r="F11790" s="285" t="str">
        <f t="shared" si="333"/>
        <v/>
      </c>
    </row>
    <row r="11791" spans="6:6" x14ac:dyDescent="0.2">
      <c r="F11791" s="285" t="str">
        <f t="shared" si="333"/>
        <v/>
      </c>
    </row>
    <row r="11792" spans="6:6" x14ac:dyDescent="0.2">
      <c r="F11792" s="285" t="str">
        <f t="shared" si="333"/>
        <v/>
      </c>
    </row>
    <row r="11793" spans="6:6" x14ac:dyDescent="0.2">
      <c r="F11793" s="285" t="str">
        <f t="shared" si="333"/>
        <v/>
      </c>
    </row>
    <row r="11794" spans="6:6" x14ac:dyDescent="0.2">
      <c r="F11794" s="285" t="str">
        <f t="shared" si="333"/>
        <v/>
      </c>
    </row>
    <row r="11795" spans="6:6" x14ac:dyDescent="0.2">
      <c r="F11795" s="285" t="str">
        <f t="shared" si="333"/>
        <v/>
      </c>
    </row>
    <row r="11796" spans="6:6" x14ac:dyDescent="0.2">
      <c r="F11796" s="285" t="str">
        <f t="shared" si="333"/>
        <v/>
      </c>
    </row>
    <row r="11797" spans="6:6" x14ac:dyDescent="0.2">
      <c r="F11797" s="285" t="str">
        <f t="shared" si="333"/>
        <v/>
      </c>
    </row>
    <row r="11798" spans="6:6" x14ac:dyDescent="0.2">
      <c r="F11798" s="285" t="str">
        <f t="shared" si="333"/>
        <v/>
      </c>
    </row>
    <row r="11799" spans="6:6" x14ac:dyDescent="0.2">
      <c r="F11799" s="285" t="str">
        <f t="shared" si="333"/>
        <v/>
      </c>
    </row>
    <row r="11800" spans="6:6" x14ac:dyDescent="0.2">
      <c r="F11800" s="285" t="str">
        <f t="shared" si="333"/>
        <v/>
      </c>
    </row>
    <row r="11801" spans="6:6" x14ac:dyDescent="0.2">
      <c r="F11801" s="285" t="str">
        <f t="shared" si="333"/>
        <v/>
      </c>
    </row>
    <row r="11802" spans="6:6" x14ac:dyDescent="0.2">
      <c r="F11802" s="285" t="str">
        <f t="shared" si="333"/>
        <v/>
      </c>
    </row>
    <row r="11803" spans="6:6" x14ac:dyDescent="0.2">
      <c r="F11803" s="285" t="str">
        <f t="shared" si="333"/>
        <v/>
      </c>
    </row>
    <row r="11804" spans="6:6" x14ac:dyDescent="0.2">
      <c r="F11804" s="285" t="str">
        <f t="shared" si="333"/>
        <v/>
      </c>
    </row>
    <row r="11805" spans="6:6" x14ac:dyDescent="0.2">
      <c r="F11805" s="285" t="str">
        <f t="shared" si="333"/>
        <v/>
      </c>
    </row>
    <row r="11806" spans="6:6" x14ac:dyDescent="0.2">
      <c r="F11806" s="285" t="str">
        <f t="shared" si="333"/>
        <v/>
      </c>
    </row>
    <row r="11807" spans="6:6" x14ac:dyDescent="0.2">
      <c r="F11807" s="285" t="str">
        <f t="shared" si="333"/>
        <v/>
      </c>
    </row>
    <row r="11808" spans="6:6" x14ac:dyDescent="0.2">
      <c r="F11808" s="285" t="str">
        <f t="shared" si="333"/>
        <v/>
      </c>
    </row>
    <row r="11809" spans="6:6" x14ac:dyDescent="0.2">
      <c r="F11809" s="285" t="str">
        <f t="shared" si="333"/>
        <v/>
      </c>
    </row>
    <row r="11810" spans="6:6" x14ac:dyDescent="0.2">
      <c r="F11810" s="285" t="str">
        <f t="shared" si="333"/>
        <v/>
      </c>
    </row>
    <row r="11811" spans="6:6" x14ac:dyDescent="0.2">
      <c r="F11811" s="285" t="str">
        <f t="shared" si="333"/>
        <v/>
      </c>
    </row>
    <row r="11812" spans="6:6" x14ac:dyDescent="0.2">
      <c r="F11812" s="285" t="str">
        <f t="shared" si="333"/>
        <v/>
      </c>
    </row>
    <row r="11813" spans="6:6" x14ac:dyDescent="0.2">
      <c r="F11813" s="285" t="str">
        <f t="shared" si="333"/>
        <v/>
      </c>
    </row>
    <row r="11814" spans="6:6" x14ac:dyDescent="0.2">
      <c r="F11814" s="285" t="str">
        <f t="shared" si="333"/>
        <v/>
      </c>
    </row>
    <row r="11815" spans="6:6" x14ac:dyDescent="0.2">
      <c r="F11815" s="285" t="str">
        <f t="shared" si="333"/>
        <v/>
      </c>
    </row>
    <row r="11816" spans="6:6" x14ac:dyDescent="0.2">
      <c r="F11816" s="285" t="str">
        <f t="shared" si="333"/>
        <v/>
      </c>
    </row>
    <row r="11817" spans="6:6" x14ac:dyDescent="0.2">
      <c r="F11817" s="285" t="str">
        <f t="shared" si="333"/>
        <v/>
      </c>
    </row>
    <row r="11818" spans="6:6" x14ac:dyDescent="0.2">
      <c r="F11818" s="285" t="str">
        <f t="shared" si="333"/>
        <v/>
      </c>
    </row>
    <row r="11819" spans="6:6" x14ac:dyDescent="0.2">
      <c r="F11819" s="285" t="str">
        <f t="shared" si="333"/>
        <v/>
      </c>
    </row>
    <row r="11820" spans="6:6" x14ac:dyDescent="0.2">
      <c r="F11820" s="285" t="str">
        <f t="shared" si="333"/>
        <v/>
      </c>
    </row>
    <row r="11821" spans="6:6" x14ac:dyDescent="0.2">
      <c r="F11821" s="285" t="str">
        <f t="shared" si="333"/>
        <v/>
      </c>
    </row>
    <row r="11822" spans="6:6" x14ac:dyDescent="0.2">
      <c r="F11822" s="285" t="str">
        <f t="shared" si="333"/>
        <v/>
      </c>
    </row>
    <row r="11823" spans="6:6" x14ac:dyDescent="0.2">
      <c r="F11823" s="285" t="str">
        <f t="shared" si="333"/>
        <v/>
      </c>
    </row>
    <row r="11824" spans="6:6" x14ac:dyDescent="0.2">
      <c r="F11824" s="285" t="str">
        <f t="shared" si="333"/>
        <v/>
      </c>
    </row>
    <row r="11825" spans="6:6" x14ac:dyDescent="0.2">
      <c r="F11825" s="285" t="str">
        <f t="shared" si="333"/>
        <v/>
      </c>
    </row>
    <row r="11826" spans="6:6" x14ac:dyDescent="0.2">
      <c r="F11826" s="285" t="str">
        <f t="shared" si="333"/>
        <v/>
      </c>
    </row>
    <row r="11827" spans="6:6" x14ac:dyDescent="0.2">
      <c r="F11827" s="285" t="str">
        <f t="shared" si="333"/>
        <v/>
      </c>
    </row>
    <row r="11828" spans="6:6" x14ac:dyDescent="0.2">
      <c r="F11828" s="285" t="str">
        <f t="shared" si="333"/>
        <v/>
      </c>
    </row>
    <row r="11829" spans="6:6" x14ac:dyDescent="0.2">
      <c r="F11829" s="285" t="str">
        <f t="shared" si="333"/>
        <v/>
      </c>
    </row>
    <row r="11830" spans="6:6" x14ac:dyDescent="0.2">
      <c r="F11830" s="285" t="str">
        <f t="shared" si="333"/>
        <v/>
      </c>
    </row>
    <row r="11831" spans="6:6" x14ac:dyDescent="0.2">
      <c r="F11831" s="285" t="str">
        <f t="shared" si="333"/>
        <v/>
      </c>
    </row>
    <row r="11832" spans="6:6" x14ac:dyDescent="0.2">
      <c r="F11832" s="285" t="str">
        <f t="shared" si="333"/>
        <v/>
      </c>
    </row>
    <row r="11833" spans="6:6" x14ac:dyDescent="0.2">
      <c r="F11833" s="285" t="str">
        <f t="shared" si="333"/>
        <v/>
      </c>
    </row>
    <row r="11834" spans="6:6" x14ac:dyDescent="0.2">
      <c r="F11834" s="285" t="str">
        <f t="shared" si="333"/>
        <v/>
      </c>
    </row>
    <row r="11835" spans="6:6" x14ac:dyDescent="0.2">
      <c r="F11835" s="285" t="str">
        <f t="shared" si="333"/>
        <v/>
      </c>
    </row>
    <row r="11836" spans="6:6" x14ac:dyDescent="0.2">
      <c r="F11836" s="285" t="str">
        <f t="shared" si="333"/>
        <v/>
      </c>
    </row>
    <row r="11837" spans="6:6" x14ac:dyDescent="0.2">
      <c r="F11837" s="285" t="str">
        <f t="shared" si="333"/>
        <v/>
      </c>
    </row>
    <row r="11838" spans="6:6" x14ac:dyDescent="0.2">
      <c r="F11838" s="285" t="str">
        <f t="shared" si="333"/>
        <v/>
      </c>
    </row>
    <row r="11839" spans="6:6" x14ac:dyDescent="0.2">
      <c r="F11839" s="285" t="str">
        <f t="shared" si="333"/>
        <v/>
      </c>
    </row>
    <row r="11840" spans="6:6" x14ac:dyDescent="0.2">
      <c r="F11840" s="285" t="str">
        <f t="shared" si="333"/>
        <v/>
      </c>
    </row>
    <row r="11841" spans="6:6" x14ac:dyDescent="0.2">
      <c r="F11841" s="285" t="str">
        <f t="shared" si="333"/>
        <v/>
      </c>
    </row>
    <row r="11842" spans="6:6" x14ac:dyDescent="0.2">
      <c r="F11842" s="285" t="str">
        <f t="shared" si="333"/>
        <v/>
      </c>
    </row>
    <row r="11843" spans="6:6" x14ac:dyDescent="0.2">
      <c r="F11843" s="285" t="str">
        <f t="shared" si="333"/>
        <v/>
      </c>
    </row>
    <row r="11844" spans="6:6" x14ac:dyDescent="0.2">
      <c r="F11844" s="285" t="str">
        <f t="shared" si="333"/>
        <v/>
      </c>
    </row>
    <row r="11845" spans="6:6" x14ac:dyDescent="0.2">
      <c r="F11845" s="285" t="str">
        <f t="shared" ref="F11845:F11908" si="334">IF(A11845="","",A11845)</f>
        <v/>
      </c>
    </row>
    <row r="11846" spans="6:6" x14ac:dyDescent="0.2">
      <c r="F11846" s="285" t="str">
        <f t="shared" si="334"/>
        <v/>
      </c>
    </row>
    <row r="11847" spans="6:6" x14ac:dyDescent="0.2">
      <c r="F11847" s="285" t="str">
        <f t="shared" si="334"/>
        <v/>
      </c>
    </row>
    <row r="11848" spans="6:6" x14ac:dyDescent="0.2">
      <c r="F11848" s="285" t="str">
        <f t="shared" si="334"/>
        <v/>
      </c>
    </row>
    <row r="11849" spans="6:6" x14ac:dyDescent="0.2">
      <c r="F11849" s="285" t="str">
        <f t="shared" si="334"/>
        <v/>
      </c>
    </row>
    <row r="11850" spans="6:6" x14ac:dyDescent="0.2">
      <c r="F11850" s="285" t="str">
        <f t="shared" si="334"/>
        <v/>
      </c>
    </row>
    <row r="11851" spans="6:6" x14ac:dyDescent="0.2">
      <c r="F11851" s="285" t="str">
        <f t="shared" si="334"/>
        <v/>
      </c>
    </row>
    <row r="11852" spans="6:6" x14ac:dyDescent="0.2">
      <c r="F11852" s="285" t="str">
        <f t="shared" si="334"/>
        <v/>
      </c>
    </row>
    <row r="11853" spans="6:6" x14ac:dyDescent="0.2">
      <c r="F11853" s="285" t="str">
        <f t="shared" si="334"/>
        <v/>
      </c>
    </row>
    <row r="11854" spans="6:6" x14ac:dyDescent="0.2">
      <c r="F11854" s="285" t="str">
        <f t="shared" si="334"/>
        <v/>
      </c>
    </row>
    <row r="11855" spans="6:6" x14ac:dyDescent="0.2">
      <c r="F11855" s="285" t="str">
        <f t="shared" si="334"/>
        <v/>
      </c>
    </row>
    <row r="11856" spans="6:6" x14ac:dyDescent="0.2">
      <c r="F11856" s="285" t="str">
        <f t="shared" si="334"/>
        <v/>
      </c>
    </row>
    <row r="11857" spans="6:6" x14ac:dyDescent="0.2">
      <c r="F11857" s="285" t="str">
        <f t="shared" si="334"/>
        <v/>
      </c>
    </row>
    <row r="11858" spans="6:6" x14ac:dyDescent="0.2">
      <c r="F11858" s="285" t="str">
        <f t="shared" si="334"/>
        <v/>
      </c>
    </row>
    <row r="11859" spans="6:6" x14ac:dyDescent="0.2">
      <c r="F11859" s="285" t="str">
        <f t="shared" si="334"/>
        <v/>
      </c>
    </row>
    <row r="11860" spans="6:6" x14ac:dyDescent="0.2">
      <c r="F11860" s="285" t="str">
        <f t="shared" si="334"/>
        <v/>
      </c>
    </row>
    <row r="11861" spans="6:6" x14ac:dyDescent="0.2">
      <c r="F11861" s="285" t="str">
        <f t="shared" si="334"/>
        <v/>
      </c>
    </row>
    <row r="11862" spans="6:6" x14ac:dyDescent="0.2">
      <c r="F11862" s="285" t="str">
        <f t="shared" si="334"/>
        <v/>
      </c>
    </row>
    <row r="11863" spans="6:6" x14ac:dyDescent="0.2">
      <c r="F11863" s="285" t="str">
        <f t="shared" si="334"/>
        <v/>
      </c>
    </row>
    <row r="11864" spans="6:6" x14ac:dyDescent="0.2">
      <c r="F11864" s="285" t="str">
        <f t="shared" si="334"/>
        <v/>
      </c>
    </row>
    <row r="11865" spans="6:6" x14ac:dyDescent="0.2">
      <c r="F11865" s="285" t="str">
        <f t="shared" si="334"/>
        <v/>
      </c>
    </row>
    <row r="11866" spans="6:6" x14ac:dyDescent="0.2">
      <c r="F11866" s="285" t="str">
        <f t="shared" si="334"/>
        <v/>
      </c>
    </row>
    <row r="11867" spans="6:6" x14ac:dyDescent="0.2">
      <c r="F11867" s="285" t="str">
        <f t="shared" si="334"/>
        <v/>
      </c>
    </row>
    <row r="11868" spans="6:6" x14ac:dyDescent="0.2">
      <c r="F11868" s="285" t="str">
        <f t="shared" si="334"/>
        <v/>
      </c>
    </row>
    <row r="11869" spans="6:6" x14ac:dyDescent="0.2">
      <c r="F11869" s="285" t="str">
        <f t="shared" si="334"/>
        <v/>
      </c>
    </row>
    <row r="11870" spans="6:6" x14ac:dyDescent="0.2">
      <c r="F11870" s="285" t="str">
        <f t="shared" si="334"/>
        <v/>
      </c>
    </row>
    <row r="11871" spans="6:6" x14ac:dyDescent="0.2">
      <c r="F11871" s="285" t="str">
        <f t="shared" si="334"/>
        <v/>
      </c>
    </row>
    <row r="11872" spans="6:6" x14ac:dyDescent="0.2">
      <c r="F11872" s="285" t="str">
        <f t="shared" si="334"/>
        <v/>
      </c>
    </row>
    <row r="11873" spans="6:6" x14ac:dyDescent="0.2">
      <c r="F11873" s="285" t="str">
        <f t="shared" si="334"/>
        <v/>
      </c>
    </row>
    <row r="11874" spans="6:6" x14ac:dyDescent="0.2">
      <c r="F11874" s="285" t="str">
        <f t="shared" si="334"/>
        <v/>
      </c>
    </row>
    <row r="11875" spans="6:6" x14ac:dyDescent="0.2">
      <c r="F11875" s="285" t="str">
        <f t="shared" si="334"/>
        <v/>
      </c>
    </row>
    <row r="11876" spans="6:6" x14ac:dyDescent="0.2">
      <c r="F11876" s="285" t="str">
        <f t="shared" si="334"/>
        <v/>
      </c>
    </row>
    <row r="11877" spans="6:6" x14ac:dyDescent="0.2">
      <c r="F11877" s="285" t="str">
        <f t="shared" si="334"/>
        <v/>
      </c>
    </row>
    <row r="11878" spans="6:6" x14ac:dyDescent="0.2">
      <c r="F11878" s="285" t="str">
        <f t="shared" si="334"/>
        <v/>
      </c>
    </row>
    <row r="11879" spans="6:6" x14ac:dyDescent="0.2">
      <c r="F11879" s="285" t="str">
        <f t="shared" si="334"/>
        <v/>
      </c>
    </row>
    <row r="11880" spans="6:6" x14ac:dyDescent="0.2">
      <c r="F11880" s="285" t="str">
        <f t="shared" si="334"/>
        <v/>
      </c>
    </row>
    <row r="11881" spans="6:6" x14ac:dyDescent="0.2">
      <c r="F11881" s="285" t="str">
        <f t="shared" si="334"/>
        <v/>
      </c>
    </row>
    <row r="11882" spans="6:6" x14ac:dyDescent="0.2">
      <c r="F11882" s="285" t="str">
        <f t="shared" si="334"/>
        <v/>
      </c>
    </row>
    <row r="11883" spans="6:6" x14ac:dyDescent="0.2">
      <c r="F11883" s="285" t="str">
        <f t="shared" si="334"/>
        <v/>
      </c>
    </row>
    <row r="11884" spans="6:6" x14ac:dyDescent="0.2">
      <c r="F11884" s="285" t="str">
        <f t="shared" si="334"/>
        <v/>
      </c>
    </row>
    <row r="11885" spans="6:6" x14ac:dyDescent="0.2">
      <c r="F11885" s="285" t="str">
        <f t="shared" si="334"/>
        <v/>
      </c>
    </row>
    <row r="11886" spans="6:6" x14ac:dyDescent="0.2">
      <c r="F11886" s="285" t="str">
        <f t="shared" si="334"/>
        <v/>
      </c>
    </row>
    <row r="11887" spans="6:6" x14ac:dyDescent="0.2">
      <c r="F11887" s="285" t="str">
        <f t="shared" si="334"/>
        <v/>
      </c>
    </row>
    <row r="11888" spans="6:6" x14ac:dyDescent="0.2">
      <c r="F11888" s="285" t="str">
        <f t="shared" si="334"/>
        <v/>
      </c>
    </row>
    <row r="11889" spans="6:6" x14ac:dyDescent="0.2">
      <c r="F11889" s="285" t="str">
        <f t="shared" si="334"/>
        <v/>
      </c>
    </row>
    <row r="11890" spans="6:6" x14ac:dyDescent="0.2">
      <c r="F11890" s="285" t="str">
        <f t="shared" si="334"/>
        <v/>
      </c>
    </row>
    <row r="11891" spans="6:6" x14ac:dyDescent="0.2">
      <c r="F11891" s="285" t="str">
        <f t="shared" si="334"/>
        <v/>
      </c>
    </row>
    <row r="11892" spans="6:6" x14ac:dyDescent="0.2">
      <c r="F11892" s="285" t="str">
        <f t="shared" si="334"/>
        <v/>
      </c>
    </row>
    <row r="11893" spans="6:6" x14ac:dyDescent="0.2">
      <c r="F11893" s="285" t="str">
        <f t="shared" si="334"/>
        <v/>
      </c>
    </row>
    <row r="11894" spans="6:6" x14ac:dyDescent="0.2">
      <c r="F11894" s="285" t="str">
        <f t="shared" si="334"/>
        <v/>
      </c>
    </row>
    <row r="11895" spans="6:6" x14ac:dyDescent="0.2">
      <c r="F11895" s="285" t="str">
        <f t="shared" si="334"/>
        <v/>
      </c>
    </row>
    <row r="11896" spans="6:6" x14ac:dyDescent="0.2">
      <c r="F11896" s="285" t="str">
        <f t="shared" si="334"/>
        <v/>
      </c>
    </row>
    <row r="11897" spans="6:6" x14ac:dyDescent="0.2">
      <c r="F11897" s="285" t="str">
        <f t="shared" si="334"/>
        <v/>
      </c>
    </row>
    <row r="11898" spans="6:6" x14ac:dyDescent="0.2">
      <c r="F11898" s="285" t="str">
        <f t="shared" si="334"/>
        <v/>
      </c>
    </row>
    <row r="11899" spans="6:6" x14ac:dyDescent="0.2">
      <c r="F11899" s="285" t="str">
        <f t="shared" si="334"/>
        <v/>
      </c>
    </row>
    <row r="11900" spans="6:6" x14ac:dyDescent="0.2">
      <c r="F11900" s="285" t="str">
        <f t="shared" si="334"/>
        <v/>
      </c>
    </row>
    <row r="11901" spans="6:6" x14ac:dyDescent="0.2">
      <c r="F11901" s="285" t="str">
        <f t="shared" si="334"/>
        <v/>
      </c>
    </row>
    <row r="11902" spans="6:6" x14ac:dyDescent="0.2">
      <c r="F11902" s="285" t="str">
        <f t="shared" si="334"/>
        <v/>
      </c>
    </row>
    <row r="11903" spans="6:6" x14ac:dyDescent="0.2">
      <c r="F11903" s="285" t="str">
        <f t="shared" si="334"/>
        <v/>
      </c>
    </row>
    <row r="11904" spans="6:6" x14ac:dyDescent="0.2">
      <c r="F11904" s="285" t="str">
        <f t="shared" si="334"/>
        <v/>
      </c>
    </row>
    <row r="11905" spans="6:6" x14ac:dyDescent="0.2">
      <c r="F11905" s="285" t="str">
        <f t="shared" si="334"/>
        <v/>
      </c>
    </row>
    <row r="11906" spans="6:6" x14ac:dyDescent="0.2">
      <c r="F11906" s="285" t="str">
        <f t="shared" si="334"/>
        <v/>
      </c>
    </row>
    <row r="11907" spans="6:6" x14ac:dyDescent="0.2">
      <c r="F11907" s="285" t="str">
        <f t="shared" si="334"/>
        <v/>
      </c>
    </row>
    <row r="11908" spans="6:6" x14ac:dyDescent="0.2">
      <c r="F11908" s="285" t="str">
        <f t="shared" si="334"/>
        <v/>
      </c>
    </row>
    <row r="11909" spans="6:6" x14ac:dyDescent="0.2">
      <c r="F11909" s="285" t="str">
        <f t="shared" ref="F11909:F11972" si="335">IF(A11909="","",A11909)</f>
        <v/>
      </c>
    </row>
    <row r="11910" spans="6:6" x14ac:dyDescent="0.2">
      <c r="F11910" s="285" t="str">
        <f t="shared" si="335"/>
        <v/>
      </c>
    </row>
    <row r="11911" spans="6:6" x14ac:dyDescent="0.2">
      <c r="F11911" s="285" t="str">
        <f t="shared" si="335"/>
        <v/>
      </c>
    </row>
    <row r="11912" spans="6:6" x14ac:dyDescent="0.2">
      <c r="F11912" s="285" t="str">
        <f t="shared" si="335"/>
        <v/>
      </c>
    </row>
    <row r="11913" spans="6:6" x14ac:dyDescent="0.2">
      <c r="F11913" s="285" t="str">
        <f t="shared" si="335"/>
        <v/>
      </c>
    </row>
    <row r="11914" spans="6:6" x14ac:dyDescent="0.2">
      <c r="F11914" s="285" t="str">
        <f t="shared" si="335"/>
        <v/>
      </c>
    </row>
    <row r="11915" spans="6:6" x14ac:dyDescent="0.2">
      <c r="F11915" s="285" t="str">
        <f t="shared" si="335"/>
        <v/>
      </c>
    </row>
    <row r="11916" spans="6:6" x14ac:dyDescent="0.2">
      <c r="F11916" s="285" t="str">
        <f t="shared" si="335"/>
        <v/>
      </c>
    </row>
    <row r="11917" spans="6:6" x14ac:dyDescent="0.2">
      <c r="F11917" s="285" t="str">
        <f t="shared" si="335"/>
        <v/>
      </c>
    </row>
    <row r="11918" spans="6:6" x14ac:dyDescent="0.2">
      <c r="F11918" s="285" t="str">
        <f t="shared" si="335"/>
        <v/>
      </c>
    </row>
    <row r="11919" spans="6:6" x14ac:dyDescent="0.2">
      <c r="F11919" s="285" t="str">
        <f t="shared" si="335"/>
        <v/>
      </c>
    </row>
    <row r="11920" spans="6:6" x14ac:dyDescent="0.2">
      <c r="F11920" s="285" t="str">
        <f t="shared" si="335"/>
        <v/>
      </c>
    </row>
    <row r="11921" spans="6:6" x14ac:dyDescent="0.2">
      <c r="F11921" s="285" t="str">
        <f t="shared" si="335"/>
        <v/>
      </c>
    </row>
    <row r="11922" spans="6:6" x14ac:dyDescent="0.2">
      <c r="F11922" s="285" t="str">
        <f t="shared" si="335"/>
        <v/>
      </c>
    </row>
    <row r="11923" spans="6:6" x14ac:dyDescent="0.2">
      <c r="F11923" s="285" t="str">
        <f t="shared" si="335"/>
        <v/>
      </c>
    </row>
    <row r="11924" spans="6:6" x14ac:dyDescent="0.2">
      <c r="F11924" s="285" t="str">
        <f t="shared" si="335"/>
        <v/>
      </c>
    </row>
    <row r="11925" spans="6:6" x14ac:dyDescent="0.2">
      <c r="F11925" s="285" t="str">
        <f t="shared" si="335"/>
        <v/>
      </c>
    </row>
    <row r="11926" spans="6:6" x14ac:dyDescent="0.2">
      <c r="F11926" s="285" t="str">
        <f t="shared" si="335"/>
        <v/>
      </c>
    </row>
    <row r="11927" spans="6:6" x14ac:dyDescent="0.2">
      <c r="F11927" s="285" t="str">
        <f t="shared" si="335"/>
        <v/>
      </c>
    </row>
    <row r="11928" spans="6:6" x14ac:dyDescent="0.2">
      <c r="F11928" s="285" t="str">
        <f t="shared" si="335"/>
        <v/>
      </c>
    </row>
    <row r="11929" spans="6:6" x14ac:dyDescent="0.2">
      <c r="F11929" s="285" t="str">
        <f t="shared" si="335"/>
        <v/>
      </c>
    </row>
    <row r="11930" spans="6:6" x14ac:dyDescent="0.2">
      <c r="F11930" s="285" t="str">
        <f t="shared" si="335"/>
        <v/>
      </c>
    </row>
    <row r="11931" spans="6:6" x14ac:dyDescent="0.2">
      <c r="F11931" s="285" t="str">
        <f t="shared" si="335"/>
        <v/>
      </c>
    </row>
    <row r="11932" spans="6:6" x14ac:dyDescent="0.2">
      <c r="F11932" s="285" t="str">
        <f t="shared" si="335"/>
        <v/>
      </c>
    </row>
    <row r="11933" spans="6:6" x14ac:dyDescent="0.2">
      <c r="F11933" s="285" t="str">
        <f t="shared" si="335"/>
        <v/>
      </c>
    </row>
    <row r="11934" spans="6:6" x14ac:dyDescent="0.2">
      <c r="F11934" s="285" t="str">
        <f t="shared" si="335"/>
        <v/>
      </c>
    </row>
    <row r="11935" spans="6:6" x14ac:dyDescent="0.2">
      <c r="F11935" s="285" t="str">
        <f t="shared" si="335"/>
        <v/>
      </c>
    </row>
    <row r="11936" spans="6:6" x14ac:dyDescent="0.2">
      <c r="F11936" s="285" t="str">
        <f t="shared" si="335"/>
        <v/>
      </c>
    </row>
    <row r="11937" spans="6:6" x14ac:dyDescent="0.2">
      <c r="F11937" s="285" t="str">
        <f t="shared" si="335"/>
        <v/>
      </c>
    </row>
    <row r="11938" spans="6:6" x14ac:dyDescent="0.2">
      <c r="F11938" s="285" t="str">
        <f t="shared" si="335"/>
        <v/>
      </c>
    </row>
    <row r="11939" spans="6:6" x14ac:dyDescent="0.2">
      <c r="F11939" s="285" t="str">
        <f t="shared" si="335"/>
        <v/>
      </c>
    </row>
    <row r="11940" spans="6:6" x14ac:dyDescent="0.2">
      <c r="F11940" s="285" t="str">
        <f t="shared" si="335"/>
        <v/>
      </c>
    </row>
    <row r="11941" spans="6:6" x14ac:dyDescent="0.2">
      <c r="F11941" s="285" t="str">
        <f t="shared" si="335"/>
        <v/>
      </c>
    </row>
    <row r="11942" spans="6:6" x14ac:dyDescent="0.2">
      <c r="F11942" s="285" t="str">
        <f t="shared" si="335"/>
        <v/>
      </c>
    </row>
    <row r="11943" spans="6:6" x14ac:dyDescent="0.2">
      <c r="F11943" s="285" t="str">
        <f t="shared" si="335"/>
        <v/>
      </c>
    </row>
    <row r="11944" spans="6:6" x14ac:dyDescent="0.2">
      <c r="F11944" s="285" t="str">
        <f t="shared" si="335"/>
        <v/>
      </c>
    </row>
    <row r="11945" spans="6:6" x14ac:dyDescent="0.2">
      <c r="F11945" s="285" t="str">
        <f t="shared" si="335"/>
        <v/>
      </c>
    </row>
    <row r="11946" spans="6:6" x14ac:dyDescent="0.2">
      <c r="F11946" s="285" t="str">
        <f t="shared" si="335"/>
        <v/>
      </c>
    </row>
    <row r="11947" spans="6:6" x14ac:dyDescent="0.2">
      <c r="F11947" s="285" t="str">
        <f t="shared" si="335"/>
        <v/>
      </c>
    </row>
    <row r="11948" spans="6:6" x14ac:dyDescent="0.2">
      <c r="F11948" s="285" t="str">
        <f t="shared" si="335"/>
        <v/>
      </c>
    </row>
    <row r="11949" spans="6:6" x14ac:dyDescent="0.2">
      <c r="F11949" s="285" t="str">
        <f t="shared" si="335"/>
        <v/>
      </c>
    </row>
    <row r="11950" spans="6:6" x14ac:dyDescent="0.2">
      <c r="F11950" s="285" t="str">
        <f t="shared" si="335"/>
        <v/>
      </c>
    </row>
    <row r="11951" spans="6:6" x14ac:dyDescent="0.2">
      <c r="F11951" s="285" t="str">
        <f t="shared" si="335"/>
        <v/>
      </c>
    </row>
    <row r="11952" spans="6:6" x14ac:dyDescent="0.2">
      <c r="F11952" s="285" t="str">
        <f t="shared" si="335"/>
        <v/>
      </c>
    </row>
    <row r="11953" spans="6:6" x14ac:dyDescent="0.2">
      <c r="F11953" s="285" t="str">
        <f t="shared" si="335"/>
        <v/>
      </c>
    </row>
    <row r="11954" spans="6:6" x14ac:dyDescent="0.2">
      <c r="F11954" s="285" t="str">
        <f t="shared" si="335"/>
        <v/>
      </c>
    </row>
    <row r="11955" spans="6:6" x14ac:dyDescent="0.2">
      <c r="F11955" s="285" t="str">
        <f t="shared" si="335"/>
        <v/>
      </c>
    </row>
    <row r="11956" spans="6:6" x14ac:dyDescent="0.2">
      <c r="F11956" s="285" t="str">
        <f t="shared" si="335"/>
        <v/>
      </c>
    </row>
    <row r="11957" spans="6:6" x14ac:dyDescent="0.2">
      <c r="F11957" s="285" t="str">
        <f t="shared" si="335"/>
        <v/>
      </c>
    </row>
    <row r="11958" spans="6:6" x14ac:dyDescent="0.2">
      <c r="F11958" s="285" t="str">
        <f t="shared" si="335"/>
        <v/>
      </c>
    </row>
    <row r="11959" spans="6:6" x14ac:dyDescent="0.2">
      <c r="F11959" s="285" t="str">
        <f t="shared" si="335"/>
        <v/>
      </c>
    </row>
    <row r="11960" spans="6:6" x14ac:dyDescent="0.2">
      <c r="F11960" s="285" t="str">
        <f t="shared" si="335"/>
        <v/>
      </c>
    </row>
    <row r="11961" spans="6:6" x14ac:dyDescent="0.2">
      <c r="F11961" s="285" t="str">
        <f t="shared" si="335"/>
        <v/>
      </c>
    </row>
    <row r="11962" spans="6:6" x14ac:dyDescent="0.2">
      <c r="F11962" s="285" t="str">
        <f t="shared" si="335"/>
        <v/>
      </c>
    </row>
    <row r="11963" spans="6:6" x14ac:dyDescent="0.2">
      <c r="F11963" s="285" t="str">
        <f t="shared" si="335"/>
        <v/>
      </c>
    </row>
    <row r="11964" spans="6:6" x14ac:dyDescent="0.2">
      <c r="F11964" s="285" t="str">
        <f t="shared" si="335"/>
        <v/>
      </c>
    </row>
    <row r="11965" spans="6:6" x14ac:dyDescent="0.2">
      <c r="F11965" s="285" t="str">
        <f t="shared" si="335"/>
        <v/>
      </c>
    </row>
    <row r="11966" spans="6:6" x14ac:dyDescent="0.2">
      <c r="F11966" s="285" t="str">
        <f t="shared" si="335"/>
        <v/>
      </c>
    </row>
    <row r="11967" spans="6:6" x14ac:dyDescent="0.2">
      <c r="F11967" s="285" t="str">
        <f t="shared" si="335"/>
        <v/>
      </c>
    </row>
    <row r="11968" spans="6:6" x14ac:dyDescent="0.2">
      <c r="F11968" s="285" t="str">
        <f t="shared" si="335"/>
        <v/>
      </c>
    </row>
    <row r="11969" spans="6:6" x14ac:dyDescent="0.2">
      <c r="F11969" s="285" t="str">
        <f t="shared" si="335"/>
        <v/>
      </c>
    </row>
    <row r="11970" spans="6:6" x14ac:dyDescent="0.2">
      <c r="F11970" s="285" t="str">
        <f t="shared" si="335"/>
        <v/>
      </c>
    </row>
    <row r="11971" spans="6:6" x14ac:dyDescent="0.2">
      <c r="F11971" s="285" t="str">
        <f t="shared" si="335"/>
        <v/>
      </c>
    </row>
    <row r="11972" spans="6:6" x14ac:dyDescent="0.2">
      <c r="F11972" s="285" t="str">
        <f t="shared" si="335"/>
        <v/>
      </c>
    </row>
    <row r="11973" spans="6:6" x14ac:dyDescent="0.2">
      <c r="F11973" s="285" t="str">
        <f t="shared" ref="F11973:F12036" si="336">IF(A11973="","",A11973)</f>
        <v/>
      </c>
    </row>
    <row r="11974" spans="6:6" x14ac:dyDescent="0.2">
      <c r="F11974" s="285" t="str">
        <f t="shared" si="336"/>
        <v/>
      </c>
    </row>
    <row r="11975" spans="6:6" x14ac:dyDescent="0.2">
      <c r="F11975" s="285" t="str">
        <f t="shared" si="336"/>
        <v/>
      </c>
    </row>
    <row r="11976" spans="6:6" x14ac:dyDescent="0.2">
      <c r="F11976" s="285" t="str">
        <f t="shared" si="336"/>
        <v/>
      </c>
    </row>
    <row r="11977" spans="6:6" x14ac:dyDescent="0.2">
      <c r="F11977" s="285" t="str">
        <f t="shared" si="336"/>
        <v/>
      </c>
    </row>
    <row r="11978" spans="6:6" x14ac:dyDescent="0.2">
      <c r="F11978" s="285" t="str">
        <f t="shared" si="336"/>
        <v/>
      </c>
    </row>
    <row r="11979" spans="6:6" x14ac:dyDescent="0.2">
      <c r="F11979" s="285" t="str">
        <f t="shared" si="336"/>
        <v/>
      </c>
    </row>
    <row r="11980" spans="6:6" x14ac:dyDescent="0.2">
      <c r="F11980" s="285" t="str">
        <f t="shared" si="336"/>
        <v/>
      </c>
    </row>
    <row r="11981" spans="6:6" x14ac:dyDescent="0.2">
      <c r="F11981" s="285" t="str">
        <f t="shared" si="336"/>
        <v/>
      </c>
    </row>
    <row r="11982" spans="6:6" x14ac:dyDescent="0.2">
      <c r="F11982" s="285" t="str">
        <f t="shared" si="336"/>
        <v/>
      </c>
    </row>
    <row r="11983" spans="6:6" x14ac:dyDescent="0.2">
      <c r="F11983" s="285" t="str">
        <f t="shared" si="336"/>
        <v/>
      </c>
    </row>
    <row r="11984" spans="6:6" x14ac:dyDescent="0.2">
      <c r="F11984" s="285" t="str">
        <f t="shared" si="336"/>
        <v/>
      </c>
    </row>
    <row r="11985" spans="6:6" x14ac:dyDescent="0.2">
      <c r="F11985" s="285" t="str">
        <f t="shared" si="336"/>
        <v/>
      </c>
    </row>
    <row r="11986" spans="6:6" x14ac:dyDescent="0.2">
      <c r="F11986" s="285" t="str">
        <f t="shared" si="336"/>
        <v/>
      </c>
    </row>
    <row r="11987" spans="6:6" x14ac:dyDescent="0.2">
      <c r="F11987" s="285" t="str">
        <f t="shared" si="336"/>
        <v/>
      </c>
    </row>
    <row r="11988" spans="6:6" x14ac:dyDescent="0.2">
      <c r="F11988" s="285" t="str">
        <f t="shared" si="336"/>
        <v/>
      </c>
    </row>
    <row r="11989" spans="6:6" x14ac:dyDescent="0.2">
      <c r="F11989" s="285" t="str">
        <f t="shared" si="336"/>
        <v/>
      </c>
    </row>
    <row r="11990" spans="6:6" x14ac:dyDescent="0.2">
      <c r="F11990" s="285" t="str">
        <f t="shared" si="336"/>
        <v/>
      </c>
    </row>
    <row r="11991" spans="6:6" x14ac:dyDescent="0.2">
      <c r="F11991" s="285" t="str">
        <f t="shared" si="336"/>
        <v/>
      </c>
    </row>
    <row r="11992" spans="6:6" x14ac:dyDescent="0.2">
      <c r="F11992" s="285" t="str">
        <f t="shared" si="336"/>
        <v/>
      </c>
    </row>
    <row r="11993" spans="6:6" x14ac:dyDescent="0.2">
      <c r="F11993" s="285" t="str">
        <f t="shared" si="336"/>
        <v/>
      </c>
    </row>
    <row r="11994" spans="6:6" x14ac:dyDescent="0.2">
      <c r="F11994" s="285" t="str">
        <f t="shared" si="336"/>
        <v/>
      </c>
    </row>
    <row r="11995" spans="6:6" x14ac:dyDescent="0.2">
      <c r="F11995" s="285" t="str">
        <f t="shared" si="336"/>
        <v/>
      </c>
    </row>
    <row r="11996" spans="6:6" x14ac:dyDescent="0.2">
      <c r="F11996" s="285" t="str">
        <f t="shared" si="336"/>
        <v/>
      </c>
    </row>
    <row r="11997" spans="6:6" x14ac:dyDescent="0.2">
      <c r="F11997" s="285" t="str">
        <f t="shared" si="336"/>
        <v/>
      </c>
    </row>
    <row r="11998" spans="6:6" x14ac:dyDescent="0.2">
      <c r="F11998" s="285" t="str">
        <f t="shared" si="336"/>
        <v/>
      </c>
    </row>
    <row r="11999" spans="6:6" x14ac:dyDescent="0.2">
      <c r="F11999" s="285" t="str">
        <f t="shared" si="336"/>
        <v/>
      </c>
    </row>
    <row r="12000" spans="6:6" x14ac:dyDescent="0.2">
      <c r="F12000" s="285" t="str">
        <f t="shared" si="336"/>
        <v/>
      </c>
    </row>
    <row r="12001" spans="6:6" x14ac:dyDescent="0.2">
      <c r="F12001" s="285" t="str">
        <f t="shared" si="336"/>
        <v/>
      </c>
    </row>
    <row r="12002" spans="6:6" x14ac:dyDescent="0.2">
      <c r="F12002" s="285" t="str">
        <f t="shared" si="336"/>
        <v/>
      </c>
    </row>
    <row r="12003" spans="6:6" x14ac:dyDescent="0.2">
      <c r="F12003" s="285" t="str">
        <f t="shared" si="336"/>
        <v/>
      </c>
    </row>
    <row r="12004" spans="6:6" x14ac:dyDescent="0.2">
      <c r="F12004" s="285" t="str">
        <f t="shared" si="336"/>
        <v/>
      </c>
    </row>
    <row r="12005" spans="6:6" x14ac:dyDescent="0.2">
      <c r="F12005" s="285" t="str">
        <f t="shared" si="336"/>
        <v/>
      </c>
    </row>
    <row r="12006" spans="6:6" x14ac:dyDescent="0.2">
      <c r="F12006" s="285" t="str">
        <f t="shared" si="336"/>
        <v/>
      </c>
    </row>
    <row r="12007" spans="6:6" x14ac:dyDescent="0.2">
      <c r="F12007" s="285" t="str">
        <f t="shared" si="336"/>
        <v/>
      </c>
    </row>
    <row r="12008" spans="6:6" x14ac:dyDescent="0.2">
      <c r="F12008" s="285" t="str">
        <f t="shared" si="336"/>
        <v/>
      </c>
    </row>
    <row r="12009" spans="6:6" x14ac:dyDescent="0.2">
      <c r="F12009" s="285" t="str">
        <f t="shared" si="336"/>
        <v/>
      </c>
    </row>
    <row r="12010" spans="6:6" x14ac:dyDescent="0.2">
      <c r="F12010" s="285" t="str">
        <f t="shared" si="336"/>
        <v/>
      </c>
    </row>
    <row r="12011" spans="6:6" x14ac:dyDescent="0.2">
      <c r="F12011" s="285" t="str">
        <f t="shared" si="336"/>
        <v/>
      </c>
    </row>
    <row r="12012" spans="6:6" x14ac:dyDescent="0.2">
      <c r="F12012" s="285" t="str">
        <f t="shared" si="336"/>
        <v/>
      </c>
    </row>
    <row r="12013" spans="6:6" x14ac:dyDescent="0.2">
      <c r="F12013" s="285" t="str">
        <f t="shared" si="336"/>
        <v/>
      </c>
    </row>
    <row r="12014" spans="6:6" x14ac:dyDescent="0.2">
      <c r="F12014" s="285" t="str">
        <f t="shared" si="336"/>
        <v/>
      </c>
    </row>
    <row r="12015" spans="6:6" x14ac:dyDescent="0.2">
      <c r="F12015" s="285" t="str">
        <f t="shared" si="336"/>
        <v/>
      </c>
    </row>
    <row r="12016" spans="6:6" x14ac:dyDescent="0.2">
      <c r="F12016" s="285" t="str">
        <f t="shared" si="336"/>
        <v/>
      </c>
    </row>
    <row r="12017" spans="6:6" x14ac:dyDescent="0.2">
      <c r="F12017" s="285" t="str">
        <f t="shared" si="336"/>
        <v/>
      </c>
    </row>
    <row r="12018" spans="6:6" x14ac:dyDescent="0.2">
      <c r="F12018" s="285" t="str">
        <f t="shared" si="336"/>
        <v/>
      </c>
    </row>
    <row r="12019" spans="6:6" x14ac:dyDescent="0.2">
      <c r="F12019" s="285" t="str">
        <f t="shared" si="336"/>
        <v/>
      </c>
    </row>
    <row r="12020" spans="6:6" x14ac:dyDescent="0.2">
      <c r="F12020" s="285" t="str">
        <f t="shared" si="336"/>
        <v/>
      </c>
    </row>
    <row r="12021" spans="6:6" x14ac:dyDescent="0.2">
      <c r="F12021" s="285" t="str">
        <f t="shared" si="336"/>
        <v/>
      </c>
    </row>
    <row r="12022" spans="6:6" x14ac:dyDescent="0.2">
      <c r="F12022" s="285" t="str">
        <f t="shared" si="336"/>
        <v/>
      </c>
    </row>
    <row r="12023" spans="6:6" x14ac:dyDescent="0.2">
      <c r="F12023" s="285" t="str">
        <f t="shared" si="336"/>
        <v/>
      </c>
    </row>
    <row r="12024" spans="6:6" x14ac:dyDescent="0.2">
      <c r="F12024" s="285" t="str">
        <f t="shared" si="336"/>
        <v/>
      </c>
    </row>
    <row r="12025" spans="6:6" x14ac:dyDescent="0.2">
      <c r="F12025" s="285" t="str">
        <f t="shared" si="336"/>
        <v/>
      </c>
    </row>
    <row r="12026" spans="6:6" x14ac:dyDescent="0.2">
      <c r="F12026" s="285" t="str">
        <f t="shared" si="336"/>
        <v/>
      </c>
    </row>
    <row r="12027" spans="6:6" x14ac:dyDescent="0.2">
      <c r="F12027" s="285" t="str">
        <f t="shared" si="336"/>
        <v/>
      </c>
    </row>
    <row r="12028" spans="6:6" x14ac:dyDescent="0.2">
      <c r="F12028" s="285" t="str">
        <f t="shared" si="336"/>
        <v/>
      </c>
    </row>
    <row r="12029" spans="6:6" x14ac:dyDescent="0.2">
      <c r="F12029" s="285" t="str">
        <f t="shared" si="336"/>
        <v/>
      </c>
    </row>
    <row r="12030" spans="6:6" x14ac:dyDescent="0.2">
      <c r="F12030" s="285" t="str">
        <f t="shared" si="336"/>
        <v/>
      </c>
    </row>
    <row r="12031" spans="6:6" x14ac:dyDescent="0.2">
      <c r="F12031" s="285" t="str">
        <f t="shared" si="336"/>
        <v/>
      </c>
    </row>
    <row r="12032" spans="6:6" x14ac:dyDescent="0.2">
      <c r="F12032" s="285" t="str">
        <f t="shared" si="336"/>
        <v/>
      </c>
    </row>
    <row r="12033" spans="6:6" x14ac:dyDescent="0.2">
      <c r="F12033" s="285" t="str">
        <f t="shared" si="336"/>
        <v/>
      </c>
    </row>
    <row r="12034" spans="6:6" x14ac:dyDescent="0.2">
      <c r="F12034" s="285" t="str">
        <f t="shared" si="336"/>
        <v/>
      </c>
    </row>
    <row r="12035" spans="6:6" x14ac:dyDescent="0.2">
      <c r="F12035" s="285" t="str">
        <f t="shared" si="336"/>
        <v/>
      </c>
    </row>
    <row r="12036" spans="6:6" x14ac:dyDescent="0.2">
      <c r="F12036" s="285" t="str">
        <f t="shared" si="336"/>
        <v/>
      </c>
    </row>
    <row r="12037" spans="6:6" x14ac:dyDescent="0.2">
      <c r="F12037" s="285" t="str">
        <f t="shared" ref="F12037:F12100" si="337">IF(A12037="","",A12037)</f>
        <v/>
      </c>
    </row>
    <row r="12038" spans="6:6" x14ac:dyDescent="0.2">
      <c r="F12038" s="285" t="str">
        <f t="shared" si="337"/>
        <v/>
      </c>
    </row>
    <row r="12039" spans="6:6" x14ac:dyDescent="0.2">
      <c r="F12039" s="285" t="str">
        <f t="shared" si="337"/>
        <v/>
      </c>
    </row>
    <row r="12040" spans="6:6" x14ac:dyDescent="0.2">
      <c r="F12040" s="285" t="str">
        <f t="shared" si="337"/>
        <v/>
      </c>
    </row>
    <row r="12041" spans="6:6" x14ac:dyDescent="0.2">
      <c r="F12041" s="285" t="str">
        <f t="shared" si="337"/>
        <v/>
      </c>
    </row>
    <row r="12042" spans="6:6" x14ac:dyDescent="0.2">
      <c r="F12042" s="285" t="str">
        <f t="shared" si="337"/>
        <v/>
      </c>
    </row>
    <row r="12043" spans="6:6" x14ac:dyDescent="0.2">
      <c r="F12043" s="285" t="str">
        <f t="shared" si="337"/>
        <v/>
      </c>
    </row>
    <row r="12044" spans="6:6" x14ac:dyDescent="0.2">
      <c r="F12044" s="285" t="str">
        <f t="shared" si="337"/>
        <v/>
      </c>
    </row>
    <row r="12045" spans="6:6" x14ac:dyDescent="0.2">
      <c r="F12045" s="285" t="str">
        <f t="shared" si="337"/>
        <v/>
      </c>
    </row>
    <row r="12046" spans="6:6" x14ac:dyDescent="0.2">
      <c r="F12046" s="285" t="str">
        <f t="shared" si="337"/>
        <v/>
      </c>
    </row>
    <row r="12047" spans="6:6" x14ac:dyDescent="0.2">
      <c r="F12047" s="285" t="str">
        <f t="shared" si="337"/>
        <v/>
      </c>
    </row>
    <row r="12048" spans="6:6" x14ac:dyDescent="0.2">
      <c r="F12048" s="285" t="str">
        <f t="shared" si="337"/>
        <v/>
      </c>
    </row>
    <row r="12049" spans="6:6" x14ac:dyDescent="0.2">
      <c r="F12049" s="285" t="str">
        <f t="shared" si="337"/>
        <v/>
      </c>
    </row>
    <row r="12050" spans="6:6" x14ac:dyDescent="0.2">
      <c r="F12050" s="285" t="str">
        <f t="shared" si="337"/>
        <v/>
      </c>
    </row>
    <row r="12051" spans="6:6" x14ac:dyDescent="0.2">
      <c r="F12051" s="285" t="str">
        <f t="shared" si="337"/>
        <v/>
      </c>
    </row>
    <row r="12052" spans="6:6" x14ac:dyDescent="0.2">
      <c r="F12052" s="285" t="str">
        <f t="shared" si="337"/>
        <v/>
      </c>
    </row>
    <row r="12053" spans="6:6" x14ac:dyDescent="0.2">
      <c r="F12053" s="285" t="str">
        <f t="shared" si="337"/>
        <v/>
      </c>
    </row>
    <row r="12054" spans="6:6" x14ac:dyDescent="0.2">
      <c r="F12054" s="285" t="str">
        <f t="shared" si="337"/>
        <v/>
      </c>
    </row>
    <row r="12055" spans="6:6" x14ac:dyDescent="0.2">
      <c r="F12055" s="285" t="str">
        <f t="shared" si="337"/>
        <v/>
      </c>
    </row>
    <row r="12056" spans="6:6" x14ac:dyDescent="0.2">
      <c r="F12056" s="285" t="str">
        <f t="shared" si="337"/>
        <v/>
      </c>
    </row>
    <row r="12057" spans="6:6" x14ac:dyDescent="0.2">
      <c r="F12057" s="285" t="str">
        <f t="shared" si="337"/>
        <v/>
      </c>
    </row>
    <row r="12058" spans="6:6" x14ac:dyDescent="0.2">
      <c r="F12058" s="285" t="str">
        <f t="shared" si="337"/>
        <v/>
      </c>
    </row>
    <row r="12059" spans="6:6" x14ac:dyDescent="0.2">
      <c r="F12059" s="285" t="str">
        <f t="shared" si="337"/>
        <v/>
      </c>
    </row>
    <row r="12060" spans="6:6" x14ac:dyDescent="0.2">
      <c r="F12060" s="285" t="str">
        <f t="shared" si="337"/>
        <v/>
      </c>
    </row>
    <row r="12061" spans="6:6" x14ac:dyDescent="0.2">
      <c r="F12061" s="285" t="str">
        <f t="shared" si="337"/>
        <v/>
      </c>
    </row>
    <row r="12062" spans="6:6" x14ac:dyDescent="0.2">
      <c r="F12062" s="285" t="str">
        <f t="shared" si="337"/>
        <v/>
      </c>
    </row>
    <row r="12063" spans="6:6" x14ac:dyDescent="0.2">
      <c r="F12063" s="285" t="str">
        <f t="shared" si="337"/>
        <v/>
      </c>
    </row>
    <row r="12064" spans="6:6" x14ac:dyDescent="0.2">
      <c r="F12064" s="285" t="str">
        <f t="shared" si="337"/>
        <v/>
      </c>
    </row>
    <row r="12065" spans="6:6" x14ac:dyDescent="0.2">
      <c r="F12065" s="285" t="str">
        <f t="shared" si="337"/>
        <v/>
      </c>
    </row>
    <row r="12066" spans="6:6" x14ac:dyDescent="0.2">
      <c r="F12066" s="285" t="str">
        <f t="shared" si="337"/>
        <v/>
      </c>
    </row>
    <row r="12067" spans="6:6" x14ac:dyDescent="0.2">
      <c r="F12067" s="285" t="str">
        <f t="shared" si="337"/>
        <v/>
      </c>
    </row>
    <row r="12068" spans="6:6" x14ac:dyDescent="0.2">
      <c r="F12068" s="285" t="str">
        <f t="shared" si="337"/>
        <v/>
      </c>
    </row>
    <row r="12069" spans="6:6" x14ac:dyDescent="0.2">
      <c r="F12069" s="285" t="str">
        <f t="shared" si="337"/>
        <v/>
      </c>
    </row>
    <row r="12070" spans="6:6" x14ac:dyDescent="0.2">
      <c r="F12070" s="285" t="str">
        <f t="shared" si="337"/>
        <v/>
      </c>
    </row>
    <row r="12071" spans="6:6" x14ac:dyDescent="0.2">
      <c r="F12071" s="285" t="str">
        <f t="shared" si="337"/>
        <v/>
      </c>
    </row>
    <row r="12072" spans="6:6" x14ac:dyDescent="0.2">
      <c r="F12072" s="285" t="str">
        <f t="shared" si="337"/>
        <v/>
      </c>
    </row>
    <row r="12073" spans="6:6" x14ac:dyDescent="0.2">
      <c r="F12073" s="285" t="str">
        <f t="shared" si="337"/>
        <v/>
      </c>
    </row>
    <row r="12074" spans="6:6" x14ac:dyDescent="0.2">
      <c r="F12074" s="285" t="str">
        <f t="shared" si="337"/>
        <v/>
      </c>
    </row>
    <row r="12075" spans="6:6" x14ac:dyDescent="0.2">
      <c r="F12075" s="285" t="str">
        <f t="shared" si="337"/>
        <v/>
      </c>
    </row>
    <row r="12076" spans="6:6" x14ac:dyDescent="0.2">
      <c r="F12076" s="285" t="str">
        <f t="shared" si="337"/>
        <v/>
      </c>
    </row>
    <row r="12077" spans="6:6" x14ac:dyDescent="0.2">
      <c r="F12077" s="285" t="str">
        <f t="shared" si="337"/>
        <v/>
      </c>
    </row>
    <row r="12078" spans="6:6" x14ac:dyDescent="0.2">
      <c r="F12078" s="285" t="str">
        <f t="shared" si="337"/>
        <v/>
      </c>
    </row>
    <row r="12079" spans="6:6" x14ac:dyDescent="0.2">
      <c r="F12079" s="285" t="str">
        <f t="shared" si="337"/>
        <v/>
      </c>
    </row>
    <row r="12080" spans="6:6" x14ac:dyDescent="0.2">
      <c r="F12080" s="285" t="str">
        <f t="shared" si="337"/>
        <v/>
      </c>
    </row>
    <row r="12081" spans="6:6" x14ac:dyDescent="0.2">
      <c r="F12081" s="285" t="str">
        <f t="shared" si="337"/>
        <v/>
      </c>
    </row>
    <row r="12082" spans="6:6" x14ac:dyDescent="0.2">
      <c r="F12082" s="285" t="str">
        <f t="shared" si="337"/>
        <v/>
      </c>
    </row>
    <row r="12083" spans="6:6" x14ac:dyDescent="0.2">
      <c r="F12083" s="285" t="str">
        <f t="shared" si="337"/>
        <v/>
      </c>
    </row>
    <row r="12084" spans="6:6" x14ac:dyDescent="0.2">
      <c r="F12084" s="285" t="str">
        <f t="shared" si="337"/>
        <v/>
      </c>
    </row>
    <row r="12085" spans="6:6" x14ac:dyDescent="0.2">
      <c r="F12085" s="285" t="str">
        <f t="shared" si="337"/>
        <v/>
      </c>
    </row>
    <row r="12086" spans="6:6" x14ac:dyDescent="0.2">
      <c r="F12086" s="285" t="str">
        <f t="shared" si="337"/>
        <v/>
      </c>
    </row>
    <row r="12087" spans="6:6" x14ac:dyDescent="0.2">
      <c r="F12087" s="285" t="str">
        <f t="shared" si="337"/>
        <v/>
      </c>
    </row>
    <row r="12088" spans="6:6" x14ac:dyDescent="0.2">
      <c r="F12088" s="285" t="str">
        <f t="shared" si="337"/>
        <v/>
      </c>
    </row>
    <row r="12089" spans="6:6" x14ac:dyDescent="0.2">
      <c r="F12089" s="285" t="str">
        <f t="shared" si="337"/>
        <v/>
      </c>
    </row>
    <row r="12090" spans="6:6" x14ac:dyDescent="0.2">
      <c r="F12090" s="285" t="str">
        <f t="shared" si="337"/>
        <v/>
      </c>
    </row>
    <row r="12091" spans="6:6" x14ac:dyDescent="0.2">
      <c r="F12091" s="285" t="str">
        <f t="shared" si="337"/>
        <v/>
      </c>
    </row>
    <row r="12092" spans="6:6" x14ac:dyDescent="0.2">
      <c r="F12092" s="285" t="str">
        <f t="shared" si="337"/>
        <v/>
      </c>
    </row>
    <row r="12093" spans="6:6" x14ac:dyDescent="0.2">
      <c r="F12093" s="285" t="str">
        <f t="shared" si="337"/>
        <v/>
      </c>
    </row>
    <row r="12094" spans="6:6" x14ac:dyDescent="0.2">
      <c r="F12094" s="285" t="str">
        <f t="shared" si="337"/>
        <v/>
      </c>
    </row>
    <row r="12095" spans="6:6" x14ac:dyDescent="0.2">
      <c r="F12095" s="285" t="str">
        <f t="shared" si="337"/>
        <v/>
      </c>
    </row>
    <row r="12096" spans="6:6" x14ac:dyDescent="0.2">
      <c r="F12096" s="285" t="str">
        <f t="shared" si="337"/>
        <v/>
      </c>
    </row>
    <row r="12097" spans="6:6" x14ac:dyDescent="0.2">
      <c r="F12097" s="285" t="str">
        <f t="shared" si="337"/>
        <v/>
      </c>
    </row>
    <row r="12098" spans="6:6" x14ac:dyDescent="0.2">
      <c r="F12098" s="285" t="str">
        <f t="shared" si="337"/>
        <v/>
      </c>
    </row>
    <row r="12099" spans="6:6" x14ac:dyDescent="0.2">
      <c r="F12099" s="285" t="str">
        <f t="shared" si="337"/>
        <v/>
      </c>
    </row>
    <row r="12100" spans="6:6" x14ac:dyDescent="0.2">
      <c r="F12100" s="285" t="str">
        <f t="shared" si="337"/>
        <v/>
      </c>
    </row>
    <row r="12101" spans="6:6" x14ac:dyDescent="0.2">
      <c r="F12101" s="285" t="str">
        <f t="shared" ref="F12101:F12164" si="338">IF(A12101="","",A12101)</f>
        <v/>
      </c>
    </row>
    <row r="12102" spans="6:6" x14ac:dyDescent="0.2">
      <c r="F12102" s="285" t="str">
        <f t="shared" si="338"/>
        <v/>
      </c>
    </row>
    <row r="12103" spans="6:6" x14ac:dyDescent="0.2">
      <c r="F12103" s="285" t="str">
        <f t="shared" si="338"/>
        <v/>
      </c>
    </row>
    <row r="12104" spans="6:6" x14ac:dyDescent="0.2">
      <c r="F12104" s="285" t="str">
        <f t="shared" si="338"/>
        <v/>
      </c>
    </row>
    <row r="12105" spans="6:6" x14ac:dyDescent="0.2">
      <c r="F12105" s="285" t="str">
        <f t="shared" si="338"/>
        <v/>
      </c>
    </row>
    <row r="12106" spans="6:6" x14ac:dyDescent="0.2">
      <c r="F12106" s="285" t="str">
        <f t="shared" si="338"/>
        <v/>
      </c>
    </row>
    <row r="12107" spans="6:6" x14ac:dyDescent="0.2">
      <c r="F12107" s="285" t="str">
        <f t="shared" si="338"/>
        <v/>
      </c>
    </row>
    <row r="12108" spans="6:6" x14ac:dyDescent="0.2">
      <c r="F12108" s="285" t="str">
        <f t="shared" si="338"/>
        <v/>
      </c>
    </row>
    <row r="12109" spans="6:6" x14ac:dyDescent="0.2">
      <c r="F12109" s="285" t="str">
        <f t="shared" si="338"/>
        <v/>
      </c>
    </row>
    <row r="12110" spans="6:6" x14ac:dyDescent="0.2">
      <c r="F12110" s="285" t="str">
        <f t="shared" si="338"/>
        <v/>
      </c>
    </row>
    <row r="12111" spans="6:6" x14ac:dyDescent="0.2">
      <c r="F12111" s="285" t="str">
        <f t="shared" si="338"/>
        <v/>
      </c>
    </row>
    <row r="12112" spans="6:6" x14ac:dyDescent="0.2">
      <c r="F12112" s="285" t="str">
        <f t="shared" si="338"/>
        <v/>
      </c>
    </row>
    <row r="12113" spans="6:6" x14ac:dyDescent="0.2">
      <c r="F12113" s="285" t="str">
        <f t="shared" si="338"/>
        <v/>
      </c>
    </row>
    <row r="12114" spans="6:6" x14ac:dyDescent="0.2">
      <c r="F12114" s="285" t="str">
        <f t="shared" si="338"/>
        <v/>
      </c>
    </row>
    <row r="12115" spans="6:6" x14ac:dyDescent="0.2">
      <c r="F12115" s="285" t="str">
        <f t="shared" si="338"/>
        <v/>
      </c>
    </row>
    <row r="12116" spans="6:6" x14ac:dyDescent="0.2">
      <c r="F12116" s="285" t="str">
        <f t="shared" si="338"/>
        <v/>
      </c>
    </row>
    <row r="12117" spans="6:6" x14ac:dyDescent="0.2">
      <c r="F12117" s="285" t="str">
        <f t="shared" si="338"/>
        <v/>
      </c>
    </row>
    <row r="12118" spans="6:6" x14ac:dyDescent="0.2">
      <c r="F12118" s="285" t="str">
        <f t="shared" si="338"/>
        <v/>
      </c>
    </row>
    <row r="12119" spans="6:6" x14ac:dyDescent="0.2">
      <c r="F12119" s="285" t="str">
        <f t="shared" si="338"/>
        <v/>
      </c>
    </row>
    <row r="12120" spans="6:6" x14ac:dyDescent="0.2">
      <c r="F12120" s="285" t="str">
        <f t="shared" si="338"/>
        <v/>
      </c>
    </row>
    <row r="12121" spans="6:6" x14ac:dyDescent="0.2">
      <c r="F12121" s="285" t="str">
        <f t="shared" si="338"/>
        <v/>
      </c>
    </row>
    <row r="12122" spans="6:6" x14ac:dyDescent="0.2">
      <c r="F12122" s="285" t="str">
        <f t="shared" si="338"/>
        <v/>
      </c>
    </row>
    <row r="12123" spans="6:6" x14ac:dyDescent="0.2">
      <c r="F12123" s="285" t="str">
        <f t="shared" si="338"/>
        <v/>
      </c>
    </row>
    <row r="12124" spans="6:6" x14ac:dyDescent="0.2">
      <c r="F12124" s="285" t="str">
        <f t="shared" si="338"/>
        <v/>
      </c>
    </row>
    <row r="12125" spans="6:6" x14ac:dyDescent="0.2">
      <c r="F12125" s="285" t="str">
        <f t="shared" si="338"/>
        <v/>
      </c>
    </row>
    <row r="12126" spans="6:6" x14ac:dyDescent="0.2">
      <c r="F12126" s="285" t="str">
        <f t="shared" si="338"/>
        <v/>
      </c>
    </row>
    <row r="12127" spans="6:6" x14ac:dyDescent="0.2">
      <c r="F12127" s="285" t="str">
        <f t="shared" si="338"/>
        <v/>
      </c>
    </row>
    <row r="12128" spans="6:6" x14ac:dyDescent="0.2">
      <c r="F12128" s="285" t="str">
        <f t="shared" si="338"/>
        <v/>
      </c>
    </row>
    <row r="12129" spans="6:6" x14ac:dyDescent="0.2">
      <c r="F12129" s="285" t="str">
        <f t="shared" si="338"/>
        <v/>
      </c>
    </row>
    <row r="12130" spans="6:6" x14ac:dyDescent="0.2">
      <c r="F12130" s="285" t="str">
        <f t="shared" si="338"/>
        <v/>
      </c>
    </row>
    <row r="12131" spans="6:6" x14ac:dyDescent="0.2">
      <c r="F12131" s="285" t="str">
        <f t="shared" si="338"/>
        <v/>
      </c>
    </row>
    <row r="12132" spans="6:6" x14ac:dyDescent="0.2">
      <c r="F12132" s="285" t="str">
        <f t="shared" si="338"/>
        <v/>
      </c>
    </row>
    <row r="12133" spans="6:6" x14ac:dyDescent="0.2">
      <c r="F12133" s="285" t="str">
        <f t="shared" si="338"/>
        <v/>
      </c>
    </row>
    <row r="12134" spans="6:6" x14ac:dyDescent="0.2">
      <c r="F12134" s="285" t="str">
        <f t="shared" si="338"/>
        <v/>
      </c>
    </row>
    <row r="12135" spans="6:6" x14ac:dyDescent="0.2">
      <c r="F12135" s="285" t="str">
        <f t="shared" si="338"/>
        <v/>
      </c>
    </row>
    <row r="12136" spans="6:6" x14ac:dyDescent="0.2">
      <c r="F12136" s="285" t="str">
        <f t="shared" si="338"/>
        <v/>
      </c>
    </row>
    <row r="12137" spans="6:6" x14ac:dyDescent="0.2">
      <c r="F12137" s="285" t="str">
        <f t="shared" si="338"/>
        <v/>
      </c>
    </row>
    <row r="12138" spans="6:6" x14ac:dyDescent="0.2">
      <c r="F12138" s="285" t="str">
        <f t="shared" si="338"/>
        <v/>
      </c>
    </row>
    <row r="12139" spans="6:6" x14ac:dyDescent="0.2">
      <c r="F12139" s="285" t="str">
        <f t="shared" si="338"/>
        <v/>
      </c>
    </row>
    <row r="12140" spans="6:6" x14ac:dyDescent="0.2">
      <c r="F12140" s="285" t="str">
        <f t="shared" si="338"/>
        <v/>
      </c>
    </row>
    <row r="12141" spans="6:6" x14ac:dyDescent="0.2">
      <c r="F12141" s="285" t="str">
        <f t="shared" si="338"/>
        <v/>
      </c>
    </row>
    <row r="12142" spans="6:6" x14ac:dyDescent="0.2">
      <c r="F12142" s="285" t="str">
        <f t="shared" si="338"/>
        <v/>
      </c>
    </row>
    <row r="12143" spans="6:6" x14ac:dyDescent="0.2">
      <c r="F12143" s="285" t="str">
        <f t="shared" si="338"/>
        <v/>
      </c>
    </row>
    <row r="12144" spans="6:6" x14ac:dyDescent="0.2">
      <c r="F12144" s="285" t="str">
        <f t="shared" si="338"/>
        <v/>
      </c>
    </row>
    <row r="12145" spans="6:6" x14ac:dyDescent="0.2">
      <c r="F12145" s="285" t="str">
        <f t="shared" si="338"/>
        <v/>
      </c>
    </row>
    <row r="12146" spans="6:6" x14ac:dyDescent="0.2">
      <c r="F12146" s="285" t="str">
        <f t="shared" si="338"/>
        <v/>
      </c>
    </row>
    <row r="12147" spans="6:6" x14ac:dyDescent="0.2">
      <c r="F12147" s="285" t="str">
        <f t="shared" si="338"/>
        <v/>
      </c>
    </row>
    <row r="12148" spans="6:6" x14ac:dyDescent="0.2">
      <c r="F12148" s="285" t="str">
        <f t="shared" si="338"/>
        <v/>
      </c>
    </row>
    <row r="12149" spans="6:6" x14ac:dyDescent="0.2">
      <c r="F12149" s="285" t="str">
        <f t="shared" si="338"/>
        <v/>
      </c>
    </row>
    <row r="12150" spans="6:6" x14ac:dyDescent="0.2">
      <c r="F12150" s="285" t="str">
        <f t="shared" si="338"/>
        <v/>
      </c>
    </row>
    <row r="12151" spans="6:6" x14ac:dyDescent="0.2">
      <c r="F12151" s="285" t="str">
        <f t="shared" si="338"/>
        <v/>
      </c>
    </row>
    <row r="12152" spans="6:6" x14ac:dyDescent="0.2">
      <c r="F12152" s="285" t="str">
        <f t="shared" si="338"/>
        <v/>
      </c>
    </row>
    <row r="12153" spans="6:6" x14ac:dyDescent="0.2">
      <c r="F12153" s="285" t="str">
        <f t="shared" si="338"/>
        <v/>
      </c>
    </row>
    <row r="12154" spans="6:6" x14ac:dyDescent="0.2">
      <c r="F12154" s="285" t="str">
        <f t="shared" si="338"/>
        <v/>
      </c>
    </row>
    <row r="12155" spans="6:6" x14ac:dyDescent="0.2">
      <c r="F12155" s="285" t="str">
        <f t="shared" si="338"/>
        <v/>
      </c>
    </row>
    <row r="12156" spans="6:6" x14ac:dyDescent="0.2">
      <c r="F12156" s="285" t="str">
        <f t="shared" si="338"/>
        <v/>
      </c>
    </row>
    <row r="12157" spans="6:6" x14ac:dyDescent="0.2">
      <c r="F12157" s="285" t="str">
        <f t="shared" si="338"/>
        <v/>
      </c>
    </row>
    <row r="12158" spans="6:6" x14ac:dyDescent="0.2">
      <c r="F12158" s="285" t="str">
        <f t="shared" si="338"/>
        <v/>
      </c>
    </row>
    <row r="12159" spans="6:6" x14ac:dyDescent="0.2">
      <c r="F12159" s="285" t="str">
        <f t="shared" si="338"/>
        <v/>
      </c>
    </row>
    <row r="12160" spans="6:6" x14ac:dyDescent="0.2">
      <c r="F12160" s="285" t="str">
        <f t="shared" si="338"/>
        <v/>
      </c>
    </row>
    <row r="12161" spans="6:6" x14ac:dyDescent="0.2">
      <c r="F12161" s="285" t="str">
        <f t="shared" si="338"/>
        <v/>
      </c>
    </row>
    <row r="12162" spans="6:6" x14ac:dyDescent="0.2">
      <c r="F12162" s="285" t="str">
        <f t="shared" si="338"/>
        <v/>
      </c>
    </row>
    <row r="12163" spans="6:6" x14ac:dyDescent="0.2">
      <c r="F12163" s="285" t="str">
        <f t="shared" si="338"/>
        <v/>
      </c>
    </row>
    <row r="12164" spans="6:6" x14ac:dyDescent="0.2">
      <c r="F12164" s="285" t="str">
        <f t="shared" si="338"/>
        <v/>
      </c>
    </row>
    <row r="12165" spans="6:6" x14ac:dyDescent="0.2">
      <c r="F12165" s="285" t="str">
        <f t="shared" ref="F12165:F12228" si="339">IF(A12165="","",A12165)</f>
        <v/>
      </c>
    </row>
    <row r="12166" spans="6:6" x14ac:dyDescent="0.2">
      <c r="F12166" s="285" t="str">
        <f t="shared" si="339"/>
        <v/>
      </c>
    </row>
    <row r="12167" spans="6:6" x14ac:dyDescent="0.2">
      <c r="F12167" s="285" t="str">
        <f t="shared" si="339"/>
        <v/>
      </c>
    </row>
    <row r="12168" spans="6:6" x14ac:dyDescent="0.2">
      <c r="F12168" s="285" t="str">
        <f t="shared" si="339"/>
        <v/>
      </c>
    </row>
    <row r="12169" spans="6:6" x14ac:dyDescent="0.2">
      <c r="F12169" s="285" t="str">
        <f t="shared" si="339"/>
        <v/>
      </c>
    </row>
    <row r="12170" spans="6:6" x14ac:dyDescent="0.2">
      <c r="F12170" s="285" t="str">
        <f t="shared" si="339"/>
        <v/>
      </c>
    </row>
    <row r="12171" spans="6:6" x14ac:dyDescent="0.2">
      <c r="F12171" s="285" t="str">
        <f t="shared" si="339"/>
        <v/>
      </c>
    </row>
    <row r="12172" spans="6:6" x14ac:dyDescent="0.2">
      <c r="F12172" s="285" t="str">
        <f t="shared" si="339"/>
        <v/>
      </c>
    </row>
    <row r="12173" spans="6:6" x14ac:dyDescent="0.2">
      <c r="F12173" s="285" t="str">
        <f t="shared" si="339"/>
        <v/>
      </c>
    </row>
    <row r="12174" spans="6:6" x14ac:dyDescent="0.2">
      <c r="F12174" s="285" t="str">
        <f t="shared" si="339"/>
        <v/>
      </c>
    </row>
    <row r="12175" spans="6:6" x14ac:dyDescent="0.2">
      <c r="F12175" s="285" t="str">
        <f t="shared" si="339"/>
        <v/>
      </c>
    </row>
    <row r="12176" spans="6:6" x14ac:dyDescent="0.2">
      <c r="F12176" s="285" t="str">
        <f t="shared" si="339"/>
        <v/>
      </c>
    </row>
    <row r="12177" spans="6:6" x14ac:dyDescent="0.2">
      <c r="F12177" s="285" t="str">
        <f t="shared" si="339"/>
        <v/>
      </c>
    </row>
    <row r="12178" spans="6:6" x14ac:dyDescent="0.2">
      <c r="F12178" s="285" t="str">
        <f t="shared" si="339"/>
        <v/>
      </c>
    </row>
    <row r="12179" spans="6:6" x14ac:dyDescent="0.2">
      <c r="F12179" s="285" t="str">
        <f t="shared" si="339"/>
        <v/>
      </c>
    </row>
    <row r="12180" spans="6:6" x14ac:dyDescent="0.2">
      <c r="F12180" s="285" t="str">
        <f t="shared" si="339"/>
        <v/>
      </c>
    </row>
    <row r="12181" spans="6:6" x14ac:dyDescent="0.2">
      <c r="F12181" s="285" t="str">
        <f t="shared" si="339"/>
        <v/>
      </c>
    </row>
    <row r="12182" spans="6:6" x14ac:dyDescent="0.2">
      <c r="F12182" s="285" t="str">
        <f t="shared" si="339"/>
        <v/>
      </c>
    </row>
    <row r="12183" spans="6:6" x14ac:dyDescent="0.2">
      <c r="F12183" s="285" t="str">
        <f t="shared" si="339"/>
        <v/>
      </c>
    </row>
    <row r="12184" spans="6:6" x14ac:dyDescent="0.2">
      <c r="F12184" s="285" t="str">
        <f t="shared" si="339"/>
        <v/>
      </c>
    </row>
    <row r="12185" spans="6:6" x14ac:dyDescent="0.2">
      <c r="F12185" s="285" t="str">
        <f t="shared" si="339"/>
        <v/>
      </c>
    </row>
    <row r="12186" spans="6:6" x14ac:dyDescent="0.2">
      <c r="F12186" s="285" t="str">
        <f t="shared" si="339"/>
        <v/>
      </c>
    </row>
    <row r="12187" spans="6:6" x14ac:dyDescent="0.2">
      <c r="F12187" s="285" t="str">
        <f t="shared" si="339"/>
        <v/>
      </c>
    </row>
    <row r="12188" spans="6:6" x14ac:dyDescent="0.2">
      <c r="F12188" s="285" t="str">
        <f t="shared" si="339"/>
        <v/>
      </c>
    </row>
    <row r="12189" spans="6:6" x14ac:dyDescent="0.2">
      <c r="F12189" s="285" t="str">
        <f t="shared" si="339"/>
        <v/>
      </c>
    </row>
    <row r="12190" spans="6:6" x14ac:dyDescent="0.2">
      <c r="F12190" s="285" t="str">
        <f t="shared" si="339"/>
        <v/>
      </c>
    </row>
    <row r="12191" spans="6:6" x14ac:dyDescent="0.2">
      <c r="F12191" s="285" t="str">
        <f t="shared" si="339"/>
        <v/>
      </c>
    </row>
    <row r="12192" spans="6:6" x14ac:dyDescent="0.2">
      <c r="F12192" s="285" t="str">
        <f t="shared" si="339"/>
        <v/>
      </c>
    </row>
    <row r="12193" spans="6:6" x14ac:dyDescent="0.2">
      <c r="F12193" s="285" t="str">
        <f t="shared" si="339"/>
        <v/>
      </c>
    </row>
    <row r="12194" spans="6:6" x14ac:dyDescent="0.2">
      <c r="F12194" s="285" t="str">
        <f t="shared" si="339"/>
        <v/>
      </c>
    </row>
    <row r="12195" spans="6:6" x14ac:dyDescent="0.2">
      <c r="F12195" s="285" t="str">
        <f t="shared" si="339"/>
        <v/>
      </c>
    </row>
    <row r="12196" spans="6:6" x14ac:dyDescent="0.2">
      <c r="F12196" s="285" t="str">
        <f t="shared" si="339"/>
        <v/>
      </c>
    </row>
    <row r="12197" spans="6:6" x14ac:dyDescent="0.2">
      <c r="F12197" s="285" t="str">
        <f t="shared" si="339"/>
        <v/>
      </c>
    </row>
    <row r="12198" spans="6:6" x14ac:dyDescent="0.2">
      <c r="F12198" s="285" t="str">
        <f t="shared" si="339"/>
        <v/>
      </c>
    </row>
    <row r="12199" spans="6:6" x14ac:dyDescent="0.2">
      <c r="F12199" s="285" t="str">
        <f t="shared" si="339"/>
        <v/>
      </c>
    </row>
    <row r="12200" spans="6:6" x14ac:dyDescent="0.2">
      <c r="F12200" s="285" t="str">
        <f t="shared" si="339"/>
        <v/>
      </c>
    </row>
    <row r="12201" spans="6:6" x14ac:dyDescent="0.2">
      <c r="F12201" s="285" t="str">
        <f t="shared" si="339"/>
        <v/>
      </c>
    </row>
    <row r="12202" spans="6:6" x14ac:dyDescent="0.2">
      <c r="F12202" s="285" t="str">
        <f t="shared" si="339"/>
        <v/>
      </c>
    </row>
    <row r="12203" spans="6:6" x14ac:dyDescent="0.2">
      <c r="F12203" s="285" t="str">
        <f t="shared" si="339"/>
        <v/>
      </c>
    </row>
    <row r="12204" spans="6:6" x14ac:dyDescent="0.2">
      <c r="F12204" s="285" t="str">
        <f t="shared" si="339"/>
        <v/>
      </c>
    </row>
    <row r="12205" spans="6:6" x14ac:dyDescent="0.2">
      <c r="F12205" s="285" t="str">
        <f t="shared" si="339"/>
        <v/>
      </c>
    </row>
    <row r="12206" spans="6:6" x14ac:dyDescent="0.2">
      <c r="F12206" s="285" t="str">
        <f t="shared" si="339"/>
        <v/>
      </c>
    </row>
    <row r="12207" spans="6:6" x14ac:dyDescent="0.2">
      <c r="F12207" s="285" t="str">
        <f t="shared" si="339"/>
        <v/>
      </c>
    </row>
    <row r="12208" spans="6:6" x14ac:dyDescent="0.2">
      <c r="F12208" s="285" t="str">
        <f t="shared" si="339"/>
        <v/>
      </c>
    </row>
    <row r="12209" spans="6:6" x14ac:dyDescent="0.2">
      <c r="F12209" s="285" t="str">
        <f t="shared" si="339"/>
        <v/>
      </c>
    </row>
    <row r="12210" spans="6:6" x14ac:dyDescent="0.2">
      <c r="F12210" s="285" t="str">
        <f t="shared" si="339"/>
        <v/>
      </c>
    </row>
    <row r="12211" spans="6:6" x14ac:dyDescent="0.2">
      <c r="F12211" s="285" t="str">
        <f t="shared" si="339"/>
        <v/>
      </c>
    </row>
    <row r="12212" spans="6:6" x14ac:dyDescent="0.2">
      <c r="F12212" s="285" t="str">
        <f t="shared" si="339"/>
        <v/>
      </c>
    </row>
    <row r="12213" spans="6:6" x14ac:dyDescent="0.2">
      <c r="F12213" s="285" t="str">
        <f t="shared" si="339"/>
        <v/>
      </c>
    </row>
    <row r="12214" spans="6:6" x14ac:dyDescent="0.2">
      <c r="F12214" s="285" t="str">
        <f t="shared" si="339"/>
        <v/>
      </c>
    </row>
    <row r="12215" spans="6:6" x14ac:dyDescent="0.2">
      <c r="F12215" s="285" t="str">
        <f t="shared" si="339"/>
        <v/>
      </c>
    </row>
    <row r="12216" spans="6:6" x14ac:dyDescent="0.2">
      <c r="F12216" s="285" t="str">
        <f t="shared" si="339"/>
        <v/>
      </c>
    </row>
    <row r="12217" spans="6:6" x14ac:dyDescent="0.2">
      <c r="F12217" s="285" t="str">
        <f t="shared" si="339"/>
        <v/>
      </c>
    </row>
    <row r="12218" spans="6:6" x14ac:dyDescent="0.2">
      <c r="F12218" s="285" t="str">
        <f t="shared" si="339"/>
        <v/>
      </c>
    </row>
    <row r="12219" spans="6:6" x14ac:dyDescent="0.2">
      <c r="F12219" s="285" t="str">
        <f t="shared" si="339"/>
        <v/>
      </c>
    </row>
    <row r="12220" spans="6:6" x14ac:dyDescent="0.2">
      <c r="F12220" s="285" t="str">
        <f t="shared" si="339"/>
        <v/>
      </c>
    </row>
    <row r="12221" spans="6:6" x14ac:dyDescent="0.2">
      <c r="F12221" s="285" t="str">
        <f t="shared" si="339"/>
        <v/>
      </c>
    </row>
    <row r="12222" spans="6:6" x14ac:dyDescent="0.2">
      <c r="F12222" s="285" t="str">
        <f t="shared" si="339"/>
        <v/>
      </c>
    </row>
    <row r="12223" spans="6:6" x14ac:dyDescent="0.2">
      <c r="F12223" s="285" t="str">
        <f t="shared" si="339"/>
        <v/>
      </c>
    </row>
    <row r="12224" spans="6:6" x14ac:dyDescent="0.2">
      <c r="F12224" s="285" t="str">
        <f t="shared" si="339"/>
        <v/>
      </c>
    </row>
    <row r="12225" spans="6:6" x14ac:dyDescent="0.2">
      <c r="F12225" s="285" t="str">
        <f t="shared" si="339"/>
        <v/>
      </c>
    </row>
    <row r="12226" spans="6:6" x14ac:dyDescent="0.2">
      <c r="F12226" s="285" t="str">
        <f t="shared" si="339"/>
        <v/>
      </c>
    </row>
    <row r="12227" spans="6:6" x14ac:dyDescent="0.2">
      <c r="F12227" s="285" t="str">
        <f t="shared" si="339"/>
        <v/>
      </c>
    </row>
    <row r="12228" spans="6:6" x14ac:dyDescent="0.2">
      <c r="F12228" s="285" t="str">
        <f t="shared" si="339"/>
        <v/>
      </c>
    </row>
    <row r="12229" spans="6:6" x14ac:dyDescent="0.2">
      <c r="F12229" s="285" t="str">
        <f t="shared" ref="F12229:F12292" si="340">IF(A12229="","",A12229)</f>
        <v/>
      </c>
    </row>
    <row r="12230" spans="6:6" x14ac:dyDescent="0.2">
      <c r="F12230" s="285" t="str">
        <f t="shared" si="340"/>
        <v/>
      </c>
    </row>
    <row r="12231" spans="6:6" x14ac:dyDescent="0.2">
      <c r="F12231" s="285" t="str">
        <f t="shared" si="340"/>
        <v/>
      </c>
    </row>
    <row r="12232" spans="6:6" x14ac:dyDescent="0.2">
      <c r="F12232" s="285" t="str">
        <f t="shared" si="340"/>
        <v/>
      </c>
    </row>
    <row r="12233" spans="6:6" x14ac:dyDescent="0.2">
      <c r="F12233" s="285" t="str">
        <f t="shared" si="340"/>
        <v/>
      </c>
    </row>
    <row r="12234" spans="6:6" x14ac:dyDescent="0.2">
      <c r="F12234" s="285" t="str">
        <f t="shared" si="340"/>
        <v/>
      </c>
    </row>
    <row r="12235" spans="6:6" x14ac:dyDescent="0.2">
      <c r="F12235" s="285" t="str">
        <f t="shared" si="340"/>
        <v/>
      </c>
    </row>
    <row r="12236" spans="6:6" x14ac:dyDescent="0.2">
      <c r="F12236" s="285" t="str">
        <f t="shared" si="340"/>
        <v/>
      </c>
    </row>
    <row r="12237" spans="6:6" x14ac:dyDescent="0.2">
      <c r="F12237" s="285" t="str">
        <f t="shared" si="340"/>
        <v/>
      </c>
    </row>
    <row r="12238" spans="6:6" x14ac:dyDescent="0.2">
      <c r="F12238" s="285" t="str">
        <f t="shared" si="340"/>
        <v/>
      </c>
    </row>
    <row r="12239" spans="6:6" x14ac:dyDescent="0.2">
      <c r="F12239" s="285" t="str">
        <f t="shared" si="340"/>
        <v/>
      </c>
    </row>
    <row r="12240" spans="6:6" x14ac:dyDescent="0.2">
      <c r="F12240" s="285" t="str">
        <f t="shared" si="340"/>
        <v/>
      </c>
    </row>
    <row r="12241" spans="6:6" x14ac:dyDescent="0.2">
      <c r="F12241" s="285" t="str">
        <f t="shared" si="340"/>
        <v/>
      </c>
    </row>
    <row r="12242" spans="6:6" x14ac:dyDescent="0.2">
      <c r="F12242" s="285" t="str">
        <f t="shared" si="340"/>
        <v/>
      </c>
    </row>
    <row r="12243" spans="6:6" x14ac:dyDescent="0.2">
      <c r="F12243" s="285" t="str">
        <f t="shared" si="340"/>
        <v/>
      </c>
    </row>
    <row r="12244" spans="6:6" x14ac:dyDescent="0.2">
      <c r="F12244" s="285" t="str">
        <f t="shared" si="340"/>
        <v/>
      </c>
    </row>
    <row r="12245" spans="6:6" x14ac:dyDescent="0.2">
      <c r="F12245" s="285" t="str">
        <f t="shared" si="340"/>
        <v/>
      </c>
    </row>
    <row r="12246" spans="6:6" x14ac:dyDescent="0.2">
      <c r="F12246" s="285" t="str">
        <f t="shared" si="340"/>
        <v/>
      </c>
    </row>
    <row r="12247" spans="6:6" x14ac:dyDescent="0.2">
      <c r="F12247" s="285" t="str">
        <f t="shared" si="340"/>
        <v/>
      </c>
    </row>
    <row r="12248" spans="6:6" x14ac:dyDescent="0.2">
      <c r="F12248" s="285" t="str">
        <f t="shared" si="340"/>
        <v/>
      </c>
    </row>
    <row r="12249" spans="6:6" x14ac:dyDescent="0.2">
      <c r="F12249" s="285" t="str">
        <f t="shared" si="340"/>
        <v/>
      </c>
    </row>
    <row r="12250" spans="6:6" x14ac:dyDescent="0.2">
      <c r="F12250" s="285" t="str">
        <f t="shared" si="340"/>
        <v/>
      </c>
    </row>
    <row r="12251" spans="6:6" x14ac:dyDescent="0.2">
      <c r="F12251" s="285" t="str">
        <f t="shared" si="340"/>
        <v/>
      </c>
    </row>
    <row r="12252" spans="6:6" x14ac:dyDescent="0.2">
      <c r="F12252" s="285" t="str">
        <f t="shared" si="340"/>
        <v/>
      </c>
    </row>
    <row r="12253" spans="6:6" x14ac:dyDescent="0.2">
      <c r="F12253" s="285" t="str">
        <f t="shared" si="340"/>
        <v/>
      </c>
    </row>
    <row r="12254" spans="6:6" x14ac:dyDescent="0.2">
      <c r="F12254" s="285" t="str">
        <f t="shared" si="340"/>
        <v/>
      </c>
    </row>
    <row r="12255" spans="6:6" x14ac:dyDescent="0.2">
      <c r="F12255" s="285" t="str">
        <f t="shared" si="340"/>
        <v/>
      </c>
    </row>
    <row r="12256" spans="6:6" x14ac:dyDescent="0.2">
      <c r="F12256" s="285" t="str">
        <f t="shared" si="340"/>
        <v/>
      </c>
    </row>
    <row r="12257" spans="6:6" x14ac:dyDescent="0.2">
      <c r="F12257" s="285" t="str">
        <f t="shared" si="340"/>
        <v/>
      </c>
    </row>
    <row r="12258" spans="6:6" x14ac:dyDescent="0.2">
      <c r="F12258" s="285" t="str">
        <f t="shared" si="340"/>
        <v/>
      </c>
    </row>
    <row r="12259" spans="6:6" x14ac:dyDescent="0.2">
      <c r="F12259" s="285" t="str">
        <f t="shared" si="340"/>
        <v/>
      </c>
    </row>
    <row r="12260" spans="6:6" x14ac:dyDescent="0.2">
      <c r="F12260" s="285" t="str">
        <f t="shared" si="340"/>
        <v/>
      </c>
    </row>
    <row r="12261" spans="6:6" x14ac:dyDescent="0.2">
      <c r="F12261" s="285" t="str">
        <f t="shared" si="340"/>
        <v/>
      </c>
    </row>
    <row r="12262" spans="6:6" x14ac:dyDescent="0.2">
      <c r="F12262" s="285" t="str">
        <f t="shared" si="340"/>
        <v/>
      </c>
    </row>
    <row r="12263" spans="6:6" x14ac:dyDescent="0.2">
      <c r="F12263" s="285" t="str">
        <f t="shared" si="340"/>
        <v/>
      </c>
    </row>
    <row r="12264" spans="6:6" x14ac:dyDescent="0.2">
      <c r="F12264" s="285" t="str">
        <f t="shared" si="340"/>
        <v/>
      </c>
    </row>
    <row r="12265" spans="6:6" x14ac:dyDescent="0.2">
      <c r="F12265" s="285" t="str">
        <f t="shared" si="340"/>
        <v/>
      </c>
    </row>
    <row r="12266" spans="6:6" x14ac:dyDescent="0.2">
      <c r="F12266" s="285" t="str">
        <f t="shared" si="340"/>
        <v/>
      </c>
    </row>
    <row r="12267" spans="6:6" x14ac:dyDescent="0.2">
      <c r="F12267" s="285" t="str">
        <f t="shared" si="340"/>
        <v/>
      </c>
    </row>
    <row r="12268" spans="6:6" x14ac:dyDescent="0.2">
      <c r="F12268" s="285" t="str">
        <f t="shared" si="340"/>
        <v/>
      </c>
    </row>
    <row r="12269" spans="6:6" x14ac:dyDescent="0.2">
      <c r="F12269" s="285" t="str">
        <f t="shared" si="340"/>
        <v/>
      </c>
    </row>
    <row r="12270" spans="6:6" x14ac:dyDescent="0.2">
      <c r="F12270" s="285" t="str">
        <f t="shared" si="340"/>
        <v/>
      </c>
    </row>
    <row r="12271" spans="6:6" x14ac:dyDescent="0.2">
      <c r="F12271" s="285" t="str">
        <f t="shared" si="340"/>
        <v/>
      </c>
    </row>
    <row r="12272" spans="6:6" x14ac:dyDescent="0.2">
      <c r="F12272" s="285" t="str">
        <f t="shared" si="340"/>
        <v/>
      </c>
    </row>
    <row r="12273" spans="6:6" x14ac:dyDescent="0.2">
      <c r="F12273" s="285" t="str">
        <f t="shared" si="340"/>
        <v/>
      </c>
    </row>
    <row r="12274" spans="6:6" x14ac:dyDescent="0.2">
      <c r="F12274" s="285" t="str">
        <f t="shared" si="340"/>
        <v/>
      </c>
    </row>
    <row r="12275" spans="6:6" x14ac:dyDescent="0.2">
      <c r="F12275" s="285" t="str">
        <f t="shared" si="340"/>
        <v/>
      </c>
    </row>
    <row r="12276" spans="6:6" x14ac:dyDescent="0.2">
      <c r="F12276" s="285" t="str">
        <f t="shared" si="340"/>
        <v/>
      </c>
    </row>
    <row r="12277" spans="6:6" x14ac:dyDescent="0.2">
      <c r="F12277" s="285" t="str">
        <f t="shared" si="340"/>
        <v/>
      </c>
    </row>
    <row r="12278" spans="6:6" x14ac:dyDescent="0.2">
      <c r="F12278" s="285" t="str">
        <f t="shared" si="340"/>
        <v/>
      </c>
    </row>
    <row r="12279" spans="6:6" x14ac:dyDescent="0.2">
      <c r="F12279" s="285" t="str">
        <f t="shared" si="340"/>
        <v/>
      </c>
    </row>
    <row r="12280" spans="6:6" x14ac:dyDescent="0.2">
      <c r="F12280" s="285" t="str">
        <f t="shared" si="340"/>
        <v/>
      </c>
    </row>
    <row r="12281" spans="6:6" x14ac:dyDescent="0.2">
      <c r="F12281" s="285" t="str">
        <f t="shared" si="340"/>
        <v/>
      </c>
    </row>
    <row r="12282" spans="6:6" x14ac:dyDescent="0.2">
      <c r="F12282" s="285" t="str">
        <f t="shared" si="340"/>
        <v/>
      </c>
    </row>
    <row r="12283" spans="6:6" x14ac:dyDescent="0.2">
      <c r="F12283" s="285" t="str">
        <f t="shared" si="340"/>
        <v/>
      </c>
    </row>
    <row r="12284" spans="6:6" x14ac:dyDescent="0.2">
      <c r="F12284" s="285" t="str">
        <f t="shared" si="340"/>
        <v/>
      </c>
    </row>
    <row r="12285" spans="6:6" x14ac:dyDescent="0.2">
      <c r="F12285" s="285" t="str">
        <f t="shared" si="340"/>
        <v/>
      </c>
    </row>
    <row r="12286" spans="6:6" x14ac:dyDescent="0.2">
      <c r="F12286" s="285" t="str">
        <f t="shared" si="340"/>
        <v/>
      </c>
    </row>
    <row r="12287" spans="6:6" x14ac:dyDescent="0.2">
      <c r="F12287" s="285" t="str">
        <f t="shared" si="340"/>
        <v/>
      </c>
    </row>
    <row r="12288" spans="6:6" x14ac:dyDescent="0.2">
      <c r="F12288" s="285" t="str">
        <f t="shared" si="340"/>
        <v/>
      </c>
    </row>
    <row r="12289" spans="6:6" x14ac:dyDescent="0.2">
      <c r="F12289" s="285" t="str">
        <f t="shared" si="340"/>
        <v/>
      </c>
    </row>
    <row r="12290" spans="6:6" x14ac:dyDescent="0.2">
      <c r="F12290" s="285" t="str">
        <f t="shared" si="340"/>
        <v/>
      </c>
    </row>
    <row r="12291" spans="6:6" x14ac:dyDescent="0.2">
      <c r="F12291" s="285" t="str">
        <f t="shared" si="340"/>
        <v/>
      </c>
    </row>
    <row r="12292" spans="6:6" x14ac:dyDescent="0.2">
      <c r="F12292" s="285" t="str">
        <f t="shared" si="340"/>
        <v/>
      </c>
    </row>
    <row r="12293" spans="6:6" x14ac:dyDescent="0.2">
      <c r="F12293" s="285" t="str">
        <f t="shared" ref="F12293:F12356" si="341">IF(A12293="","",A12293)</f>
        <v/>
      </c>
    </row>
    <row r="12294" spans="6:6" x14ac:dyDescent="0.2">
      <c r="F12294" s="285" t="str">
        <f t="shared" si="341"/>
        <v/>
      </c>
    </row>
    <row r="12295" spans="6:6" x14ac:dyDescent="0.2">
      <c r="F12295" s="285" t="str">
        <f t="shared" si="341"/>
        <v/>
      </c>
    </row>
    <row r="12296" spans="6:6" x14ac:dyDescent="0.2">
      <c r="F12296" s="285" t="str">
        <f t="shared" si="341"/>
        <v/>
      </c>
    </row>
    <row r="12297" spans="6:6" x14ac:dyDescent="0.2">
      <c r="F12297" s="285" t="str">
        <f t="shared" si="341"/>
        <v/>
      </c>
    </row>
    <row r="12298" spans="6:6" x14ac:dyDescent="0.2">
      <c r="F12298" s="285" t="str">
        <f t="shared" si="341"/>
        <v/>
      </c>
    </row>
    <row r="12299" spans="6:6" x14ac:dyDescent="0.2">
      <c r="F12299" s="285" t="str">
        <f t="shared" si="341"/>
        <v/>
      </c>
    </row>
    <row r="12300" spans="6:6" x14ac:dyDescent="0.2">
      <c r="F12300" s="285" t="str">
        <f t="shared" si="341"/>
        <v/>
      </c>
    </row>
    <row r="12301" spans="6:6" x14ac:dyDescent="0.2">
      <c r="F12301" s="285" t="str">
        <f t="shared" si="341"/>
        <v/>
      </c>
    </row>
    <row r="12302" spans="6:6" x14ac:dyDescent="0.2">
      <c r="F12302" s="285" t="str">
        <f t="shared" si="341"/>
        <v/>
      </c>
    </row>
    <row r="12303" spans="6:6" x14ac:dyDescent="0.2">
      <c r="F12303" s="285" t="str">
        <f t="shared" si="341"/>
        <v/>
      </c>
    </row>
    <row r="12304" spans="6:6" x14ac:dyDescent="0.2">
      <c r="F12304" s="285" t="str">
        <f t="shared" si="341"/>
        <v/>
      </c>
    </row>
    <row r="12305" spans="6:6" x14ac:dyDescent="0.2">
      <c r="F12305" s="285" t="str">
        <f t="shared" si="341"/>
        <v/>
      </c>
    </row>
    <row r="12306" spans="6:6" x14ac:dyDescent="0.2">
      <c r="F12306" s="285" t="str">
        <f t="shared" si="341"/>
        <v/>
      </c>
    </row>
    <row r="12307" spans="6:6" x14ac:dyDescent="0.2">
      <c r="F12307" s="285" t="str">
        <f t="shared" si="341"/>
        <v/>
      </c>
    </row>
    <row r="12308" spans="6:6" x14ac:dyDescent="0.2">
      <c r="F12308" s="285" t="str">
        <f t="shared" si="341"/>
        <v/>
      </c>
    </row>
    <row r="12309" spans="6:6" x14ac:dyDescent="0.2">
      <c r="F12309" s="285" t="str">
        <f t="shared" si="341"/>
        <v/>
      </c>
    </row>
    <row r="12310" spans="6:6" x14ac:dyDescent="0.2">
      <c r="F12310" s="285" t="str">
        <f t="shared" si="341"/>
        <v/>
      </c>
    </row>
    <row r="12311" spans="6:6" x14ac:dyDescent="0.2">
      <c r="F12311" s="285" t="str">
        <f t="shared" si="341"/>
        <v/>
      </c>
    </row>
    <row r="12312" spans="6:6" x14ac:dyDescent="0.2">
      <c r="F12312" s="285" t="str">
        <f t="shared" si="341"/>
        <v/>
      </c>
    </row>
    <row r="12313" spans="6:6" x14ac:dyDescent="0.2">
      <c r="F12313" s="285" t="str">
        <f t="shared" si="341"/>
        <v/>
      </c>
    </row>
    <row r="12314" spans="6:6" x14ac:dyDescent="0.2">
      <c r="F12314" s="285" t="str">
        <f t="shared" si="341"/>
        <v/>
      </c>
    </row>
    <row r="12315" spans="6:6" x14ac:dyDescent="0.2">
      <c r="F12315" s="285" t="str">
        <f t="shared" si="341"/>
        <v/>
      </c>
    </row>
    <row r="12316" spans="6:6" x14ac:dyDescent="0.2">
      <c r="F12316" s="285" t="str">
        <f t="shared" si="341"/>
        <v/>
      </c>
    </row>
    <row r="12317" spans="6:6" x14ac:dyDescent="0.2">
      <c r="F12317" s="285" t="str">
        <f t="shared" si="341"/>
        <v/>
      </c>
    </row>
    <row r="12318" spans="6:6" x14ac:dyDescent="0.2">
      <c r="F12318" s="285" t="str">
        <f t="shared" si="341"/>
        <v/>
      </c>
    </row>
    <row r="12319" spans="6:6" x14ac:dyDescent="0.2">
      <c r="F12319" s="285" t="str">
        <f t="shared" si="341"/>
        <v/>
      </c>
    </row>
    <row r="12320" spans="6:6" x14ac:dyDescent="0.2">
      <c r="F12320" s="285" t="str">
        <f t="shared" si="341"/>
        <v/>
      </c>
    </row>
    <row r="12321" spans="6:6" x14ac:dyDescent="0.2">
      <c r="F12321" s="285" t="str">
        <f t="shared" si="341"/>
        <v/>
      </c>
    </row>
    <row r="12322" spans="6:6" x14ac:dyDescent="0.2">
      <c r="F12322" s="285" t="str">
        <f t="shared" si="341"/>
        <v/>
      </c>
    </row>
    <row r="12323" spans="6:6" x14ac:dyDescent="0.2">
      <c r="F12323" s="285" t="str">
        <f t="shared" si="341"/>
        <v/>
      </c>
    </row>
    <row r="12324" spans="6:6" x14ac:dyDescent="0.2">
      <c r="F12324" s="285" t="str">
        <f t="shared" si="341"/>
        <v/>
      </c>
    </row>
    <row r="12325" spans="6:6" x14ac:dyDescent="0.2">
      <c r="F12325" s="285" t="str">
        <f t="shared" si="341"/>
        <v/>
      </c>
    </row>
    <row r="12326" spans="6:6" x14ac:dyDescent="0.2">
      <c r="F12326" s="285" t="str">
        <f t="shared" si="341"/>
        <v/>
      </c>
    </row>
    <row r="12327" spans="6:6" x14ac:dyDescent="0.2">
      <c r="F12327" s="285" t="str">
        <f t="shared" si="341"/>
        <v/>
      </c>
    </row>
    <row r="12328" spans="6:6" x14ac:dyDescent="0.2">
      <c r="F12328" s="285" t="str">
        <f t="shared" si="341"/>
        <v/>
      </c>
    </row>
    <row r="12329" spans="6:6" x14ac:dyDescent="0.2">
      <c r="F12329" s="285" t="str">
        <f t="shared" si="341"/>
        <v/>
      </c>
    </row>
    <row r="12330" spans="6:6" x14ac:dyDescent="0.2">
      <c r="F12330" s="285" t="str">
        <f t="shared" si="341"/>
        <v/>
      </c>
    </row>
    <row r="12331" spans="6:6" x14ac:dyDescent="0.2">
      <c r="F12331" s="285" t="str">
        <f t="shared" si="341"/>
        <v/>
      </c>
    </row>
    <row r="12332" spans="6:6" x14ac:dyDescent="0.2">
      <c r="F12332" s="285" t="str">
        <f t="shared" si="341"/>
        <v/>
      </c>
    </row>
    <row r="12333" spans="6:6" x14ac:dyDescent="0.2">
      <c r="F12333" s="285" t="str">
        <f t="shared" si="341"/>
        <v/>
      </c>
    </row>
    <row r="12334" spans="6:6" x14ac:dyDescent="0.2">
      <c r="F12334" s="285" t="str">
        <f t="shared" si="341"/>
        <v/>
      </c>
    </row>
    <row r="12335" spans="6:6" x14ac:dyDescent="0.2">
      <c r="F12335" s="285" t="str">
        <f t="shared" si="341"/>
        <v/>
      </c>
    </row>
    <row r="12336" spans="6:6" x14ac:dyDescent="0.2">
      <c r="F12336" s="285" t="str">
        <f t="shared" si="341"/>
        <v/>
      </c>
    </row>
    <row r="12337" spans="6:6" x14ac:dyDescent="0.2">
      <c r="F12337" s="285" t="str">
        <f t="shared" si="341"/>
        <v/>
      </c>
    </row>
    <row r="12338" spans="6:6" x14ac:dyDescent="0.2">
      <c r="F12338" s="285" t="str">
        <f t="shared" si="341"/>
        <v/>
      </c>
    </row>
    <row r="12339" spans="6:6" x14ac:dyDescent="0.2">
      <c r="F12339" s="285" t="str">
        <f t="shared" si="341"/>
        <v/>
      </c>
    </row>
    <row r="12340" spans="6:6" x14ac:dyDescent="0.2">
      <c r="F12340" s="285" t="str">
        <f t="shared" si="341"/>
        <v/>
      </c>
    </row>
    <row r="12341" spans="6:6" x14ac:dyDescent="0.2">
      <c r="F12341" s="285" t="str">
        <f t="shared" si="341"/>
        <v/>
      </c>
    </row>
    <row r="12342" spans="6:6" x14ac:dyDescent="0.2">
      <c r="F12342" s="285" t="str">
        <f t="shared" si="341"/>
        <v/>
      </c>
    </row>
    <row r="12343" spans="6:6" x14ac:dyDescent="0.2">
      <c r="F12343" s="285" t="str">
        <f t="shared" si="341"/>
        <v/>
      </c>
    </row>
    <row r="12344" spans="6:6" x14ac:dyDescent="0.2">
      <c r="F12344" s="285" t="str">
        <f t="shared" si="341"/>
        <v/>
      </c>
    </row>
    <row r="12345" spans="6:6" x14ac:dyDescent="0.2">
      <c r="F12345" s="285" t="str">
        <f t="shared" si="341"/>
        <v/>
      </c>
    </row>
    <row r="12346" spans="6:6" x14ac:dyDescent="0.2">
      <c r="F12346" s="285" t="str">
        <f t="shared" si="341"/>
        <v/>
      </c>
    </row>
    <row r="12347" spans="6:6" x14ac:dyDescent="0.2">
      <c r="F12347" s="285" t="str">
        <f t="shared" si="341"/>
        <v/>
      </c>
    </row>
    <row r="12348" spans="6:6" x14ac:dyDescent="0.2">
      <c r="F12348" s="285" t="str">
        <f t="shared" si="341"/>
        <v/>
      </c>
    </row>
    <row r="12349" spans="6:6" x14ac:dyDescent="0.2">
      <c r="F12349" s="285" t="str">
        <f t="shared" si="341"/>
        <v/>
      </c>
    </row>
    <row r="12350" spans="6:6" x14ac:dyDescent="0.2">
      <c r="F12350" s="285" t="str">
        <f t="shared" si="341"/>
        <v/>
      </c>
    </row>
    <row r="12351" spans="6:6" x14ac:dyDescent="0.2">
      <c r="F12351" s="285" t="str">
        <f t="shared" si="341"/>
        <v/>
      </c>
    </row>
    <row r="12352" spans="6:6" x14ac:dyDescent="0.2">
      <c r="F12352" s="285" t="str">
        <f t="shared" si="341"/>
        <v/>
      </c>
    </row>
    <row r="12353" spans="6:6" x14ac:dyDescent="0.2">
      <c r="F12353" s="285" t="str">
        <f t="shared" si="341"/>
        <v/>
      </c>
    </row>
    <row r="12354" spans="6:6" x14ac:dyDescent="0.2">
      <c r="F12354" s="285" t="str">
        <f t="shared" si="341"/>
        <v/>
      </c>
    </row>
    <row r="12355" spans="6:6" x14ac:dyDescent="0.2">
      <c r="F12355" s="285" t="str">
        <f t="shared" si="341"/>
        <v/>
      </c>
    </row>
    <row r="12356" spans="6:6" x14ac:dyDescent="0.2">
      <c r="F12356" s="285" t="str">
        <f t="shared" si="341"/>
        <v/>
      </c>
    </row>
    <row r="12357" spans="6:6" x14ac:dyDescent="0.2">
      <c r="F12357" s="285" t="str">
        <f t="shared" ref="F12357:F12420" si="342">IF(A12357="","",A12357)</f>
        <v/>
      </c>
    </row>
    <row r="12358" spans="6:6" x14ac:dyDescent="0.2">
      <c r="F12358" s="285" t="str">
        <f t="shared" si="342"/>
        <v/>
      </c>
    </row>
    <row r="12359" spans="6:6" x14ac:dyDescent="0.2">
      <c r="F12359" s="285" t="str">
        <f t="shared" si="342"/>
        <v/>
      </c>
    </row>
    <row r="12360" spans="6:6" x14ac:dyDescent="0.2">
      <c r="F12360" s="285" t="str">
        <f t="shared" si="342"/>
        <v/>
      </c>
    </row>
    <row r="12361" spans="6:6" x14ac:dyDescent="0.2">
      <c r="F12361" s="285" t="str">
        <f t="shared" si="342"/>
        <v/>
      </c>
    </row>
    <row r="12362" spans="6:6" x14ac:dyDescent="0.2">
      <c r="F12362" s="285" t="str">
        <f t="shared" si="342"/>
        <v/>
      </c>
    </row>
    <row r="12363" spans="6:6" x14ac:dyDescent="0.2">
      <c r="F12363" s="285" t="str">
        <f t="shared" si="342"/>
        <v/>
      </c>
    </row>
    <row r="12364" spans="6:6" x14ac:dyDescent="0.2">
      <c r="F12364" s="285" t="str">
        <f t="shared" si="342"/>
        <v/>
      </c>
    </row>
    <row r="12365" spans="6:6" x14ac:dyDescent="0.2">
      <c r="F12365" s="285" t="str">
        <f t="shared" si="342"/>
        <v/>
      </c>
    </row>
    <row r="12366" spans="6:6" x14ac:dyDescent="0.2">
      <c r="F12366" s="285" t="str">
        <f t="shared" si="342"/>
        <v/>
      </c>
    </row>
    <row r="12367" spans="6:6" x14ac:dyDescent="0.2">
      <c r="F12367" s="285" t="str">
        <f t="shared" si="342"/>
        <v/>
      </c>
    </row>
    <row r="12368" spans="6:6" x14ac:dyDescent="0.2">
      <c r="F12368" s="285" t="str">
        <f t="shared" si="342"/>
        <v/>
      </c>
    </row>
    <row r="12369" spans="6:6" x14ac:dyDescent="0.2">
      <c r="F12369" s="285" t="str">
        <f t="shared" si="342"/>
        <v/>
      </c>
    </row>
    <row r="12370" spans="6:6" x14ac:dyDescent="0.2">
      <c r="F12370" s="285" t="str">
        <f t="shared" si="342"/>
        <v/>
      </c>
    </row>
    <row r="12371" spans="6:6" x14ac:dyDescent="0.2">
      <c r="F12371" s="285" t="str">
        <f t="shared" si="342"/>
        <v/>
      </c>
    </row>
    <row r="12372" spans="6:6" x14ac:dyDescent="0.2">
      <c r="F12372" s="285" t="str">
        <f t="shared" si="342"/>
        <v/>
      </c>
    </row>
    <row r="12373" spans="6:6" x14ac:dyDescent="0.2">
      <c r="F12373" s="285" t="str">
        <f t="shared" si="342"/>
        <v/>
      </c>
    </row>
    <row r="12374" spans="6:6" x14ac:dyDescent="0.2">
      <c r="F12374" s="285" t="str">
        <f t="shared" si="342"/>
        <v/>
      </c>
    </row>
    <row r="12375" spans="6:6" x14ac:dyDescent="0.2">
      <c r="F12375" s="285" t="str">
        <f t="shared" si="342"/>
        <v/>
      </c>
    </row>
    <row r="12376" spans="6:6" x14ac:dyDescent="0.2">
      <c r="F12376" s="285" t="str">
        <f t="shared" si="342"/>
        <v/>
      </c>
    </row>
    <row r="12377" spans="6:6" x14ac:dyDescent="0.2">
      <c r="F12377" s="285" t="str">
        <f t="shared" si="342"/>
        <v/>
      </c>
    </row>
    <row r="12378" spans="6:6" x14ac:dyDescent="0.2">
      <c r="F12378" s="285" t="str">
        <f t="shared" si="342"/>
        <v/>
      </c>
    </row>
    <row r="12379" spans="6:6" x14ac:dyDescent="0.2">
      <c r="F12379" s="285" t="str">
        <f t="shared" si="342"/>
        <v/>
      </c>
    </row>
    <row r="12380" spans="6:6" x14ac:dyDescent="0.2">
      <c r="F12380" s="285" t="str">
        <f t="shared" si="342"/>
        <v/>
      </c>
    </row>
    <row r="12381" spans="6:6" x14ac:dyDescent="0.2">
      <c r="F12381" s="285" t="str">
        <f t="shared" si="342"/>
        <v/>
      </c>
    </row>
    <row r="12382" spans="6:6" x14ac:dyDescent="0.2">
      <c r="F12382" s="285" t="str">
        <f t="shared" si="342"/>
        <v/>
      </c>
    </row>
    <row r="12383" spans="6:6" x14ac:dyDescent="0.2">
      <c r="F12383" s="285" t="str">
        <f t="shared" si="342"/>
        <v/>
      </c>
    </row>
    <row r="12384" spans="6:6" x14ac:dyDescent="0.2">
      <c r="F12384" s="285" t="str">
        <f t="shared" si="342"/>
        <v/>
      </c>
    </row>
    <row r="12385" spans="6:6" x14ac:dyDescent="0.2">
      <c r="F12385" s="285" t="str">
        <f t="shared" si="342"/>
        <v/>
      </c>
    </row>
    <row r="12386" spans="6:6" x14ac:dyDescent="0.2">
      <c r="F12386" s="285" t="str">
        <f t="shared" si="342"/>
        <v/>
      </c>
    </row>
    <row r="12387" spans="6:6" x14ac:dyDescent="0.2">
      <c r="F12387" s="285" t="str">
        <f t="shared" si="342"/>
        <v/>
      </c>
    </row>
    <row r="12388" spans="6:6" x14ac:dyDescent="0.2">
      <c r="F12388" s="285" t="str">
        <f t="shared" si="342"/>
        <v/>
      </c>
    </row>
    <row r="12389" spans="6:6" x14ac:dyDescent="0.2">
      <c r="F12389" s="285" t="str">
        <f t="shared" si="342"/>
        <v/>
      </c>
    </row>
    <row r="12390" spans="6:6" x14ac:dyDescent="0.2">
      <c r="F12390" s="285" t="str">
        <f t="shared" si="342"/>
        <v/>
      </c>
    </row>
    <row r="12391" spans="6:6" x14ac:dyDescent="0.2">
      <c r="F12391" s="285" t="str">
        <f t="shared" si="342"/>
        <v/>
      </c>
    </row>
    <row r="12392" spans="6:6" x14ac:dyDescent="0.2">
      <c r="F12392" s="285" t="str">
        <f t="shared" si="342"/>
        <v/>
      </c>
    </row>
    <row r="12393" spans="6:6" x14ac:dyDescent="0.2">
      <c r="F12393" s="285" t="str">
        <f t="shared" si="342"/>
        <v/>
      </c>
    </row>
    <row r="12394" spans="6:6" x14ac:dyDescent="0.2">
      <c r="F12394" s="285" t="str">
        <f t="shared" si="342"/>
        <v/>
      </c>
    </row>
    <row r="12395" spans="6:6" x14ac:dyDescent="0.2">
      <c r="F12395" s="285" t="str">
        <f t="shared" si="342"/>
        <v/>
      </c>
    </row>
    <row r="12396" spans="6:6" x14ac:dyDescent="0.2">
      <c r="F12396" s="285" t="str">
        <f t="shared" si="342"/>
        <v/>
      </c>
    </row>
    <row r="12397" spans="6:6" x14ac:dyDescent="0.2">
      <c r="F12397" s="285" t="str">
        <f t="shared" si="342"/>
        <v/>
      </c>
    </row>
    <row r="12398" spans="6:6" x14ac:dyDescent="0.2">
      <c r="F12398" s="285" t="str">
        <f t="shared" si="342"/>
        <v/>
      </c>
    </row>
    <row r="12399" spans="6:6" x14ac:dyDescent="0.2">
      <c r="F12399" s="285" t="str">
        <f t="shared" si="342"/>
        <v/>
      </c>
    </row>
    <row r="12400" spans="6:6" x14ac:dyDescent="0.2">
      <c r="F12400" s="285" t="str">
        <f t="shared" si="342"/>
        <v/>
      </c>
    </row>
    <row r="12401" spans="6:6" x14ac:dyDescent="0.2">
      <c r="F12401" s="285" t="str">
        <f t="shared" si="342"/>
        <v/>
      </c>
    </row>
    <row r="12402" spans="6:6" x14ac:dyDescent="0.2">
      <c r="F12402" s="285" t="str">
        <f t="shared" si="342"/>
        <v/>
      </c>
    </row>
    <row r="12403" spans="6:6" x14ac:dyDescent="0.2">
      <c r="F12403" s="285" t="str">
        <f t="shared" si="342"/>
        <v/>
      </c>
    </row>
    <row r="12404" spans="6:6" x14ac:dyDescent="0.2">
      <c r="F12404" s="285" t="str">
        <f t="shared" si="342"/>
        <v/>
      </c>
    </row>
    <row r="12405" spans="6:6" x14ac:dyDescent="0.2">
      <c r="F12405" s="285" t="str">
        <f t="shared" si="342"/>
        <v/>
      </c>
    </row>
    <row r="12406" spans="6:6" x14ac:dyDescent="0.2">
      <c r="F12406" s="285" t="str">
        <f t="shared" si="342"/>
        <v/>
      </c>
    </row>
    <row r="12407" spans="6:6" x14ac:dyDescent="0.2">
      <c r="F12407" s="285" t="str">
        <f t="shared" si="342"/>
        <v/>
      </c>
    </row>
    <row r="12408" spans="6:6" x14ac:dyDescent="0.2">
      <c r="F12408" s="285" t="str">
        <f t="shared" si="342"/>
        <v/>
      </c>
    </row>
    <row r="12409" spans="6:6" x14ac:dyDescent="0.2">
      <c r="F12409" s="285" t="str">
        <f t="shared" si="342"/>
        <v/>
      </c>
    </row>
    <row r="12410" spans="6:6" x14ac:dyDescent="0.2">
      <c r="F12410" s="285" t="str">
        <f t="shared" si="342"/>
        <v/>
      </c>
    </row>
    <row r="12411" spans="6:6" x14ac:dyDescent="0.2">
      <c r="F12411" s="285" t="str">
        <f t="shared" si="342"/>
        <v/>
      </c>
    </row>
    <row r="12412" spans="6:6" x14ac:dyDescent="0.2">
      <c r="F12412" s="285" t="str">
        <f t="shared" si="342"/>
        <v/>
      </c>
    </row>
    <row r="12413" spans="6:6" x14ac:dyDescent="0.2">
      <c r="F12413" s="285" t="str">
        <f t="shared" si="342"/>
        <v/>
      </c>
    </row>
    <row r="12414" spans="6:6" x14ac:dyDescent="0.2">
      <c r="F12414" s="285" t="str">
        <f t="shared" si="342"/>
        <v/>
      </c>
    </row>
    <row r="12415" spans="6:6" x14ac:dyDescent="0.2">
      <c r="F12415" s="285" t="str">
        <f t="shared" si="342"/>
        <v/>
      </c>
    </row>
    <row r="12416" spans="6:6" x14ac:dyDescent="0.2">
      <c r="F12416" s="285" t="str">
        <f t="shared" si="342"/>
        <v/>
      </c>
    </row>
    <row r="12417" spans="6:6" x14ac:dyDescent="0.2">
      <c r="F12417" s="285" t="str">
        <f t="shared" si="342"/>
        <v/>
      </c>
    </row>
    <row r="12418" spans="6:6" x14ac:dyDescent="0.2">
      <c r="F12418" s="285" t="str">
        <f t="shared" si="342"/>
        <v/>
      </c>
    </row>
    <row r="12419" spans="6:6" x14ac:dyDescent="0.2">
      <c r="F12419" s="285" t="str">
        <f t="shared" si="342"/>
        <v/>
      </c>
    </row>
    <row r="12420" spans="6:6" x14ac:dyDescent="0.2">
      <c r="F12420" s="285" t="str">
        <f t="shared" si="342"/>
        <v/>
      </c>
    </row>
    <row r="12421" spans="6:6" x14ac:dyDescent="0.2">
      <c r="F12421" s="285" t="str">
        <f t="shared" ref="F12421:F12484" si="343">IF(A12421="","",A12421)</f>
        <v/>
      </c>
    </row>
    <row r="12422" spans="6:6" x14ac:dyDescent="0.2">
      <c r="F12422" s="285" t="str">
        <f t="shared" si="343"/>
        <v/>
      </c>
    </row>
    <row r="12423" spans="6:6" x14ac:dyDescent="0.2">
      <c r="F12423" s="285" t="str">
        <f t="shared" si="343"/>
        <v/>
      </c>
    </row>
    <row r="12424" spans="6:6" x14ac:dyDescent="0.2">
      <c r="F12424" s="285" t="str">
        <f t="shared" si="343"/>
        <v/>
      </c>
    </row>
    <row r="12425" spans="6:6" x14ac:dyDescent="0.2">
      <c r="F12425" s="285" t="str">
        <f t="shared" si="343"/>
        <v/>
      </c>
    </row>
    <row r="12426" spans="6:6" x14ac:dyDescent="0.2">
      <c r="F12426" s="285" t="str">
        <f t="shared" si="343"/>
        <v/>
      </c>
    </row>
    <row r="12427" spans="6:6" x14ac:dyDescent="0.2">
      <c r="F12427" s="285" t="str">
        <f t="shared" si="343"/>
        <v/>
      </c>
    </row>
    <row r="12428" spans="6:6" x14ac:dyDescent="0.2">
      <c r="F12428" s="285" t="str">
        <f t="shared" si="343"/>
        <v/>
      </c>
    </row>
    <row r="12429" spans="6:6" x14ac:dyDescent="0.2">
      <c r="F12429" s="285" t="str">
        <f t="shared" si="343"/>
        <v/>
      </c>
    </row>
    <row r="12430" spans="6:6" x14ac:dyDescent="0.2">
      <c r="F12430" s="285" t="str">
        <f t="shared" si="343"/>
        <v/>
      </c>
    </row>
    <row r="12431" spans="6:6" x14ac:dyDescent="0.2">
      <c r="F12431" s="285" t="str">
        <f t="shared" si="343"/>
        <v/>
      </c>
    </row>
    <row r="12432" spans="6:6" x14ac:dyDescent="0.2">
      <c r="F12432" s="285" t="str">
        <f t="shared" si="343"/>
        <v/>
      </c>
    </row>
    <row r="12433" spans="6:6" x14ac:dyDescent="0.2">
      <c r="F12433" s="285" t="str">
        <f t="shared" si="343"/>
        <v/>
      </c>
    </row>
    <row r="12434" spans="6:6" x14ac:dyDescent="0.2">
      <c r="F12434" s="285" t="str">
        <f t="shared" si="343"/>
        <v/>
      </c>
    </row>
    <row r="12435" spans="6:6" x14ac:dyDescent="0.2">
      <c r="F12435" s="285" t="str">
        <f t="shared" si="343"/>
        <v/>
      </c>
    </row>
    <row r="12436" spans="6:6" x14ac:dyDescent="0.2">
      <c r="F12436" s="285" t="str">
        <f t="shared" si="343"/>
        <v/>
      </c>
    </row>
    <row r="12437" spans="6:6" x14ac:dyDescent="0.2">
      <c r="F12437" s="285" t="str">
        <f t="shared" si="343"/>
        <v/>
      </c>
    </row>
    <row r="12438" spans="6:6" x14ac:dyDescent="0.2">
      <c r="F12438" s="285" t="str">
        <f t="shared" si="343"/>
        <v/>
      </c>
    </row>
    <row r="12439" spans="6:6" x14ac:dyDescent="0.2">
      <c r="F12439" s="285" t="str">
        <f t="shared" si="343"/>
        <v/>
      </c>
    </row>
    <row r="12440" spans="6:6" x14ac:dyDescent="0.2">
      <c r="F12440" s="285" t="str">
        <f t="shared" si="343"/>
        <v/>
      </c>
    </row>
    <row r="12441" spans="6:6" x14ac:dyDescent="0.2">
      <c r="F12441" s="285" t="str">
        <f t="shared" si="343"/>
        <v/>
      </c>
    </row>
    <row r="12442" spans="6:6" x14ac:dyDescent="0.2">
      <c r="F12442" s="285" t="str">
        <f t="shared" si="343"/>
        <v/>
      </c>
    </row>
    <row r="12443" spans="6:6" x14ac:dyDescent="0.2">
      <c r="F12443" s="285" t="str">
        <f t="shared" si="343"/>
        <v/>
      </c>
    </row>
    <row r="12444" spans="6:6" x14ac:dyDescent="0.2">
      <c r="F12444" s="285" t="str">
        <f t="shared" si="343"/>
        <v/>
      </c>
    </row>
    <row r="12445" spans="6:6" x14ac:dyDescent="0.2">
      <c r="F12445" s="285" t="str">
        <f t="shared" si="343"/>
        <v/>
      </c>
    </row>
    <row r="12446" spans="6:6" x14ac:dyDescent="0.2">
      <c r="F12446" s="285" t="str">
        <f t="shared" si="343"/>
        <v/>
      </c>
    </row>
    <row r="12447" spans="6:6" x14ac:dyDescent="0.2">
      <c r="F12447" s="285" t="str">
        <f t="shared" si="343"/>
        <v/>
      </c>
    </row>
    <row r="12448" spans="6:6" x14ac:dyDescent="0.2">
      <c r="F12448" s="285" t="str">
        <f t="shared" si="343"/>
        <v/>
      </c>
    </row>
    <row r="12449" spans="6:6" x14ac:dyDescent="0.2">
      <c r="F12449" s="285" t="str">
        <f t="shared" si="343"/>
        <v/>
      </c>
    </row>
    <row r="12450" spans="6:6" x14ac:dyDescent="0.2">
      <c r="F12450" s="285" t="str">
        <f t="shared" si="343"/>
        <v/>
      </c>
    </row>
    <row r="12451" spans="6:6" x14ac:dyDescent="0.2">
      <c r="F12451" s="285" t="str">
        <f t="shared" si="343"/>
        <v/>
      </c>
    </row>
    <row r="12452" spans="6:6" x14ac:dyDescent="0.2">
      <c r="F12452" s="285" t="str">
        <f t="shared" si="343"/>
        <v/>
      </c>
    </row>
    <row r="12453" spans="6:6" x14ac:dyDescent="0.2">
      <c r="F12453" s="285" t="str">
        <f t="shared" si="343"/>
        <v/>
      </c>
    </row>
    <row r="12454" spans="6:6" x14ac:dyDescent="0.2">
      <c r="F12454" s="285" t="str">
        <f t="shared" si="343"/>
        <v/>
      </c>
    </row>
    <row r="12455" spans="6:6" x14ac:dyDescent="0.2">
      <c r="F12455" s="285" t="str">
        <f t="shared" si="343"/>
        <v/>
      </c>
    </row>
    <row r="12456" spans="6:6" x14ac:dyDescent="0.2">
      <c r="F12456" s="285" t="str">
        <f t="shared" si="343"/>
        <v/>
      </c>
    </row>
    <row r="12457" spans="6:6" x14ac:dyDescent="0.2">
      <c r="F12457" s="285" t="str">
        <f t="shared" si="343"/>
        <v/>
      </c>
    </row>
    <row r="12458" spans="6:6" x14ac:dyDescent="0.2">
      <c r="F12458" s="285" t="str">
        <f t="shared" si="343"/>
        <v/>
      </c>
    </row>
    <row r="12459" spans="6:6" x14ac:dyDescent="0.2">
      <c r="F12459" s="285" t="str">
        <f t="shared" si="343"/>
        <v/>
      </c>
    </row>
    <row r="12460" spans="6:6" x14ac:dyDescent="0.2">
      <c r="F12460" s="285" t="str">
        <f t="shared" si="343"/>
        <v/>
      </c>
    </row>
    <row r="12461" spans="6:6" x14ac:dyDescent="0.2">
      <c r="F12461" s="285" t="str">
        <f t="shared" si="343"/>
        <v/>
      </c>
    </row>
    <row r="12462" spans="6:6" x14ac:dyDescent="0.2">
      <c r="F12462" s="285" t="str">
        <f t="shared" si="343"/>
        <v/>
      </c>
    </row>
    <row r="12463" spans="6:6" x14ac:dyDescent="0.2">
      <c r="F12463" s="285" t="str">
        <f t="shared" si="343"/>
        <v/>
      </c>
    </row>
    <row r="12464" spans="6:6" x14ac:dyDescent="0.2">
      <c r="F12464" s="285" t="str">
        <f t="shared" si="343"/>
        <v/>
      </c>
    </row>
    <row r="12465" spans="6:6" x14ac:dyDescent="0.2">
      <c r="F12465" s="285" t="str">
        <f t="shared" si="343"/>
        <v/>
      </c>
    </row>
    <row r="12466" spans="6:6" x14ac:dyDescent="0.2">
      <c r="F12466" s="285" t="str">
        <f t="shared" si="343"/>
        <v/>
      </c>
    </row>
    <row r="12467" spans="6:6" x14ac:dyDescent="0.2">
      <c r="F12467" s="285" t="str">
        <f t="shared" si="343"/>
        <v/>
      </c>
    </row>
    <row r="12468" spans="6:6" x14ac:dyDescent="0.2">
      <c r="F12468" s="285" t="str">
        <f t="shared" si="343"/>
        <v/>
      </c>
    </row>
    <row r="12469" spans="6:6" x14ac:dyDescent="0.2">
      <c r="F12469" s="285" t="str">
        <f t="shared" si="343"/>
        <v/>
      </c>
    </row>
    <row r="12470" spans="6:6" x14ac:dyDescent="0.2">
      <c r="F12470" s="285" t="str">
        <f t="shared" si="343"/>
        <v/>
      </c>
    </row>
    <row r="12471" spans="6:6" x14ac:dyDescent="0.2">
      <c r="F12471" s="285" t="str">
        <f t="shared" si="343"/>
        <v/>
      </c>
    </row>
    <row r="12472" spans="6:6" x14ac:dyDescent="0.2">
      <c r="F12472" s="285" t="str">
        <f t="shared" si="343"/>
        <v/>
      </c>
    </row>
    <row r="12473" spans="6:6" x14ac:dyDescent="0.2">
      <c r="F12473" s="285" t="str">
        <f t="shared" si="343"/>
        <v/>
      </c>
    </row>
    <row r="12474" spans="6:6" x14ac:dyDescent="0.2">
      <c r="F12474" s="285" t="str">
        <f t="shared" si="343"/>
        <v/>
      </c>
    </row>
    <row r="12475" spans="6:6" x14ac:dyDescent="0.2">
      <c r="F12475" s="285" t="str">
        <f t="shared" si="343"/>
        <v/>
      </c>
    </row>
    <row r="12476" spans="6:6" x14ac:dyDescent="0.2">
      <c r="F12476" s="285" t="str">
        <f t="shared" si="343"/>
        <v/>
      </c>
    </row>
    <row r="12477" spans="6:6" x14ac:dyDescent="0.2">
      <c r="F12477" s="285" t="str">
        <f t="shared" si="343"/>
        <v/>
      </c>
    </row>
    <row r="12478" spans="6:6" x14ac:dyDescent="0.2">
      <c r="F12478" s="285" t="str">
        <f t="shared" si="343"/>
        <v/>
      </c>
    </row>
    <row r="12479" spans="6:6" x14ac:dyDescent="0.2">
      <c r="F12479" s="285" t="str">
        <f t="shared" si="343"/>
        <v/>
      </c>
    </row>
    <row r="12480" spans="6:6" x14ac:dyDescent="0.2">
      <c r="F12480" s="285" t="str">
        <f t="shared" si="343"/>
        <v/>
      </c>
    </row>
    <row r="12481" spans="6:6" x14ac:dyDescent="0.2">
      <c r="F12481" s="285" t="str">
        <f t="shared" si="343"/>
        <v/>
      </c>
    </row>
    <row r="12482" spans="6:6" x14ac:dyDescent="0.2">
      <c r="F12482" s="285" t="str">
        <f t="shared" si="343"/>
        <v/>
      </c>
    </row>
    <row r="12483" spans="6:6" x14ac:dyDescent="0.2">
      <c r="F12483" s="285" t="str">
        <f t="shared" si="343"/>
        <v/>
      </c>
    </row>
    <row r="12484" spans="6:6" x14ac:dyDescent="0.2">
      <c r="F12484" s="285" t="str">
        <f t="shared" si="343"/>
        <v/>
      </c>
    </row>
    <row r="12485" spans="6:6" x14ac:dyDescent="0.2">
      <c r="F12485" s="285" t="str">
        <f t="shared" ref="F12485:F12548" si="344">IF(A12485="","",A12485)</f>
        <v/>
      </c>
    </row>
    <row r="12486" spans="6:6" x14ac:dyDescent="0.2">
      <c r="F12486" s="285" t="str">
        <f t="shared" si="344"/>
        <v/>
      </c>
    </row>
    <row r="12487" spans="6:6" x14ac:dyDescent="0.2">
      <c r="F12487" s="285" t="str">
        <f t="shared" si="344"/>
        <v/>
      </c>
    </row>
    <row r="12488" spans="6:6" x14ac:dyDescent="0.2">
      <c r="F12488" s="285" t="str">
        <f t="shared" si="344"/>
        <v/>
      </c>
    </row>
    <row r="12489" spans="6:6" x14ac:dyDescent="0.2">
      <c r="F12489" s="285" t="str">
        <f t="shared" si="344"/>
        <v/>
      </c>
    </row>
    <row r="12490" spans="6:6" x14ac:dyDescent="0.2">
      <c r="F12490" s="285" t="str">
        <f t="shared" si="344"/>
        <v/>
      </c>
    </row>
    <row r="12491" spans="6:6" x14ac:dyDescent="0.2">
      <c r="F12491" s="285" t="str">
        <f t="shared" si="344"/>
        <v/>
      </c>
    </row>
    <row r="12492" spans="6:6" x14ac:dyDescent="0.2">
      <c r="F12492" s="285" t="str">
        <f t="shared" si="344"/>
        <v/>
      </c>
    </row>
    <row r="12493" spans="6:6" x14ac:dyDescent="0.2">
      <c r="F12493" s="285" t="str">
        <f t="shared" si="344"/>
        <v/>
      </c>
    </row>
    <row r="12494" spans="6:6" x14ac:dyDescent="0.2">
      <c r="F12494" s="285" t="str">
        <f t="shared" si="344"/>
        <v/>
      </c>
    </row>
    <row r="12495" spans="6:6" x14ac:dyDescent="0.2">
      <c r="F12495" s="285" t="str">
        <f t="shared" si="344"/>
        <v/>
      </c>
    </row>
    <row r="12496" spans="6:6" x14ac:dyDescent="0.2">
      <c r="F12496" s="285" t="str">
        <f t="shared" si="344"/>
        <v/>
      </c>
    </row>
    <row r="12497" spans="6:6" x14ac:dyDescent="0.2">
      <c r="F12497" s="285" t="str">
        <f t="shared" si="344"/>
        <v/>
      </c>
    </row>
    <row r="12498" spans="6:6" x14ac:dyDescent="0.2">
      <c r="F12498" s="285" t="str">
        <f t="shared" si="344"/>
        <v/>
      </c>
    </row>
    <row r="12499" spans="6:6" x14ac:dyDescent="0.2">
      <c r="F12499" s="285" t="str">
        <f t="shared" si="344"/>
        <v/>
      </c>
    </row>
    <row r="12500" spans="6:6" x14ac:dyDescent="0.2">
      <c r="F12500" s="285" t="str">
        <f t="shared" si="344"/>
        <v/>
      </c>
    </row>
    <row r="12501" spans="6:6" x14ac:dyDescent="0.2">
      <c r="F12501" s="285" t="str">
        <f t="shared" si="344"/>
        <v/>
      </c>
    </row>
    <row r="12502" spans="6:6" x14ac:dyDescent="0.2">
      <c r="F12502" s="285" t="str">
        <f t="shared" si="344"/>
        <v/>
      </c>
    </row>
    <row r="12503" spans="6:6" x14ac:dyDescent="0.2">
      <c r="F12503" s="285" t="str">
        <f t="shared" si="344"/>
        <v/>
      </c>
    </row>
    <row r="12504" spans="6:6" x14ac:dyDescent="0.2">
      <c r="F12504" s="285" t="str">
        <f t="shared" si="344"/>
        <v/>
      </c>
    </row>
    <row r="12505" spans="6:6" x14ac:dyDescent="0.2">
      <c r="F12505" s="285" t="str">
        <f t="shared" si="344"/>
        <v/>
      </c>
    </row>
    <row r="12506" spans="6:6" x14ac:dyDescent="0.2">
      <c r="F12506" s="285" t="str">
        <f t="shared" si="344"/>
        <v/>
      </c>
    </row>
    <row r="12507" spans="6:6" x14ac:dyDescent="0.2">
      <c r="F12507" s="285" t="str">
        <f t="shared" si="344"/>
        <v/>
      </c>
    </row>
    <row r="12508" spans="6:6" x14ac:dyDescent="0.2">
      <c r="F12508" s="285" t="str">
        <f t="shared" si="344"/>
        <v/>
      </c>
    </row>
    <row r="12509" spans="6:6" x14ac:dyDescent="0.2">
      <c r="F12509" s="285" t="str">
        <f t="shared" si="344"/>
        <v/>
      </c>
    </row>
    <row r="12510" spans="6:6" x14ac:dyDescent="0.2">
      <c r="F12510" s="285" t="str">
        <f t="shared" si="344"/>
        <v/>
      </c>
    </row>
    <row r="12511" spans="6:6" x14ac:dyDescent="0.2">
      <c r="F12511" s="285" t="str">
        <f t="shared" si="344"/>
        <v/>
      </c>
    </row>
    <row r="12512" spans="6:6" x14ac:dyDescent="0.2">
      <c r="F12512" s="285" t="str">
        <f t="shared" si="344"/>
        <v/>
      </c>
    </row>
    <row r="12513" spans="6:6" x14ac:dyDescent="0.2">
      <c r="F12513" s="285" t="str">
        <f t="shared" si="344"/>
        <v/>
      </c>
    </row>
    <row r="12514" spans="6:6" x14ac:dyDescent="0.2">
      <c r="F12514" s="285" t="str">
        <f t="shared" si="344"/>
        <v/>
      </c>
    </row>
    <row r="12515" spans="6:6" x14ac:dyDescent="0.2">
      <c r="F12515" s="285" t="str">
        <f t="shared" si="344"/>
        <v/>
      </c>
    </row>
    <row r="12516" spans="6:6" x14ac:dyDescent="0.2">
      <c r="F12516" s="285" t="str">
        <f t="shared" si="344"/>
        <v/>
      </c>
    </row>
    <row r="12517" spans="6:6" x14ac:dyDescent="0.2">
      <c r="F12517" s="285" t="str">
        <f t="shared" si="344"/>
        <v/>
      </c>
    </row>
    <row r="12518" spans="6:6" x14ac:dyDescent="0.2">
      <c r="F12518" s="285" t="str">
        <f t="shared" si="344"/>
        <v/>
      </c>
    </row>
    <row r="12519" spans="6:6" x14ac:dyDescent="0.2">
      <c r="F12519" s="285" t="str">
        <f t="shared" si="344"/>
        <v/>
      </c>
    </row>
    <row r="12520" spans="6:6" x14ac:dyDescent="0.2">
      <c r="F12520" s="285" t="str">
        <f t="shared" si="344"/>
        <v/>
      </c>
    </row>
    <row r="12521" spans="6:6" x14ac:dyDescent="0.2">
      <c r="F12521" s="285" t="str">
        <f t="shared" si="344"/>
        <v/>
      </c>
    </row>
    <row r="12522" spans="6:6" x14ac:dyDescent="0.2">
      <c r="F12522" s="285" t="str">
        <f t="shared" si="344"/>
        <v/>
      </c>
    </row>
    <row r="12523" spans="6:6" x14ac:dyDescent="0.2">
      <c r="F12523" s="285" t="str">
        <f t="shared" si="344"/>
        <v/>
      </c>
    </row>
    <row r="12524" spans="6:6" x14ac:dyDescent="0.2">
      <c r="F12524" s="285" t="str">
        <f t="shared" si="344"/>
        <v/>
      </c>
    </row>
    <row r="12525" spans="6:6" x14ac:dyDescent="0.2">
      <c r="F12525" s="285" t="str">
        <f t="shared" si="344"/>
        <v/>
      </c>
    </row>
    <row r="12526" spans="6:6" x14ac:dyDescent="0.2">
      <c r="F12526" s="285" t="str">
        <f t="shared" si="344"/>
        <v/>
      </c>
    </row>
    <row r="12527" spans="6:6" x14ac:dyDescent="0.2">
      <c r="F12527" s="285" t="str">
        <f t="shared" si="344"/>
        <v/>
      </c>
    </row>
    <row r="12528" spans="6:6" x14ac:dyDescent="0.2">
      <c r="F12528" s="285" t="str">
        <f t="shared" si="344"/>
        <v/>
      </c>
    </row>
    <row r="12529" spans="6:6" x14ac:dyDescent="0.2">
      <c r="F12529" s="285" t="str">
        <f t="shared" si="344"/>
        <v/>
      </c>
    </row>
    <row r="12530" spans="6:6" x14ac:dyDescent="0.2">
      <c r="F12530" s="285" t="str">
        <f t="shared" si="344"/>
        <v/>
      </c>
    </row>
    <row r="12531" spans="6:6" x14ac:dyDescent="0.2">
      <c r="F12531" s="285" t="str">
        <f t="shared" si="344"/>
        <v/>
      </c>
    </row>
    <row r="12532" spans="6:6" x14ac:dyDescent="0.2">
      <c r="F12532" s="285" t="str">
        <f t="shared" si="344"/>
        <v/>
      </c>
    </row>
    <row r="12533" spans="6:6" x14ac:dyDescent="0.2">
      <c r="F12533" s="285" t="str">
        <f t="shared" si="344"/>
        <v/>
      </c>
    </row>
    <row r="12534" spans="6:6" x14ac:dyDescent="0.2">
      <c r="F12534" s="285" t="str">
        <f t="shared" si="344"/>
        <v/>
      </c>
    </row>
    <row r="12535" spans="6:6" x14ac:dyDescent="0.2">
      <c r="F12535" s="285" t="str">
        <f t="shared" si="344"/>
        <v/>
      </c>
    </row>
    <row r="12536" spans="6:6" x14ac:dyDescent="0.2">
      <c r="F12536" s="285" t="str">
        <f t="shared" si="344"/>
        <v/>
      </c>
    </row>
    <row r="12537" spans="6:6" x14ac:dyDescent="0.2">
      <c r="F12537" s="285" t="str">
        <f t="shared" si="344"/>
        <v/>
      </c>
    </row>
    <row r="12538" spans="6:6" x14ac:dyDescent="0.2">
      <c r="F12538" s="285" t="str">
        <f t="shared" si="344"/>
        <v/>
      </c>
    </row>
    <row r="12539" spans="6:6" x14ac:dyDescent="0.2">
      <c r="F12539" s="285" t="str">
        <f t="shared" si="344"/>
        <v/>
      </c>
    </row>
    <row r="12540" spans="6:6" x14ac:dyDescent="0.2">
      <c r="F12540" s="285" t="str">
        <f t="shared" si="344"/>
        <v/>
      </c>
    </row>
    <row r="12541" spans="6:6" x14ac:dyDescent="0.2">
      <c r="F12541" s="285" t="str">
        <f t="shared" si="344"/>
        <v/>
      </c>
    </row>
    <row r="12542" spans="6:6" x14ac:dyDescent="0.2">
      <c r="F12542" s="285" t="str">
        <f t="shared" si="344"/>
        <v/>
      </c>
    </row>
    <row r="12543" spans="6:6" x14ac:dyDescent="0.2">
      <c r="F12543" s="285" t="str">
        <f t="shared" si="344"/>
        <v/>
      </c>
    </row>
    <row r="12544" spans="6:6" x14ac:dyDescent="0.2">
      <c r="F12544" s="285" t="str">
        <f t="shared" si="344"/>
        <v/>
      </c>
    </row>
    <row r="12545" spans="6:6" x14ac:dyDescent="0.2">
      <c r="F12545" s="285" t="str">
        <f t="shared" si="344"/>
        <v/>
      </c>
    </row>
    <row r="12546" spans="6:6" x14ac:dyDescent="0.2">
      <c r="F12546" s="285" t="str">
        <f t="shared" si="344"/>
        <v/>
      </c>
    </row>
    <row r="12547" spans="6:6" x14ac:dyDescent="0.2">
      <c r="F12547" s="285" t="str">
        <f t="shared" si="344"/>
        <v/>
      </c>
    </row>
    <row r="12548" spans="6:6" x14ac:dyDescent="0.2">
      <c r="F12548" s="285" t="str">
        <f t="shared" si="344"/>
        <v/>
      </c>
    </row>
    <row r="12549" spans="6:6" x14ac:dyDescent="0.2">
      <c r="F12549" s="285" t="str">
        <f t="shared" ref="F12549:F12612" si="345">IF(A12549="","",A12549)</f>
        <v/>
      </c>
    </row>
    <row r="12550" spans="6:6" x14ac:dyDescent="0.2">
      <c r="F12550" s="285" t="str">
        <f t="shared" si="345"/>
        <v/>
      </c>
    </row>
    <row r="12551" spans="6:6" x14ac:dyDescent="0.2">
      <c r="F12551" s="285" t="str">
        <f t="shared" si="345"/>
        <v/>
      </c>
    </row>
    <row r="12552" spans="6:6" x14ac:dyDescent="0.2">
      <c r="F12552" s="285" t="str">
        <f t="shared" si="345"/>
        <v/>
      </c>
    </row>
    <row r="12553" spans="6:6" x14ac:dyDescent="0.2">
      <c r="F12553" s="285" t="str">
        <f t="shared" si="345"/>
        <v/>
      </c>
    </row>
    <row r="12554" spans="6:6" x14ac:dyDescent="0.2">
      <c r="F12554" s="285" t="str">
        <f t="shared" si="345"/>
        <v/>
      </c>
    </row>
    <row r="12555" spans="6:6" x14ac:dyDescent="0.2">
      <c r="F12555" s="285" t="str">
        <f t="shared" si="345"/>
        <v/>
      </c>
    </row>
    <row r="12556" spans="6:6" x14ac:dyDescent="0.2">
      <c r="F12556" s="285" t="str">
        <f t="shared" si="345"/>
        <v/>
      </c>
    </row>
    <row r="12557" spans="6:6" x14ac:dyDescent="0.2">
      <c r="F12557" s="285" t="str">
        <f t="shared" si="345"/>
        <v/>
      </c>
    </row>
    <row r="12558" spans="6:6" x14ac:dyDescent="0.2">
      <c r="F12558" s="285" t="str">
        <f t="shared" si="345"/>
        <v/>
      </c>
    </row>
    <row r="12559" spans="6:6" x14ac:dyDescent="0.2">
      <c r="F12559" s="285" t="str">
        <f t="shared" si="345"/>
        <v/>
      </c>
    </row>
    <row r="12560" spans="6:6" x14ac:dyDescent="0.2">
      <c r="F12560" s="285" t="str">
        <f t="shared" si="345"/>
        <v/>
      </c>
    </row>
    <row r="12561" spans="6:6" x14ac:dyDescent="0.2">
      <c r="F12561" s="285" t="str">
        <f t="shared" si="345"/>
        <v/>
      </c>
    </row>
    <row r="12562" spans="6:6" x14ac:dyDescent="0.2">
      <c r="F12562" s="285" t="str">
        <f t="shared" si="345"/>
        <v/>
      </c>
    </row>
    <row r="12563" spans="6:6" x14ac:dyDescent="0.2">
      <c r="F12563" s="285" t="str">
        <f t="shared" si="345"/>
        <v/>
      </c>
    </row>
    <row r="12564" spans="6:6" x14ac:dyDescent="0.2">
      <c r="F12564" s="285" t="str">
        <f t="shared" si="345"/>
        <v/>
      </c>
    </row>
    <row r="12565" spans="6:6" x14ac:dyDescent="0.2">
      <c r="F12565" s="285" t="str">
        <f t="shared" si="345"/>
        <v/>
      </c>
    </row>
    <row r="12566" spans="6:6" x14ac:dyDescent="0.2">
      <c r="F12566" s="285" t="str">
        <f t="shared" si="345"/>
        <v/>
      </c>
    </row>
    <row r="12567" spans="6:6" x14ac:dyDescent="0.2">
      <c r="F12567" s="285" t="str">
        <f t="shared" si="345"/>
        <v/>
      </c>
    </row>
    <row r="12568" spans="6:6" x14ac:dyDescent="0.2">
      <c r="F12568" s="285" t="str">
        <f t="shared" si="345"/>
        <v/>
      </c>
    </row>
    <row r="12569" spans="6:6" x14ac:dyDescent="0.2">
      <c r="F12569" s="285" t="str">
        <f t="shared" si="345"/>
        <v/>
      </c>
    </row>
    <row r="12570" spans="6:6" x14ac:dyDescent="0.2">
      <c r="F12570" s="285" t="str">
        <f t="shared" si="345"/>
        <v/>
      </c>
    </row>
    <row r="12571" spans="6:6" x14ac:dyDescent="0.2">
      <c r="F12571" s="285" t="str">
        <f t="shared" si="345"/>
        <v/>
      </c>
    </row>
    <row r="12572" spans="6:6" x14ac:dyDescent="0.2">
      <c r="F12572" s="285" t="str">
        <f t="shared" si="345"/>
        <v/>
      </c>
    </row>
    <row r="12573" spans="6:6" x14ac:dyDescent="0.2">
      <c r="F12573" s="285" t="str">
        <f t="shared" si="345"/>
        <v/>
      </c>
    </row>
    <row r="12574" spans="6:6" x14ac:dyDescent="0.2">
      <c r="F12574" s="285" t="str">
        <f t="shared" si="345"/>
        <v/>
      </c>
    </row>
    <row r="12575" spans="6:6" x14ac:dyDescent="0.2">
      <c r="F12575" s="285" t="str">
        <f t="shared" si="345"/>
        <v/>
      </c>
    </row>
    <row r="12576" spans="6:6" x14ac:dyDescent="0.2">
      <c r="F12576" s="285" t="str">
        <f t="shared" si="345"/>
        <v/>
      </c>
    </row>
    <row r="12577" spans="6:6" x14ac:dyDescent="0.2">
      <c r="F12577" s="285" t="str">
        <f t="shared" si="345"/>
        <v/>
      </c>
    </row>
    <row r="12578" spans="6:6" x14ac:dyDescent="0.2">
      <c r="F12578" s="285" t="str">
        <f t="shared" si="345"/>
        <v/>
      </c>
    </row>
    <row r="12579" spans="6:6" x14ac:dyDescent="0.2">
      <c r="F12579" s="285" t="str">
        <f t="shared" si="345"/>
        <v/>
      </c>
    </row>
    <row r="12580" spans="6:6" x14ac:dyDescent="0.2">
      <c r="F12580" s="285" t="str">
        <f t="shared" si="345"/>
        <v/>
      </c>
    </row>
    <row r="12581" spans="6:6" x14ac:dyDescent="0.2">
      <c r="F12581" s="285" t="str">
        <f t="shared" si="345"/>
        <v/>
      </c>
    </row>
    <row r="12582" spans="6:6" x14ac:dyDescent="0.2">
      <c r="F12582" s="285" t="str">
        <f t="shared" si="345"/>
        <v/>
      </c>
    </row>
    <row r="12583" spans="6:6" x14ac:dyDescent="0.2">
      <c r="F12583" s="285" t="str">
        <f t="shared" si="345"/>
        <v/>
      </c>
    </row>
    <row r="12584" spans="6:6" x14ac:dyDescent="0.2">
      <c r="F12584" s="285" t="str">
        <f t="shared" si="345"/>
        <v/>
      </c>
    </row>
    <row r="12585" spans="6:6" x14ac:dyDescent="0.2">
      <c r="F12585" s="285" t="str">
        <f t="shared" si="345"/>
        <v/>
      </c>
    </row>
    <row r="12586" spans="6:6" x14ac:dyDescent="0.2">
      <c r="F12586" s="285" t="str">
        <f t="shared" si="345"/>
        <v/>
      </c>
    </row>
    <row r="12587" spans="6:6" x14ac:dyDescent="0.2">
      <c r="F12587" s="285" t="str">
        <f t="shared" si="345"/>
        <v/>
      </c>
    </row>
    <row r="12588" spans="6:6" x14ac:dyDescent="0.2">
      <c r="F12588" s="285" t="str">
        <f t="shared" si="345"/>
        <v/>
      </c>
    </row>
    <row r="12589" spans="6:6" x14ac:dyDescent="0.2">
      <c r="F12589" s="285" t="str">
        <f t="shared" si="345"/>
        <v/>
      </c>
    </row>
    <row r="12590" spans="6:6" x14ac:dyDescent="0.2">
      <c r="F12590" s="285" t="str">
        <f t="shared" si="345"/>
        <v/>
      </c>
    </row>
    <row r="12591" spans="6:6" x14ac:dyDescent="0.2">
      <c r="F12591" s="285" t="str">
        <f t="shared" si="345"/>
        <v/>
      </c>
    </row>
    <row r="12592" spans="6:6" x14ac:dyDescent="0.2">
      <c r="F12592" s="285" t="str">
        <f t="shared" si="345"/>
        <v/>
      </c>
    </row>
    <row r="12593" spans="6:6" x14ac:dyDescent="0.2">
      <c r="F12593" s="285" t="str">
        <f t="shared" si="345"/>
        <v/>
      </c>
    </row>
    <row r="12594" spans="6:6" x14ac:dyDescent="0.2">
      <c r="F12594" s="285" t="str">
        <f t="shared" si="345"/>
        <v/>
      </c>
    </row>
    <row r="12595" spans="6:6" x14ac:dyDescent="0.2">
      <c r="F12595" s="285" t="str">
        <f t="shared" si="345"/>
        <v/>
      </c>
    </row>
    <row r="12596" spans="6:6" x14ac:dyDescent="0.2">
      <c r="F12596" s="285" t="str">
        <f t="shared" si="345"/>
        <v/>
      </c>
    </row>
    <row r="12597" spans="6:6" x14ac:dyDescent="0.2">
      <c r="F12597" s="285" t="str">
        <f t="shared" si="345"/>
        <v/>
      </c>
    </row>
    <row r="12598" spans="6:6" x14ac:dyDescent="0.2">
      <c r="F12598" s="285" t="str">
        <f t="shared" si="345"/>
        <v/>
      </c>
    </row>
    <row r="12599" spans="6:6" x14ac:dyDescent="0.2">
      <c r="F12599" s="285" t="str">
        <f t="shared" si="345"/>
        <v/>
      </c>
    </row>
    <row r="12600" spans="6:6" x14ac:dyDescent="0.2">
      <c r="F12600" s="285" t="str">
        <f t="shared" si="345"/>
        <v/>
      </c>
    </row>
    <row r="12601" spans="6:6" x14ac:dyDescent="0.2">
      <c r="F12601" s="285" t="str">
        <f t="shared" si="345"/>
        <v/>
      </c>
    </row>
    <row r="12602" spans="6:6" x14ac:dyDescent="0.2">
      <c r="F12602" s="285" t="str">
        <f t="shared" si="345"/>
        <v/>
      </c>
    </row>
    <row r="12603" spans="6:6" x14ac:dyDescent="0.2">
      <c r="F12603" s="285" t="str">
        <f t="shared" si="345"/>
        <v/>
      </c>
    </row>
    <row r="12604" spans="6:6" x14ac:dyDescent="0.2">
      <c r="F12604" s="285" t="str">
        <f t="shared" si="345"/>
        <v/>
      </c>
    </row>
    <row r="12605" spans="6:6" x14ac:dyDescent="0.2">
      <c r="F12605" s="285" t="str">
        <f t="shared" si="345"/>
        <v/>
      </c>
    </row>
    <row r="12606" spans="6:6" x14ac:dyDescent="0.2">
      <c r="F12606" s="285" t="str">
        <f t="shared" si="345"/>
        <v/>
      </c>
    </row>
    <row r="12607" spans="6:6" x14ac:dyDescent="0.2">
      <c r="F12607" s="285" t="str">
        <f t="shared" si="345"/>
        <v/>
      </c>
    </row>
    <row r="12608" spans="6:6" x14ac:dyDescent="0.2">
      <c r="F12608" s="285" t="str">
        <f t="shared" si="345"/>
        <v/>
      </c>
    </row>
    <row r="12609" spans="6:6" x14ac:dyDescent="0.2">
      <c r="F12609" s="285" t="str">
        <f t="shared" si="345"/>
        <v/>
      </c>
    </row>
    <row r="12610" spans="6:6" x14ac:dyDescent="0.2">
      <c r="F12610" s="285" t="str">
        <f t="shared" si="345"/>
        <v/>
      </c>
    </row>
    <row r="12611" spans="6:6" x14ac:dyDescent="0.2">
      <c r="F12611" s="285" t="str">
        <f t="shared" si="345"/>
        <v/>
      </c>
    </row>
    <row r="12612" spans="6:6" x14ac:dyDescent="0.2">
      <c r="F12612" s="285" t="str">
        <f t="shared" si="345"/>
        <v/>
      </c>
    </row>
    <row r="12613" spans="6:6" x14ac:dyDescent="0.2">
      <c r="F12613" s="285" t="str">
        <f t="shared" ref="F12613:F12676" si="346">IF(A12613="","",A12613)</f>
        <v/>
      </c>
    </row>
    <row r="12614" spans="6:6" x14ac:dyDescent="0.2">
      <c r="F12614" s="285" t="str">
        <f t="shared" si="346"/>
        <v/>
      </c>
    </row>
    <row r="12615" spans="6:6" x14ac:dyDescent="0.2">
      <c r="F12615" s="285" t="str">
        <f t="shared" si="346"/>
        <v/>
      </c>
    </row>
    <row r="12616" spans="6:6" x14ac:dyDescent="0.2">
      <c r="F12616" s="285" t="str">
        <f t="shared" si="346"/>
        <v/>
      </c>
    </row>
    <row r="12617" spans="6:6" x14ac:dyDescent="0.2">
      <c r="F12617" s="285" t="str">
        <f t="shared" si="346"/>
        <v/>
      </c>
    </row>
    <row r="12618" spans="6:6" x14ac:dyDescent="0.2">
      <c r="F12618" s="285" t="str">
        <f t="shared" si="346"/>
        <v/>
      </c>
    </row>
    <row r="12619" spans="6:6" x14ac:dyDescent="0.2">
      <c r="F12619" s="285" t="str">
        <f t="shared" si="346"/>
        <v/>
      </c>
    </row>
    <row r="12620" spans="6:6" x14ac:dyDescent="0.2">
      <c r="F12620" s="285" t="str">
        <f t="shared" si="346"/>
        <v/>
      </c>
    </row>
    <row r="12621" spans="6:6" x14ac:dyDescent="0.2">
      <c r="F12621" s="285" t="str">
        <f t="shared" si="346"/>
        <v/>
      </c>
    </row>
    <row r="12622" spans="6:6" x14ac:dyDescent="0.2">
      <c r="F12622" s="285" t="str">
        <f t="shared" si="346"/>
        <v/>
      </c>
    </row>
    <row r="12623" spans="6:6" x14ac:dyDescent="0.2">
      <c r="F12623" s="285" t="str">
        <f t="shared" si="346"/>
        <v/>
      </c>
    </row>
    <row r="12624" spans="6:6" x14ac:dyDescent="0.2">
      <c r="F12624" s="285" t="str">
        <f t="shared" si="346"/>
        <v/>
      </c>
    </row>
    <row r="12625" spans="6:6" x14ac:dyDescent="0.2">
      <c r="F12625" s="285" t="str">
        <f t="shared" si="346"/>
        <v/>
      </c>
    </row>
    <row r="12626" spans="6:6" x14ac:dyDescent="0.2">
      <c r="F12626" s="285" t="str">
        <f t="shared" si="346"/>
        <v/>
      </c>
    </row>
    <row r="12627" spans="6:6" x14ac:dyDescent="0.2">
      <c r="F12627" s="285" t="str">
        <f t="shared" si="346"/>
        <v/>
      </c>
    </row>
    <row r="12628" spans="6:6" x14ac:dyDescent="0.2">
      <c r="F12628" s="285" t="str">
        <f t="shared" si="346"/>
        <v/>
      </c>
    </row>
    <row r="12629" spans="6:6" x14ac:dyDescent="0.2">
      <c r="F12629" s="285" t="str">
        <f t="shared" si="346"/>
        <v/>
      </c>
    </row>
    <row r="12630" spans="6:6" x14ac:dyDescent="0.2">
      <c r="F12630" s="285" t="str">
        <f t="shared" si="346"/>
        <v/>
      </c>
    </row>
    <row r="12631" spans="6:6" x14ac:dyDescent="0.2">
      <c r="F12631" s="285" t="str">
        <f t="shared" si="346"/>
        <v/>
      </c>
    </row>
    <row r="12632" spans="6:6" x14ac:dyDescent="0.2">
      <c r="F12632" s="285" t="str">
        <f t="shared" si="346"/>
        <v/>
      </c>
    </row>
    <row r="12633" spans="6:6" x14ac:dyDescent="0.2">
      <c r="F12633" s="285" t="str">
        <f t="shared" si="346"/>
        <v/>
      </c>
    </row>
    <row r="12634" spans="6:6" x14ac:dyDescent="0.2">
      <c r="F12634" s="285" t="str">
        <f t="shared" si="346"/>
        <v/>
      </c>
    </row>
    <row r="12635" spans="6:6" x14ac:dyDescent="0.2">
      <c r="F12635" s="285" t="str">
        <f t="shared" si="346"/>
        <v/>
      </c>
    </row>
    <row r="12636" spans="6:6" x14ac:dyDescent="0.2">
      <c r="F12636" s="285" t="str">
        <f t="shared" si="346"/>
        <v/>
      </c>
    </row>
    <row r="12637" spans="6:6" x14ac:dyDescent="0.2">
      <c r="F12637" s="285" t="str">
        <f t="shared" si="346"/>
        <v/>
      </c>
    </row>
    <row r="12638" spans="6:6" x14ac:dyDescent="0.2">
      <c r="F12638" s="285" t="str">
        <f t="shared" si="346"/>
        <v/>
      </c>
    </row>
    <row r="12639" spans="6:6" x14ac:dyDescent="0.2">
      <c r="F12639" s="285" t="str">
        <f t="shared" si="346"/>
        <v/>
      </c>
    </row>
    <row r="12640" spans="6:6" x14ac:dyDescent="0.2">
      <c r="F12640" s="285" t="str">
        <f t="shared" si="346"/>
        <v/>
      </c>
    </row>
    <row r="12641" spans="6:6" x14ac:dyDescent="0.2">
      <c r="F12641" s="285" t="str">
        <f t="shared" si="346"/>
        <v/>
      </c>
    </row>
    <row r="12642" spans="6:6" x14ac:dyDescent="0.2">
      <c r="F12642" s="285" t="str">
        <f t="shared" si="346"/>
        <v/>
      </c>
    </row>
    <row r="12643" spans="6:6" x14ac:dyDescent="0.2">
      <c r="F12643" s="285" t="str">
        <f t="shared" si="346"/>
        <v/>
      </c>
    </row>
    <row r="12644" spans="6:6" x14ac:dyDescent="0.2">
      <c r="F12644" s="285" t="str">
        <f t="shared" si="346"/>
        <v/>
      </c>
    </row>
    <row r="12645" spans="6:6" x14ac:dyDescent="0.2">
      <c r="F12645" s="285" t="str">
        <f t="shared" si="346"/>
        <v/>
      </c>
    </row>
    <row r="12646" spans="6:6" x14ac:dyDescent="0.2">
      <c r="F12646" s="285" t="str">
        <f t="shared" si="346"/>
        <v/>
      </c>
    </row>
    <row r="12647" spans="6:6" x14ac:dyDescent="0.2">
      <c r="F12647" s="285" t="str">
        <f t="shared" si="346"/>
        <v/>
      </c>
    </row>
    <row r="12648" spans="6:6" x14ac:dyDescent="0.2">
      <c r="F12648" s="285" t="str">
        <f t="shared" si="346"/>
        <v/>
      </c>
    </row>
    <row r="12649" spans="6:6" x14ac:dyDescent="0.2">
      <c r="F12649" s="285" t="str">
        <f t="shared" si="346"/>
        <v/>
      </c>
    </row>
    <row r="12650" spans="6:6" x14ac:dyDescent="0.2">
      <c r="F12650" s="285" t="str">
        <f t="shared" si="346"/>
        <v/>
      </c>
    </row>
    <row r="12651" spans="6:6" x14ac:dyDescent="0.2">
      <c r="F12651" s="285" t="str">
        <f t="shared" si="346"/>
        <v/>
      </c>
    </row>
    <row r="12652" spans="6:6" x14ac:dyDescent="0.2">
      <c r="F12652" s="285" t="str">
        <f t="shared" si="346"/>
        <v/>
      </c>
    </row>
    <row r="12653" spans="6:6" x14ac:dyDescent="0.2">
      <c r="F12653" s="285" t="str">
        <f t="shared" si="346"/>
        <v/>
      </c>
    </row>
    <row r="12654" spans="6:6" x14ac:dyDescent="0.2">
      <c r="F12654" s="285" t="str">
        <f t="shared" si="346"/>
        <v/>
      </c>
    </row>
    <row r="12655" spans="6:6" x14ac:dyDescent="0.2">
      <c r="F12655" s="285" t="str">
        <f t="shared" si="346"/>
        <v/>
      </c>
    </row>
    <row r="12656" spans="6:6" x14ac:dyDescent="0.2">
      <c r="F12656" s="285" t="str">
        <f t="shared" si="346"/>
        <v/>
      </c>
    </row>
    <row r="12657" spans="6:6" x14ac:dyDescent="0.2">
      <c r="F12657" s="285" t="str">
        <f t="shared" si="346"/>
        <v/>
      </c>
    </row>
    <row r="12658" spans="6:6" x14ac:dyDescent="0.2">
      <c r="F12658" s="285" t="str">
        <f t="shared" si="346"/>
        <v/>
      </c>
    </row>
    <row r="12659" spans="6:6" x14ac:dyDescent="0.2">
      <c r="F12659" s="285" t="str">
        <f t="shared" si="346"/>
        <v/>
      </c>
    </row>
    <row r="12660" spans="6:6" x14ac:dyDescent="0.2">
      <c r="F12660" s="285" t="str">
        <f t="shared" si="346"/>
        <v/>
      </c>
    </row>
    <row r="12661" spans="6:6" x14ac:dyDescent="0.2">
      <c r="F12661" s="285" t="str">
        <f t="shared" si="346"/>
        <v/>
      </c>
    </row>
    <row r="12662" spans="6:6" x14ac:dyDescent="0.2">
      <c r="F12662" s="285" t="str">
        <f t="shared" si="346"/>
        <v/>
      </c>
    </row>
    <row r="12663" spans="6:6" x14ac:dyDescent="0.2">
      <c r="F12663" s="285" t="str">
        <f t="shared" si="346"/>
        <v/>
      </c>
    </row>
    <row r="12664" spans="6:6" x14ac:dyDescent="0.2">
      <c r="F12664" s="285" t="str">
        <f t="shared" si="346"/>
        <v/>
      </c>
    </row>
    <row r="12665" spans="6:6" x14ac:dyDescent="0.2">
      <c r="F12665" s="285" t="str">
        <f t="shared" si="346"/>
        <v/>
      </c>
    </row>
    <row r="12666" spans="6:6" x14ac:dyDescent="0.2">
      <c r="F12666" s="285" t="str">
        <f t="shared" si="346"/>
        <v/>
      </c>
    </row>
    <row r="12667" spans="6:6" x14ac:dyDescent="0.2">
      <c r="F12667" s="285" t="str">
        <f t="shared" si="346"/>
        <v/>
      </c>
    </row>
    <row r="12668" spans="6:6" x14ac:dyDescent="0.2">
      <c r="F12668" s="285" t="str">
        <f t="shared" si="346"/>
        <v/>
      </c>
    </row>
    <row r="12669" spans="6:6" x14ac:dyDescent="0.2">
      <c r="F12669" s="285" t="str">
        <f t="shared" si="346"/>
        <v/>
      </c>
    </row>
    <row r="12670" spans="6:6" x14ac:dyDescent="0.2">
      <c r="F12670" s="285" t="str">
        <f t="shared" si="346"/>
        <v/>
      </c>
    </row>
    <row r="12671" spans="6:6" x14ac:dyDescent="0.2">
      <c r="F12671" s="285" t="str">
        <f t="shared" si="346"/>
        <v/>
      </c>
    </row>
    <row r="12672" spans="6:6" x14ac:dyDescent="0.2">
      <c r="F12672" s="285" t="str">
        <f t="shared" si="346"/>
        <v/>
      </c>
    </row>
    <row r="12673" spans="6:6" x14ac:dyDescent="0.2">
      <c r="F12673" s="285" t="str">
        <f t="shared" si="346"/>
        <v/>
      </c>
    </row>
    <row r="12674" spans="6:6" x14ac:dyDescent="0.2">
      <c r="F12674" s="285" t="str">
        <f t="shared" si="346"/>
        <v/>
      </c>
    </row>
    <row r="12675" spans="6:6" x14ac:dyDescent="0.2">
      <c r="F12675" s="285" t="str">
        <f t="shared" si="346"/>
        <v/>
      </c>
    </row>
    <row r="12676" spans="6:6" x14ac:dyDescent="0.2">
      <c r="F12676" s="285" t="str">
        <f t="shared" si="346"/>
        <v/>
      </c>
    </row>
    <row r="12677" spans="6:6" x14ac:dyDescent="0.2">
      <c r="F12677" s="285" t="str">
        <f t="shared" ref="F12677:F12740" si="347">IF(A12677="","",A12677)</f>
        <v/>
      </c>
    </row>
    <row r="12678" spans="6:6" x14ac:dyDescent="0.2">
      <c r="F12678" s="285" t="str">
        <f t="shared" si="347"/>
        <v/>
      </c>
    </row>
    <row r="12679" spans="6:6" x14ac:dyDescent="0.2">
      <c r="F12679" s="285" t="str">
        <f t="shared" si="347"/>
        <v/>
      </c>
    </row>
    <row r="12680" spans="6:6" x14ac:dyDescent="0.2">
      <c r="F12680" s="285" t="str">
        <f t="shared" si="347"/>
        <v/>
      </c>
    </row>
    <row r="12681" spans="6:6" x14ac:dyDescent="0.2">
      <c r="F12681" s="285" t="str">
        <f t="shared" si="347"/>
        <v/>
      </c>
    </row>
    <row r="12682" spans="6:6" x14ac:dyDescent="0.2">
      <c r="F12682" s="285" t="str">
        <f t="shared" si="347"/>
        <v/>
      </c>
    </row>
    <row r="12683" spans="6:6" x14ac:dyDescent="0.2">
      <c r="F12683" s="285" t="str">
        <f t="shared" si="347"/>
        <v/>
      </c>
    </row>
    <row r="12684" spans="6:6" x14ac:dyDescent="0.2">
      <c r="F12684" s="285" t="str">
        <f t="shared" si="347"/>
        <v/>
      </c>
    </row>
    <row r="12685" spans="6:6" x14ac:dyDescent="0.2">
      <c r="F12685" s="285" t="str">
        <f t="shared" si="347"/>
        <v/>
      </c>
    </row>
    <row r="12686" spans="6:6" x14ac:dyDescent="0.2">
      <c r="F12686" s="285" t="str">
        <f t="shared" si="347"/>
        <v/>
      </c>
    </row>
    <row r="12687" spans="6:6" x14ac:dyDescent="0.2">
      <c r="F12687" s="285" t="str">
        <f t="shared" si="347"/>
        <v/>
      </c>
    </row>
    <row r="12688" spans="6:6" x14ac:dyDescent="0.2">
      <c r="F12688" s="285" t="str">
        <f t="shared" si="347"/>
        <v/>
      </c>
    </row>
    <row r="12689" spans="6:6" x14ac:dyDescent="0.2">
      <c r="F12689" s="285" t="str">
        <f t="shared" si="347"/>
        <v/>
      </c>
    </row>
    <row r="12690" spans="6:6" x14ac:dyDescent="0.2">
      <c r="F12690" s="285" t="str">
        <f t="shared" si="347"/>
        <v/>
      </c>
    </row>
    <row r="12691" spans="6:6" x14ac:dyDescent="0.2">
      <c r="F12691" s="285" t="str">
        <f t="shared" si="347"/>
        <v/>
      </c>
    </row>
    <row r="12692" spans="6:6" x14ac:dyDescent="0.2">
      <c r="F12692" s="285" t="str">
        <f t="shared" si="347"/>
        <v/>
      </c>
    </row>
    <row r="12693" spans="6:6" x14ac:dyDescent="0.2">
      <c r="F12693" s="285" t="str">
        <f t="shared" si="347"/>
        <v/>
      </c>
    </row>
    <row r="12694" spans="6:6" x14ac:dyDescent="0.2">
      <c r="F12694" s="285" t="str">
        <f t="shared" si="347"/>
        <v/>
      </c>
    </row>
    <row r="12695" spans="6:6" x14ac:dyDescent="0.2">
      <c r="F12695" s="285" t="str">
        <f t="shared" si="347"/>
        <v/>
      </c>
    </row>
    <row r="12696" spans="6:6" x14ac:dyDescent="0.2">
      <c r="F12696" s="285" t="str">
        <f t="shared" si="347"/>
        <v/>
      </c>
    </row>
    <row r="12697" spans="6:6" x14ac:dyDescent="0.2">
      <c r="F12697" s="285" t="str">
        <f t="shared" si="347"/>
        <v/>
      </c>
    </row>
    <row r="12698" spans="6:6" x14ac:dyDescent="0.2">
      <c r="F12698" s="285" t="str">
        <f t="shared" si="347"/>
        <v/>
      </c>
    </row>
    <row r="12699" spans="6:6" x14ac:dyDescent="0.2">
      <c r="F12699" s="285" t="str">
        <f t="shared" si="347"/>
        <v/>
      </c>
    </row>
    <row r="12700" spans="6:6" x14ac:dyDescent="0.2">
      <c r="F12700" s="285" t="str">
        <f t="shared" si="347"/>
        <v/>
      </c>
    </row>
    <row r="12701" spans="6:6" x14ac:dyDescent="0.2">
      <c r="F12701" s="285" t="str">
        <f t="shared" si="347"/>
        <v/>
      </c>
    </row>
    <row r="12702" spans="6:6" x14ac:dyDescent="0.2">
      <c r="F12702" s="285" t="str">
        <f t="shared" si="347"/>
        <v/>
      </c>
    </row>
    <row r="12703" spans="6:6" x14ac:dyDescent="0.2">
      <c r="F12703" s="285" t="str">
        <f t="shared" si="347"/>
        <v/>
      </c>
    </row>
    <row r="12704" spans="6:6" x14ac:dyDescent="0.2">
      <c r="F12704" s="285" t="str">
        <f t="shared" si="347"/>
        <v/>
      </c>
    </row>
    <row r="12705" spans="6:6" x14ac:dyDescent="0.2">
      <c r="F12705" s="285" t="str">
        <f t="shared" si="347"/>
        <v/>
      </c>
    </row>
    <row r="12706" spans="6:6" x14ac:dyDescent="0.2">
      <c r="F12706" s="285" t="str">
        <f t="shared" si="347"/>
        <v/>
      </c>
    </row>
    <row r="12707" spans="6:6" x14ac:dyDescent="0.2">
      <c r="F12707" s="285" t="str">
        <f t="shared" si="347"/>
        <v/>
      </c>
    </row>
    <row r="12708" spans="6:6" x14ac:dyDescent="0.2">
      <c r="F12708" s="285" t="str">
        <f t="shared" si="347"/>
        <v/>
      </c>
    </row>
    <row r="12709" spans="6:6" x14ac:dyDescent="0.2">
      <c r="F12709" s="285" t="str">
        <f t="shared" si="347"/>
        <v/>
      </c>
    </row>
    <row r="12710" spans="6:6" x14ac:dyDescent="0.2">
      <c r="F12710" s="285" t="str">
        <f t="shared" si="347"/>
        <v/>
      </c>
    </row>
    <row r="12711" spans="6:6" x14ac:dyDescent="0.2">
      <c r="F12711" s="285" t="str">
        <f t="shared" si="347"/>
        <v/>
      </c>
    </row>
    <row r="12712" spans="6:6" x14ac:dyDescent="0.2">
      <c r="F12712" s="285" t="str">
        <f t="shared" si="347"/>
        <v/>
      </c>
    </row>
    <row r="12713" spans="6:6" x14ac:dyDescent="0.2">
      <c r="F12713" s="285" t="str">
        <f t="shared" si="347"/>
        <v/>
      </c>
    </row>
    <row r="12714" spans="6:6" x14ac:dyDescent="0.2">
      <c r="F12714" s="285" t="str">
        <f t="shared" si="347"/>
        <v/>
      </c>
    </row>
    <row r="12715" spans="6:6" x14ac:dyDescent="0.2">
      <c r="F12715" s="285" t="str">
        <f t="shared" si="347"/>
        <v/>
      </c>
    </row>
    <row r="12716" spans="6:6" x14ac:dyDescent="0.2">
      <c r="F12716" s="285" t="str">
        <f t="shared" si="347"/>
        <v/>
      </c>
    </row>
    <row r="12717" spans="6:6" x14ac:dyDescent="0.2">
      <c r="F12717" s="285" t="str">
        <f t="shared" si="347"/>
        <v/>
      </c>
    </row>
    <row r="12718" spans="6:6" x14ac:dyDescent="0.2">
      <c r="F12718" s="285" t="str">
        <f t="shared" si="347"/>
        <v/>
      </c>
    </row>
    <row r="12719" spans="6:6" x14ac:dyDescent="0.2">
      <c r="F12719" s="285" t="str">
        <f t="shared" si="347"/>
        <v/>
      </c>
    </row>
    <row r="12720" spans="6:6" x14ac:dyDescent="0.2">
      <c r="F12720" s="285" t="str">
        <f t="shared" si="347"/>
        <v/>
      </c>
    </row>
    <row r="12721" spans="6:6" x14ac:dyDescent="0.2">
      <c r="F12721" s="285" t="str">
        <f t="shared" si="347"/>
        <v/>
      </c>
    </row>
    <row r="12722" spans="6:6" x14ac:dyDescent="0.2">
      <c r="F12722" s="285" t="str">
        <f t="shared" si="347"/>
        <v/>
      </c>
    </row>
    <row r="12723" spans="6:6" x14ac:dyDescent="0.2">
      <c r="F12723" s="285" t="str">
        <f t="shared" si="347"/>
        <v/>
      </c>
    </row>
    <row r="12724" spans="6:6" x14ac:dyDescent="0.2">
      <c r="F12724" s="285" t="str">
        <f t="shared" si="347"/>
        <v/>
      </c>
    </row>
    <row r="12725" spans="6:6" x14ac:dyDescent="0.2">
      <c r="F12725" s="285" t="str">
        <f t="shared" si="347"/>
        <v/>
      </c>
    </row>
    <row r="12726" spans="6:6" x14ac:dyDescent="0.2">
      <c r="F12726" s="285" t="str">
        <f t="shared" si="347"/>
        <v/>
      </c>
    </row>
    <row r="12727" spans="6:6" x14ac:dyDescent="0.2">
      <c r="F12727" s="285" t="str">
        <f t="shared" si="347"/>
        <v/>
      </c>
    </row>
    <row r="12728" spans="6:6" x14ac:dyDescent="0.2">
      <c r="F12728" s="285" t="str">
        <f t="shared" si="347"/>
        <v/>
      </c>
    </row>
    <row r="12729" spans="6:6" x14ac:dyDescent="0.2">
      <c r="F12729" s="285" t="str">
        <f t="shared" si="347"/>
        <v/>
      </c>
    </row>
    <row r="12730" spans="6:6" x14ac:dyDescent="0.2">
      <c r="F12730" s="285" t="str">
        <f t="shared" si="347"/>
        <v/>
      </c>
    </row>
    <row r="12731" spans="6:6" x14ac:dyDescent="0.2">
      <c r="F12731" s="285" t="str">
        <f t="shared" si="347"/>
        <v/>
      </c>
    </row>
    <row r="12732" spans="6:6" x14ac:dyDescent="0.2">
      <c r="F12732" s="285" t="str">
        <f t="shared" si="347"/>
        <v/>
      </c>
    </row>
    <row r="12733" spans="6:6" x14ac:dyDescent="0.2">
      <c r="F12733" s="285" t="str">
        <f t="shared" si="347"/>
        <v/>
      </c>
    </row>
    <row r="12734" spans="6:6" x14ac:dyDescent="0.2">
      <c r="F12734" s="285" t="str">
        <f t="shared" si="347"/>
        <v/>
      </c>
    </row>
    <row r="12735" spans="6:6" x14ac:dyDescent="0.2">
      <c r="F12735" s="285" t="str">
        <f t="shared" si="347"/>
        <v/>
      </c>
    </row>
    <row r="12736" spans="6:6" x14ac:dyDescent="0.2">
      <c r="F12736" s="285" t="str">
        <f t="shared" si="347"/>
        <v/>
      </c>
    </row>
    <row r="12737" spans="6:6" x14ac:dyDescent="0.2">
      <c r="F12737" s="285" t="str">
        <f t="shared" si="347"/>
        <v/>
      </c>
    </row>
    <row r="12738" spans="6:6" x14ac:dyDescent="0.2">
      <c r="F12738" s="285" t="str">
        <f t="shared" si="347"/>
        <v/>
      </c>
    </row>
    <row r="12739" spans="6:6" x14ac:dyDescent="0.2">
      <c r="F12739" s="285" t="str">
        <f t="shared" si="347"/>
        <v/>
      </c>
    </row>
    <row r="12740" spans="6:6" x14ac:dyDescent="0.2">
      <c r="F12740" s="285" t="str">
        <f t="shared" si="347"/>
        <v/>
      </c>
    </row>
    <row r="12741" spans="6:6" x14ac:dyDescent="0.2">
      <c r="F12741" s="285" t="str">
        <f t="shared" ref="F12741:F12804" si="348">IF(A12741="","",A12741)</f>
        <v/>
      </c>
    </row>
    <row r="12742" spans="6:6" x14ac:dyDescent="0.2">
      <c r="F12742" s="285" t="str">
        <f t="shared" si="348"/>
        <v/>
      </c>
    </row>
    <row r="12743" spans="6:6" x14ac:dyDescent="0.2">
      <c r="F12743" s="285" t="str">
        <f t="shared" si="348"/>
        <v/>
      </c>
    </row>
    <row r="12744" spans="6:6" x14ac:dyDescent="0.2">
      <c r="F12744" s="285" t="str">
        <f t="shared" si="348"/>
        <v/>
      </c>
    </row>
    <row r="12745" spans="6:6" x14ac:dyDescent="0.2">
      <c r="F12745" s="285" t="str">
        <f t="shared" si="348"/>
        <v/>
      </c>
    </row>
    <row r="12746" spans="6:6" x14ac:dyDescent="0.2">
      <c r="F12746" s="285" t="str">
        <f t="shared" si="348"/>
        <v/>
      </c>
    </row>
    <row r="12747" spans="6:6" x14ac:dyDescent="0.2">
      <c r="F12747" s="285" t="str">
        <f t="shared" si="348"/>
        <v/>
      </c>
    </row>
    <row r="12748" spans="6:6" x14ac:dyDescent="0.2">
      <c r="F12748" s="285" t="str">
        <f t="shared" si="348"/>
        <v/>
      </c>
    </row>
    <row r="12749" spans="6:6" x14ac:dyDescent="0.2">
      <c r="F12749" s="285" t="str">
        <f t="shared" si="348"/>
        <v/>
      </c>
    </row>
    <row r="12750" spans="6:6" x14ac:dyDescent="0.2">
      <c r="F12750" s="285" t="str">
        <f t="shared" si="348"/>
        <v/>
      </c>
    </row>
    <row r="12751" spans="6:6" x14ac:dyDescent="0.2">
      <c r="F12751" s="285" t="str">
        <f t="shared" si="348"/>
        <v/>
      </c>
    </row>
    <row r="12752" spans="6:6" x14ac:dyDescent="0.2">
      <c r="F12752" s="285" t="str">
        <f t="shared" si="348"/>
        <v/>
      </c>
    </row>
    <row r="12753" spans="6:6" x14ac:dyDescent="0.2">
      <c r="F12753" s="285" t="str">
        <f t="shared" si="348"/>
        <v/>
      </c>
    </row>
    <row r="12754" spans="6:6" x14ac:dyDescent="0.2">
      <c r="F12754" s="285" t="str">
        <f t="shared" si="348"/>
        <v/>
      </c>
    </row>
    <row r="12755" spans="6:6" x14ac:dyDescent="0.2">
      <c r="F12755" s="285" t="str">
        <f t="shared" si="348"/>
        <v/>
      </c>
    </row>
    <row r="12756" spans="6:6" x14ac:dyDescent="0.2">
      <c r="F12756" s="285" t="str">
        <f t="shared" si="348"/>
        <v/>
      </c>
    </row>
    <row r="12757" spans="6:6" x14ac:dyDescent="0.2">
      <c r="F12757" s="285" t="str">
        <f t="shared" si="348"/>
        <v/>
      </c>
    </row>
    <row r="12758" spans="6:6" x14ac:dyDescent="0.2">
      <c r="F12758" s="285" t="str">
        <f t="shared" si="348"/>
        <v/>
      </c>
    </row>
    <row r="12759" spans="6:6" x14ac:dyDescent="0.2">
      <c r="F12759" s="285" t="str">
        <f t="shared" si="348"/>
        <v/>
      </c>
    </row>
    <row r="12760" spans="6:6" x14ac:dyDescent="0.2">
      <c r="F12760" s="285" t="str">
        <f t="shared" si="348"/>
        <v/>
      </c>
    </row>
    <row r="12761" spans="6:6" x14ac:dyDescent="0.2">
      <c r="F12761" s="285" t="str">
        <f t="shared" si="348"/>
        <v/>
      </c>
    </row>
    <row r="12762" spans="6:6" x14ac:dyDescent="0.2">
      <c r="F12762" s="285" t="str">
        <f t="shared" si="348"/>
        <v/>
      </c>
    </row>
    <row r="12763" spans="6:6" x14ac:dyDescent="0.2">
      <c r="F12763" s="285" t="str">
        <f t="shared" si="348"/>
        <v/>
      </c>
    </row>
    <row r="12764" spans="6:6" x14ac:dyDescent="0.2">
      <c r="F12764" s="285" t="str">
        <f t="shared" si="348"/>
        <v/>
      </c>
    </row>
    <row r="12765" spans="6:6" x14ac:dyDescent="0.2">
      <c r="F12765" s="285" t="str">
        <f t="shared" si="348"/>
        <v/>
      </c>
    </row>
    <row r="12766" spans="6:6" x14ac:dyDescent="0.2">
      <c r="F12766" s="285" t="str">
        <f t="shared" si="348"/>
        <v/>
      </c>
    </row>
    <row r="12767" spans="6:6" x14ac:dyDescent="0.2">
      <c r="F12767" s="285" t="str">
        <f t="shared" si="348"/>
        <v/>
      </c>
    </row>
    <row r="12768" spans="6:6" x14ac:dyDescent="0.2">
      <c r="F12768" s="285" t="str">
        <f t="shared" si="348"/>
        <v/>
      </c>
    </row>
    <row r="12769" spans="6:6" x14ac:dyDescent="0.2">
      <c r="F12769" s="285" t="str">
        <f t="shared" si="348"/>
        <v/>
      </c>
    </row>
    <row r="12770" spans="6:6" x14ac:dyDescent="0.2">
      <c r="F12770" s="285" t="str">
        <f t="shared" si="348"/>
        <v/>
      </c>
    </row>
    <row r="12771" spans="6:6" x14ac:dyDescent="0.2">
      <c r="F12771" s="285" t="str">
        <f t="shared" si="348"/>
        <v/>
      </c>
    </row>
    <row r="12772" spans="6:6" x14ac:dyDescent="0.2">
      <c r="F12772" s="285" t="str">
        <f t="shared" si="348"/>
        <v/>
      </c>
    </row>
    <row r="12773" spans="6:6" x14ac:dyDescent="0.2">
      <c r="F12773" s="285" t="str">
        <f t="shared" si="348"/>
        <v/>
      </c>
    </row>
    <row r="12774" spans="6:6" x14ac:dyDescent="0.2">
      <c r="F12774" s="285" t="str">
        <f t="shared" si="348"/>
        <v/>
      </c>
    </row>
    <row r="12775" spans="6:6" x14ac:dyDescent="0.2">
      <c r="F12775" s="285" t="str">
        <f t="shared" si="348"/>
        <v/>
      </c>
    </row>
    <row r="12776" spans="6:6" x14ac:dyDescent="0.2">
      <c r="F12776" s="285" t="str">
        <f t="shared" si="348"/>
        <v/>
      </c>
    </row>
    <row r="12777" spans="6:6" x14ac:dyDescent="0.2">
      <c r="F12777" s="285" t="str">
        <f t="shared" si="348"/>
        <v/>
      </c>
    </row>
    <row r="12778" spans="6:6" x14ac:dyDescent="0.2">
      <c r="F12778" s="285" t="str">
        <f t="shared" si="348"/>
        <v/>
      </c>
    </row>
    <row r="12779" spans="6:6" x14ac:dyDescent="0.2">
      <c r="F12779" s="285" t="str">
        <f t="shared" si="348"/>
        <v/>
      </c>
    </row>
    <row r="12780" spans="6:6" x14ac:dyDescent="0.2">
      <c r="F12780" s="285" t="str">
        <f t="shared" si="348"/>
        <v/>
      </c>
    </row>
    <row r="12781" spans="6:6" x14ac:dyDescent="0.2">
      <c r="F12781" s="285" t="str">
        <f t="shared" si="348"/>
        <v/>
      </c>
    </row>
    <row r="12782" spans="6:6" x14ac:dyDescent="0.2">
      <c r="F12782" s="285" t="str">
        <f t="shared" si="348"/>
        <v/>
      </c>
    </row>
    <row r="12783" spans="6:6" x14ac:dyDescent="0.2">
      <c r="F12783" s="285" t="str">
        <f t="shared" si="348"/>
        <v/>
      </c>
    </row>
    <row r="12784" spans="6:6" x14ac:dyDescent="0.2">
      <c r="F12784" s="285" t="str">
        <f t="shared" si="348"/>
        <v/>
      </c>
    </row>
    <row r="12785" spans="6:6" x14ac:dyDescent="0.2">
      <c r="F12785" s="285" t="str">
        <f t="shared" si="348"/>
        <v/>
      </c>
    </row>
    <row r="12786" spans="6:6" x14ac:dyDescent="0.2">
      <c r="F12786" s="285" t="str">
        <f t="shared" si="348"/>
        <v/>
      </c>
    </row>
    <row r="12787" spans="6:6" x14ac:dyDescent="0.2">
      <c r="F12787" s="285" t="str">
        <f t="shared" si="348"/>
        <v/>
      </c>
    </row>
    <row r="12788" spans="6:6" x14ac:dyDescent="0.2">
      <c r="F12788" s="285" t="str">
        <f t="shared" si="348"/>
        <v/>
      </c>
    </row>
    <row r="12789" spans="6:6" x14ac:dyDescent="0.2">
      <c r="F12789" s="285" t="str">
        <f t="shared" si="348"/>
        <v/>
      </c>
    </row>
    <row r="12790" spans="6:6" x14ac:dyDescent="0.2">
      <c r="F12790" s="285" t="str">
        <f t="shared" si="348"/>
        <v/>
      </c>
    </row>
    <row r="12791" spans="6:6" x14ac:dyDescent="0.2">
      <c r="F12791" s="285" t="str">
        <f t="shared" si="348"/>
        <v/>
      </c>
    </row>
    <row r="12792" spans="6:6" x14ac:dyDescent="0.2">
      <c r="F12792" s="285" t="str">
        <f t="shared" si="348"/>
        <v/>
      </c>
    </row>
    <row r="12793" spans="6:6" x14ac:dyDescent="0.2">
      <c r="F12793" s="285" t="str">
        <f t="shared" si="348"/>
        <v/>
      </c>
    </row>
    <row r="12794" spans="6:6" x14ac:dyDescent="0.2">
      <c r="F12794" s="285" t="str">
        <f t="shared" si="348"/>
        <v/>
      </c>
    </row>
    <row r="12795" spans="6:6" x14ac:dyDescent="0.2">
      <c r="F12795" s="285" t="str">
        <f t="shared" si="348"/>
        <v/>
      </c>
    </row>
    <row r="12796" spans="6:6" x14ac:dyDescent="0.2">
      <c r="F12796" s="285" t="str">
        <f t="shared" si="348"/>
        <v/>
      </c>
    </row>
    <row r="12797" spans="6:6" x14ac:dyDescent="0.2">
      <c r="F12797" s="285" t="str">
        <f t="shared" si="348"/>
        <v/>
      </c>
    </row>
    <row r="12798" spans="6:6" x14ac:dyDescent="0.2">
      <c r="F12798" s="285" t="str">
        <f t="shared" si="348"/>
        <v/>
      </c>
    </row>
    <row r="12799" spans="6:6" x14ac:dyDescent="0.2">
      <c r="F12799" s="285" t="str">
        <f t="shared" si="348"/>
        <v/>
      </c>
    </row>
    <row r="12800" spans="6:6" x14ac:dyDescent="0.2">
      <c r="F12800" s="285" t="str">
        <f t="shared" si="348"/>
        <v/>
      </c>
    </row>
    <row r="12801" spans="6:6" x14ac:dyDescent="0.2">
      <c r="F12801" s="285" t="str">
        <f t="shared" si="348"/>
        <v/>
      </c>
    </row>
    <row r="12802" spans="6:6" x14ac:dyDescent="0.2">
      <c r="F12802" s="285" t="str">
        <f t="shared" si="348"/>
        <v/>
      </c>
    </row>
    <row r="12803" spans="6:6" x14ac:dyDescent="0.2">
      <c r="F12803" s="285" t="str">
        <f t="shared" si="348"/>
        <v/>
      </c>
    </row>
    <row r="12804" spans="6:6" x14ac:dyDescent="0.2">
      <c r="F12804" s="285" t="str">
        <f t="shared" si="348"/>
        <v/>
      </c>
    </row>
    <row r="12805" spans="6:6" x14ac:dyDescent="0.2">
      <c r="F12805" s="285" t="str">
        <f t="shared" ref="F12805:F12868" si="349">IF(A12805="","",A12805)</f>
        <v/>
      </c>
    </row>
    <row r="12806" spans="6:6" x14ac:dyDescent="0.2">
      <c r="F12806" s="285" t="str">
        <f t="shared" si="349"/>
        <v/>
      </c>
    </row>
    <row r="12807" spans="6:6" x14ac:dyDescent="0.2">
      <c r="F12807" s="285" t="str">
        <f t="shared" si="349"/>
        <v/>
      </c>
    </row>
    <row r="12808" spans="6:6" x14ac:dyDescent="0.2">
      <c r="F12808" s="285" t="str">
        <f t="shared" si="349"/>
        <v/>
      </c>
    </row>
    <row r="12809" spans="6:6" x14ac:dyDescent="0.2">
      <c r="F12809" s="285" t="str">
        <f t="shared" si="349"/>
        <v/>
      </c>
    </row>
    <row r="12810" spans="6:6" x14ac:dyDescent="0.2">
      <c r="F12810" s="285" t="str">
        <f t="shared" si="349"/>
        <v/>
      </c>
    </row>
    <row r="12811" spans="6:6" x14ac:dyDescent="0.2">
      <c r="F12811" s="285" t="str">
        <f t="shared" si="349"/>
        <v/>
      </c>
    </row>
    <row r="12812" spans="6:6" x14ac:dyDescent="0.2">
      <c r="F12812" s="285" t="str">
        <f t="shared" si="349"/>
        <v/>
      </c>
    </row>
    <row r="12813" spans="6:6" x14ac:dyDescent="0.2">
      <c r="F12813" s="285" t="str">
        <f t="shared" si="349"/>
        <v/>
      </c>
    </row>
    <row r="12814" spans="6:6" x14ac:dyDescent="0.2">
      <c r="F12814" s="285" t="str">
        <f t="shared" si="349"/>
        <v/>
      </c>
    </row>
    <row r="12815" spans="6:6" x14ac:dyDescent="0.2">
      <c r="F12815" s="285" t="str">
        <f t="shared" si="349"/>
        <v/>
      </c>
    </row>
    <row r="12816" spans="6:6" x14ac:dyDescent="0.2">
      <c r="F12816" s="285" t="str">
        <f t="shared" si="349"/>
        <v/>
      </c>
    </row>
    <row r="12817" spans="6:6" x14ac:dyDescent="0.2">
      <c r="F12817" s="285" t="str">
        <f t="shared" si="349"/>
        <v/>
      </c>
    </row>
    <row r="12818" spans="6:6" x14ac:dyDescent="0.2">
      <c r="F12818" s="285" t="str">
        <f t="shared" si="349"/>
        <v/>
      </c>
    </row>
    <row r="12819" spans="6:6" x14ac:dyDescent="0.2">
      <c r="F12819" s="285" t="str">
        <f t="shared" si="349"/>
        <v/>
      </c>
    </row>
    <row r="12820" spans="6:6" x14ac:dyDescent="0.2">
      <c r="F12820" s="285" t="str">
        <f t="shared" si="349"/>
        <v/>
      </c>
    </row>
    <row r="12821" spans="6:6" x14ac:dyDescent="0.2">
      <c r="F12821" s="285" t="str">
        <f t="shared" si="349"/>
        <v/>
      </c>
    </row>
    <row r="12822" spans="6:6" x14ac:dyDescent="0.2">
      <c r="F12822" s="285" t="str">
        <f t="shared" si="349"/>
        <v/>
      </c>
    </row>
    <row r="12823" spans="6:6" x14ac:dyDescent="0.2">
      <c r="F12823" s="285" t="str">
        <f t="shared" si="349"/>
        <v/>
      </c>
    </row>
    <row r="12824" spans="6:6" x14ac:dyDescent="0.2">
      <c r="F12824" s="285" t="str">
        <f t="shared" si="349"/>
        <v/>
      </c>
    </row>
    <row r="12825" spans="6:6" x14ac:dyDescent="0.2">
      <c r="F12825" s="285" t="str">
        <f t="shared" si="349"/>
        <v/>
      </c>
    </row>
    <row r="12826" spans="6:6" x14ac:dyDescent="0.2">
      <c r="F12826" s="285" t="str">
        <f t="shared" si="349"/>
        <v/>
      </c>
    </row>
    <row r="12827" spans="6:6" x14ac:dyDescent="0.2">
      <c r="F12827" s="285" t="str">
        <f t="shared" si="349"/>
        <v/>
      </c>
    </row>
    <row r="12828" spans="6:6" x14ac:dyDescent="0.2">
      <c r="F12828" s="285" t="str">
        <f t="shared" si="349"/>
        <v/>
      </c>
    </row>
    <row r="12829" spans="6:6" x14ac:dyDescent="0.2">
      <c r="F12829" s="285" t="str">
        <f t="shared" si="349"/>
        <v/>
      </c>
    </row>
    <row r="12830" spans="6:6" x14ac:dyDescent="0.2">
      <c r="F12830" s="285" t="str">
        <f t="shared" si="349"/>
        <v/>
      </c>
    </row>
    <row r="12831" spans="6:6" x14ac:dyDescent="0.2">
      <c r="F12831" s="285" t="str">
        <f t="shared" si="349"/>
        <v/>
      </c>
    </row>
    <row r="12832" spans="6:6" x14ac:dyDescent="0.2">
      <c r="F12832" s="285" t="str">
        <f t="shared" si="349"/>
        <v/>
      </c>
    </row>
    <row r="12833" spans="6:6" x14ac:dyDescent="0.2">
      <c r="F12833" s="285" t="str">
        <f t="shared" si="349"/>
        <v/>
      </c>
    </row>
    <row r="12834" spans="6:6" x14ac:dyDescent="0.2">
      <c r="F12834" s="285" t="str">
        <f t="shared" si="349"/>
        <v/>
      </c>
    </row>
    <row r="12835" spans="6:6" x14ac:dyDescent="0.2">
      <c r="F12835" s="285" t="str">
        <f t="shared" si="349"/>
        <v/>
      </c>
    </row>
    <row r="12836" spans="6:6" x14ac:dyDescent="0.2">
      <c r="F12836" s="285" t="str">
        <f t="shared" si="349"/>
        <v/>
      </c>
    </row>
    <row r="12837" spans="6:6" x14ac:dyDescent="0.2">
      <c r="F12837" s="285" t="str">
        <f t="shared" si="349"/>
        <v/>
      </c>
    </row>
    <row r="12838" spans="6:6" x14ac:dyDescent="0.2">
      <c r="F12838" s="285" t="str">
        <f t="shared" si="349"/>
        <v/>
      </c>
    </row>
    <row r="12839" spans="6:6" x14ac:dyDescent="0.2">
      <c r="F12839" s="285" t="str">
        <f t="shared" si="349"/>
        <v/>
      </c>
    </row>
    <row r="12840" spans="6:6" x14ac:dyDescent="0.2">
      <c r="F12840" s="285" t="str">
        <f t="shared" si="349"/>
        <v/>
      </c>
    </row>
    <row r="12841" spans="6:6" x14ac:dyDescent="0.2">
      <c r="F12841" s="285" t="str">
        <f t="shared" si="349"/>
        <v/>
      </c>
    </row>
    <row r="12842" spans="6:6" x14ac:dyDescent="0.2">
      <c r="F12842" s="285" t="str">
        <f t="shared" si="349"/>
        <v/>
      </c>
    </row>
    <row r="12843" spans="6:6" x14ac:dyDescent="0.2">
      <c r="F12843" s="285" t="str">
        <f t="shared" si="349"/>
        <v/>
      </c>
    </row>
    <row r="12844" spans="6:6" x14ac:dyDescent="0.2">
      <c r="F12844" s="285" t="str">
        <f t="shared" si="349"/>
        <v/>
      </c>
    </row>
    <row r="12845" spans="6:6" x14ac:dyDescent="0.2">
      <c r="F12845" s="285" t="str">
        <f t="shared" si="349"/>
        <v/>
      </c>
    </row>
    <row r="12846" spans="6:6" x14ac:dyDescent="0.2">
      <c r="F12846" s="285" t="str">
        <f t="shared" si="349"/>
        <v/>
      </c>
    </row>
    <row r="12847" spans="6:6" x14ac:dyDescent="0.2">
      <c r="F12847" s="285" t="str">
        <f t="shared" si="349"/>
        <v/>
      </c>
    </row>
    <row r="12848" spans="6:6" x14ac:dyDescent="0.2">
      <c r="F12848" s="285" t="str">
        <f t="shared" si="349"/>
        <v/>
      </c>
    </row>
    <row r="12849" spans="6:6" x14ac:dyDescent="0.2">
      <c r="F12849" s="285" t="str">
        <f t="shared" si="349"/>
        <v/>
      </c>
    </row>
    <row r="12850" spans="6:6" x14ac:dyDescent="0.2">
      <c r="F12850" s="285" t="str">
        <f t="shared" si="349"/>
        <v/>
      </c>
    </row>
    <row r="12851" spans="6:6" x14ac:dyDescent="0.2">
      <c r="F12851" s="285" t="str">
        <f t="shared" si="349"/>
        <v/>
      </c>
    </row>
    <row r="12852" spans="6:6" x14ac:dyDescent="0.2">
      <c r="F12852" s="285" t="str">
        <f t="shared" si="349"/>
        <v/>
      </c>
    </row>
    <row r="12853" spans="6:6" x14ac:dyDescent="0.2">
      <c r="F12853" s="285" t="str">
        <f t="shared" si="349"/>
        <v/>
      </c>
    </row>
    <row r="12854" spans="6:6" x14ac:dyDescent="0.2">
      <c r="F12854" s="285" t="str">
        <f t="shared" si="349"/>
        <v/>
      </c>
    </row>
    <row r="12855" spans="6:6" x14ac:dyDescent="0.2">
      <c r="F12855" s="285" t="str">
        <f t="shared" si="349"/>
        <v/>
      </c>
    </row>
    <row r="12856" spans="6:6" x14ac:dyDescent="0.2">
      <c r="F12856" s="285" t="str">
        <f t="shared" si="349"/>
        <v/>
      </c>
    </row>
    <row r="12857" spans="6:6" x14ac:dyDescent="0.2">
      <c r="F12857" s="285" t="str">
        <f t="shared" si="349"/>
        <v/>
      </c>
    </row>
    <row r="12858" spans="6:6" x14ac:dyDescent="0.2">
      <c r="F12858" s="285" t="str">
        <f t="shared" si="349"/>
        <v/>
      </c>
    </row>
    <row r="12859" spans="6:6" x14ac:dyDescent="0.2">
      <c r="F12859" s="285" t="str">
        <f t="shared" si="349"/>
        <v/>
      </c>
    </row>
    <row r="12860" spans="6:6" x14ac:dyDescent="0.2">
      <c r="F12860" s="285" t="str">
        <f t="shared" si="349"/>
        <v/>
      </c>
    </row>
    <row r="12861" spans="6:6" x14ac:dyDescent="0.2">
      <c r="F12861" s="285" t="str">
        <f t="shared" si="349"/>
        <v/>
      </c>
    </row>
    <row r="12862" spans="6:6" x14ac:dyDescent="0.2">
      <c r="F12862" s="285" t="str">
        <f t="shared" si="349"/>
        <v/>
      </c>
    </row>
    <row r="12863" spans="6:6" x14ac:dyDescent="0.2">
      <c r="F12863" s="285" t="str">
        <f t="shared" si="349"/>
        <v/>
      </c>
    </row>
    <row r="12864" spans="6:6" x14ac:dyDescent="0.2">
      <c r="F12864" s="285" t="str">
        <f t="shared" si="349"/>
        <v/>
      </c>
    </row>
    <row r="12865" spans="6:6" x14ac:dyDescent="0.2">
      <c r="F12865" s="285" t="str">
        <f t="shared" si="349"/>
        <v/>
      </c>
    </row>
    <row r="12866" spans="6:6" x14ac:dyDescent="0.2">
      <c r="F12866" s="285" t="str">
        <f t="shared" si="349"/>
        <v/>
      </c>
    </row>
    <row r="12867" spans="6:6" x14ac:dyDescent="0.2">
      <c r="F12867" s="285" t="str">
        <f t="shared" si="349"/>
        <v/>
      </c>
    </row>
    <row r="12868" spans="6:6" x14ac:dyDescent="0.2">
      <c r="F12868" s="285" t="str">
        <f t="shared" si="349"/>
        <v/>
      </c>
    </row>
    <row r="12869" spans="6:6" x14ac:dyDescent="0.2">
      <c r="F12869" s="285" t="str">
        <f t="shared" ref="F12869:F12932" si="350">IF(A12869="","",A12869)</f>
        <v/>
      </c>
    </row>
    <row r="12870" spans="6:6" x14ac:dyDescent="0.2">
      <c r="F12870" s="285" t="str">
        <f t="shared" si="350"/>
        <v/>
      </c>
    </row>
    <row r="12871" spans="6:6" x14ac:dyDescent="0.2">
      <c r="F12871" s="285" t="str">
        <f t="shared" si="350"/>
        <v/>
      </c>
    </row>
    <row r="12872" spans="6:6" x14ac:dyDescent="0.2">
      <c r="F12872" s="285" t="str">
        <f t="shared" si="350"/>
        <v/>
      </c>
    </row>
    <row r="12873" spans="6:6" x14ac:dyDescent="0.2">
      <c r="F12873" s="285" t="str">
        <f t="shared" si="350"/>
        <v/>
      </c>
    </row>
    <row r="12874" spans="6:6" x14ac:dyDescent="0.2">
      <c r="F12874" s="285" t="str">
        <f t="shared" si="350"/>
        <v/>
      </c>
    </row>
    <row r="12875" spans="6:6" x14ac:dyDescent="0.2">
      <c r="F12875" s="285" t="str">
        <f t="shared" si="350"/>
        <v/>
      </c>
    </row>
    <row r="12876" spans="6:6" x14ac:dyDescent="0.2">
      <c r="F12876" s="285" t="str">
        <f t="shared" si="350"/>
        <v/>
      </c>
    </row>
    <row r="12877" spans="6:6" x14ac:dyDescent="0.2">
      <c r="F12877" s="285" t="str">
        <f t="shared" si="350"/>
        <v/>
      </c>
    </row>
    <row r="12878" spans="6:6" x14ac:dyDescent="0.2">
      <c r="F12878" s="285" t="str">
        <f t="shared" si="350"/>
        <v/>
      </c>
    </row>
    <row r="12879" spans="6:6" x14ac:dyDescent="0.2">
      <c r="F12879" s="285" t="str">
        <f t="shared" si="350"/>
        <v/>
      </c>
    </row>
    <row r="12880" spans="6:6" x14ac:dyDescent="0.2">
      <c r="F12880" s="285" t="str">
        <f t="shared" si="350"/>
        <v/>
      </c>
    </row>
    <row r="12881" spans="6:6" x14ac:dyDescent="0.2">
      <c r="F12881" s="285" t="str">
        <f t="shared" si="350"/>
        <v/>
      </c>
    </row>
    <row r="12882" spans="6:6" x14ac:dyDescent="0.2">
      <c r="F12882" s="285" t="str">
        <f t="shared" si="350"/>
        <v/>
      </c>
    </row>
    <row r="12883" spans="6:6" x14ac:dyDescent="0.2">
      <c r="F12883" s="285" t="str">
        <f t="shared" si="350"/>
        <v/>
      </c>
    </row>
    <row r="12884" spans="6:6" x14ac:dyDescent="0.2">
      <c r="F12884" s="285" t="str">
        <f t="shared" si="350"/>
        <v/>
      </c>
    </row>
    <row r="12885" spans="6:6" x14ac:dyDescent="0.2">
      <c r="F12885" s="285" t="str">
        <f t="shared" si="350"/>
        <v/>
      </c>
    </row>
    <row r="12886" spans="6:6" x14ac:dyDescent="0.2">
      <c r="F12886" s="285" t="str">
        <f t="shared" si="350"/>
        <v/>
      </c>
    </row>
    <row r="12887" spans="6:6" x14ac:dyDescent="0.2">
      <c r="F12887" s="285" t="str">
        <f t="shared" si="350"/>
        <v/>
      </c>
    </row>
    <row r="12888" spans="6:6" x14ac:dyDescent="0.2">
      <c r="F12888" s="285" t="str">
        <f t="shared" si="350"/>
        <v/>
      </c>
    </row>
    <row r="12889" spans="6:6" x14ac:dyDescent="0.2">
      <c r="F12889" s="285" t="str">
        <f t="shared" si="350"/>
        <v/>
      </c>
    </row>
    <row r="12890" spans="6:6" x14ac:dyDescent="0.2">
      <c r="F12890" s="285" t="str">
        <f t="shared" si="350"/>
        <v/>
      </c>
    </row>
    <row r="12891" spans="6:6" x14ac:dyDescent="0.2">
      <c r="F12891" s="285" t="str">
        <f t="shared" si="350"/>
        <v/>
      </c>
    </row>
    <row r="12892" spans="6:6" x14ac:dyDescent="0.2">
      <c r="F12892" s="285" t="str">
        <f t="shared" si="350"/>
        <v/>
      </c>
    </row>
    <row r="12893" spans="6:6" x14ac:dyDescent="0.2">
      <c r="F12893" s="285" t="str">
        <f t="shared" si="350"/>
        <v/>
      </c>
    </row>
    <row r="12894" spans="6:6" x14ac:dyDescent="0.2">
      <c r="F12894" s="285" t="str">
        <f t="shared" si="350"/>
        <v/>
      </c>
    </row>
    <row r="12895" spans="6:6" x14ac:dyDescent="0.2">
      <c r="F12895" s="285" t="str">
        <f t="shared" si="350"/>
        <v/>
      </c>
    </row>
    <row r="12896" spans="6:6" x14ac:dyDescent="0.2">
      <c r="F12896" s="285" t="str">
        <f t="shared" si="350"/>
        <v/>
      </c>
    </row>
    <row r="12897" spans="6:6" x14ac:dyDescent="0.2">
      <c r="F12897" s="285" t="str">
        <f t="shared" si="350"/>
        <v/>
      </c>
    </row>
    <row r="12898" spans="6:6" x14ac:dyDescent="0.2">
      <c r="F12898" s="285" t="str">
        <f t="shared" si="350"/>
        <v/>
      </c>
    </row>
    <row r="12899" spans="6:6" x14ac:dyDescent="0.2">
      <c r="F12899" s="285" t="str">
        <f t="shared" si="350"/>
        <v/>
      </c>
    </row>
    <row r="12900" spans="6:6" x14ac:dyDescent="0.2">
      <c r="F12900" s="285" t="str">
        <f t="shared" si="350"/>
        <v/>
      </c>
    </row>
    <row r="12901" spans="6:6" x14ac:dyDescent="0.2">
      <c r="F12901" s="285" t="str">
        <f t="shared" si="350"/>
        <v/>
      </c>
    </row>
    <row r="12902" spans="6:6" x14ac:dyDescent="0.2">
      <c r="F12902" s="285" t="str">
        <f t="shared" si="350"/>
        <v/>
      </c>
    </row>
    <row r="12903" spans="6:6" x14ac:dyDescent="0.2">
      <c r="F12903" s="285" t="str">
        <f t="shared" si="350"/>
        <v/>
      </c>
    </row>
    <row r="12904" spans="6:6" x14ac:dyDescent="0.2">
      <c r="F12904" s="285" t="str">
        <f t="shared" si="350"/>
        <v/>
      </c>
    </row>
    <row r="12905" spans="6:6" x14ac:dyDescent="0.2">
      <c r="F12905" s="285" t="str">
        <f t="shared" si="350"/>
        <v/>
      </c>
    </row>
    <row r="12906" spans="6:6" x14ac:dyDescent="0.2">
      <c r="F12906" s="285" t="str">
        <f t="shared" si="350"/>
        <v/>
      </c>
    </row>
    <row r="12907" spans="6:6" x14ac:dyDescent="0.2">
      <c r="F12907" s="285" t="str">
        <f t="shared" si="350"/>
        <v/>
      </c>
    </row>
    <row r="12908" spans="6:6" x14ac:dyDescent="0.2">
      <c r="F12908" s="285" t="str">
        <f t="shared" si="350"/>
        <v/>
      </c>
    </row>
    <row r="12909" spans="6:6" x14ac:dyDescent="0.2">
      <c r="F12909" s="285" t="str">
        <f t="shared" si="350"/>
        <v/>
      </c>
    </row>
    <row r="12910" spans="6:6" x14ac:dyDescent="0.2">
      <c r="F12910" s="285" t="str">
        <f t="shared" si="350"/>
        <v/>
      </c>
    </row>
    <row r="12911" spans="6:6" x14ac:dyDescent="0.2">
      <c r="F12911" s="285" t="str">
        <f t="shared" si="350"/>
        <v/>
      </c>
    </row>
    <row r="12912" spans="6:6" x14ac:dyDescent="0.2">
      <c r="F12912" s="285" t="str">
        <f t="shared" si="350"/>
        <v/>
      </c>
    </row>
    <row r="12913" spans="6:6" x14ac:dyDescent="0.2">
      <c r="F12913" s="285" t="str">
        <f t="shared" si="350"/>
        <v/>
      </c>
    </row>
    <row r="12914" spans="6:6" x14ac:dyDescent="0.2">
      <c r="F12914" s="285" t="str">
        <f t="shared" si="350"/>
        <v/>
      </c>
    </row>
    <row r="12915" spans="6:6" x14ac:dyDescent="0.2">
      <c r="F12915" s="285" t="str">
        <f t="shared" si="350"/>
        <v/>
      </c>
    </row>
    <row r="12916" spans="6:6" x14ac:dyDescent="0.2">
      <c r="F12916" s="285" t="str">
        <f t="shared" si="350"/>
        <v/>
      </c>
    </row>
    <row r="12917" spans="6:6" x14ac:dyDescent="0.2">
      <c r="F12917" s="285" t="str">
        <f t="shared" si="350"/>
        <v/>
      </c>
    </row>
    <row r="12918" spans="6:6" x14ac:dyDescent="0.2">
      <c r="F12918" s="285" t="str">
        <f t="shared" si="350"/>
        <v/>
      </c>
    </row>
    <row r="12919" spans="6:6" x14ac:dyDescent="0.2">
      <c r="F12919" s="285" t="str">
        <f t="shared" si="350"/>
        <v/>
      </c>
    </row>
    <row r="12920" spans="6:6" x14ac:dyDescent="0.2">
      <c r="F12920" s="285" t="str">
        <f t="shared" si="350"/>
        <v/>
      </c>
    </row>
    <row r="12921" spans="6:6" x14ac:dyDescent="0.2">
      <c r="F12921" s="285" t="str">
        <f t="shared" si="350"/>
        <v/>
      </c>
    </row>
    <row r="12922" spans="6:6" x14ac:dyDescent="0.2">
      <c r="F12922" s="285" t="str">
        <f t="shared" si="350"/>
        <v/>
      </c>
    </row>
    <row r="12923" spans="6:6" x14ac:dyDescent="0.2">
      <c r="F12923" s="285" t="str">
        <f t="shared" si="350"/>
        <v/>
      </c>
    </row>
    <row r="12924" spans="6:6" x14ac:dyDescent="0.2">
      <c r="F12924" s="285" t="str">
        <f t="shared" si="350"/>
        <v/>
      </c>
    </row>
    <row r="12925" spans="6:6" x14ac:dyDescent="0.2">
      <c r="F12925" s="285" t="str">
        <f t="shared" si="350"/>
        <v/>
      </c>
    </row>
    <row r="12926" spans="6:6" x14ac:dyDescent="0.2">
      <c r="F12926" s="285" t="str">
        <f t="shared" si="350"/>
        <v/>
      </c>
    </row>
    <row r="12927" spans="6:6" x14ac:dyDescent="0.2">
      <c r="F12927" s="285" t="str">
        <f t="shared" si="350"/>
        <v/>
      </c>
    </row>
    <row r="12928" spans="6:6" x14ac:dyDescent="0.2">
      <c r="F12928" s="285" t="str">
        <f t="shared" si="350"/>
        <v/>
      </c>
    </row>
    <row r="12929" spans="6:6" x14ac:dyDescent="0.2">
      <c r="F12929" s="285" t="str">
        <f t="shared" si="350"/>
        <v/>
      </c>
    </row>
    <row r="12930" spans="6:6" x14ac:dyDescent="0.2">
      <c r="F12930" s="285" t="str">
        <f t="shared" si="350"/>
        <v/>
      </c>
    </row>
    <row r="12931" spans="6:6" x14ac:dyDescent="0.2">
      <c r="F12931" s="285" t="str">
        <f t="shared" si="350"/>
        <v/>
      </c>
    </row>
    <row r="12932" spans="6:6" x14ac:dyDescent="0.2">
      <c r="F12932" s="285" t="str">
        <f t="shared" si="350"/>
        <v/>
      </c>
    </row>
    <row r="12933" spans="6:6" x14ac:dyDescent="0.2">
      <c r="F12933" s="285" t="str">
        <f t="shared" ref="F12933:F12996" si="351">IF(A12933="","",A12933)</f>
        <v/>
      </c>
    </row>
    <row r="12934" spans="6:6" x14ac:dyDescent="0.2">
      <c r="F12934" s="285" t="str">
        <f t="shared" si="351"/>
        <v/>
      </c>
    </row>
    <row r="12935" spans="6:6" x14ac:dyDescent="0.2">
      <c r="F12935" s="285" t="str">
        <f t="shared" si="351"/>
        <v/>
      </c>
    </row>
    <row r="12936" spans="6:6" x14ac:dyDescent="0.2">
      <c r="F12936" s="285" t="str">
        <f t="shared" si="351"/>
        <v/>
      </c>
    </row>
    <row r="12937" spans="6:6" x14ac:dyDescent="0.2">
      <c r="F12937" s="285" t="str">
        <f t="shared" si="351"/>
        <v/>
      </c>
    </row>
    <row r="12938" spans="6:6" x14ac:dyDescent="0.2">
      <c r="F12938" s="285" t="str">
        <f t="shared" si="351"/>
        <v/>
      </c>
    </row>
    <row r="12939" spans="6:6" x14ac:dyDescent="0.2">
      <c r="F12939" s="285" t="str">
        <f t="shared" si="351"/>
        <v/>
      </c>
    </row>
    <row r="12940" spans="6:6" x14ac:dyDescent="0.2">
      <c r="F12940" s="285" t="str">
        <f t="shared" si="351"/>
        <v/>
      </c>
    </row>
    <row r="12941" spans="6:6" x14ac:dyDescent="0.2">
      <c r="F12941" s="285" t="str">
        <f t="shared" si="351"/>
        <v/>
      </c>
    </row>
    <row r="12942" spans="6:6" x14ac:dyDescent="0.2">
      <c r="F12942" s="285" t="str">
        <f t="shared" si="351"/>
        <v/>
      </c>
    </row>
    <row r="12943" spans="6:6" x14ac:dyDescent="0.2">
      <c r="F12943" s="285" t="str">
        <f t="shared" si="351"/>
        <v/>
      </c>
    </row>
    <row r="12944" spans="6:6" x14ac:dyDescent="0.2">
      <c r="F12944" s="285" t="str">
        <f t="shared" si="351"/>
        <v/>
      </c>
    </row>
    <row r="12945" spans="6:6" x14ac:dyDescent="0.2">
      <c r="F12945" s="285" t="str">
        <f t="shared" si="351"/>
        <v/>
      </c>
    </row>
    <row r="12946" spans="6:6" x14ac:dyDescent="0.2">
      <c r="F12946" s="285" t="str">
        <f t="shared" si="351"/>
        <v/>
      </c>
    </row>
    <row r="12947" spans="6:6" x14ac:dyDescent="0.2">
      <c r="F12947" s="285" t="str">
        <f t="shared" si="351"/>
        <v/>
      </c>
    </row>
    <row r="12948" spans="6:6" x14ac:dyDescent="0.2">
      <c r="F12948" s="285" t="str">
        <f t="shared" si="351"/>
        <v/>
      </c>
    </row>
    <row r="12949" spans="6:6" x14ac:dyDescent="0.2">
      <c r="F12949" s="285" t="str">
        <f t="shared" si="351"/>
        <v/>
      </c>
    </row>
    <row r="12950" spans="6:6" x14ac:dyDescent="0.2">
      <c r="F12950" s="285" t="str">
        <f t="shared" si="351"/>
        <v/>
      </c>
    </row>
    <row r="12951" spans="6:6" x14ac:dyDescent="0.2">
      <c r="F12951" s="285" t="str">
        <f t="shared" si="351"/>
        <v/>
      </c>
    </row>
    <row r="12952" spans="6:6" x14ac:dyDescent="0.2">
      <c r="F12952" s="285" t="str">
        <f t="shared" si="351"/>
        <v/>
      </c>
    </row>
    <row r="12953" spans="6:6" x14ac:dyDescent="0.2">
      <c r="F12953" s="285" t="str">
        <f t="shared" si="351"/>
        <v/>
      </c>
    </row>
    <row r="12954" spans="6:6" x14ac:dyDescent="0.2">
      <c r="F12954" s="285" t="str">
        <f t="shared" si="351"/>
        <v/>
      </c>
    </row>
    <row r="12955" spans="6:6" x14ac:dyDescent="0.2">
      <c r="F12955" s="285" t="str">
        <f t="shared" si="351"/>
        <v/>
      </c>
    </row>
    <row r="12956" spans="6:6" x14ac:dyDescent="0.2">
      <c r="F12956" s="285" t="str">
        <f t="shared" si="351"/>
        <v/>
      </c>
    </row>
    <row r="12957" spans="6:6" x14ac:dyDescent="0.2">
      <c r="F12957" s="285" t="str">
        <f t="shared" si="351"/>
        <v/>
      </c>
    </row>
    <row r="12958" spans="6:6" x14ac:dyDescent="0.2">
      <c r="F12958" s="285" t="str">
        <f t="shared" si="351"/>
        <v/>
      </c>
    </row>
    <row r="12959" spans="6:6" x14ac:dyDescent="0.2">
      <c r="F12959" s="285" t="str">
        <f t="shared" si="351"/>
        <v/>
      </c>
    </row>
    <row r="12960" spans="6:6" x14ac:dyDescent="0.2">
      <c r="F12960" s="285" t="str">
        <f t="shared" si="351"/>
        <v/>
      </c>
    </row>
    <row r="12961" spans="6:6" x14ac:dyDescent="0.2">
      <c r="F12961" s="285" t="str">
        <f t="shared" si="351"/>
        <v/>
      </c>
    </row>
    <row r="12962" spans="6:6" x14ac:dyDescent="0.2">
      <c r="F12962" s="285" t="str">
        <f t="shared" si="351"/>
        <v/>
      </c>
    </row>
    <row r="12963" spans="6:6" x14ac:dyDescent="0.2">
      <c r="F12963" s="285" t="str">
        <f t="shared" si="351"/>
        <v/>
      </c>
    </row>
    <row r="12964" spans="6:6" x14ac:dyDescent="0.2">
      <c r="F12964" s="285" t="str">
        <f t="shared" si="351"/>
        <v/>
      </c>
    </row>
    <row r="12965" spans="6:6" x14ac:dyDescent="0.2">
      <c r="F12965" s="285" t="str">
        <f t="shared" si="351"/>
        <v/>
      </c>
    </row>
    <row r="12966" spans="6:6" x14ac:dyDescent="0.2">
      <c r="F12966" s="285" t="str">
        <f t="shared" si="351"/>
        <v/>
      </c>
    </row>
    <row r="12967" spans="6:6" x14ac:dyDescent="0.2">
      <c r="F12967" s="285" t="str">
        <f t="shared" si="351"/>
        <v/>
      </c>
    </row>
    <row r="12968" spans="6:6" x14ac:dyDescent="0.2">
      <c r="F12968" s="285" t="str">
        <f t="shared" si="351"/>
        <v/>
      </c>
    </row>
    <row r="12969" spans="6:6" x14ac:dyDescent="0.2">
      <c r="F12969" s="285" t="str">
        <f t="shared" si="351"/>
        <v/>
      </c>
    </row>
    <row r="12970" spans="6:6" x14ac:dyDescent="0.2">
      <c r="F12970" s="285" t="str">
        <f t="shared" si="351"/>
        <v/>
      </c>
    </row>
    <row r="12971" spans="6:6" x14ac:dyDescent="0.2">
      <c r="F12971" s="285" t="str">
        <f t="shared" si="351"/>
        <v/>
      </c>
    </row>
    <row r="12972" spans="6:6" x14ac:dyDescent="0.2">
      <c r="F12972" s="285" t="str">
        <f t="shared" si="351"/>
        <v/>
      </c>
    </row>
    <row r="12973" spans="6:6" x14ac:dyDescent="0.2">
      <c r="F12973" s="285" t="str">
        <f t="shared" si="351"/>
        <v/>
      </c>
    </row>
    <row r="12974" spans="6:6" x14ac:dyDescent="0.2">
      <c r="F12974" s="285" t="str">
        <f t="shared" si="351"/>
        <v/>
      </c>
    </row>
    <row r="12975" spans="6:6" x14ac:dyDescent="0.2">
      <c r="F12975" s="285" t="str">
        <f t="shared" si="351"/>
        <v/>
      </c>
    </row>
    <row r="12976" spans="6:6" x14ac:dyDescent="0.2">
      <c r="F12976" s="285" t="str">
        <f t="shared" si="351"/>
        <v/>
      </c>
    </row>
    <row r="12977" spans="6:6" x14ac:dyDescent="0.2">
      <c r="F12977" s="285" t="str">
        <f t="shared" si="351"/>
        <v/>
      </c>
    </row>
    <row r="12978" spans="6:6" x14ac:dyDescent="0.2">
      <c r="F12978" s="285" t="str">
        <f t="shared" si="351"/>
        <v/>
      </c>
    </row>
    <row r="12979" spans="6:6" x14ac:dyDescent="0.2">
      <c r="F12979" s="285" t="str">
        <f t="shared" si="351"/>
        <v/>
      </c>
    </row>
    <row r="12980" spans="6:6" x14ac:dyDescent="0.2">
      <c r="F12980" s="285" t="str">
        <f t="shared" si="351"/>
        <v/>
      </c>
    </row>
    <row r="12981" spans="6:6" x14ac:dyDescent="0.2">
      <c r="F12981" s="285" t="str">
        <f t="shared" si="351"/>
        <v/>
      </c>
    </row>
    <row r="12982" spans="6:6" x14ac:dyDescent="0.2">
      <c r="F12982" s="285" t="str">
        <f t="shared" si="351"/>
        <v/>
      </c>
    </row>
    <row r="12983" spans="6:6" x14ac:dyDescent="0.2">
      <c r="F12983" s="285" t="str">
        <f t="shared" si="351"/>
        <v/>
      </c>
    </row>
    <row r="12984" spans="6:6" x14ac:dyDescent="0.2">
      <c r="F12984" s="285" t="str">
        <f t="shared" si="351"/>
        <v/>
      </c>
    </row>
    <row r="12985" spans="6:6" x14ac:dyDescent="0.2">
      <c r="F12985" s="285" t="str">
        <f t="shared" si="351"/>
        <v/>
      </c>
    </row>
    <row r="12986" spans="6:6" x14ac:dyDescent="0.2">
      <c r="F12986" s="285" t="str">
        <f t="shared" si="351"/>
        <v/>
      </c>
    </row>
    <row r="12987" spans="6:6" x14ac:dyDescent="0.2">
      <c r="F12987" s="285" t="str">
        <f t="shared" si="351"/>
        <v/>
      </c>
    </row>
    <row r="12988" spans="6:6" x14ac:dyDescent="0.2">
      <c r="F12988" s="285" t="str">
        <f t="shared" si="351"/>
        <v/>
      </c>
    </row>
    <row r="12989" spans="6:6" x14ac:dyDescent="0.2">
      <c r="F12989" s="285" t="str">
        <f t="shared" si="351"/>
        <v/>
      </c>
    </row>
    <row r="12990" spans="6:6" x14ac:dyDescent="0.2">
      <c r="F12990" s="285" t="str">
        <f t="shared" si="351"/>
        <v/>
      </c>
    </row>
    <row r="12991" spans="6:6" x14ac:dyDescent="0.2">
      <c r="F12991" s="285" t="str">
        <f t="shared" si="351"/>
        <v/>
      </c>
    </row>
    <row r="12992" spans="6:6" x14ac:dyDescent="0.2">
      <c r="F12992" s="285" t="str">
        <f t="shared" si="351"/>
        <v/>
      </c>
    </row>
    <row r="12993" spans="6:6" x14ac:dyDescent="0.2">
      <c r="F12993" s="285" t="str">
        <f t="shared" si="351"/>
        <v/>
      </c>
    </row>
    <row r="12994" spans="6:6" x14ac:dyDescent="0.2">
      <c r="F12994" s="285" t="str">
        <f t="shared" si="351"/>
        <v/>
      </c>
    </row>
    <row r="12995" spans="6:6" x14ac:dyDescent="0.2">
      <c r="F12995" s="285" t="str">
        <f t="shared" si="351"/>
        <v/>
      </c>
    </row>
    <row r="12996" spans="6:6" x14ac:dyDescent="0.2">
      <c r="F12996" s="285" t="str">
        <f t="shared" si="351"/>
        <v/>
      </c>
    </row>
    <row r="12997" spans="6:6" x14ac:dyDescent="0.2">
      <c r="F12997" s="285" t="str">
        <f t="shared" ref="F12997:F13060" si="352">IF(A12997="","",A12997)</f>
        <v/>
      </c>
    </row>
    <row r="12998" spans="6:6" x14ac:dyDescent="0.2">
      <c r="F12998" s="285" t="str">
        <f t="shared" si="352"/>
        <v/>
      </c>
    </row>
    <row r="12999" spans="6:6" x14ac:dyDescent="0.2">
      <c r="F12999" s="285" t="str">
        <f t="shared" si="352"/>
        <v/>
      </c>
    </row>
    <row r="13000" spans="6:6" x14ac:dyDescent="0.2">
      <c r="F13000" s="285" t="str">
        <f t="shared" si="352"/>
        <v/>
      </c>
    </row>
    <row r="13001" spans="6:6" x14ac:dyDescent="0.2">
      <c r="F13001" s="285" t="str">
        <f t="shared" si="352"/>
        <v/>
      </c>
    </row>
    <row r="13002" spans="6:6" x14ac:dyDescent="0.2">
      <c r="F13002" s="285" t="str">
        <f t="shared" si="352"/>
        <v/>
      </c>
    </row>
    <row r="13003" spans="6:6" x14ac:dyDescent="0.2">
      <c r="F13003" s="285" t="str">
        <f t="shared" si="352"/>
        <v/>
      </c>
    </row>
    <row r="13004" spans="6:6" x14ac:dyDescent="0.2">
      <c r="F13004" s="285" t="str">
        <f t="shared" si="352"/>
        <v/>
      </c>
    </row>
    <row r="13005" spans="6:6" x14ac:dyDescent="0.2">
      <c r="F13005" s="285" t="str">
        <f t="shared" si="352"/>
        <v/>
      </c>
    </row>
    <row r="13006" spans="6:6" x14ac:dyDescent="0.2">
      <c r="F13006" s="285" t="str">
        <f t="shared" si="352"/>
        <v/>
      </c>
    </row>
    <row r="13007" spans="6:6" x14ac:dyDescent="0.2">
      <c r="F13007" s="285" t="str">
        <f t="shared" si="352"/>
        <v/>
      </c>
    </row>
    <row r="13008" spans="6:6" x14ac:dyDescent="0.2">
      <c r="F13008" s="285" t="str">
        <f t="shared" si="352"/>
        <v/>
      </c>
    </row>
    <row r="13009" spans="6:6" x14ac:dyDescent="0.2">
      <c r="F13009" s="285" t="str">
        <f t="shared" si="352"/>
        <v/>
      </c>
    </row>
    <row r="13010" spans="6:6" x14ac:dyDescent="0.2">
      <c r="F13010" s="285" t="str">
        <f t="shared" si="352"/>
        <v/>
      </c>
    </row>
    <row r="13011" spans="6:6" x14ac:dyDescent="0.2">
      <c r="F13011" s="285" t="str">
        <f t="shared" si="352"/>
        <v/>
      </c>
    </row>
    <row r="13012" spans="6:6" x14ac:dyDescent="0.2">
      <c r="F13012" s="285" t="str">
        <f t="shared" si="352"/>
        <v/>
      </c>
    </row>
    <row r="13013" spans="6:6" x14ac:dyDescent="0.2">
      <c r="F13013" s="285" t="str">
        <f t="shared" si="352"/>
        <v/>
      </c>
    </row>
    <row r="13014" spans="6:6" x14ac:dyDescent="0.2">
      <c r="F13014" s="285" t="str">
        <f t="shared" si="352"/>
        <v/>
      </c>
    </row>
    <row r="13015" spans="6:6" x14ac:dyDescent="0.2">
      <c r="F13015" s="285" t="str">
        <f t="shared" si="352"/>
        <v/>
      </c>
    </row>
    <row r="13016" spans="6:6" x14ac:dyDescent="0.2">
      <c r="F13016" s="285" t="str">
        <f t="shared" si="352"/>
        <v/>
      </c>
    </row>
    <row r="13017" spans="6:6" x14ac:dyDescent="0.2">
      <c r="F13017" s="285" t="str">
        <f t="shared" si="352"/>
        <v/>
      </c>
    </row>
    <row r="13018" spans="6:6" x14ac:dyDescent="0.2">
      <c r="F13018" s="285" t="str">
        <f t="shared" si="352"/>
        <v/>
      </c>
    </row>
    <row r="13019" spans="6:6" x14ac:dyDescent="0.2">
      <c r="F13019" s="285" t="str">
        <f t="shared" si="352"/>
        <v/>
      </c>
    </row>
    <row r="13020" spans="6:6" x14ac:dyDescent="0.2">
      <c r="F13020" s="285" t="str">
        <f t="shared" si="352"/>
        <v/>
      </c>
    </row>
    <row r="13021" spans="6:6" x14ac:dyDescent="0.2">
      <c r="F13021" s="285" t="str">
        <f t="shared" si="352"/>
        <v/>
      </c>
    </row>
    <row r="13022" spans="6:6" x14ac:dyDescent="0.2">
      <c r="F13022" s="285" t="str">
        <f t="shared" si="352"/>
        <v/>
      </c>
    </row>
    <row r="13023" spans="6:6" x14ac:dyDescent="0.2">
      <c r="F13023" s="285" t="str">
        <f t="shared" si="352"/>
        <v/>
      </c>
    </row>
    <row r="13024" spans="6:6" x14ac:dyDescent="0.2">
      <c r="F13024" s="285" t="str">
        <f t="shared" si="352"/>
        <v/>
      </c>
    </row>
    <row r="13025" spans="6:6" x14ac:dyDescent="0.2">
      <c r="F13025" s="285" t="str">
        <f t="shared" si="352"/>
        <v/>
      </c>
    </row>
    <row r="13026" spans="6:6" x14ac:dyDescent="0.2">
      <c r="F13026" s="285" t="str">
        <f t="shared" si="352"/>
        <v/>
      </c>
    </row>
    <row r="13027" spans="6:6" x14ac:dyDescent="0.2">
      <c r="F13027" s="285" t="str">
        <f t="shared" si="352"/>
        <v/>
      </c>
    </row>
    <row r="13028" spans="6:6" x14ac:dyDescent="0.2">
      <c r="F13028" s="285" t="str">
        <f t="shared" si="352"/>
        <v/>
      </c>
    </row>
    <row r="13029" spans="6:6" x14ac:dyDescent="0.2">
      <c r="F13029" s="285" t="str">
        <f t="shared" si="352"/>
        <v/>
      </c>
    </row>
    <row r="13030" spans="6:6" x14ac:dyDescent="0.2">
      <c r="F13030" s="285" t="str">
        <f t="shared" si="352"/>
        <v/>
      </c>
    </row>
    <row r="13031" spans="6:6" x14ac:dyDescent="0.2">
      <c r="F13031" s="285" t="str">
        <f t="shared" si="352"/>
        <v/>
      </c>
    </row>
    <row r="13032" spans="6:6" x14ac:dyDescent="0.2">
      <c r="F13032" s="285" t="str">
        <f t="shared" si="352"/>
        <v/>
      </c>
    </row>
    <row r="13033" spans="6:6" x14ac:dyDescent="0.2">
      <c r="F13033" s="285" t="str">
        <f t="shared" si="352"/>
        <v/>
      </c>
    </row>
    <row r="13034" spans="6:6" x14ac:dyDescent="0.2">
      <c r="F13034" s="285" t="str">
        <f t="shared" si="352"/>
        <v/>
      </c>
    </row>
    <row r="13035" spans="6:6" x14ac:dyDescent="0.2">
      <c r="F13035" s="285" t="str">
        <f t="shared" si="352"/>
        <v/>
      </c>
    </row>
    <row r="13036" spans="6:6" x14ac:dyDescent="0.2">
      <c r="F13036" s="285" t="str">
        <f t="shared" si="352"/>
        <v/>
      </c>
    </row>
    <row r="13037" spans="6:6" x14ac:dyDescent="0.2">
      <c r="F13037" s="285" t="str">
        <f t="shared" si="352"/>
        <v/>
      </c>
    </row>
    <row r="13038" spans="6:6" x14ac:dyDescent="0.2">
      <c r="F13038" s="285" t="str">
        <f t="shared" si="352"/>
        <v/>
      </c>
    </row>
    <row r="13039" spans="6:6" x14ac:dyDescent="0.2">
      <c r="F13039" s="285" t="str">
        <f t="shared" si="352"/>
        <v/>
      </c>
    </row>
    <row r="13040" spans="6:6" x14ac:dyDescent="0.2">
      <c r="F13040" s="285" t="str">
        <f t="shared" si="352"/>
        <v/>
      </c>
    </row>
    <row r="13041" spans="6:6" x14ac:dyDescent="0.2">
      <c r="F13041" s="285" t="str">
        <f t="shared" si="352"/>
        <v/>
      </c>
    </row>
    <row r="13042" spans="6:6" x14ac:dyDescent="0.2">
      <c r="F13042" s="285" t="str">
        <f t="shared" si="352"/>
        <v/>
      </c>
    </row>
    <row r="13043" spans="6:6" x14ac:dyDescent="0.2">
      <c r="F13043" s="285" t="str">
        <f t="shared" si="352"/>
        <v/>
      </c>
    </row>
    <row r="13044" spans="6:6" x14ac:dyDescent="0.2">
      <c r="F13044" s="285" t="str">
        <f t="shared" si="352"/>
        <v/>
      </c>
    </row>
    <row r="13045" spans="6:6" x14ac:dyDescent="0.2">
      <c r="F13045" s="285" t="str">
        <f t="shared" si="352"/>
        <v/>
      </c>
    </row>
    <row r="13046" spans="6:6" x14ac:dyDescent="0.2">
      <c r="F13046" s="285" t="str">
        <f t="shared" si="352"/>
        <v/>
      </c>
    </row>
    <row r="13047" spans="6:6" x14ac:dyDescent="0.2">
      <c r="F13047" s="285" t="str">
        <f t="shared" si="352"/>
        <v/>
      </c>
    </row>
    <row r="13048" spans="6:6" x14ac:dyDescent="0.2">
      <c r="F13048" s="285" t="str">
        <f t="shared" si="352"/>
        <v/>
      </c>
    </row>
    <row r="13049" spans="6:6" x14ac:dyDescent="0.2">
      <c r="F13049" s="285" t="str">
        <f t="shared" si="352"/>
        <v/>
      </c>
    </row>
    <row r="13050" spans="6:6" x14ac:dyDescent="0.2">
      <c r="F13050" s="285" t="str">
        <f t="shared" si="352"/>
        <v/>
      </c>
    </row>
    <row r="13051" spans="6:6" x14ac:dyDescent="0.2">
      <c r="F13051" s="285" t="str">
        <f t="shared" si="352"/>
        <v/>
      </c>
    </row>
    <row r="13052" spans="6:6" x14ac:dyDescent="0.2">
      <c r="F13052" s="285" t="str">
        <f t="shared" si="352"/>
        <v/>
      </c>
    </row>
    <row r="13053" spans="6:6" x14ac:dyDescent="0.2">
      <c r="F13053" s="285" t="str">
        <f t="shared" si="352"/>
        <v/>
      </c>
    </row>
    <row r="13054" spans="6:6" x14ac:dyDescent="0.2">
      <c r="F13054" s="285" t="str">
        <f t="shared" si="352"/>
        <v/>
      </c>
    </row>
    <row r="13055" spans="6:6" x14ac:dyDescent="0.2">
      <c r="F13055" s="285" t="str">
        <f t="shared" si="352"/>
        <v/>
      </c>
    </row>
    <row r="13056" spans="6:6" x14ac:dyDescent="0.2">
      <c r="F13056" s="285" t="str">
        <f t="shared" si="352"/>
        <v/>
      </c>
    </row>
    <row r="13057" spans="6:6" x14ac:dyDescent="0.2">
      <c r="F13057" s="285" t="str">
        <f t="shared" si="352"/>
        <v/>
      </c>
    </row>
    <row r="13058" spans="6:6" x14ac:dyDescent="0.2">
      <c r="F13058" s="285" t="str">
        <f t="shared" si="352"/>
        <v/>
      </c>
    </row>
    <row r="13059" spans="6:6" x14ac:dyDescent="0.2">
      <c r="F13059" s="285" t="str">
        <f t="shared" si="352"/>
        <v/>
      </c>
    </row>
    <row r="13060" spans="6:6" x14ac:dyDescent="0.2">
      <c r="F13060" s="285" t="str">
        <f t="shared" si="352"/>
        <v/>
      </c>
    </row>
    <row r="13061" spans="6:6" x14ac:dyDescent="0.2">
      <c r="F13061" s="285" t="str">
        <f t="shared" ref="F13061:F13124" si="353">IF(A13061="","",A13061)</f>
        <v/>
      </c>
    </row>
    <row r="13062" spans="6:6" x14ac:dyDescent="0.2">
      <c r="F13062" s="285" t="str">
        <f t="shared" si="353"/>
        <v/>
      </c>
    </row>
    <row r="13063" spans="6:6" x14ac:dyDescent="0.2">
      <c r="F13063" s="285" t="str">
        <f t="shared" si="353"/>
        <v/>
      </c>
    </row>
    <row r="13064" spans="6:6" x14ac:dyDescent="0.2">
      <c r="F13064" s="285" t="str">
        <f t="shared" si="353"/>
        <v/>
      </c>
    </row>
    <row r="13065" spans="6:6" x14ac:dyDescent="0.2">
      <c r="F13065" s="285" t="str">
        <f t="shared" si="353"/>
        <v/>
      </c>
    </row>
    <row r="13066" spans="6:6" x14ac:dyDescent="0.2">
      <c r="F13066" s="285" t="str">
        <f t="shared" si="353"/>
        <v/>
      </c>
    </row>
    <row r="13067" spans="6:6" x14ac:dyDescent="0.2">
      <c r="F13067" s="285" t="str">
        <f t="shared" si="353"/>
        <v/>
      </c>
    </row>
    <row r="13068" spans="6:6" x14ac:dyDescent="0.2">
      <c r="F13068" s="285" t="str">
        <f t="shared" si="353"/>
        <v/>
      </c>
    </row>
    <row r="13069" spans="6:6" x14ac:dyDescent="0.2">
      <c r="F13069" s="285" t="str">
        <f t="shared" si="353"/>
        <v/>
      </c>
    </row>
    <row r="13070" spans="6:6" x14ac:dyDescent="0.2">
      <c r="F13070" s="285" t="str">
        <f t="shared" si="353"/>
        <v/>
      </c>
    </row>
    <row r="13071" spans="6:6" x14ac:dyDescent="0.2">
      <c r="F13071" s="285" t="str">
        <f t="shared" si="353"/>
        <v/>
      </c>
    </row>
    <row r="13072" spans="6:6" x14ac:dyDescent="0.2">
      <c r="F13072" s="285" t="str">
        <f t="shared" si="353"/>
        <v/>
      </c>
    </row>
    <row r="13073" spans="6:6" x14ac:dyDescent="0.2">
      <c r="F13073" s="285" t="str">
        <f t="shared" si="353"/>
        <v/>
      </c>
    </row>
    <row r="13074" spans="6:6" x14ac:dyDescent="0.2">
      <c r="F13074" s="285" t="str">
        <f t="shared" si="353"/>
        <v/>
      </c>
    </row>
    <row r="13075" spans="6:6" x14ac:dyDescent="0.2">
      <c r="F13075" s="285" t="str">
        <f t="shared" si="353"/>
        <v/>
      </c>
    </row>
    <row r="13076" spans="6:6" x14ac:dyDescent="0.2">
      <c r="F13076" s="285" t="str">
        <f t="shared" si="353"/>
        <v/>
      </c>
    </row>
    <row r="13077" spans="6:6" x14ac:dyDescent="0.2">
      <c r="F13077" s="285" t="str">
        <f t="shared" si="353"/>
        <v/>
      </c>
    </row>
    <row r="13078" spans="6:6" x14ac:dyDescent="0.2">
      <c r="F13078" s="285" t="str">
        <f t="shared" si="353"/>
        <v/>
      </c>
    </row>
    <row r="13079" spans="6:6" x14ac:dyDescent="0.2">
      <c r="F13079" s="285" t="str">
        <f t="shared" si="353"/>
        <v/>
      </c>
    </row>
    <row r="13080" spans="6:6" x14ac:dyDescent="0.2">
      <c r="F13080" s="285" t="str">
        <f t="shared" si="353"/>
        <v/>
      </c>
    </row>
    <row r="13081" spans="6:6" x14ac:dyDescent="0.2">
      <c r="F13081" s="285" t="str">
        <f t="shared" si="353"/>
        <v/>
      </c>
    </row>
    <row r="13082" spans="6:6" x14ac:dyDescent="0.2">
      <c r="F13082" s="285" t="str">
        <f t="shared" si="353"/>
        <v/>
      </c>
    </row>
    <row r="13083" spans="6:6" x14ac:dyDescent="0.2">
      <c r="F13083" s="285" t="str">
        <f t="shared" si="353"/>
        <v/>
      </c>
    </row>
    <row r="13084" spans="6:6" x14ac:dyDescent="0.2">
      <c r="F13084" s="285" t="str">
        <f t="shared" si="353"/>
        <v/>
      </c>
    </row>
    <row r="13085" spans="6:6" x14ac:dyDescent="0.2">
      <c r="F13085" s="285" t="str">
        <f t="shared" si="353"/>
        <v/>
      </c>
    </row>
    <row r="13086" spans="6:6" x14ac:dyDescent="0.2">
      <c r="F13086" s="285" t="str">
        <f t="shared" si="353"/>
        <v/>
      </c>
    </row>
    <row r="13087" spans="6:6" x14ac:dyDescent="0.2">
      <c r="F13087" s="285" t="str">
        <f t="shared" si="353"/>
        <v/>
      </c>
    </row>
    <row r="13088" spans="6:6" x14ac:dyDescent="0.2">
      <c r="F13088" s="285" t="str">
        <f t="shared" si="353"/>
        <v/>
      </c>
    </row>
    <row r="13089" spans="6:6" x14ac:dyDescent="0.2">
      <c r="F13089" s="285" t="str">
        <f t="shared" si="353"/>
        <v/>
      </c>
    </row>
    <row r="13090" spans="6:6" x14ac:dyDescent="0.2">
      <c r="F13090" s="285" t="str">
        <f t="shared" si="353"/>
        <v/>
      </c>
    </row>
    <row r="13091" spans="6:6" x14ac:dyDescent="0.2">
      <c r="F13091" s="285" t="str">
        <f t="shared" si="353"/>
        <v/>
      </c>
    </row>
    <row r="13092" spans="6:6" x14ac:dyDescent="0.2">
      <c r="F13092" s="285" t="str">
        <f t="shared" si="353"/>
        <v/>
      </c>
    </row>
    <row r="13093" spans="6:6" x14ac:dyDescent="0.2">
      <c r="F13093" s="285" t="str">
        <f t="shared" si="353"/>
        <v/>
      </c>
    </row>
    <row r="13094" spans="6:6" x14ac:dyDescent="0.2">
      <c r="F13094" s="285" t="str">
        <f t="shared" si="353"/>
        <v/>
      </c>
    </row>
    <row r="13095" spans="6:6" x14ac:dyDescent="0.2">
      <c r="F13095" s="285" t="str">
        <f t="shared" si="353"/>
        <v/>
      </c>
    </row>
    <row r="13096" spans="6:6" x14ac:dyDescent="0.2">
      <c r="F13096" s="285" t="str">
        <f t="shared" si="353"/>
        <v/>
      </c>
    </row>
    <row r="13097" spans="6:6" x14ac:dyDescent="0.2">
      <c r="F13097" s="285" t="str">
        <f t="shared" si="353"/>
        <v/>
      </c>
    </row>
    <row r="13098" spans="6:6" x14ac:dyDescent="0.2">
      <c r="F13098" s="285" t="str">
        <f t="shared" si="353"/>
        <v/>
      </c>
    </row>
    <row r="13099" spans="6:6" x14ac:dyDescent="0.2">
      <c r="F13099" s="285" t="str">
        <f t="shared" si="353"/>
        <v/>
      </c>
    </row>
    <row r="13100" spans="6:6" x14ac:dyDescent="0.2">
      <c r="F13100" s="285" t="str">
        <f t="shared" si="353"/>
        <v/>
      </c>
    </row>
    <row r="13101" spans="6:6" x14ac:dyDescent="0.2">
      <c r="F13101" s="285" t="str">
        <f t="shared" si="353"/>
        <v/>
      </c>
    </row>
    <row r="13102" spans="6:6" x14ac:dyDescent="0.2">
      <c r="F13102" s="285" t="str">
        <f t="shared" si="353"/>
        <v/>
      </c>
    </row>
    <row r="13103" spans="6:6" x14ac:dyDescent="0.2">
      <c r="F13103" s="285" t="str">
        <f t="shared" si="353"/>
        <v/>
      </c>
    </row>
    <row r="13104" spans="6:6" x14ac:dyDescent="0.2">
      <c r="F13104" s="285" t="str">
        <f t="shared" si="353"/>
        <v/>
      </c>
    </row>
    <row r="13105" spans="6:6" x14ac:dyDescent="0.2">
      <c r="F13105" s="285" t="str">
        <f t="shared" si="353"/>
        <v/>
      </c>
    </row>
    <row r="13106" spans="6:6" x14ac:dyDescent="0.2">
      <c r="F13106" s="285" t="str">
        <f t="shared" si="353"/>
        <v/>
      </c>
    </row>
    <row r="13107" spans="6:6" x14ac:dyDescent="0.2">
      <c r="F13107" s="285" t="str">
        <f t="shared" si="353"/>
        <v/>
      </c>
    </row>
    <row r="13108" spans="6:6" x14ac:dyDescent="0.2">
      <c r="F13108" s="285" t="str">
        <f t="shared" si="353"/>
        <v/>
      </c>
    </row>
    <row r="13109" spans="6:6" x14ac:dyDescent="0.2">
      <c r="F13109" s="285" t="str">
        <f t="shared" si="353"/>
        <v/>
      </c>
    </row>
    <row r="13110" spans="6:6" x14ac:dyDescent="0.2">
      <c r="F13110" s="285" t="str">
        <f t="shared" si="353"/>
        <v/>
      </c>
    </row>
    <row r="13111" spans="6:6" x14ac:dyDescent="0.2">
      <c r="F13111" s="285" t="str">
        <f t="shared" si="353"/>
        <v/>
      </c>
    </row>
    <row r="13112" spans="6:6" x14ac:dyDescent="0.2">
      <c r="F13112" s="285" t="str">
        <f t="shared" si="353"/>
        <v/>
      </c>
    </row>
    <row r="13113" spans="6:6" x14ac:dyDescent="0.2">
      <c r="F13113" s="285" t="str">
        <f t="shared" si="353"/>
        <v/>
      </c>
    </row>
    <row r="13114" spans="6:6" x14ac:dyDescent="0.2">
      <c r="F13114" s="285" t="str">
        <f t="shared" si="353"/>
        <v/>
      </c>
    </row>
    <row r="13115" spans="6:6" x14ac:dyDescent="0.2">
      <c r="F13115" s="285" t="str">
        <f t="shared" si="353"/>
        <v/>
      </c>
    </row>
    <row r="13116" spans="6:6" x14ac:dyDescent="0.2">
      <c r="F13116" s="285" t="str">
        <f t="shared" si="353"/>
        <v/>
      </c>
    </row>
    <row r="13117" spans="6:6" x14ac:dyDescent="0.2">
      <c r="F13117" s="285" t="str">
        <f t="shared" si="353"/>
        <v/>
      </c>
    </row>
    <row r="13118" spans="6:6" x14ac:dyDescent="0.2">
      <c r="F13118" s="285" t="str">
        <f t="shared" si="353"/>
        <v/>
      </c>
    </row>
    <row r="13119" spans="6:6" x14ac:dyDescent="0.2">
      <c r="F13119" s="285" t="str">
        <f t="shared" si="353"/>
        <v/>
      </c>
    </row>
    <row r="13120" spans="6:6" x14ac:dyDescent="0.2">
      <c r="F13120" s="285" t="str">
        <f t="shared" si="353"/>
        <v/>
      </c>
    </row>
    <row r="13121" spans="6:6" x14ac:dyDescent="0.2">
      <c r="F13121" s="285" t="str">
        <f t="shared" si="353"/>
        <v/>
      </c>
    </row>
    <row r="13122" spans="6:6" x14ac:dyDescent="0.2">
      <c r="F13122" s="285" t="str">
        <f t="shared" si="353"/>
        <v/>
      </c>
    </row>
    <row r="13123" spans="6:6" x14ac:dyDescent="0.2">
      <c r="F13123" s="285" t="str">
        <f t="shared" si="353"/>
        <v/>
      </c>
    </row>
    <row r="13124" spans="6:6" x14ac:dyDescent="0.2">
      <c r="F13124" s="285" t="str">
        <f t="shared" si="353"/>
        <v/>
      </c>
    </row>
    <row r="13125" spans="6:6" x14ac:dyDescent="0.2">
      <c r="F13125" s="285" t="str">
        <f t="shared" ref="F13125:F13188" si="354">IF(A13125="","",A13125)</f>
        <v/>
      </c>
    </row>
    <row r="13126" spans="6:6" x14ac:dyDescent="0.2">
      <c r="F13126" s="285" t="str">
        <f t="shared" si="354"/>
        <v/>
      </c>
    </row>
    <row r="13127" spans="6:6" x14ac:dyDescent="0.2">
      <c r="F13127" s="285" t="str">
        <f t="shared" si="354"/>
        <v/>
      </c>
    </row>
    <row r="13128" spans="6:6" x14ac:dyDescent="0.2">
      <c r="F13128" s="285" t="str">
        <f t="shared" si="354"/>
        <v/>
      </c>
    </row>
    <row r="13129" spans="6:6" x14ac:dyDescent="0.2">
      <c r="F13129" s="285" t="str">
        <f t="shared" si="354"/>
        <v/>
      </c>
    </row>
    <row r="13130" spans="6:6" x14ac:dyDescent="0.2">
      <c r="F13130" s="285" t="str">
        <f t="shared" si="354"/>
        <v/>
      </c>
    </row>
    <row r="13131" spans="6:6" x14ac:dyDescent="0.2">
      <c r="F13131" s="285" t="str">
        <f t="shared" si="354"/>
        <v/>
      </c>
    </row>
    <row r="13132" spans="6:6" x14ac:dyDescent="0.2">
      <c r="F13132" s="285" t="str">
        <f t="shared" si="354"/>
        <v/>
      </c>
    </row>
    <row r="13133" spans="6:6" x14ac:dyDescent="0.2">
      <c r="F13133" s="285" t="str">
        <f t="shared" si="354"/>
        <v/>
      </c>
    </row>
    <row r="13134" spans="6:6" x14ac:dyDescent="0.2">
      <c r="F13134" s="285" t="str">
        <f t="shared" si="354"/>
        <v/>
      </c>
    </row>
    <row r="13135" spans="6:6" x14ac:dyDescent="0.2">
      <c r="F13135" s="285" t="str">
        <f t="shared" si="354"/>
        <v/>
      </c>
    </row>
    <row r="13136" spans="6:6" x14ac:dyDescent="0.2">
      <c r="F13136" s="285" t="str">
        <f t="shared" si="354"/>
        <v/>
      </c>
    </row>
    <row r="13137" spans="6:6" x14ac:dyDescent="0.2">
      <c r="F13137" s="285" t="str">
        <f t="shared" si="354"/>
        <v/>
      </c>
    </row>
    <row r="13138" spans="6:6" x14ac:dyDescent="0.2">
      <c r="F13138" s="285" t="str">
        <f t="shared" si="354"/>
        <v/>
      </c>
    </row>
    <row r="13139" spans="6:6" x14ac:dyDescent="0.2">
      <c r="F13139" s="285" t="str">
        <f t="shared" si="354"/>
        <v/>
      </c>
    </row>
    <row r="13140" spans="6:6" x14ac:dyDescent="0.2">
      <c r="F13140" s="285" t="str">
        <f t="shared" si="354"/>
        <v/>
      </c>
    </row>
    <row r="13141" spans="6:6" x14ac:dyDescent="0.2">
      <c r="F13141" s="285" t="str">
        <f t="shared" si="354"/>
        <v/>
      </c>
    </row>
    <row r="13142" spans="6:6" x14ac:dyDescent="0.2">
      <c r="F13142" s="285" t="str">
        <f t="shared" si="354"/>
        <v/>
      </c>
    </row>
    <row r="13143" spans="6:6" x14ac:dyDescent="0.2">
      <c r="F13143" s="285" t="str">
        <f t="shared" si="354"/>
        <v/>
      </c>
    </row>
    <row r="13144" spans="6:6" x14ac:dyDescent="0.2">
      <c r="F13144" s="285" t="str">
        <f t="shared" si="354"/>
        <v/>
      </c>
    </row>
    <row r="13145" spans="6:6" x14ac:dyDescent="0.2">
      <c r="F13145" s="285" t="str">
        <f t="shared" si="354"/>
        <v/>
      </c>
    </row>
    <row r="13146" spans="6:6" x14ac:dyDescent="0.2">
      <c r="F13146" s="285" t="str">
        <f t="shared" si="354"/>
        <v/>
      </c>
    </row>
    <row r="13147" spans="6:6" x14ac:dyDescent="0.2">
      <c r="F13147" s="285" t="str">
        <f t="shared" si="354"/>
        <v/>
      </c>
    </row>
    <row r="13148" spans="6:6" x14ac:dyDescent="0.2">
      <c r="F13148" s="285" t="str">
        <f t="shared" si="354"/>
        <v/>
      </c>
    </row>
    <row r="13149" spans="6:6" x14ac:dyDescent="0.2">
      <c r="F13149" s="285" t="str">
        <f t="shared" si="354"/>
        <v/>
      </c>
    </row>
    <row r="13150" spans="6:6" x14ac:dyDescent="0.2">
      <c r="F13150" s="285" t="str">
        <f t="shared" si="354"/>
        <v/>
      </c>
    </row>
    <row r="13151" spans="6:6" x14ac:dyDescent="0.2">
      <c r="F13151" s="285" t="str">
        <f t="shared" si="354"/>
        <v/>
      </c>
    </row>
    <row r="13152" spans="6:6" x14ac:dyDescent="0.2">
      <c r="F13152" s="285" t="str">
        <f t="shared" si="354"/>
        <v/>
      </c>
    </row>
    <row r="13153" spans="6:6" x14ac:dyDescent="0.2">
      <c r="F13153" s="285" t="str">
        <f t="shared" si="354"/>
        <v/>
      </c>
    </row>
    <row r="13154" spans="6:6" x14ac:dyDescent="0.2">
      <c r="F13154" s="285" t="str">
        <f t="shared" si="354"/>
        <v/>
      </c>
    </row>
    <row r="13155" spans="6:6" x14ac:dyDescent="0.2">
      <c r="F13155" s="285" t="str">
        <f t="shared" si="354"/>
        <v/>
      </c>
    </row>
    <row r="13156" spans="6:6" x14ac:dyDescent="0.2">
      <c r="F13156" s="285" t="str">
        <f t="shared" si="354"/>
        <v/>
      </c>
    </row>
    <row r="13157" spans="6:6" x14ac:dyDescent="0.2">
      <c r="F13157" s="285" t="str">
        <f t="shared" si="354"/>
        <v/>
      </c>
    </row>
    <row r="13158" spans="6:6" x14ac:dyDescent="0.2">
      <c r="F13158" s="285" t="str">
        <f t="shared" si="354"/>
        <v/>
      </c>
    </row>
    <row r="13159" spans="6:6" x14ac:dyDescent="0.2">
      <c r="F13159" s="285" t="str">
        <f t="shared" si="354"/>
        <v/>
      </c>
    </row>
    <row r="13160" spans="6:6" x14ac:dyDescent="0.2">
      <c r="F13160" s="285" t="str">
        <f t="shared" si="354"/>
        <v/>
      </c>
    </row>
    <row r="13161" spans="6:6" x14ac:dyDescent="0.2">
      <c r="F13161" s="285" t="str">
        <f t="shared" si="354"/>
        <v/>
      </c>
    </row>
    <row r="13162" spans="6:6" x14ac:dyDescent="0.2">
      <c r="F13162" s="285" t="str">
        <f t="shared" si="354"/>
        <v/>
      </c>
    </row>
    <row r="13163" spans="6:6" x14ac:dyDescent="0.2">
      <c r="F13163" s="285" t="str">
        <f t="shared" si="354"/>
        <v/>
      </c>
    </row>
    <row r="13164" spans="6:6" x14ac:dyDescent="0.2">
      <c r="F13164" s="285" t="str">
        <f t="shared" si="354"/>
        <v/>
      </c>
    </row>
    <row r="13165" spans="6:6" x14ac:dyDescent="0.2">
      <c r="F13165" s="285" t="str">
        <f t="shared" si="354"/>
        <v/>
      </c>
    </row>
    <row r="13166" spans="6:6" x14ac:dyDescent="0.2">
      <c r="F13166" s="285" t="str">
        <f t="shared" si="354"/>
        <v/>
      </c>
    </row>
    <row r="13167" spans="6:6" x14ac:dyDescent="0.2">
      <c r="F13167" s="285" t="str">
        <f t="shared" si="354"/>
        <v/>
      </c>
    </row>
    <row r="13168" spans="6:6" x14ac:dyDescent="0.2">
      <c r="F13168" s="285" t="str">
        <f t="shared" si="354"/>
        <v/>
      </c>
    </row>
    <row r="13169" spans="6:6" x14ac:dyDescent="0.2">
      <c r="F13169" s="285" t="str">
        <f t="shared" si="354"/>
        <v/>
      </c>
    </row>
    <row r="13170" spans="6:6" x14ac:dyDescent="0.2">
      <c r="F13170" s="285" t="str">
        <f t="shared" si="354"/>
        <v/>
      </c>
    </row>
    <row r="13171" spans="6:6" x14ac:dyDescent="0.2">
      <c r="F13171" s="285" t="str">
        <f t="shared" si="354"/>
        <v/>
      </c>
    </row>
    <row r="13172" spans="6:6" x14ac:dyDescent="0.2">
      <c r="F13172" s="285" t="str">
        <f t="shared" si="354"/>
        <v/>
      </c>
    </row>
    <row r="13173" spans="6:6" x14ac:dyDescent="0.2">
      <c r="F13173" s="285" t="str">
        <f t="shared" si="354"/>
        <v/>
      </c>
    </row>
    <row r="13174" spans="6:6" x14ac:dyDescent="0.2">
      <c r="F13174" s="285" t="str">
        <f t="shared" si="354"/>
        <v/>
      </c>
    </row>
    <row r="13175" spans="6:6" x14ac:dyDescent="0.2">
      <c r="F13175" s="285" t="str">
        <f t="shared" si="354"/>
        <v/>
      </c>
    </row>
    <row r="13176" spans="6:6" x14ac:dyDescent="0.2">
      <c r="F13176" s="285" t="str">
        <f t="shared" si="354"/>
        <v/>
      </c>
    </row>
    <row r="13177" spans="6:6" x14ac:dyDescent="0.2">
      <c r="F13177" s="285" t="str">
        <f t="shared" si="354"/>
        <v/>
      </c>
    </row>
    <row r="13178" spans="6:6" x14ac:dyDescent="0.2">
      <c r="F13178" s="285" t="str">
        <f t="shared" si="354"/>
        <v/>
      </c>
    </row>
    <row r="13179" spans="6:6" x14ac:dyDescent="0.2">
      <c r="F13179" s="285" t="str">
        <f t="shared" si="354"/>
        <v/>
      </c>
    </row>
    <row r="13180" spans="6:6" x14ac:dyDescent="0.2">
      <c r="F13180" s="285" t="str">
        <f t="shared" si="354"/>
        <v/>
      </c>
    </row>
    <row r="13181" spans="6:6" x14ac:dyDescent="0.2">
      <c r="F13181" s="285" t="str">
        <f t="shared" si="354"/>
        <v/>
      </c>
    </row>
    <row r="13182" spans="6:6" x14ac:dyDescent="0.2">
      <c r="F13182" s="285" t="str">
        <f t="shared" si="354"/>
        <v/>
      </c>
    </row>
    <row r="13183" spans="6:6" x14ac:dyDescent="0.2">
      <c r="F13183" s="285" t="str">
        <f t="shared" si="354"/>
        <v/>
      </c>
    </row>
    <row r="13184" spans="6:6" x14ac:dyDescent="0.2">
      <c r="F13184" s="285" t="str">
        <f t="shared" si="354"/>
        <v/>
      </c>
    </row>
    <row r="13185" spans="6:6" x14ac:dyDescent="0.2">
      <c r="F13185" s="285" t="str">
        <f t="shared" si="354"/>
        <v/>
      </c>
    </row>
    <row r="13186" spans="6:6" x14ac:dyDescent="0.2">
      <c r="F13186" s="285" t="str">
        <f t="shared" si="354"/>
        <v/>
      </c>
    </row>
    <row r="13187" spans="6:6" x14ac:dyDescent="0.2">
      <c r="F13187" s="285" t="str">
        <f t="shared" si="354"/>
        <v/>
      </c>
    </row>
    <row r="13188" spans="6:6" x14ac:dyDescent="0.2">
      <c r="F13188" s="285" t="str">
        <f t="shared" si="354"/>
        <v/>
      </c>
    </row>
    <row r="13189" spans="6:6" x14ac:dyDescent="0.2">
      <c r="F13189" s="285" t="str">
        <f t="shared" ref="F13189:F13252" si="355">IF(A13189="","",A13189)</f>
        <v/>
      </c>
    </row>
    <row r="13190" spans="6:6" x14ac:dyDescent="0.2">
      <c r="F13190" s="285" t="str">
        <f t="shared" si="355"/>
        <v/>
      </c>
    </row>
    <row r="13191" spans="6:6" x14ac:dyDescent="0.2">
      <c r="F13191" s="285" t="str">
        <f t="shared" si="355"/>
        <v/>
      </c>
    </row>
    <row r="13192" spans="6:6" x14ac:dyDescent="0.2">
      <c r="F13192" s="285" t="str">
        <f t="shared" si="355"/>
        <v/>
      </c>
    </row>
    <row r="13193" spans="6:6" x14ac:dyDescent="0.2">
      <c r="F13193" s="285" t="str">
        <f t="shared" si="355"/>
        <v/>
      </c>
    </row>
    <row r="13194" spans="6:6" x14ac:dyDescent="0.2">
      <c r="F13194" s="285" t="str">
        <f t="shared" si="355"/>
        <v/>
      </c>
    </row>
    <row r="13195" spans="6:6" x14ac:dyDescent="0.2">
      <c r="F13195" s="285" t="str">
        <f t="shared" si="355"/>
        <v/>
      </c>
    </row>
    <row r="13196" spans="6:6" x14ac:dyDescent="0.2">
      <c r="F13196" s="285" t="str">
        <f t="shared" si="355"/>
        <v/>
      </c>
    </row>
    <row r="13197" spans="6:6" x14ac:dyDescent="0.2">
      <c r="F13197" s="285" t="str">
        <f t="shared" si="355"/>
        <v/>
      </c>
    </row>
    <row r="13198" spans="6:6" x14ac:dyDescent="0.2">
      <c r="F13198" s="285" t="str">
        <f t="shared" si="355"/>
        <v/>
      </c>
    </row>
    <row r="13199" spans="6:6" x14ac:dyDescent="0.2">
      <c r="F13199" s="285" t="str">
        <f t="shared" si="355"/>
        <v/>
      </c>
    </row>
    <row r="13200" spans="6:6" x14ac:dyDescent="0.2">
      <c r="F13200" s="285" t="str">
        <f t="shared" si="355"/>
        <v/>
      </c>
    </row>
    <row r="13201" spans="6:6" x14ac:dyDescent="0.2">
      <c r="F13201" s="285" t="str">
        <f t="shared" si="355"/>
        <v/>
      </c>
    </row>
    <row r="13202" spans="6:6" x14ac:dyDescent="0.2">
      <c r="F13202" s="285" t="str">
        <f t="shared" si="355"/>
        <v/>
      </c>
    </row>
    <row r="13203" spans="6:6" x14ac:dyDescent="0.2">
      <c r="F13203" s="285" t="str">
        <f t="shared" si="355"/>
        <v/>
      </c>
    </row>
    <row r="13204" spans="6:6" x14ac:dyDescent="0.2">
      <c r="F13204" s="285" t="str">
        <f t="shared" si="355"/>
        <v/>
      </c>
    </row>
    <row r="13205" spans="6:6" x14ac:dyDescent="0.2">
      <c r="F13205" s="285" t="str">
        <f t="shared" si="355"/>
        <v/>
      </c>
    </row>
    <row r="13206" spans="6:6" x14ac:dyDescent="0.2">
      <c r="F13206" s="285" t="str">
        <f t="shared" si="355"/>
        <v/>
      </c>
    </row>
    <row r="13207" spans="6:6" x14ac:dyDescent="0.2">
      <c r="F13207" s="285" t="str">
        <f t="shared" si="355"/>
        <v/>
      </c>
    </row>
    <row r="13208" spans="6:6" x14ac:dyDescent="0.2">
      <c r="F13208" s="285" t="str">
        <f t="shared" si="355"/>
        <v/>
      </c>
    </row>
    <row r="13209" spans="6:6" x14ac:dyDescent="0.2">
      <c r="F13209" s="285" t="str">
        <f t="shared" si="355"/>
        <v/>
      </c>
    </row>
    <row r="13210" spans="6:6" x14ac:dyDescent="0.2">
      <c r="F13210" s="285" t="str">
        <f t="shared" si="355"/>
        <v/>
      </c>
    </row>
    <row r="13211" spans="6:6" x14ac:dyDescent="0.2">
      <c r="F13211" s="285" t="str">
        <f t="shared" si="355"/>
        <v/>
      </c>
    </row>
    <row r="13212" spans="6:6" x14ac:dyDescent="0.2">
      <c r="F13212" s="285" t="str">
        <f t="shared" si="355"/>
        <v/>
      </c>
    </row>
    <row r="13213" spans="6:6" x14ac:dyDescent="0.2">
      <c r="F13213" s="285" t="str">
        <f t="shared" si="355"/>
        <v/>
      </c>
    </row>
    <row r="13214" spans="6:6" x14ac:dyDescent="0.2">
      <c r="F13214" s="285" t="str">
        <f t="shared" si="355"/>
        <v/>
      </c>
    </row>
    <row r="13215" spans="6:6" x14ac:dyDescent="0.2">
      <c r="F13215" s="285" t="str">
        <f t="shared" si="355"/>
        <v/>
      </c>
    </row>
    <row r="13216" spans="6:6" x14ac:dyDescent="0.2">
      <c r="F13216" s="285" t="str">
        <f t="shared" si="355"/>
        <v/>
      </c>
    </row>
    <row r="13217" spans="6:6" x14ac:dyDescent="0.2">
      <c r="F13217" s="285" t="str">
        <f t="shared" si="355"/>
        <v/>
      </c>
    </row>
    <row r="13218" spans="6:6" x14ac:dyDescent="0.2">
      <c r="F13218" s="285" t="str">
        <f t="shared" si="355"/>
        <v/>
      </c>
    </row>
    <row r="13219" spans="6:6" x14ac:dyDescent="0.2">
      <c r="F13219" s="285" t="str">
        <f t="shared" si="355"/>
        <v/>
      </c>
    </row>
    <row r="13220" spans="6:6" x14ac:dyDescent="0.2">
      <c r="F13220" s="285" t="str">
        <f t="shared" si="355"/>
        <v/>
      </c>
    </row>
    <row r="13221" spans="6:6" x14ac:dyDescent="0.2">
      <c r="F13221" s="285" t="str">
        <f t="shared" si="355"/>
        <v/>
      </c>
    </row>
    <row r="13222" spans="6:6" x14ac:dyDescent="0.2">
      <c r="F13222" s="285" t="str">
        <f t="shared" si="355"/>
        <v/>
      </c>
    </row>
    <row r="13223" spans="6:6" x14ac:dyDescent="0.2">
      <c r="F13223" s="285" t="str">
        <f t="shared" si="355"/>
        <v/>
      </c>
    </row>
    <row r="13224" spans="6:6" x14ac:dyDescent="0.2">
      <c r="F13224" s="285" t="str">
        <f t="shared" si="355"/>
        <v/>
      </c>
    </row>
    <row r="13225" spans="6:6" x14ac:dyDescent="0.2">
      <c r="F13225" s="285" t="str">
        <f t="shared" si="355"/>
        <v/>
      </c>
    </row>
    <row r="13226" spans="6:6" x14ac:dyDescent="0.2">
      <c r="F13226" s="285" t="str">
        <f t="shared" si="355"/>
        <v/>
      </c>
    </row>
    <row r="13227" spans="6:6" x14ac:dyDescent="0.2">
      <c r="F13227" s="285" t="str">
        <f t="shared" si="355"/>
        <v/>
      </c>
    </row>
    <row r="13228" spans="6:6" x14ac:dyDescent="0.2">
      <c r="F13228" s="285" t="str">
        <f t="shared" si="355"/>
        <v/>
      </c>
    </row>
    <row r="13229" spans="6:6" x14ac:dyDescent="0.2">
      <c r="F13229" s="285" t="str">
        <f t="shared" si="355"/>
        <v/>
      </c>
    </row>
    <row r="13230" spans="6:6" x14ac:dyDescent="0.2">
      <c r="F13230" s="285" t="str">
        <f t="shared" si="355"/>
        <v/>
      </c>
    </row>
    <row r="13231" spans="6:6" x14ac:dyDescent="0.2">
      <c r="F13231" s="285" t="str">
        <f t="shared" si="355"/>
        <v/>
      </c>
    </row>
    <row r="13232" spans="6:6" x14ac:dyDescent="0.2">
      <c r="F13232" s="285" t="str">
        <f t="shared" si="355"/>
        <v/>
      </c>
    </row>
    <row r="13233" spans="6:6" x14ac:dyDescent="0.2">
      <c r="F13233" s="285" t="str">
        <f t="shared" si="355"/>
        <v/>
      </c>
    </row>
    <row r="13234" spans="6:6" x14ac:dyDescent="0.2">
      <c r="F13234" s="285" t="str">
        <f t="shared" si="355"/>
        <v/>
      </c>
    </row>
    <row r="13235" spans="6:6" x14ac:dyDescent="0.2">
      <c r="F13235" s="285" t="str">
        <f t="shared" si="355"/>
        <v/>
      </c>
    </row>
    <row r="13236" spans="6:6" x14ac:dyDescent="0.2">
      <c r="F13236" s="285" t="str">
        <f t="shared" si="355"/>
        <v/>
      </c>
    </row>
    <row r="13237" spans="6:6" x14ac:dyDescent="0.2">
      <c r="F13237" s="285" t="str">
        <f t="shared" si="355"/>
        <v/>
      </c>
    </row>
    <row r="13238" spans="6:6" x14ac:dyDescent="0.2">
      <c r="F13238" s="285" t="str">
        <f t="shared" si="355"/>
        <v/>
      </c>
    </row>
    <row r="13239" spans="6:6" x14ac:dyDescent="0.2">
      <c r="F13239" s="285" t="str">
        <f t="shared" si="355"/>
        <v/>
      </c>
    </row>
    <row r="13240" spans="6:6" x14ac:dyDescent="0.2">
      <c r="F13240" s="285" t="str">
        <f t="shared" si="355"/>
        <v/>
      </c>
    </row>
    <row r="13241" spans="6:6" x14ac:dyDescent="0.2">
      <c r="F13241" s="285" t="str">
        <f t="shared" si="355"/>
        <v/>
      </c>
    </row>
    <row r="13242" spans="6:6" x14ac:dyDescent="0.2">
      <c r="F13242" s="285" t="str">
        <f t="shared" si="355"/>
        <v/>
      </c>
    </row>
    <row r="13243" spans="6:6" x14ac:dyDescent="0.2">
      <c r="F13243" s="285" t="str">
        <f t="shared" si="355"/>
        <v/>
      </c>
    </row>
    <row r="13244" spans="6:6" x14ac:dyDescent="0.2">
      <c r="F13244" s="285" t="str">
        <f t="shared" si="355"/>
        <v/>
      </c>
    </row>
    <row r="13245" spans="6:6" x14ac:dyDescent="0.2">
      <c r="F13245" s="285" t="str">
        <f t="shared" si="355"/>
        <v/>
      </c>
    </row>
    <row r="13246" spans="6:6" x14ac:dyDescent="0.2">
      <c r="F13246" s="285" t="str">
        <f t="shared" si="355"/>
        <v/>
      </c>
    </row>
    <row r="13247" spans="6:6" x14ac:dyDescent="0.2">
      <c r="F13247" s="285" t="str">
        <f t="shared" si="355"/>
        <v/>
      </c>
    </row>
    <row r="13248" spans="6:6" x14ac:dyDescent="0.2">
      <c r="F13248" s="285" t="str">
        <f t="shared" si="355"/>
        <v/>
      </c>
    </row>
    <row r="13249" spans="6:6" x14ac:dyDescent="0.2">
      <c r="F13249" s="285" t="str">
        <f t="shared" si="355"/>
        <v/>
      </c>
    </row>
    <row r="13250" spans="6:6" x14ac:dyDescent="0.2">
      <c r="F13250" s="285" t="str">
        <f t="shared" si="355"/>
        <v/>
      </c>
    </row>
    <row r="13251" spans="6:6" x14ac:dyDescent="0.2">
      <c r="F13251" s="285" t="str">
        <f t="shared" si="355"/>
        <v/>
      </c>
    </row>
    <row r="13252" spans="6:6" x14ac:dyDescent="0.2">
      <c r="F13252" s="285" t="str">
        <f t="shared" si="355"/>
        <v/>
      </c>
    </row>
    <row r="13253" spans="6:6" x14ac:dyDescent="0.2">
      <c r="F13253" s="285" t="str">
        <f t="shared" ref="F13253:F13316" si="356">IF(A13253="","",A13253)</f>
        <v/>
      </c>
    </row>
    <row r="13254" spans="6:6" x14ac:dyDescent="0.2">
      <c r="F13254" s="285" t="str">
        <f t="shared" si="356"/>
        <v/>
      </c>
    </row>
    <row r="13255" spans="6:6" x14ac:dyDescent="0.2">
      <c r="F13255" s="285" t="str">
        <f t="shared" si="356"/>
        <v/>
      </c>
    </row>
    <row r="13256" spans="6:6" x14ac:dyDescent="0.2">
      <c r="F13256" s="285" t="str">
        <f t="shared" si="356"/>
        <v/>
      </c>
    </row>
    <row r="13257" spans="6:6" x14ac:dyDescent="0.2">
      <c r="F13257" s="285" t="str">
        <f t="shared" si="356"/>
        <v/>
      </c>
    </row>
    <row r="13258" spans="6:6" x14ac:dyDescent="0.2">
      <c r="F13258" s="285" t="str">
        <f t="shared" si="356"/>
        <v/>
      </c>
    </row>
    <row r="13259" spans="6:6" x14ac:dyDescent="0.2">
      <c r="F13259" s="285" t="str">
        <f t="shared" si="356"/>
        <v/>
      </c>
    </row>
    <row r="13260" spans="6:6" x14ac:dyDescent="0.2">
      <c r="F13260" s="285" t="str">
        <f t="shared" si="356"/>
        <v/>
      </c>
    </row>
    <row r="13261" spans="6:6" x14ac:dyDescent="0.2">
      <c r="F13261" s="285" t="str">
        <f t="shared" si="356"/>
        <v/>
      </c>
    </row>
    <row r="13262" spans="6:6" x14ac:dyDescent="0.2">
      <c r="F13262" s="285" t="str">
        <f t="shared" si="356"/>
        <v/>
      </c>
    </row>
    <row r="13263" spans="6:6" x14ac:dyDescent="0.2">
      <c r="F13263" s="285" t="str">
        <f t="shared" si="356"/>
        <v/>
      </c>
    </row>
    <row r="13264" spans="6:6" x14ac:dyDescent="0.2">
      <c r="F13264" s="285" t="str">
        <f t="shared" si="356"/>
        <v/>
      </c>
    </row>
    <row r="13265" spans="6:6" x14ac:dyDescent="0.2">
      <c r="F13265" s="285" t="str">
        <f t="shared" si="356"/>
        <v/>
      </c>
    </row>
    <row r="13266" spans="6:6" x14ac:dyDescent="0.2">
      <c r="F13266" s="285" t="str">
        <f t="shared" si="356"/>
        <v/>
      </c>
    </row>
    <row r="13267" spans="6:6" x14ac:dyDescent="0.2">
      <c r="F13267" s="285" t="str">
        <f t="shared" si="356"/>
        <v/>
      </c>
    </row>
    <row r="13268" spans="6:6" x14ac:dyDescent="0.2">
      <c r="F13268" s="285" t="str">
        <f t="shared" si="356"/>
        <v/>
      </c>
    </row>
    <row r="13269" spans="6:6" x14ac:dyDescent="0.2">
      <c r="F13269" s="285" t="str">
        <f t="shared" si="356"/>
        <v/>
      </c>
    </row>
    <row r="13270" spans="6:6" x14ac:dyDescent="0.2">
      <c r="F13270" s="285" t="str">
        <f t="shared" si="356"/>
        <v/>
      </c>
    </row>
    <row r="13271" spans="6:6" x14ac:dyDescent="0.2">
      <c r="F13271" s="285" t="str">
        <f t="shared" si="356"/>
        <v/>
      </c>
    </row>
    <row r="13272" spans="6:6" x14ac:dyDescent="0.2">
      <c r="F13272" s="285" t="str">
        <f t="shared" si="356"/>
        <v/>
      </c>
    </row>
    <row r="13273" spans="6:6" x14ac:dyDescent="0.2">
      <c r="F13273" s="285" t="str">
        <f t="shared" si="356"/>
        <v/>
      </c>
    </row>
    <row r="13274" spans="6:6" x14ac:dyDescent="0.2">
      <c r="F13274" s="285" t="str">
        <f t="shared" si="356"/>
        <v/>
      </c>
    </row>
    <row r="13275" spans="6:6" x14ac:dyDescent="0.2">
      <c r="F13275" s="285" t="str">
        <f t="shared" si="356"/>
        <v/>
      </c>
    </row>
    <row r="13276" spans="6:6" x14ac:dyDescent="0.2">
      <c r="F13276" s="285" t="str">
        <f t="shared" si="356"/>
        <v/>
      </c>
    </row>
    <row r="13277" spans="6:6" x14ac:dyDescent="0.2">
      <c r="F13277" s="285" t="str">
        <f t="shared" si="356"/>
        <v/>
      </c>
    </row>
    <row r="13278" spans="6:6" x14ac:dyDescent="0.2">
      <c r="F13278" s="285" t="str">
        <f t="shared" si="356"/>
        <v/>
      </c>
    </row>
    <row r="13279" spans="6:6" x14ac:dyDescent="0.2">
      <c r="F13279" s="285" t="str">
        <f t="shared" si="356"/>
        <v/>
      </c>
    </row>
    <row r="13280" spans="6:6" x14ac:dyDescent="0.2">
      <c r="F13280" s="285" t="str">
        <f t="shared" si="356"/>
        <v/>
      </c>
    </row>
    <row r="13281" spans="6:6" x14ac:dyDescent="0.2">
      <c r="F13281" s="285" t="str">
        <f t="shared" si="356"/>
        <v/>
      </c>
    </row>
    <row r="13282" spans="6:6" x14ac:dyDescent="0.2">
      <c r="F13282" s="285" t="str">
        <f t="shared" si="356"/>
        <v/>
      </c>
    </row>
    <row r="13283" spans="6:6" x14ac:dyDescent="0.2">
      <c r="F13283" s="285" t="str">
        <f t="shared" si="356"/>
        <v/>
      </c>
    </row>
    <row r="13284" spans="6:6" x14ac:dyDescent="0.2">
      <c r="F13284" s="285" t="str">
        <f t="shared" si="356"/>
        <v/>
      </c>
    </row>
    <row r="13285" spans="6:6" x14ac:dyDescent="0.2">
      <c r="F13285" s="285" t="str">
        <f t="shared" si="356"/>
        <v/>
      </c>
    </row>
    <row r="13286" spans="6:6" x14ac:dyDescent="0.2">
      <c r="F13286" s="285" t="str">
        <f t="shared" si="356"/>
        <v/>
      </c>
    </row>
    <row r="13287" spans="6:6" x14ac:dyDescent="0.2">
      <c r="F13287" s="285" t="str">
        <f t="shared" si="356"/>
        <v/>
      </c>
    </row>
    <row r="13288" spans="6:6" x14ac:dyDescent="0.2">
      <c r="F13288" s="285" t="str">
        <f t="shared" si="356"/>
        <v/>
      </c>
    </row>
    <row r="13289" spans="6:6" x14ac:dyDescent="0.2">
      <c r="F13289" s="285" t="str">
        <f t="shared" si="356"/>
        <v/>
      </c>
    </row>
    <row r="13290" spans="6:6" x14ac:dyDescent="0.2">
      <c r="F13290" s="285" t="str">
        <f t="shared" si="356"/>
        <v/>
      </c>
    </row>
    <row r="13291" spans="6:6" x14ac:dyDescent="0.2">
      <c r="F13291" s="285" t="str">
        <f t="shared" si="356"/>
        <v/>
      </c>
    </row>
    <row r="13292" spans="6:6" x14ac:dyDescent="0.2">
      <c r="F13292" s="285" t="str">
        <f t="shared" si="356"/>
        <v/>
      </c>
    </row>
    <row r="13293" spans="6:6" x14ac:dyDescent="0.2">
      <c r="F13293" s="285" t="str">
        <f t="shared" si="356"/>
        <v/>
      </c>
    </row>
    <row r="13294" spans="6:6" x14ac:dyDescent="0.2">
      <c r="F13294" s="285" t="str">
        <f t="shared" si="356"/>
        <v/>
      </c>
    </row>
    <row r="13295" spans="6:6" x14ac:dyDescent="0.2">
      <c r="F13295" s="285" t="str">
        <f t="shared" si="356"/>
        <v/>
      </c>
    </row>
    <row r="13296" spans="6:6" x14ac:dyDescent="0.2">
      <c r="F13296" s="285" t="str">
        <f t="shared" si="356"/>
        <v/>
      </c>
    </row>
    <row r="13297" spans="6:6" x14ac:dyDescent="0.2">
      <c r="F13297" s="285" t="str">
        <f t="shared" si="356"/>
        <v/>
      </c>
    </row>
    <row r="13298" spans="6:6" x14ac:dyDescent="0.2">
      <c r="F13298" s="285" t="str">
        <f t="shared" si="356"/>
        <v/>
      </c>
    </row>
    <row r="13299" spans="6:6" x14ac:dyDescent="0.2">
      <c r="F13299" s="285" t="str">
        <f t="shared" si="356"/>
        <v/>
      </c>
    </row>
    <row r="13300" spans="6:6" x14ac:dyDescent="0.2">
      <c r="F13300" s="285" t="str">
        <f t="shared" si="356"/>
        <v/>
      </c>
    </row>
    <row r="13301" spans="6:6" x14ac:dyDescent="0.2">
      <c r="F13301" s="285" t="str">
        <f t="shared" si="356"/>
        <v/>
      </c>
    </row>
    <row r="13302" spans="6:6" x14ac:dyDescent="0.2">
      <c r="F13302" s="285" t="str">
        <f t="shared" si="356"/>
        <v/>
      </c>
    </row>
    <row r="13303" spans="6:6" x14ac:dyDescent="0.2">
      <c r="F13303" s="285" t="str">
        <f t="shared" si="356"/>
        <v/>
      </c>
    </row>
    <row r="13304" spans="6:6" x14ac:dyDescent="0.2">
      <c r="F13304" s="285" t="str">
        <f t="shared" si="356"/>
        <v/>
      </c>
    </row>
    <row r="13305" spans="6:6" x14ac:dyDescent="0.2">
      <c r="F13305" s="285" t="str">
        <f t="shared" si="356"/>
        <v/>
      </c>
    </row>
    <row r="13306" spans="6:6" x14ac:dyDescent="0.2">
      <c r="F13306" s="285" t="str">
        <f t="shared" si="356"/>
        <v/>
      </c>
    </row>
    <row r="13307" spans="6:6" x14ac:dyDescent="0.2">
      <c r="F13307" s="285" t="str">
        <f t="shared" si="356"/>
        <v/>
      </c>
    </row>
    <row r="13308" spans="6:6" x14ac:dyDescent="0.2">
      <c r="F13308" s="285" t="str">
        <f t="shared" si="356"/>
        <v/>
      </c>
    </row>
    <row r="13309" spans="6:6" x14ac:dyDescent="0.2">
      <c r="F13309" s="285" t="str">
        <f t="shared" si="356"/>
        <v/>
      </c>
    </row>
    <row r="13310" spans="6:6" x14ac:dyDescent="0.2">
      <c r="F13310" s="285" t="str">
        <f t="shared" si="356"/>
        <v/>
      </c>
    </row>
    <row r="13311" spans="6:6" x14ac:dyDescent="0.2">
      <c r="F13311" s="285" t="str">
        <f t="shared" si="356"/>
        <v/>
      </c>
    </row>
    <row r="13312" spans="6:6" x14ac:dyDescent="0.2">
      <c r="F13312" s="285" t="str">
        <f t="shared" si="356"/>
        <v/>
      </c>
    </row>
    <row r="13313" spans="6:6" x14ac:dyDescent="0.2">
      <c r="F13313" s="285" t="str">
        <f t="shared" si="356"/>
        <v/>
      </c>
    </row>
    <row r="13314" spans="6:6" x14ac:dyDescent="0.2">
      <c r="F13314" s="285" t="str">
        <f t="shared" si="356"/>
        <v/>
      </c>
    </row>
    <row r="13315" spans="6:6" x14ac:dyDescent="0.2">
      <c r="F13315" s="285" t="str">
        <f t="shared" si="356"/>
        <v/>
      </c>
    </row>
    <row r="13316" spans="6:6" x14ac:dyDescent="0.2">
      <c r="F13316" s="285" t="str">
        <f t="shared" si="356"/>
        <v/>
      </c>
    </row>
    <row r="13317" spans="6:6" x14ac:dyDescent="0.2">
      <c r="F13317" s="285" t="str">
        <f t="shared" ref="F13317:F13380" si="357">IF(A13317="","",A13317)</f>
        <v/>
      </c>
    </row>
    <row r="13318" spans="6:6" x14ac:dyDescent="0.2">
      <c r="F13318" s="285" t="str">
        <f t="shared" si="357"/>
        <v/>
      </c>
    </row>
    <row r="13319" spans="6:6" x14ac:dyDescent="0.2">
      <c r="F13319" s="285" t="str">
        <f t="shared" si="357"/>
        <v/>
      </c>
    </row>
    <row r="13320" spans="6:6" x14ac:dyDescent="0.2">
      <c r="F13320" s="285" t="str">
        <f t="shared" si="357"/>
        <v/>
      </c>
    </row>
    <row r="13321" spans="6:6" x14ac:dyDescent="0.2">
      <c r="F13321" s="285" t="str">
        <f t="shared" si="357"/>
        <v/>
      </c>
    </row>
    <row r="13322" spans="6:6" x14ac:dyDescent="0.2">
      <c r="F13322" s="285" t="str">
        <f t="shared" si="357"/>
        <v/>
      </c>
    </row>
    <row r="13323" spans="6:6" x14ac:dyDescent="0.2">
      <c r="F13323" s="285" t="str">
        <f t="shared" si="357"/>
        <v/>
      </c>
    </row>
    <row r="13324" spans="6:6" x14ac:dyDescent="0.2">
      <c r="F13324" s="285" t="str">
        <f t="shared" si="357"/>
        <v/>
      </c>
    </row>
    <row r="13325" spans="6:6" x14ac:dyDescent="0.2">
      <c r="F13325" s="285" t="str">
        <f t="shared" si="357"/>
        <v/>
      </c>
    </row>
    <row r="13326" spans="6:6" x14ac:dyDescent="0.2">
      <c r="F13326" s="285" t="str">
        <f t="shared" si="357"/>
        <v/>
      </c>
    </row>
    <row r="13327" spans="6:6" x14ac:dyDescent="0.2">
      <c r="F13327" s="285" t="str">
        <f t="shared" si="357"/>
        <v/>
      </c>
    </row>
    <row r="13328" spans="6:6" x14ac:dyDescent="0.2">
      <c r="F13328" s="285" t="str">
        <f t="shared" si="357"/>
        <v/>
      </c>
    </row>
    <row r="13329" spans="6:6" x14ac:dyDescent="0.2">
      <c r="F13329" s="285" t="str">
        <f t="shared" si="357"/>
        <v/>
      </c>
    </row>
    <row r="13330" spans="6:6" x14ac:dyDescent="0.2">
      <c r="F13330" s="285" t="str">
        <f t="shared" si="357"/>
        <v/>
      </c>
    </row>
    <row r="13331" spans="6:6" x14ac:dyDescent="0.2">
      <c r="F13331" s="285" t="str">
        <f t="shared" si="357"/>
        <v/>
      </c>
    </row>
    <row r="13332" spans="6:6" x14ac:dyDescent="0.2">
      <c r="F13332" s="285" t="str">
        <f t="shared" si="357"/>
        <v/>
      </c>
    </row>
    <row r="13333" spans="6:6" x14ac:dyDescent="0.2">
      <c r="F13333" s="285" t="str">
        <f t="shared" si="357"/>
        <v/>
      </c>
    </row>
    <row r="13334" spans="6:6" x14ac:dyDescent="0.2">
      <c r="F13334" s="285" t="str">
        <f t="shared" si="357"/>
        <v/>
      </c>
    </row>
    <row r="13335" spans="6:6" x14ac:dyDescent="0.2">
      <c r="F13335" s="285" t="str">
        <f t="shared" si="357"/>
        <v/>
      </c>
    </row>
    <row r="13336" spans="6:6" x14ac:dyDescent="0.2">
      <c r="F13336" s="285" t="str">
        <f t="shared" si="357"/>
        <v/>
      </c>
    </row>
    <row r="13337" spans="6:6" x14ac:dyDescent="0.2">
      <c r="F13337" s="285" t="str">
        <f t="shared" si="357"/>
        <v/>
      </c>
    </row>
    <row r="13338" spans="6:6" x14ac:dyDescent="0.2">
      <c r="F13338" s="285" t="str">
        <f t="shared" si="357"/>
        <v/>
      </c>
    </row>
    <row r="13339" spans="6:6" x14ac:dyDescent="0.2">
      <c r="F13339" s="285" t="str">
        <f t="shared" si="357"/>
        <v/>
      </c>
    </row>
    <row r="13340" spans="6:6" x14ac:dyDescent="0.2">
      <c r="F13340" s="285" t="str">
        <f t="shared" si="357"/>
        <v/>
      </c>
    </row>
    <row r="13341" spans="6:6" x14ac:dyDescent="0.2">
      <c r="F13341" s="285" t="str">
        <f t="shared" si="357"/>
        <v/>
      </c>
    </row>
    <row r="13342" spans="6:6" x14ac:dyDescent="0.2">
      <c r="F13342" s="285" t="str">
        <f t="shared" si="357"/>
        <v/>
      </c>
    </row>
    <row r="13343" spans="6:6" x14ac:dyDescent="0.2">
      <c r="F13343" s="285" t="str">
        <f t="shared" si="357"/>
        <v/>
      </c>
    </row>
    <row r="13344" spans="6:6" x14ac:dyDescent="0.2">
      <c r="F13344" s="285" t="str">
        <f t="shared" si="357"/>
        <v/>
      </c>
    </row>
    <row r="13345" spans="6:6" x14ac:dyDescent="0.2">
      <c r="F13345" s="285" t="str">
        <f t="shared" si="357"/>
        <v/>
      </c>
    </row>
    <row r="13346" spans="6:6" x14ac:dyDescent="0.2">
      <c r="F13346" s="285" t="str">
        <f t="shared" si="357"/>
        <v/>
      </c>
    </row>
    <row r="13347" spans="6:6" x14ac:dyDescent="0.2">
      <c r="F13347" s="285" t="str">
        <f t="shared" si="357"/>
        <v/>
      </c>
    </row>
    <row r="13348" spans="6:6" x14ac:dyDescent="0.2">
      <c r="F13348" s="285" t="str">
        <f t="shared" si="357"/>
        <v/>
      </c>
    </row>
    <row r="13349" spans="6:6" x14ac:dyDescent="0.2">
      <c r="F13349" s="285" t="str">
        <f t="shared" si="357"/>
        <v/>
      </c>
    </row>
    <row r="13350" spans="6:6" x14ac:dyDescent="0.2">
      <c r="F13350" s="285" t="str">
        <f t="shared" si="357"/>
        <v/>
      </c>
    </row>
    <row r="13351" spans="6:6" x14ac:dyDescent="0.2">
      <c r="F13351" s="285" t="str">
        <f t="shared" si="357"/>
        <v/>
      </c>
    </row>
    <row r="13352" spans="6:6" x14ac:dyDescent="0.2">
      <c r="F13352" s="285" t="str">
        <f t="shared" si="357"/>
        <v/>
      </c>
    </row>
    <row r="13353" spans="6:6" x14ac:dyDescent="0.2">
      <c r="F13353" s="285" t="str">
        <f t="shared" si="357"/>
        <v/>
      </c>
    </row>
    <row r="13354" spans="6:6" x14ac:dyDescent="0.2">
      <c r="F13354" s="285" t="str">
        <f t="shared" si="357"/>
        <v/>
      </c>
    </row>
    <row r="13355" spans="6:6" x14ac:dyDescent="0.2">
      <c r="F13355" s="285" t="str">
        <f t="shared" si="357"/>
        <v/>
      </c>
    </row>
    <row r="13356" spans="6:6" x14ac:dyDescent="0.2">
      <c r="F13356" s="285" t="str">
        <f t="shared" si="357"/>
        <v/>
      </c>
    </row>
    <row r="13357" spans="6:6" x14ac:dyDescent="0.2">
      <c r="F13357" s="285" t="str">
        <f t="shared" si="357"/>
        <v/>
      </c>
    </row>
    <row r="13358" spans="6:6" x14ac:dyDescent="0.2">
      <c r="F13358" s="285" t="str">
        <f t="shared" si="357"/>
        <v/>
      </c>
    </row>
    <row r="13359" spans="6:6" x14ac:dyDescent="0.2">
      <c r="F13359" s="285" t="str">
        <f t="shared" si="357"/>
        <v/>
      </c>
    </row>
    <row r="13360" spans="6:6" x14ac:dyDescent="0.2">
      <c r="F13360" s="285" t="str">
        <f t="shared" si="357"/>
        <v/>
      </c>
    </row>
    <row r="13361" spans="6:6" x14ac:dyDescent="0.2">
      <c r="F13361" s="285" t="str">
        <f t="shared" si="357"/>
        <v/>
      </c>
    </row>
    <row r="13362" spans="6:6" x14ac:dyDescent="0.2">
      <c r="F13362" s="285" t="str">
        <f t="shared" si="357"/>
        <v/>
      </c>
    </row>
    <row r="13363" spans="6:6" x14ac:dyDescent="0.2">
      <c r="F13363" s="285" t="str">
        <f t="shared" si="357"/>
        <v/>
      </c>
    </row>
    <row r="13364" spans="6:6" x14ac:dyDescent="0.2">
      <c r="F13364" s="285" t="str">
        <f t="shared" si="357"/>
        <v/>
      </c>
    </row>
    <row r="13365" spans="6:6" x14ac:dyDescent="0.2">
      <c r="F13365" s="285" t="str">
        <f t="shared" si="357"/>
        <v/>
      </c>
    </row>
    <row r="13366" spans="6:6" x14ac:dyDescent="0.2">
      <c r="F13366" s="285" t="str">
        <f t="shared" si="357"/>
        <v/>
      </c>
    </row>
    <row r="13367" spans="6:6" x14ac:dyDescent="0.2">
      <c r="F13367" s="285" t="str">
        <f t="shared" si="357"/>
        <v/>
      </c>
    </row>
    <row r="13368" spans="6:6" x14ac:dyDescent="0.2">
      <c r="F13368" s="285" t="str">
        <f t="shared" si="357"/>
        <v/>
      </c>
    </row>
    <row r="13369" spans="6:6" x14ac:dyDescent="0.2">
      <c r="F13369" s="285" t="str">
        <f t="shared" si="357"/>
        <v/>
      </c>
    </row>
    <row r="13370" spans="6:6" x14ac:dyDescent="0.2">
      <c r="F13370" s="285" t="str">
        <f t="shared" si="357"/>
        <v/>
      </c>
    </row>
    <row r="13371" spans="6:6" x14ac:dyDescent="0.2">
      <c r="F13371" s="285" t="str">
        <f t="shared" si="357"/>
        <v/>
      </c>
    </row>
    <row r="13372" spans="6:6" x14ac:dyDescent="0.2">
      <c r="F13372" s="285" t="str">
        <f t="shared" si="357"/>
        <v/>
      </c>
    </row>
    <row r="13373" spans="6:6" x14ac:dyDescent="0.2">
      <c r="F13373" s="285" t="str">
        <f t="shared" si="357"/>
        <v/>
      </c>
    </row>
    <row r="13374" spans="6:6" x14ac:dyDescent="0.2">
      <c r="F13374" s="285" t="str">
        <f t="shared" si="357"/>
        <v/>
      </c>
    </row>
    <row r="13375" spans="6:6" x14ac:dyDescent="0.2">
      <c r="F13375" s="285" t="str">
        <f t="shared" si="357"/>
        <v/>
      </c>
    </row>
    <row r="13376" spans="6:6" x14ac:dyDescent="0.2">
      <c r="F13376" s="285" t="str">
        <f t="shared" si="357"/>
        <v/>
      </c>
    </row>
    <row r="13377" spans="6:6" x14ac:dyDescent="0.2">
      <c r="F13377" s="285" t="str">
        <f t="shared" si="357"/>
        <v/>
      </c>
    </row>
    <row r="13378" spans="6:6" x14ac:dyDescent="0.2">
      <c r="F13378" s="285" t="str">
        <f t="shared" si="357"/>
        <v/>
      </c>
    </row>
    <row r="13379" spans="6:6" x14ac:dyDescent="0.2">
      <c r="F13379" s="285" t="str">
        <f t="shared" si="357"/>
        <v/>
      </c>
    </row>
    <row r="13380" spans="6:6" x14ac:dyDescent="0.2">
      <c r="F13380" s="285" t="str">
        <f t="shared" si="357"/>
        <v/>
      </c>
    </row>
    <row r="13381" spans="6:6" x14ac:dyDescent="0.2">
      <c r="F13381" s="285" t="str">
        <f t="shared" ref="F13381:F13444" si="358">IF(A13381="","",A13381)</f>
        <v/>
      </c>
    </row>
    <row r="13382" spans="6:6" x14ac:dyDescent="0.2">
      <c r="F13382" s="285" t="str">
        <f t="shared" si="358"/>
        <v/>
      </c>
    </row>
    <row r="13383" spans="6:6" x14ac:dyDescent="0.2">
      <c r="F13383" s="285" t="str">
        <f t="shared" si="358"/>
        <v/>
      </c>
    </row>
    <row r="13384" spans="6:6" x14ac:dyDescent="0.2">
      <c r="F13384" s="285" t="str">
        <f t="shared" si="358"/>
        <v/>
      </c>
    </row>
    <row r="13385" spans="6:6" x14ac:dyDescent="0.2">
      <c r="F13385" s="285" t="str">
        <f t="shared" si="358"/>
        <v/>
      </c>
    </row>
    <row r="13386" spans="6:6" x14ac:dyDescent="0.2">
      <c r="F13386" s="285" t="str">
        <f t="shared" si="358"/>
        <v/>
      </c>
    </row>
    <row r="13387" spans="6:6" x14ac:dyDescent="0.2">
      <c r="F13387" s="285" t="str">
        <f t="shared" si="358"/>
        <v/>
      </c>
    </row>
    <row r="13388" spans="6:6" x14ac:dyDescent="0.2">
      <c r="F13388" s="285" t="str">
        <f t="shared" si="358"/>
        <v/>
      </c>
    </row>
    <row r="13389" spans="6:6" x14ac:dyDescent="0.2">
      <c r="F13389" s="285" t="str">
        <f t="shared" si="358"/>
        <v/>
      </c>
    </row>
    <row r="13390" spans="6:6" x14ac:dyDescent="0.2">
      <c r="F13390" s="285" t="str">
        <f t="shared" si="358"/>
        <v/>
      </c>
    </row>
    <row r="13391" spans="6:6" x14ac:dyDescent="0.2">
      <c r="F13391" s="285" t="str">
        <f t="shared" si="358"/>
        <v/>
      </c>
    </row>
    <row r="13392" spans="6:6" x14ac:dyDescent="0.2">
      <c r="F13392" s="285" t="str">
        <f t="shared" si="358"/>
        <v/>
      </c>
    </row>
    <row r="13393" spans="6:6" x14ac:dyDescent="0.2">
      <c r="F13393" s="285" t="str">
        <f t="shared" si="358"/>
        <v/>
      </c>
    </row>
    <row r="13394" spans="6:6" x14ac:dyDescent="0.2">
      <c r="F13394" s="285" t="str">
        <f t="shared" si="358"/>
        <v/>
      </c>
    </row>
    <row r="13395" spans="6:6" x14ac:dyDescent="0.2">
      <c r="F13395" s="285" t="str">
        <f t="shared" si="358"/>
        <v/>
      </c>
    </row>
    <row r="13396" spans="6:6" x14ac:dyDescent="0.2">
      <c r="F13396" s="285" t="str">
        <f t="shared" si="358"/>
        <v/>
      </c>
    </row>
    <row r="13397" spans="6:6" x14ac:dyDescent="0.2">
      <c r="F13397" s="285" t="str">
        <f t="shared" si="358"/>
        <v/>
      </c>
    </row>
    <row r="13398" spans="6:6" x14ac:dyDescent="0.2">
      <c r="F13398" s="285" t="str">
        <f t="shared" si="358"/>
        <v/>
      </c>
    </row>
    <row r="13399" spans="6:6" x14ac:dyDescent="0.2">
      <c r="F13399" s="285" t="str">
        <f t="shared" si="358"/>
        <v/>
      </c>
    </row>
    <row r="13400" spans="6:6" x14ac:dyDescent="0.2">
      <c r="F13400" s="285" t="str">
        <f t="shared" si="358"/>
        <v/>
      </c>
    </row>
    <row r="13401" spans="6:6" x14ac:dyDescent="0.2">
      <c r="F13401" s="285" t="str">
        <f t="shared" si="358"/>
        <v/>
      </c>
    </row>
    <row r="13402" spans="6:6" x14ac:dyDescent="0.2">
      <c r="F13402" s="285" t="str">
        <f t="shared" si="358"/>
        <v/>
      </c>
    </row>
    <row r="13403" spans="6:6" x14ac:dyDescent="0.2">
      <c r="F13403" s="285" t="str">
        <f t="shared" si="358"/>
        <v/>
      </c>
    </row>
    <row r="13404" spans="6:6" x14ac:dyDescent="0.2">
      <c r="F13404" s="285" t="str">
        <f t="shared" si="358"/>
        <v/>
      </c>
    </row>
    <row r="13405" spans="6:6" x14ac:dyDescent="0.2">
      <c r="F13405" s="285" t="str">
        <f t="shared" si="358"/>
        <v/>
      </c>
    </row>
    <row r="13406" spans="6:6" x14ac:dyDescent="0.2">
      <c r="F13406" s="285" t="str">
        <f t="shared" si="358"/>
        <v/>
      </c>
    </row>
    <row r="13407" spans="6:6" x14ac:dyDescent="0.2">
      <c r="F13407" s="285" t="str">
        <f t="shared" si="358"/>
        <v/>
      </c>
    </row>
    <row r="13408" spans="6:6" x14ac:dyDescent="0.2">
      <c r="F13408" s="285" t="str">
        <f t="shared" si="358"/>
        <v/>
      </c>
    </row>
    <row r="13409" spans="6:6" x14ac:dyDescent="0.2">
      <c r="F13409" s="285" t="str">
        <f t="shared" si="358"/>
        <v/>
      </c>
    </row>
    <row r="13410" spans="6:6" x14ac:dyDescent="0.2">
      <c r="F13410" s="285" t="str">
        <f t="shared" si="358"/>
        <v/>
      </c>
    </row>
    <row r="13411" spans="6:6" x14ac:dyDescent="0.2">
      <c r="F13411" s="285" t="str">
        <f t="shared" si="358"/>
        <v/>
      </c>
    </row>
    <row r="13412" spans="6:6" x14ac:dyDescent="0.2">
      <c r="F13412" s="285" t="str">
        <f t="shared" si="358"/>
        <v/>
      </c>
    </row>
    <row r="13413" spans="6:6" x14ac:dyDescent="0.2">
      <c r="F13413" s="285" t="str">
        <f t="shared" si="358"/>
        <v/>
      </c>
    </row>
    <row r="13414" spans="6:6" x14ac:dyDescent="0.2">
      <c r="F13414" s="285" t="str">
        <f t="shared" si="358"/>
        <v/>
      </c>
    </row>
    <row r="13415" spans="6:6" x14ac:dyDescent="0.2">
      <c r="F13415" s="285" t="str">
        <f t="shared" si="358"/>
        <v/>
      </c>
    </row>
    <row r="13416" spans="6:6" x14ac:dyDescent="0.2">
      <c r="F13416" s="285" t="str">
        <f t="shared" si="358"/>
        <v/>
      </c>
    </row>
    <row r="13417" spans="6:6" x14ac:dyDescent="0.2">
      <c r="F13417" s="285" t="str">
        <f t="shared" si="358"/>
        <v/>
      </c>
    </row>
    <row r="13418" spans="6:6" x14ac:dyDescent="0.2">
      <c r="F13418" s="285" t="str">
        <f t="shared" si="358"/>
        <v/>
      </c>
    </row>
    <row r="13419" spans="6:6" x14ac:dyDescent="0.2">
      <c r="F13419" s="285" t="str">
        <f t="shared" si="358"/>
        <v/>
      </c>
    </row>
    <row r="13420" spans="6:6" x14ac:dyDescent="0.2">
      <c r="F13420" s="285" t="str">
        <f t="shared" si="358"/>
        <v/>
      </c>
    </row>
    <row r="13421" spans="6:6" x14ac:dyDescent="0.2">
      <c r="F13421" s="285" t="str">
        <f t="shared" si="358"/>
        <v/>
      </c>
    </row>
    <row r="13422" spans="6:6" x14ac:dyDescent="0.2">
      <c r="F13422" s="285" t="str">
        <f t="shared" si="358"/>
        <v/>
      </c>
    </row>
    <row r="13423" spans="6:6" x14ac:dyDescent="0.2">
      <c r="F13423" s="285" t="str">
        <f t="shared" si="358"/>
        <v/>
      </c>
    </row>
    <row r="13424" spans="6:6" x14ac:dyDescent="0.2">
      <c r="F13424" s="285" t="str">
        <f t="shared" si="358"/>
        <v/>
      </c>
    </row>
    <row r="13425" spans="6:6" x14ac:dyDescent="0.2">
      <c r="F13425" s="285" t="str">
        <f t="shared" si="358"/>
        <v/>
      </c>
    </row>
    <row r="13426" spans="6:6" x14ac:dyDescent="0.2">
      <c r="F13426" s="285" t="str">
        <f t="shared" si="358"/>
        <v/>
      </c>
    </row>
    <row r="13427" spans="6:6" x14ac:dyDescent="0.2">
      <c r="F13427" s="285" t="str">
        <f t="shared" si="358"/>
        <v/>
      </c>
    </row>
    <row r="13428" spans="6:6" x14ac:dyDescent="0.2">
      <c r="F13428" s="285" t="str">
        <f t="shared" si="358"/>
        <v/>
      </c>
    </row>
    <row r="13429" spans="6:6" x14ac:dyDescent="0.2">
      <c r="F13429" s="285" t="str">
        <f t="shared" si="358"/>
        <v/>
      </c>
    </row>
    <row r="13430" spans="6:6" x14ac:dyDescent="0.2">
      <c r="F13430" s="285" t="str">
        <f t="shared" si="358"/>
        <v/>
      </c>
    </row>
    <row r="13431" spans="6:6" x14ac:dyDescent="0.2">
      <c r="F13431" s="285" t="str">
        <f t="shared" si="358"/>
        <v/>
      </c>
    </row>
    <row r="13432" spans="6:6" x14ac:dyDescent="0.2">
      <c r="F13432" s="285" t="str">
        <f t="shared" si="358"/>
        <v/>
      </c>
    </row>
    <row r="13433" spans="6:6" x14ac:dyDescent="0.2">
      <c r="F13433" s="285" t="str">
        <f t="shared" si="358"/>
        <v/>
      </c>
    </row>
    <row r="13434" spans="6:6" x14ac:dyDescent="0.2">
      <c r="F13434" s="285" t="str">
        <f t="shared" si="358"/>
        <v/>
      </c>
    </row>
    <row r="13435" spans="6:6" x14ac:dyDescent="0.2">
      <c r="F13435" s="285" t="str">
        <f t="shared" si="358"/>
        <v/>
      </c>
    </row>
    <row r="13436" spans="6:6" x14ac:dyDescent="0.2">
      <c r="F13436" s="285" t="str">
        <f t="shared" si="358"/>
        <v/>
      </c>
    </row>
    <row r="13437" spans="6:6" x14ac:dyDescent="0.2">
      <c r="F13437" s="285" t="str">
        <f t="shared" si="358"/>
        <v/>
      </c>
    </row>
    <row r="13438" spans="6:6" x14ac:dyDescent="0.2">
      <c r="F13438" s="285" t="str">
        <f t="shared" si="358"/>
        <v/>
      </c>
    </row>
    <row r="13439" spans="6:6" x14ac:dyDescent="0.2">
      <c r="F13439" s="285" t="str">
        <f t="shared" si="358"/>
        <v/>
      </c>
    </row>
    <row r="13440" spans="6:6" x14ac:dyDescent="0.2">
      <c r="F13440" s="285" t="str">
        <f t="shared" si="358"/>
        <v/>
      </c>
    </row>
    <row r="13441" spans="6:6" x14ac:dyDescent="0.2">
      <c r="F13441" s="285" t="str">
        <f t="shared" si="358"/>
        <v/>
      </c>
    </row>
    <row r="13442" spans="6:6" x14ac:dyDescent="0.2">
      <c r="F13442" s="285" t="str">
        <f t="shared" si="358"/>
        <v/>
      </c>
    </row>
    <row r="13443" spans="6:6" x14ac:dyDescent="0.2">
      <c r="F13443" s="285" t="str">
        <f t="shared" si="358"/>
        <v/>
      </c>
    </row>
    <row r="13444" spans="6:6" x14ac:dyDescent="0.2">
      <c r="F13444" s="285" t="str">
        <f t="shared" si="358"/>
        <v/>
      </c>
    </row>
    <row r="13445" spans="6:6" x14ac:dyDescent="0.2">
      <c r="F13445" s="285" t="str">
        <f t="shared" ref="F13445:F13508" si="359">IF(A13445="","",A13445)</f>
        <v/>
      </c>
    </row>
    <row r="13446" spans="6:6" x14ac:dyDescent="0.2">
      <c r="F13446" s="285" t="str">
        <f t="shared" si="359"/>
        <v/>
      </c>
    </row>
    <row r="13447" spans="6:6" x14ac:dyDescent="0.2">
      <c r="F13447" s="285" t="str">
        <f t="shared" si="359"/>
        <v/>
      </c>
    </row>
    <row r="13448" spans="6:6" x14ac:dyDescent="0.2">
      <c r="F13448" s="285" t="str">
        <f t="shared" si="359"/>
        <v/>
      </c>
    </row>
    <row r="13449" spans="6:6" x14ac:dyDescent="0.2">
      <c r="F13449" s="285" t="str">
        <f t="shared" si="359"/>
        <v/>
      </c>
    </row>
    <row r="13450" spans="6:6" x14ac:dyDescent="0.2">
      <c r="F13450" s="285" t="str">
        <f t="shared" si="359"/>
        <v/>
      </c>
    </row>
    <row r="13451" spans="6:6" x14ac:dyDescent="0.2">
      <c r="F13451" s="285" t="str">
        <f t="shared" si="359"/>
        <v/>
      </c>
    </row>
    <row r="13452" spans="6:6" x14ac:dyDescent="0.2">
      <c r="F13452" s="285" t="str">
        <f t="shared" si="359"/>
        <v/>
      </c>
    </row>
    <row r="13453" spans="6:6" x14ac:dyDescent="0.2">
      <c r="F13453" s="285" t="str">
        <f t="shared" si="359"/>
        <v/>
      </c>
    </row>
    <row r="13454" spans="6:6" x14ac:dyDescent="0.2">
      <c r="F13454" s="285" t="str">
        <f t="shared" si="359"/>
        <v/>
      </c>
    </row>
    <row r="13455" spans="6:6" x14ac:dyDescent="0.2">
      <c r="F13455" s="285" t="str">
        <f t="shared" si="359"/>
        <v/>
      </c>
    </row>
    <row r="13456" spans="6:6" x14ac:dyDescent="0.2">
      <c r="F13456" s="285" t="str">
        <f t="shared" si="359"/>
        <v/>
      </c>
    </row>
    <row r="13457" spans="6:6" x14ac:dyDescent="0.2">
      <c r="F13457" s="285" t="str">
        <f t="shared" si="359"/>
        <v/>
      </c>
    </row>
    <row r="13458" spans="6:6" x14ac:dyDescent="0.2">
      <c r="F13458" s="285" t="str">
        <f t="shared" si="359"/>
        <v/>
      </c>
    </row>
    <row r="13459" spans="6:6" x14ac:dyDescent="0.2">
      <c r="F13459" s="285" t="str">
        <f t="shared" si="359"/>
        <v/>
      </c>
    </row>
    <row r="13460" spans="6:6" x14ac:dyDescent="0.2">
      <c r="F13460" s="285" t="str">
        <f t="shared" si="359"/>
        <v/>
      </c>
    </row>
    <row r="13461" spans="6:6" x14ac:dyDescent="0.2">
      <c r="F13461" s="285" t="str">
        <f t="shared" si="359"/>
        <v/>
      </c>
    </row>
    <row r="13462" spans="6:6" x14ac:dyDescent="0.2">
      <c r="F13462" s="285" t="str">
        <f t="shared" si="359"/>
        <v/>
      </c>
    </row>
    <row r="13463" spans="6:6" x14ac:dyDescent="0.2">
      <c r="F13463" s="285" t="str">
        <f t="shared" si="359"/>
        <v/>
      </c>
    </row>
    <row r="13464" spans="6:6" x14ac:dyDescent="0.2">
      <c r="F13464" s="285" t="str">
        <f t="shared" si="359"/>
        <v/>
      </c>
    </row>
    <row r="13465" spans="6:6" x14ac:dyDescent="0.2">
      <c r="F13465" s="285" t="str">
        <f t="shared" si="359"/>
        <v/>
      </c>
    </row>
    <row r="13466" spans="6:6" x14ac:dyDescent="0.2">
      <c r="F13466" s="285" t="str">
        <f t="shared" si="359"/>
        <v/>
      </c>
    </row>
    <row r="13467" spans="6:6" x14ac:dyDescent="0.2">
      <c r="F13467" s="285" t="str">
        <f t="shared" si="359"/>
        <v/>
      </c>
    </row>
    <row r="13468" spans="6:6" x14ac:dyDescent="0.2">
      <c r="F13468" s="285" t="str">
        <f t="shared" si="359"/>
        <v/>
      </c>
    </row>
    <row r="13469" spans="6:6" x14ac:dyDescent="0.2">
      <c r="F13469" s="285" t="str">
        <f t="shared" si="359"/>
        <v/>
      </c>
    </row>
    <row r="13470" spans="6:6" x14ac:dyDescent="0.2">
      <c r="F13470" s="285" t="str">
        <f t="shared" si="359"/>
        <v/>
      </c>
    </row>
    <row r="13471" spans="6:6" x14ac:dyDescent="0.2">
      <c r="F13471" s="285" t="str">
        <f t="shared" si="359"/>
        <v/>
      </c>
    </row>
    <row r="13472" spans="6:6" x14ac:dyDescent="0.2">
      <c r="F13472" s="285" t="str">
        <f t="shared" si="359"/>
        <v/>
      </c>
    </row>
    <row r="13473" spans="6:6" x14ac:dyDescent="0.2">
      <c r="F13473" s="285" t="str">
        <f t="shared" si="359"/>
        <v/>
      </c>
    </row>
    <row r="13474" spans="6:6" x14ac:dyDescent="0.2">
      <c r="F13474" s="285" t="str">
        <f t="shared" si="359"/>
        <v/>
      </c>
    </row>
    <row r="13475" spans="6:6" x14ac:dyDescent="0.2">
      <c r="F13475" s="285" t="str">
        <f t="shared" si="359"/>
        <v/>
      </c>
    </row>
    <row r="13476" spans="6:6" x14ac:dyDescent="0.2">
      <c r="F13476" s="285" t="str">
        <f t="shared" si="359"/>
        <v/>
      </c>
    </row>
    <row r="13477" spans="6:6" x14ac:dyDescent="0.2">
      <c r="F13477" s="285" t="str">
        <f t="shared" si="359"/>
        <v/>
      </c>
    </row>
    <row r="13478" spans="6:6" x14ac:dyDescent="0.2">
      <c r="F13478" s="285" t="str">
        <f t="shared" si="359"/>
        <v/>
      </c>
    </row>
    <row r="13479" spans="6:6" x14ac:dyDescent="0.2">
      <c r="F13479" s="285" t="str">
        <f t="shared" si="359"/>
        <v/>
      </c>
    </row>
    <row r="13480" spans="6:6" x14ac:dyDescent="0.2">
      <c r="F13480" s="285" t="str">
        <f t="shared" si="359"/>
        <v/>
      </c>
    </row>
    <row r="13481" spans="6:6" x14ac:dyDescent="0.2">
      <c r="F13481" s="285" t="str">
        <f t="shared" si="359"/>
        <v/>
      </c>
    </row>
    <row r="13482" spans="6:6" x14ac:dyDescent="0.2">
      <c r="F13482" s="285" t="str">
        <f t="shared" si="359"/>
        <v/>
      </c>
    </row>
    <row r="13483" spans="6:6" x14ac:dyDescent="0.2">
      <c r="F13483" s="285" t="str">
        <f t="shared" si="359"/>
        <v/>
      </c>
    </row>
    <row r="13484" spans="6:6" x14ac:dyDescent="0.2">
      <c r="F13484" s="285" t="str">
        <f t="shared" si="359"/>
        <v/>
      </c>
    </row>
    <row r="13485" spans="6:6" x14ac:dyDescent="0.2">
      <c r="F13485" s="285" t="str">
        <f t="shared" si="359"/>
        <v/>
      </c>
    </row>
    <row r="13486" spans="6:6" x14ac:dyDescent="0.2">
      <c r="F13486" s="285" t="str">
        <f t="shared" si="359"/>
        <v/>
      </c>
    </row>
    <row r="13487" spans="6:6" x14ac:dyDescent="0.2">
      <c r="F13487" s="285" t="str">
        <f t="shared" si="359"/>
        <v/>
      </c>
    </row>
    <row r="13488" spans="6:6" x14ac:dyDescent="0.2">
      <c r="F13488" s="285" t="str">
        <f t="shared" si="359"/>
        <v/>
      </c>
    </row>
    <row r="13489" spans="6:6" x14ac:dyDescent="0.2">
      <c r="F13489" s="285" t="str">
        <f t="shared" si="359"/>
        <v/>
      </c>
    </row>
    <row r="13490" spans="6:6" x14ac:dyDescent="0.2">
      <c r="F13490" s="285" t="str">
        <f t="shared" si="359"/>
        <v/>
      </c>
    </row>
    <row r="13491" spans="6:6" x14ac:dyDescent="0.2">
      <c r="F13491" s="285" t="str">
        <f t="shared" si="359"/>
        <v/>
      </c>
    </row>
    <row r="13492" spans="6:6" x14ac:dyDescent="0.2">
      <c r="F13492" s="285" t="str">
        <f t="shared" si="359"/>
        <v/>
      </c>
    </row>
    <row r="13493" spans="6:6" x14ac:dyDescent="0.2">
      <c r="F13493" s="285" t="str">
        <f t="shared" si="359"/>
        <v/>
      </c>
    </row>
    <row r="13494" spans="6:6" x14ac:dyDescent="0.2">
      <c r="F13494" s="285" t="str">
        <f t="shared" si="359"/>
        <v/>
      </c>
    </row>
    <row r="13495" spans="6:6" x14ac:dyDescent="0.2">
      <c r="F13495" s="285" t="str">
        <f t="shared" si="359"/>
        <v/>
      </c>
    </row>
    <row r="13496" spans="6:6" x14ac:dyDescent="0.2">
      <c r="F13496" s="285" t="str">
        <f t="shared" si="359"/>
        <v/>
      </c>
    </row>
    <row r="13497" spans="6:6" x14ac:dyDescent="0.2">
      <c r="F13497" s="285" t="str">
        <f t="shared" si="359"/>
        <v/>
      </c>
    </row>
    <row r="13498" spans="6:6" x14ac:dyDescent="0.2">
      <c r="F13498" s="285" t="str">
        <f t="shared" si="359"/>
        <v/>
      </c>
    </row>
    <row r="13499" spans="6:6" x14ac:dyDescent="0.2">
      <c r="F13499" s="285" t="str">
        <f t="shared" si="359"/>
        <v/>
      </c>
    </row>
    <row r="13500" spans="6:6" x14ac:dyDescent="0.2">
      <c r="F13500" s="285" t="str">
        <f t="shared" si="359"/>
        <v/>
      </c>
    </row>
    <row r="13501" spans="6:6" x14ac:dyDescent="0.2">
      <c r="F13501" s="285" t="str">
        <f t="shared" si="359"/>
        <v/>
      </c>
    </row>
    <row r="13502" spans="6:6" x14ac:dyDescent="0.2">
      <c r="F13502" s="285" t="str">
        <f t="shared" si="359"/>
        <v/>
      </c>
    </row>
    <row r="13503" spans="6:6" x14ac:dyDescent="0.2">
      <c r="F13503" s="285" t="str">
        <f t="shared" si="359"/>
        <v/>
      </c>
    </row>
    <row r="13504" spans="6:6" x14ac:dyDescent="0.2">
      <c r="F13504" s="285" t="str">
        <f t="shared" si="359"/>
        <v/>
      </c>
    </row>
    <row r="13505" spans="6:6" x14ac:dyDescent="0.2">
      <c r="F13505" s="285" t="str">
        <f t="shared" si="359"/>
        <v/>
      </c>
    </row>
    <row r="13506" spans="6:6" x14ac:dyDescent="0.2">
      <c r="F13506" s="285" t="str">
        <f t="shared" si="359"/>
        <v/>
      </c>
    </row>
    <row r="13507" spans="6:6" x14ac:dyDescent="0.2">
      <c r="F13507" s="285" t="str">
        <f t="shared" si="359"/>
        <v/>
      </c>
    </row>
    <row r="13508" spans="6:6" x14ac:dyDescent="0.2">
      <c r="F13508" s="285" t="str">
        <f t="shared" si="359"/>
        <v/>
      </c>
    </row>
    <row r="13509" spans="6:6" x14ac:dyDescent="0.2">
      <c r="F13509" s="285" t="str">
        <f t="shared" ref="F13509:F13572" si="360">IF(A13509="","",A13509)</f>
        <v/>
      </c>
    </row>
    <row r="13510" spans="6:6" x14ac:dyDescent="0.2">
      <c r="F13510" s="285" t="str">
        <f t="shared" si="360"/>
        <v/>
      </c>
    </row>
    <row r="13511" spans="6:6" x14ac:dyDescent="0.2">
      <c r="F13511" s="285" t="str">
        <f t="shared" si="360"/>
        <v/>
      </c>
    </row>
    <row r="13512" spans="6:6" x14ac:dyDescent="0.2">
      <c r="F13512" s="285" t="str">
        <f t="shared" si="360"/>
        <v/>
      </c>
    </row>
    <row r="13513" spans="6:6" x14ac:dyDescent="0.2">
      <c r="F13513" s="285" t="str">
        <f t="shared" si="360"/>
        <v/>
      </c>
    </row>
    <row r="13514" spans="6:6" x14ac:dyDescent="0.2">
      <c r="F13514" s="285" t="str">
        <f t="shared" si="360"/>
        <v/>
      </c>
    </row>
    <row r="13515" spans="6:6" x14ac:dyDescent="0.2">
      <c r="F13515" s="285" t="str">
        <f t="shared" si="360"/>
        <v/>
      </c>
    </row>
    <row r="13516" spans="6:6" x14ac:dyDescent="0.2">
      <c r="F13516" s="285" t="str">
        <f t="shared" si="360"/>
        <v/>
      </c>
    </row>
    <row r="13517" spans="6:6" x14ac:dyDescent="0.2">
      <c r="F13517" s="285" t="str">
        <f t="shared" si="360"/>
        <v/>
      </c>
    </row>
    <row r="13518" spans="6:6" x14ac:dyDescent="0.2">
      <c r="F13518" s="285" t="str">
        <f t="shared" si="360"/>
        <v/>
      </c>
    </row>
    <row r="13519" spans="6:6" x14ac:dyDescent="0.2">
      <c r="F13519" s="285" t="str">
        <f t="shared" si="360"/>
        <v/>
      </c>
    </row>
    <row r="13520" spans="6:6" x14ac:dyDescent="0.2">
      <c r="F13520" s="285" t="str">
        <f t="shared" si="360"/>
        <v/>
      </c>
    </row>
    <row r="13521" spans="6:6" x14ac:dyDescent="0.2">
      <c r="F13521" s="285" t="str">
        <f t="shared" si="360"/>
        <v/>
      </c>
    </row>
    <row r="13522" spans="6:6" x14ac:dyDescent="0.2">
      <c r="F13522" s="285" t="str">
        <f t="shared" si="360"/>
        <v/>
      </c>
    </row>
    <row r="13523" spans="6:6" x14ac:dyDescent="0.2">
      <c r="F13523" s="285" t="str">
        <f t="shared" si="360"/>
        <v/>
      </c>
    </row>
    <row r="13524" spans="6:6" x14ac:dyDescent="0.2">
      <c r="F13524" s="285" t="str">
        <f t="shared" si="360"/>
        <v/>
      </c>
    </row>
    <row r="13525" spans="6:6" x14ac:dyDescent="0.2">
      <c r="F13525" s="285" t="str">
        <f t="shared" si="360"/>
        <v/>
      </c>
    </row>
    <row r="13526" spans="6:6" x14ac:dyDescent="0.2">
      <c r="F13526" s="285" t="str">
        <f t="shared" si="360"/>
        <v/>
      </c>
    </row>
    <row r="13527" spans="6:6" x14ac:dyDescent="0.2">
      <c r="F13527" s="285" t="str">
        <f t="shared" si="360"/>
        <v/>
      </c>
    </row>
    <row r="13528" spans="6:6" x14ac:dyDescent="0.2">
      <c r="F13528" s="285" t="str">
        <f t="shared" si="360"/>
        <v/>
      </c>
    </row>
    <row r="13529" spans="6:6" x14ac:dyDescent="0.2">
      <c r="F13529" s="285" t="str">
        <f t="shared" si="360"/>
        <v/>
      </c>
    </row>
    <row r="13530" spans="6:6" x14ac:dyDescent="0.2">
      <c r="F13530" s="285" t="str">
        <f t="shared" si="360"/>
        <v/>
      </c>
    </row>
    <row r="13531" spans="6:6" x14ac:dyDescent="0.2">
      <c r="F13531" s="285" t="str">
        <f t="shared" si="360"/>
        <v/>
      </c>
    </row>
    <row r="13532" spans="6:6" x14ac:dyDescent="0.2">
      <c r="F13532" s="285" t="str">
        <f t="shared" si="360"/>
        <v/>
      </c>
    </row>
    <row r="13533" spans="6:6" x14ac:dyDescent="0.2">
      <c r="F13533" s="285" t="str">
        <f t="shared" si="360"/>
        <v/>
      </c>
    </row>
    <row r="13534" spans="6:6" x14ac:dyDescent="0.2">
      <c r="F13534" s="285" t="str">
        <f t="shared" si="360"/>
        <v/>
      </c>
    </row>
    <row r="13535" spans="6:6" x14ac:dyDescent="0.2">
      <c r="F13535" s="285" t="str">
        <f t="shared" si="360"/>
        <v/>
      </c>
    </row>
    <row r="13536" spans="6:6" x14ac:dyDescent="0.2">
      <c r="F13536" s="285" t="str">
        <f t="shared" si="360"/>
        <v/>
      </c>
    </row>
    <row r="13537" spans="6:6" x14ac:dyDescent="0.2">
      <c r="F13537" s="285" t="str">
        <f t="shared" si="360"/>
        <v/>
      </c>
    </row>
    <row r="13538" spans="6:6" x14ac:dyDescent="0.2">
      <c r="F13538" s="285" t="str">
        <f t="shared" si="360"/>
        <v/>
      </c>
    </row>
    <row r="13539" spans="6:6" x14ac:dyDescent="0.2">
      <c r="F13539" s="285" t="str">
        <f t="shared" si="360"/>
        <v/>
      </c>
    </row>
    <row r="13540" spans="6:6" x14ac:dyDescent="0.2">
      <c r="F13540" s="285" t="str">
        <f t="shared" si="360"/>
        <v/>
      </c>
    </row>
    <row r="13541" spans="6:6" x14ac:dyDescent="0.2">
      <c r="F13541" s="285" t="str">
        <f t="shared" si="360"/>
        <v/>
      </c>
    </row>
    <row r="13542" spans="6:6" x14ac:dyDescent="0.2">
      <c r="F13542" s="285" t="str">
        <f t="shared" si="360"/>
        <v/>
      </c>
    </row>
    <row r="13543" spans="6:6" x14ac:dyDescent="0.2">
      <c r="F13543" s="285" t="str">
        <f t="shared" si="360"/>
        <v/>
      </c>
    </row>
    <row r="13544" spans="6:6" x14ac:dyDescent="0.2">
      <c r="F13544" s="285" t="str">
        <f t="shared" si="360"/>
        <v/>
      </c>
    </row>
    <row r="13545" spans="6:6" x14ac:dyDescent="0.2">
      <c r="F13545" s="285" t="str">
        <f t="shared" si="360"/>
        <v/>
      </c>
    </row>
    <row r="13546" spans="6:6" x14ac:dyDescent="0.2">
      <c r="F13546" s="285" t="str">
        <f t="shared" si="360"/>
        <v/>
      </c>
    </row>
    <row r="13547" spans="6:6" x14ac:dyDescent="0.2">
      <c r="F13547" s="285" t="str">
        <f t="shared" si="360"/>
        <v/>
      </c>
    </row>
    <row r="13548" spans="6:6" x14ac:dyDescent="0.2">
      <c r="F13548" s="285" t="str">
        <f t="shared" si="360"/>
        <v/>
      </c>
    </row>
    <row r="13549" spans="6:6" x14ac:dyDescent="0.2">
      <c r="F13549" s="285" t="str">
        <f t="shared" si="360"/>
        <v/>
      </c>
    </row>
    <row r="13550" spans="6:6" x14ac:dyDescent="0.2">
      <c r="F13550" s="285" t="str">
        <f t="shared" si="360"/>
        <v/>
      </c>
    </row>
    <row r="13551" spans="6:6" x14ac:dyDescent="0.2">
      <c r="F13551" s="285" t="str">
        <f t="shared" si="360"/>
        <v/>
      </c>
    </row>
    <row r="13552" spans="6:6" x14ac:dyDescent="0.2">
      <c r="F13552" s="285" t="str">
        <f t="shared" si="360"/>
        <v/>
      </c>
    </row>
    <row r="13553" spans="6:6" x14ac:dyDescent="0.2">
      <c r="F13553" s="285" t="str">
        <f t="shared" si="360"/>
        <v/>
      </c>
    </row>
    <row r="13554" spans="6:6" x14ac:dyDescent="0.2">
      <c r="F13554" s="285" t="str">
        <f t="shared" si="360"/>
        <v/>
      </c>
    </row>
    <row r="13555" spans="6:6" x14ac:dyDescent="0.2">
      <c r="F13555" s="285" t="str">
        <f t="shared" si="360"/>
        <v/>
      </c>
    </row>
    <row r="13556" spans="6:6" x14ac:dyDescent="0.2">
      <c r="F13556" s="285" t="str">
        <f t="shared" si="360"/>
        <v/>
      </c>
    </row>
    <row r="13557" spans="6:6" x14ac:dyDescent="0.2">
      <c r="F13557" s="285" t="str">
        <f t="shared" si="360"/>
        <v/>
      </c>
    </row>
    <row r="13558" spans="6:6" x14ac:dyDescent="0.2">
      <c r="F13558" s="285" t="str">
        <f t="shared" si="360"/>
        <v/>
      </c>
    </row>
    <row r="13559" spans="6:6" x14ac:dyDescent="0.2">
      <c r="F13559" s="285" t="str">
        <f t="shared" si="360"/>
        <v/>
      </c>
    </row>
    <row r="13560" spans="6:6" x14ac:dyDescent="0.2">
      <c r="F13560" s="285" t="str">
        <f t="shared" si="360"/>
        <v/>
      </c>
    </row>
    <row r="13561" spans="6:6" x14ac:dyDescent="0.2">
      <c r="F13561" s="285" t="str">
        <f t="shared" si="360"/>
        <v/>
      </c>
    </row>
    <row r="13562" spans="6:6" x14ac:dyDescent="0.2">
      <c r="F13562" s="285" t="str">
        <f t="shared" si="360"/>
        <v/>
      </c>
    </row>
    <row r="13563" spans="6:6" x14ac:dyDescent="0.2">
      <c r="F13563" s="285" t="str">
        <f t="shared" si="360"/>
        <v/>
      </c>
    </row>
    <row r="13564" spans="6:6" x14ac:dyDescent="0.2">
      <c r="F13564" s="285" t="str">
        <f t="shared" si="360"/>
        <v/>
      </c>
    </row>
    <row r="13565" spans="6:6" x14ac:dyDescent="0.2">
      <c r="F13565" s="285" t="str">
        <f t="shared" si="360"/>
        <v/>
      </c>
    </row>
    <row r="13566" spans="6:6" x14ac:dyDescent="0.2">
      <c r="F13566" s="285" t="str">
        <f t="shared" si="360"/>
        <v/>
      </c>
    </row>
    <row r="13567" spans="6:6" x14ac:dyDescent="0.2">
      <c r="F13567" s="285" t="str">
        <f t="shared" si="360"/>
        <v/>
      </c>
    </row>
    <row r="13568" spans="6:6" x14ac:dyDescent="0.2">
      <c r="F13568" s="285" t="str">
        <f t="shared" si="360"/>
        <v/>
      </c>
    </row>
    <row r="13569" spans="6:6" x14ac:dyDescent="0.2">
      <c r="F13569" s="285" t="str">
        <f t="shared" si="360"/>
        <v/>
      </c>
    </row>
    <row r="13570" spans="6:6" x14ac:dyDescent="0.2">
      <c r="F13570" s="285" t="str">
        <f t="shared" si="360"/>
        <v/>
      </c>
    </row>
    <row r="13571" spans="6:6" x14ac:dyDescent="0.2">
      <c r="F13571" s="285" t="str">
        <f t="shared" si="360"/>
        <v/>
      </c>
    </row>
    <row r="13572" spans="6:6" x14ac:dyDescent="0.2">
      <c r="F13572" s="285" t="str">
        <f t="shared" si="360"/>
        <v/>
      </c>
    </row>
    <row r="13573" spans="6:6" x14ac:dyDescent="0.2">
      <c r="F13573" s="285" t="str">
        <f t="shared" ref="F13573:F13636" si="361">IF(A13573="","",A13573)</f>
        <v/>
      </c>
    </row>
    <row r="13574" spans="6:6" x14ac:dyDescent="0.2">
      <c r="F13574" s="285" t="str">
        <f t="shared" si="361"/>
        <v/>
      </c>
    </row>
    <row r="13575" spans="6:6" x14ac:dyDescent="0.2">
      <c r="F13575" s="285" t="str">
        <f t="shared" si="361"/>
        <v/>
      </c>
    </row>
    <row r="13576" spans="6:6" x14ac:dyDescent="0.2">
      <c r="F13576" s="285" t="str">
        <f t="shared" si="361"/>
        <v/>
      </c>
    </row>
    <row r="13577" spans="6:6" x14ac:dyDescent="0.2">
      <c r="F13577" s="285" t="str">
        <f t="shared" si="361"/>
        <v/>
      </c>
    </row>
    <row r="13578" spans="6:6" x14ac:dyDescent="0.2">
      <c r="F13578" s="285" t="str">
        <f t="shared" si="361"/>
        <v/>
      </c>
    </row>
    <row r="13579" spans="6:6" x14ac:dyDescent="0.2">
      <c r="F13579" s="285" t="str">
        <f t="shared" si="361"/>
        <v/>
      </c>
    </row>
    <row r="13580" spans="6:6" x14ac:dyDescent="0.2">
      <c r="F13580" s="285" t="str">
        <f t="shared" si="361"/>
        <v/>
      </c>
    </row>
    <row r="13581" spans="6:6" x14ac:dyDescent="0.2">
      <c r="F13581" s="285" t="str">
        <f t="shared" si="361"/>
        <v/>
      </c>
    </row>
    <row r="13582" spans="6:6" x14ac:dyDescent="0.2">
      <c r="F13582" s="285" t="str">
        <f t="shared" si="361"/>
        <v/>
      </c>
    </row>
    <row r="13583" spans="6:6" x14ac:dyDescent="0.2">
      <c r="F13583" s="285" t="str">
        <f t="shared" si="361"/>
        <v/>
      </c>
    </row>
    <row r="13584" spans="6:6" x14ac:dyDescent="0.2">
      <c r="F13584" s="285" t="str">
        <f t="shared" si="361"/>
        <v/>
      </c>
    </row>
    <row r="13585" spans="6:6" x14ac:dyDescent="0.2">
      <c r="F13585" s="285" t="str">
        <f t="shared" si="361"/>
        <v/>
      </c>
    </row>
    <row r="13586" spans="6:6" x14ac:dyDescent="0.2">
      <c r="F13586" s="285" t="str">
        <f t="shared" si="361"/>
        <v/>
      </c>
    </row>
    <row r="13587" spans="6:6" x14ac:dyDescent="0.2">
      <c r="F13587" s="285" t="str">
        <f t="shared" si="361"/>
        <v/>
      </c>
    </row>
    <row r="13588" spans="6:6" x14ac:dyDescent="0.2">
      <c r="F13588" s="285" t="str">
        <f t="shared" si="361"/>
        <v/>
      </c>
    </row>
    <row r="13589" spans="6:6" x14ac:dyDescent="0.2">
      <c r="F13589" s="285" t="str">
        <f t="shared" si="361"/>
        <v/>
      </c>
    </row>
    <row r="13590" spans="6:6" x14ac:dyDescent="0.2">
      <c r="F13590" s="285" t="str">
        <f t="shared" si="361"/>
        <v/>
      </c>
    </row>
    <row r="13591" spans="6:6" x14ac:dyDescent="0.2">
      <c r="F13591" s="285" t="str">
        <f t="shared" si="361"/>
        <v/>
      </c>
    </row>
    <row r="13592" spans="6:6" x14ac:dyDescent="0.2">
      <c r="F13592" s="285" t="str">
        <f t="shared" si="361"/>
        <v/>
      </c>
    </row>
    <row r="13593" spans="6:6" x14ac:dyDescent="0.2">
      <c r="F13593" s="285" t="str">
        <f t="shared" si="361"/>
        <v/>
      </c>
    </row>
    <row r="13594" spans="6:6" x14ac:dyDescent="0.2">
      <c r="F13594" s="285" t="str">
        <f t="shared" si="361"/>
        <v/>
      </c>
    </row>
    <row r="13595" spans="6:6" x14ac:dyDescent="0.2">
      <c r="F13595" s="285" t="str">
        <f t="shared" si="361"/>
        <v/>
      </c>
    </row>
    <row r="13596" spans="6:6" x14ac:dyDescent="0.2">
      <c r="F13596" s="285" t="str">
        <f t="shared" si="361"/>
        <v/>
      </c>
    </row>
    <row r="13597" spans="6:6" x14ac:dyDescent="0.2">
      <c r="F13597" s="285" t="str">
        <f t="shared" si="361"/>
        <v/>
      </c>
    </row>
    <row r="13598" spans="6:6" x14ac:dyDescent="0.2">
      <c r="F13598" s="285" t="str">
        <f t="shared" si="361"/>
        <v/>
      </c>
    </row>
    <row r="13599" spans="6:6" x14ac:dyDescent="0.2">
      <c r="F13599" s="285" t="str">
        <f t="shared" si="361"/>
        <v/>
      </c>
    </row>
    <row r="13600" spans="6:6" x14ac:dyDescent="0.2">
      <c r="F13600" s="285" t="str">
        <f t="shared" si="361"/>
        <v/>
      </c>
    </row>
    <row r="13601" spans="6:6" x14ac:dyDescent="0.2">
      <c r="F13601" s="285" t="str">
        <f t="shared" si="361"/>
        <v/>
      </c>
    </row>
    <row r="13602" spans="6:6" x14ac:dyDescent="0.2">
      <c r="F13602" s="285" t="str">
        <f t="shared" si="361"/>
        <v/>
      </c>
    </row>
    <row r="13603" spans="6:6" x14ac:dyDescent="0.2">
      <c r="F13603" s="285" t="str">
        <f t="shared" si="361"/>
        <v/>
      </c>
    </row>
    <row r="13604" spans="6:6" x14ac:dyDescent="0.2">
      <c r="F13604" s="285" t="str">
        <f t="shared" si="361"/>
        <v/>
      </c>
    </row>
    <row r="13605" spans="6:6" x14ac:dyDescent="0.2">
      <c r="F13605" s="285" t="str">
        <f t="shared" si="361"/>
        <v/>
      </c>
    </row>
    <row r="13606" spans="6:6" x14ac:dyDescent="0.2">
      <c r="F13606" s="285" t="str">
        <f t="shared" si="361"/>
        <v/>
      </c>
    </row>
    <row r="13607" spans="6:6" x14ac:dyDescent="0.2">
      <c r="F13607" s="285" t="str">
        <f t="shared" si="361"/>
        <v/>
      </c>
    </row>
    <row r="13608" spans="6:6" x14ac:dyDescent="0.2">
      <c r="F13608" s="285" t="str">
        <f t="shared" si="361"/>
        <v/>
      </c>
    </row>
    <row r="13609" spans="6:6" x14ac:dyDescent="0.2">
      <c r="F13609" s="285" t="str">
        <f t="shared" si="361"/>
        <v/>
      </c>
    </row>
    <row r="13610" spans="6:6" x14ac:dyDescent="0.2">
      <c r="F13610" s="285" t="str">
        <f t="shared" si="361"/>
        <v/>
      </c>
    </row>
    <row r="13611" spans="6:6" x14ac:dyDescent="0.2">
      <c r="F13611" s="285" t="str">
        <f t="shared" si="361"/>
        <v/>
      </c>
    </row>
    <row r="13612" spans="6:6" x14ac:dyDescent="0.2">
      <c r="F13612" s="285" t="str">
        <f t="shared" si="361"/>
        <v/>
      </c>
    </row>
    <row r="13613" spans="6:6" x14ac:dyDescent="0.2">
      <c r="F13613" s="285" t="str">
        <f t="shared" si="361"/>
        <v/>
      </c>
    </row>
    <row r="13614" spans="6:6" x14ac:dyDescent="0.2">
      <c r="F13614" s="285" t="str">
        <f t="shared" si="361"/>
        <v/>
      </c>
    </row>
    <row r="13615" spans="6:6" x14ac:dyDescent="0.2">
      <c r="F13615" s="285" t="str">
        <f t="shared" si="361"/>
        <v/>
      </c>
    </row>
    <row r="13616" spans="6:6" x14ac:dyDescent="0.2">
      <c r="F13616" s="285" t="str">
        <f t="shared" si="361"/>
        <v/>
      </c>
    </row>
    <row r="13617" spans="6:6" x14ac:dyDescent="0.2">
      <c r="F13617" s="285" t="str">
        <f t="shared" si="361"/>
        <v/>
      </c>
    </row>
    <row r="13618" spans="6:6" x14ac:dyDescent="0.2">
      <c r="F13618" s="285" t="str">
        <f t="shared" si="361"/>
        <v/>
      </c>
    </row>
    <row r="13619" spans="6:6" x14ac:dyDescent="0.2">
      <c r="F13619" s="285" t="str">
        <f t="shared" si="361"/>
        <v/>
      </c>
    </row>
    <row r="13620" spans="6:6" x14ac:dyDescent="0.2">
      <c r="F13620" s="285" t="str">
        <f t="shared" si="361"/>
        <v/>
      </c>
    </row>
    <row r="13621" spans="6:6" x14ac:dyDescent="0.2">
      <c r="F13621" s="285" t="str">
        <f t="shared" si="361"/>
        <v/>
      </c>
    </row>
    <row r="13622" spans="6:6" x14ac:dyDescent="0.2">
      <c r="F13622" s="285" t="str">
        <f t="shared" si="361"/>
        <v/>
      </c>
    </row>
    <row r="13623" spans="6:6" x14ac:dyDescent="0.2">
      <c r="F13623" s="285" t="str">
        <f t="shared" si="361"/>
        <v/>
      </c>
    </row>
    <row r="13624" spans="6:6" x14ac:dyDescent="0.2">
      <c r="F13624" s="285" t="str">
        <f t="shared" si="361"/>
        <v/>
      </c>
    </row>
    <row r="13625" spans="6:6" x14ac:dyDescent="0.2">
      <c r="F13625" s="285" t="str">
        <f t="shared" si="361"/>
        <v/>
      </c>
    </row>
    <row r="13626" spans="6:6" x14ac:dyDescent="0.2">
      <c r="F13626" s="285" t="str">
        <f t="shared" si="361"/>
        <v/>
      </c>
    </row>
    <row r="13627" spans="6:6" x14ac:dyDescent="0.2">
      <c r="F13627" s="285" t="str">
        <f t="shared" si="361"/>
        <v/>
      </c>
    </row>
    <row r="13628" spans="6:6" x14ac:dyDescent="0.2">
      <c r="F13628" s="285" t="str">
        <f t="shared" si="361"/>
        <v/>
      </c>
    </row>
    <row r="13629" spans="6:6" x14ac:dyDescent="0.2">
      <c r="F13629" s="285" t="str">
        <f t="shared" si="361"/>
        <v/>
      </c>
    </row>
    <row r="13630" spans="6:6" x14ac:dyDescent="0.2">
      <c r="F13630" s="285" t="str">
        <f t="shared" si="361"/>
        <v/>
      </c>
    </row>
    <row r="13631" spans="6:6" x14ac:dyDescent="0.2">
      <c r="F13631" s="285" t="str">
        <f t="shared" si="361"/>
        <v/>
      </c>
    </row>
    <row r="13632" spans="6:6" x14ac:dyDescent="0.2">
      <c r="F13632" s="285" t="str">
        <f t="shared" si="361"/>
        <v/>
      </c>
    </row>
    <row r="13633" spans="6:6" x14ac:dyDescent="0.2">
      <c r="F13633" s="285" t="str">
        <f t="shared" si="361"/>
        <v/>
      </c>
    </row>
    <row r="13634" spans="6:6" x14ac:dyDescent="0.2">
      <c r="F13634" s="285" t="str">
        <f t="shared" si="361"/>
        <v/>
      </c>
    </row>
    <row r="13635" spans="6:6" x14ac:dyDescent="0.2">
      <c r="F13635" s="285" t="str">
        <f t="shared" si="361"/>
        <v/>
      </c>
    </row>
    <row r="13636" spans="6:6" x14ac:dyDescent="0.2">
      <c r="F13636" s="285" t="str">
        <f t="shared" si="361"/>
        <v/>
      </c>
    </row>
    <row r="13637" spans="6:6" x14ac:dyDescent="0.2">
      <c r="F13637" s="285" t="str">
        <f t="shared" ref="F13637:F13700" si="362">IF(A13637="","",A13637)</f>
        <v/>
      </c>
    </row>
    <row r="13638" spans="6:6" x14ac:dyDescent="0.2">
      <c r="F13638" s="285" t="str">
        <f t="shared" si="362"/>
        <v/>
      </c>
    </row>
    <row r="13639" spans="6:6" x14ac:dyDescent="0.2">
      <c r="F13639" s="285" t="str">
        <f t="shared" si="362"/>
        <v/>
      </c>
    </row>
    <row r="13640" spans="6:6" x14ac:dyDescent="0.2">
      <c r="F13640" s="285" t="str">
        <f t="shared" si="362"/>
        <v/>
      </c>
    </row>
    <row r="13641" spans="6:6" x14ac:dyDescent="0.2">
      <c r="F13641" s="285" t="str">
        <f t="shared" si="362"/>
        <v/>
      </c>
    </row>
    <row r="13642" spans="6:6" x14ac:dyDescent="0.2">
      <c r="F13642" s="285" t="str">
        <f t="shared" si="362"/>
        <v/>
      </c>
    </row>
    <row r="13643" spans="6:6" x14ac:dyDescent="0.2">
      <c r="F13643" s="285" t="str">
        <f t="shared" si="362"/>
        <v/>
      </c>
    </row>
    <row r="13644" spans="6:6" x14ac:dyDescent="0.2">
      <c r="F13644" s="285" t="str">
        <f t="shared" si="362"/>
        <v/>
      </c>
    </row>
    <row r="13645" spans="6:6" x14ac:dyDescent="0.2">
      <c r="F13645" s="285" t="str">
        <f t="shared" si="362"/>
        <v/>
      </c>
    </row>
    <row r="13646" spans="6:6" x14ac:dyDescent="0.2">
      <c r="F13646" s="285" t="str">
        <f t="shared" si="362"/>
        <v/>
      </c>
    </row>
    <row r="13647" spans="6:6" x14ac:dyDescent="0.2">
      <c r="F13647" s="285" t="str">
        <f t="shared" si="362"/>
        <v/>
      </c>
    </row>
    <row r="13648" spans="6:6" x14ac:dyDescent="0.2">
      <c r="F13648" s="285" t="str">
        <f t="shared" si="362"/>
        <v/>
      </c>
    </row>
    <row r="13649" spans="6:6" x14ac:dyDescent="0.2">
      <c r="F13649" s="285" t="str">
        <f t="shared" si="362"/>
        <v/>
      </c>
    </row>
    <row r="13650" spans="6:6" x14ac:dyDescent="0.2">
      <c r="F13650" s="285" t="str">
        <f t="shared" si="362"/>
        <v/>
      </c>
    </row>
    <row r="13651" spans="6:6" x14ac:dyDescent="0.2">
      <c r="F13651" s="285" t="str">
        <f t="shared" si="362"/>
        <v/>
      </c>
    </row>
    <row r="13652" spans="6:6" x14ac:dyDescent="0.2">
      <c r="F13652" s="285" t="str">
        <f t="shared" si="362"/>
        <v/>
      </c>
    </row>
    <row r="13653" spans="6:6" x14ac:dyDescent="0.2">
      <c r="F13653" s="285" t="str">
        <f t="shared" si="362"/>
        <v/>
      </c>
    </row>
    <row r="13654" spans="6:6" x14ac:dyDescent="0.2">
      <c r="F13654" s="285" t="str">
        <f t="shared" si="362"/>
        <v/>
      </c>
    </row>
    <row r="13655" spans="6:6" x14ac:dyDescent="0.2">
      <c r="F13655" s="285" t="str">
        <f t="shared" si="362"/>
        <v/>
      </c>
    </row>
    <row r="13656" spans="6:6" x14ac:dyDescent="0.2">
      <c r="F13656" s="285" t="str">
        <f t="shared" si="362"/>
        <v/>
      </c>
    </row>
    <row r="13657" spans="6:6" x14ac:dyDescent="0.2">
      <c r="F13657" s="285" t="str">
        <f t="shared" si="362"/>
        <v/>
      </c>
    </row>
    <row r="13658" spans="6:6" x14ac:dyDescent="0.2">
      <c r="F13658" s="285" t="str">
        <f t="shared" si="362"/>
        <v/>
      </c>
    </row>
    <row r="13659" spans="6:6" x14ac:dyDescent="0.2">
      <c r="F13659" s="285" t="str">
        <f t="shared" si="362"/>
        <v/>
      </c>
    </row>
    <row r="13660" spans="6:6" x14ac:dyDescent="0.2">
      <c r="F13660" s="285" t="str">
        <f t="shared" si="362"/>
        <v/>
      </c>
    </row>
    <row r="13661" spans="6:6" x14ac:dyDescent="0.2">
      <c r="F13661" s="285" t="str">
        <f t="shared" si="362"/>
        <v/>
      </c>
    </row>
    <row r="13662" spans="6:6" x14ac:dyDescent="0.2">
      <c r="F13662" s="285" t="str">
        <f t="shared" si="362"/>
        <v/>
      </c>
    </row>
    <row r="13663" spans="6:6" x14ac:dyDescent="0.2">
      <c r="F13663" s="285" t="str">
        <f t="shared" si="362"/>
        <v/>
      </c>
    </row>
    <row r="13664" spans="6:6" x14ac:dyDescent="0.2">
      <c r="F13664" s="285" t="str">
        <f t="shared" si="362"/>
        <v/>
      </c>
    </row>
    <row r="13665" spans="6:6" x14ac:dyDescent="0.2">
      <c r="F13665" s="285" t="str">
        <f t="shared" si="362"/>
        <v/>
      </c>
    </row>
    <row r="13666" spans="6:6" x14ac:dyDescent="0.2">
      <c r="F13666" s="285" t="str">
        <f t="shared" si="362"/>
        <v/>
      </c>
    </row>
    <row r="13667" spans="6:6" x14ac:dyDescent="0.2">
      <c r="F13667" s="285" t="str">
        <f t="shared" si="362"/>
        <v/>
      </c>
    </row>
    <row r="13668" spans="6:6" x14ac:dyDescent="0.2">
      <c r="F13668" s="285" t="str">
        <f t="shared" si="362"/>
        <v/>
      </c>
    </row>
    <row r="13669" spans="6:6" x14ac:dyDescent="0.2">
      <c r="F13669" s="285" t="str">
        <f t="shared" si="362"/>
        <v/>
      </c>
    </row>
    <row r="13670" spans="6:6" x14ac:dyDescent="0.2">
      <c r="F13670" s="285" t="str">
        <f t="shared" si="362"/>
        <v/>
      </c>
    </row>
    <row r="13671" spans="6:6" x14ac:dyDescent="0.2">
      <c r="F13671" s="285" t="str">
        <f t="shared" si="362"/>
        <v/>
      </c>
    </row>
    <row r="13672" spans="6:6" x14ac:dyDescent="0.2">
      <c r="F13672" s="285" t="str">
        <f t="shared" si="362"/>
        <v/>
      </c>
    </row>
    <row r="13673" spans="6:6" x14ac:dyDescent="0.2">
      <c r="F13673" s="285" t="str">
        <f t="shared" si="362"/>
        <v/>
      </c>
    </row>
    <row r="13674" spans="6:6" x14ac:dyDescent="0.2">
      <c r="F13674" s="285" t="str">
        <f t="shared" si="362"/>
        <v/>
      </c>
    </row>
    <row r="13675" spans="6:6" x14ac:dyDescent="0.2">
      <c r="F13675" s="285" t="str">
        <f t="shared" si="362"/>
        <v/>
      </c>
    </row>
    <row r="13676" spans="6:6" x14ac:dyDescent="0.2">
      <c r="F13676" s="285" t="str">
        <f t="shared" si="362"/>
        <v/>
      </c>
    </row>
    <row r="13677" spans="6:6" x14ac:dyDescent="0.2">
      <c r="F13677" s="285" t="str">
        <f t="shared" si="362"/>
        <v/>
      </c>
    </row>
    <row r="13678" spans="6:6" x14ac:dyDescent="0.2">
      <c r="F13678" s="285" t="str">
        <f t="shared" si="362"/>
        <v/>
      </c>
    </row>
    <row r="13679" spans="6:6" x14ac:dyDescent="0.2">
      <c r="F13679" s="285" t="str">
        <f t="shared" si="362"/>
        <v/>
      </c>
    </row>
    <row r="13680" spans="6:6" x14ac:dyDescent="0.2">
      <c r="F13680" s="285" t="str">
        <f t="shared" si="362"/>
        <v/>
      </c>
    </row>
    <row r="13681" spans="6:6" x14ac:dyDescent="0.2">
      <c r="F13681" s="285" t="str">
        <f t="shared" si="362"/>
        <v/>
      </c>
    </row>
    <row r="13682" spans="6:6" x14ac:dyDescent="0.2">
      <c r="F13682" s="285" t="str">
        <f t="shared" si="362"/>
        <v/>
      </c>
    </row>
    <row r="13683" spans="6:6" x14ac:dyDescent="0.2">
      <c r="F13683" s="285" t="str">
        <f t="shared" si="362"/>
        <v/>
      </c>
    </row>
    <row r="13684" spans="6:6" x14ac:dyDescent="0.2">
      <c r="F13684" s="285" t="str">
        <f t="shared" si="362"/>
        <v/>
      </c>
    </row>
    <row r="13685" spans="6:6" x14ac:dyDescent="0.2">
      <c r="F13685" s="285" t="str">
        <f t="shared" si="362"/>
        <v/>
      </c>
    </row>
    <row r="13686" spans="6:6" x14ac:dyDescent="0.2">
      <c r="F13686" s="285" t="str">
        <f t="shared" si="362"/>
        <v/>
      </c>
    </row>
    <row r="13687" spans="6:6" x14ac:dyDescent="0.2">
      <c r="F13687" s="285" t="str">
        <f t="shared" si="362"/>
        <v/>
      </c>
    </row>
    <row r="13688" spans="6:6" x14ac:dyDescent="0.2">
      <c r="F13688" s="285" t="str">
        <f t="shared" si="362"/>
        <v/>
      </c>
    </row>
    <row r="13689" spans="6:6" x14ac:dyDescent="0.2">
      <c r="F13689" s="285" t="str">
        <f t="shared" si="362"/>
        <v/>
      </c>
    </row>
    <row r="13690" spans="6:6" x14ac:dyDescent="0.2">
      <c r="F13690" s="285" t="str">
        <f t="shared" si="362"/>
        <v/>
      </c>
    </row>
    <row r="13691" spans="6:6" x14ac:dyDescent="0.2">
      <c r="F13691" s="285" t="str">
        <f t="shared" si="362"/>
        <v/>
      </c>
    </row>
    <row r="13692" spans="6:6" x14ac:dyDescent="0.2">
      <c r="F13692" s="285" t="str">
        <f t="shared" si="362"/>
        <v/>
      </c>
    </row>
    <row r="13693" spans="6:6" x14ac:dyDescent="0.2">
      <c r="F13693" s="285" t="str">
        <f t="shared" si="362"/>
        <v/>
      </c>
    </row>
    <row r="13694" spans="6:6" x14ac:dyDescent="0.2">
      <c r="F13694" s="285" t="str">
        <f t="shared" si="362"/>
        <v/>
      </c>
    </row>
    <row r="13695" spans="6:6" x14ac:dyDescent="0.2">
      <c r="F13695" s="285" t="str">
        <f t="shared" si="362"/>
        <v/>
      </c>
    </row>
    <row r="13696" spans="6:6" x14ac:dyDescent="0.2">
      <c r="F13696" s="285" t="str">
        <f t="shared" si="362"/>
        <v/>
      </c>
    </row>
    <row r="13697" spans="6:6" x14ac:dyDescent="0.2">
      <c r="F13697" s="285" t="str">
        <f t="shared" si="362"/>
        <v/>
      </c>
    </row>
    <row r="13698" spans="6:6" x14ac:dyDescent="0.2">
      <c r="F13698" s="285" t="str">
        <f t="shared" si="362"/>
        <v/>
      </c>
    </row>
    <row r="13699" spans="6:6" x14ac:dyDescent="0.2">
      <c r="F13699" s="285" t="str">
        <f t="shared" si="362"/>
        <v/>
      </c>
    </row>
    <row r="13700" spans="6:6" x14ac:dyDescent="0.2">
      <c r="F13700" s="285" t="str">
        <f t="shared" si="362"/>
        <v/>
      </c>
    </row>
    <row r="13701" spans="6:6" x14ac:dyDescent="0.2">
      <c r="F13701" s="285" t="str">
        <f t="shared" ref="F13701:F13764" si="363">IF(A13701="","",A13701)</f>
        <v/>
      </c>
    </row>
    <row r="13702" spans="6:6" x14ac:dyDescent="0.2">
      <c r="F13702" s="285" t="str">
        <f t="shared" si="363"/>
        <v/>
      </c>
    </row>
    <row r="13703" spans="6:6" x14ac:dyDescent="0.2">
      <c r="F13703" s="285" t="str">
        <f t="shared" si="363"/>
        <v/>
      </c>
    </row>
    <row r="13704" spans="6:6" x14ac:dyDescent="0.2">
      <c r="F13704" s="285" t="str">
        <f t="shared" si="363"/>
        <v/>
      </c>
    </row>
    <row r="13705" spans="6:6" x14ac:dyDescent="0.2">
      <c r="F13705" s="285" t="str">
        <f t="shared" si="363"/>
        <v/>
      </c>
    </row>
    <row r="13706" spans="6:6" x14ac:dyDescent="0.2">
      <c r="F13706" s="285" t="str">
        <f t="shared" si="363"/>
        <v/>
      </c>
    </row>
    <row r="13707" spans="6:6" x14ac:dyDescent="0.2">
      <c r="F13707" s="285" t="str">
        <f t="shared" si="363"/>
        <v/>
      </c>
    </row>
    <row r="13708" spans="6:6" x14ac:dyDescent="0.2">
      <c r="F13708" s="285" t="str">
        <f t="shared" si="363"/>
        <v/>
      </c>
    </row>
    <row r="13709" spans="6:6" x14ac:dyDescent="0.2">
      <c r="F13709" s="285" t="str">
        <f t="shared" si="363"/>
        <v/>
      </c>
    </row>
    <row r="13710" spans="6:6" x14ac:dyDescent="0.2">
      <c r="F13710" s="285" t="str">
        <f t="shared" si="363"/>
        <v/>
      </c>
    </row>
    <row r="13711" spans="6:6" x14ac:dyDescent="0.2">
      <c r="F13711" s="285" t="str">
        <f t="shared" si="363"/>
        <v/>
      </c>
    </row>
    <row r="13712" spans="6:6" x14ac:dyDescent="0.2">
      <c r="F13712" s="285" t="str">
        <f t="shared" si="363"/>
        <v/>
      </c>
    </row>
    <row r="13713" spans="6:6" x14ac:dyDescent="0.2">
      <c r="F13713" s="285" t="str">
        <f t="shared" si="363"/>
        <v/>
      </c>
    </row>
    <row r="13714" spans="6:6" x14ac:dyDescent="0.2">
      <c r="F13714" s="285" t="str">
        <f t="shared" si="363"/>
        <v/>
      </c>
    </row>
    <row r="13715" spans="6:6" x14ac:dyDescent="0.2">
      <c r="F13715" s="285" t="str">
        <f t="shared" si="363"/>
        <v/>
      </c>
    </row>
    <row r="13716" spans="6:6" x14ac:dyDescent="0.2">
      <c r="F13716" s="285" t="str">
        <f t="shared" si="363"/>
        <v/>
      </c>
    </row>
    <row r="13717" spans="6:6" x14ac:dyDescent="0.2">
      <c r="F13717" s="285" t="str">
        <f t="shared" si="363"/>
        <v/>
      </c>
    </row>
    <row r="13718" spans="6:6" x14ac:dyDescent="0.2">
      <c r="F13718" s="285" t="str">
        <f t="shared" si="363"/>
        <v/>
      </c>
    </row>
    <row r="13719" spans="6:6" x14ac:dyDescent="0.2">
      <c r="F13719" s="285" t="str">
        <f t="shared" si="363"/>
        <v/>
      </c>
    </row>
    <row r="13720" spans="6:6" x14ac:dyDescent="0.2">
      <c r="F13720" s="285" t="str">
        <f t="shared" si="363"/>
        <v/>
      </c>
    </row>
    <row r="13721" spans="6:6" x14ac:dyDescent="0.2">
      <c r="F13721" s="285" t="str">
        <f t="shared" si="363"/>
        <v/>
      </c>
    </row>
    <row r="13722" spans="6:6" x14ac:dyDescent="0.2">
      <c r="F13722" s="285" t="str">
        <f t="shared" si="363"/>
        <v/>
      </c>
    </row>
    <row r="13723" spans="6:6" x14ac:dyDescent="0.2">
      <c r="F13723" s="285" t="str">
        <f t="shared" si="363"/>
        <v/>
      </c>
    </row>
    <row r="13724" spans="6:6" x14ac:dyDescent="0.2">
      <c r="F13724" s="285" t="str">
        <f t="shared" si="363"/>
        <v/>
      </c>
    </row>
    <row r="13725" spans="6:6" x14ac:dyDescent="0.2">
      <c r="F13725" s="285" t="str">
        <f t="shared" si="363"/>
        <v/>
      </c>
    </row>
    <row r="13726" spans="6:6" x14ac:dyDescent="0.2">
      <c r="F13726" s="285" t="str">
        <f t="shared" si="363"/>
        <v/>
      </c>
    </row>
    <row r="13727" spans="6:6" x14ac:dyDescent="0.2">
      <c r="F13727" s="285" t="str">
        <f t="shared" si="363"/>
        <v/>
      </c>
    </row>
    <row r="13728" spans="6:6" x14ac:dyDescent="0.2">
      <c r="F13728" s="285" t="str">
        <f t="shared" si="363"/>
        <v/>
      </c>
    </row>
    <row r="13729" spans="6:6" x14ac:dyDescent="0.2">
      <c r="F13729" s="285" t="str">
        <f t="shared" si="363"/>
        <v/>
      </c>
    </row>
    <row r="13730" spans="6:6" x14ac:dyDescent="0.2">
      <c r="F13730" s="285" t="str">
        <f t="shared" si="363"/>
        <v/>
      </c>
    </row>
    <row r="13731" spans="6:6" x14ac:dyDescent="0.2">
      <c r="F13731" s="285" t="str">
        <f t="shared" si="363"/>
        <v/>
      </c>
    </row>
    <row r="13732" spans="6:6" x14ac:dyDescent="0.2">
      <c r="F13732" s="285" t="str">
        <f t="shared" si="363"/>
        <v/>
      </c>
    </row>
    <row r="13733" spans="6:6" x14ac:dyDescent="0.2">
      <c r="F13733" s="285" t="str">
        <f t="shared" si="363"/>
        <v/>
      </c>
    </row>
    <row r="13734" spans="6:6" x14ac:dyDescent="0.2">
      <c r="F13734" s="285" t="str">
        <f t="shared" si="363"/>
        <v/>
      </c>
    </row>
    <row r="13735" spans="6:6" x14ac:dyDescent="0.2">
      <c r="F13735" s="285" t="str">
        <f t="shared" si="363"/>
        <v/>
      </c>
    </row>
    <row r="13736" spans="6:6" x14ac:dyDescent="0.2">
      <c r="F13736" s="285" t="str">
        <f t="shared" si="363"/>
        <v/>
      </c>
    </row>
    <row r="13737" spans="6:6" x14ac:dyDescent="0.2">
      <c r="F13737" s="285" t="str">
        <f t="shared" si="363"/>
        <v/>
      </c>
    </row>
    <row r="13738" spans="6:6" x14ac:dyDescent="0.2">
      <c r="F13738" s="285" t="str">
        <f t="shared" si="363"/>
        <v/>
      </c>
    </row>
    <row r="13739" spans="6:6" x14ac:dyDescent="0.2">
      <c r="F13739" s="285" t="str">
        <f t="shared" si="363"/>
        <v/>
      </c>
    </row>
    <row r="13740" spans="6:6" x14ac:dyDescent="0.2">
      <c r="F13740" s="285" t="str">
        <f t="shared" si="363"/>
        <v/>
      </c>
    </row>
    <row r="13741" spans="6:6" x14ac:dyDescent="0.2">
      <c r="F13741" s="285" t="str">
        <f t="shared" si="363"/>
        <v/>
      </c>
    </row>
    <row r="13742" spans="6:6" x14ac:dyDescent="0.2">
      <c r="F13742" s="285" t="str">
        <f t="shared" si="363"/>
        <v/>
      </c>
    </row>
    <row r="13743" spans="6:6" x14ac:dyDescent="0.2">
      <c r="F13743" s="285" t="str">
        <f t="shared" si="363"/>
        <v/>
      </c>
    </row>
    <row r="13744" spans="6:6" x14ac:dyDescent="0.2">
      <c r="F13744" s="285" t="str">
        <f t="shared" si="363"/>
        <v/>
      </c>
    </row>
    <row r="13745" spans="6:6" x14ac:dyDescent="0.2">
      <c r="F13745" s="285" t="str">
        <f t="shared" si="363"/>
        <v/>
      </c>
    </row>
    <row r="13746" spans="6:6" x14ac:dyDescent="0.2">
      <c r="F13746" s="285" t="str">
        <f t="shared" si="363"/>
        <v/>
      </c>
    </row>
    <row r="13747" spans="6:6" x14ac:dyDescent="0.2">
      <c r="F13747" s="285" t="str">
        <f t="shared" si="363"/>
        <v/>
      </c>
    </row>
    <row r="13748" spans="6:6" x14ac:dyDescent="0.2">
      <c r="F13748" s="285" t="str">
        <f t="shared" si="363"/>
        <v/>
      </c>
    </row>
    <row r="13749" spans="6:6" x14ac:dyDescent="0.2">
      <c r="F13749" s="285" t="str">
        <f t="shared" si="363"/>
        <v/>
      </c>
    </row>
    <row r="13750" spans="6:6" x14ac:dyDescent="0.2">
      <c r="F13750" s="285" t="str">
        <f t="shared" si="363"/>
        <v/>
      </c>
    </row>
    <row r="13751" spans="6:6" x14ac:dyDescent="0.2">
      <c r="F13751" s="285" t="str">
        <f t="shared" si="363"/>
        <v/>
      </c>
    </row>
    <row r="13752" spans="6:6" x14ac:dyDescent="0.2">
      <c r="F13752" s="285" t="str">
        <f t="shared" si="363"/>
        <v/>
      </c>
    </row>
    <row r="13753" spans="6:6" x14ac:dyDescent="0.2">
      <c r="F13753" s="285" t="str">
        <f t="shared" si="363"/>
        <v/>
      </c>
    </row>
    <row r="13754" spans="6:6" x14ac:dyDescent="0.2">
      <c r="F13754" s="285" t="str">
        <f t="shared" si="363"/>
        <v/>
      </c>
    </row>
    <row r="13755" spans="6:6" x14ac:dyDescent="0.2">
      <c r="F13755" s="285" t="str">
        <f t="shared" si="363"/>
        <v/>
      </c>
    </row>
    <row r="13756" spans="6:6" x14ac:dyDescent="0.2">
      <c r="F13756" s="285" t="str">
        <f t="shared" si="363"/>
        <v/>
      </c>
    </row>
    <row r="13757" spans="6:6" x14ac:dyDescent="0.2">
      <c r="F13757" s="285" t="str">
        <f t="shared" si="363"/>
        <v/>
      </c>
    </row>
    <row r="13758" spans="6:6" x14ac:dyDescent="0.2">
      <c r="F13758" s="285" t="str">
        <f t="shared" si="363"/>
        <v/>
      </c>
    </row>
    <row r="13759" spans="6:6" x14ac:dyDescent="0.2">
      <c r="F13759" s="285" t="str">
        <f t="shared" si="363"/>
        <v/>
      </c>
    </row>
    <row r="13760" spans="6:6" x14ac:dyDescent="0.2">
      <c r="F13760" s="285" t="str">
        <f t="shared" si="363"/>
        <v/>
      </c>
    </row>
    <row r="13761" spans="6:6" x14ac:dyDescent="0.2">
      <c r="F13761" s="285" t="str">
        <f t="shared" si="363"/>
        <v/>
      </c>
    </row>
    <row r="13762" spans="6:6" x14ac:dyDescent="0.2">
      <c r="F13762" s="285" t="str">
        <f t="shared" si="363"/>
        <v/>
      </c>
    </row>
    <row r="13763" spans="6:6" x14ac:dyDescent="0.2">
      <c r="F13763" s="285" t="str">
        <f t="shared" si="363"/>
        <v/>
      </c>
    </row>
    <row r="13764" spans="6:6" x14ac:dyDescent="0.2">
      <c r="F13764" s="285" t="str">
        <f t="shared" si="363"/>
        <v/>
      </c>
    </row>
    <row r="13765" spans="6:6" x14ac:dyDescent="0.2">
      <c r="F13765" s="285" t="str">
        <f t="shared" ref="F13765:F13828" si="364">IF(A13765="","",A13765)</f>
        <v/>
      </c>
    </row>
    <row r="13766" spans="6:6" x14ac:dyDescent="0.2">
      <c r="F13766" s="285" t="str">
        <f t="shared" si="364"/>
        <v/>
      </c>
    </row>
    <row r="13767" spans="6:6" x14ac:dyDescent="0.2">
      <c r="F13767" s="285" t="str">
        <f t="shared" si="364"/>
        <v/>
      </c>
    </row>
    <row r="13768" spans="6:6" x14ac:dyDescent="0.2">
      <c r="F13768" s="285" t="str">
        <f t="shared" si="364"/>
        <v/>
      </c>
    </row>
    <row r="13769" spans="6:6" x14ac:dyDescent="0.2">
      <c r="F13769" s="285" t="str">
        <f t="shared" si="364"/>
        <v/>
      </c>
    </row>
    <row r="13770" spans="6:6" x14ac:dyDescent="0.2">
      <c r="F13770" s="285" t="str">
        <f t="shared" si="364"/>
        <v/>
      </c>
    </row>
    <row r="13771" spans="6:6" x14ac:dyDescent="0.2">
      <c r="F13771" s="285" t="str">
        <f t="shared" si="364"/>
        <v/>
      </c>
    </row>
    <row r="13772" spans="6:6" x14ac:dyDescent="0.2">
      <c r="F13772" s="285" t="str">
        <f t="shared" si="364"/>
        <v/>
      </c>
    </row>
    <row r="13773" spans="6:6" x14ac:dyDescent="0.2">
      <c r="F13773" s="285" t="str">
        <f t="shared" si="364"/>
        <v/>
      </c>
    </row>
    <row r="13774" spans="6:6" x14ac:dyDescent="0.2">
      <c r="F13774" s="285" t="str">
        <f t="shared" si="364"/>
        <v/>
      </c>
    </row>
    <row r="13775" spans="6:6" x14ac:dyDescent="0.2">
      <c r="F13775" s="285" t="str">
        <f t="shared" si="364"/>
        <v/>
      </c>
    </row>
    <row r="13776" spans="6:6" x14ac:dyDescent="0.2">
      <c r="F13776" s="285" t="str">
        <f t="shared" si="364"/>
        <v/>
      </c>
    </row>
    <row r="13777" spans="6:6" x14ac:dyDescent="0.2">
      <c r="F13777" s="285" t="str">
        <f t="shared" si="364"/>
        <v/>
      </c>
    </row>
    <row r="13778" spans="6:6" x14ac:dyDescent="0.2">
      <c r="F13778" s="285" t="str">
        <f t="shared" si="364"/>
        <v/>
      </c>
    </row>
    <row r="13779" spans="6:6" x14ac:dyDescent="0.2">
      <c r="F13779" s="285" t="str">
        <f t="shared" si="364"/>
        <v/>
      </c>
    </row>
    <row r="13780" spans="6:6" x14ac:dyDescent="0.2">
      <c r="F13780" s="285" t="str">
        <f t="shared" si="364"/>
        <v/>
      </c>
    </row>
    <row r="13781" spans="6:6" x14ac:dyDescent="0.2">
      <c r="F13781" s="285" t="str">
        <f t="shared" si="364"/>
        <v/>
      </c>
    </row>
    <row r="13782" spans="6:6" x14ac:dyDescent="0.2">
      <c r="F13782" s="285" t="str">
        <f t="shared" si="364"/>
        <v/>
      </c>
    </row>
    <row r="13783" spans="6:6" x14ac:dyDescent="0.2">
      <c r="F13783" s="285" t="str">
        <f t="shared" si="364"/>
        <v/>
      </c>
    </row>
    <row r="13784" spans="6:6" x14ac:dyDescent="0.2">
      <c r="F13784" s="285" t="str">
        <f t="shared" si="364"/>
        <v/>
      </c>
    </row>
    <row r="13785" spans="6:6" x14ac:dyDescent="0.2">
      <c r="F13785" s="285" t="str">
        <f t="shared" si="364"/>
        <v/>
      </c>
    </row>
    <row r="13786" spans="6:6" x14ac:dyDescent="0.2">
      <c r="F13786" s="285" t="str">
        <f t="shared" si="364"/>
        <v/>
      </c>
    </row>
    <row r="13787" spans="6:6" x14ac:dyDescent="0.2">
      <c r="F13787" s="285" t="str">
        <f t="shared" si="364"/>
        <v/>
      </c>
    </row>
    <row r="13788" spans="6:6" x14ac:dyDescent="0.2">
      <c r="F13788" s="285" t="str">
        <f t="shared" si="364"/>
        <v/>
      </c>
    </row>
    <row r="13789" spans="6:6" x14ac:dyDescent="0.2">
      <c r="F13789" s="285" t="str">
        <f t="shared" si="364"/>
        <v/>
      </c>
    </row>
    <row r="13790" spans="6:6" x14ac:dyDescent="0.2">
      <c r="F13790" s="285" t="str">
        <f t="shared" si="364"/>
        <v/>
      </c>
    </row>
    <row r="13791" spans="6:6" x14ac:dyDescent="0.2">
      <c r="F13791" s="285" t="str">
        <f t="shared" si="364"/>
        <v/>
      </c>
    </row>
    <row r="13792" spans="6:6" x14ac:dyDescent="0.2">
      <c r="F13792" s="285" t="str">
        <f t="shared" si="364"/>
        <v/>
      </c>
    </row>
    <row r="13793" spans="6:6" x14ac:dyDescent="0.2">
      <c r="F13793" s="285" t="str">
        <f t="shared" si="364"/>
        <v/>
      </c>
    </row>
    <row r="13794" spans="6:6" x14ac:dyDescent="0.2">
      <c r="F13794" s="285" t="str">
        <f t="shared" si="364"/>
        <v/>
      </c>
    </row>
    <row r="13795" spans="6:6" x14ac:dyDescent="0.2">
      <c r="F13795" s="285" t="str">
        <f t="shared" si="364"/>
        <v/>
      </c>
    </row>
    <row r="13796" spans="6:6" x14ac:dyDescent="0.2">
      <c r="F13796" s="285" t="str">
        <f t="shared" si="364"/>
        <v/>
      </c>
    </row>
    <row r="13797" spans="6:6" x14ac:dyDescent="0.2">
      <c r="F13797" s="285" t="str">
        <f t="shared" si="364"/>
        <v/>
      </c>
    </row>
    <row r="13798" spans="6:6" x14ac:dyDescent="0.2">
      <c r="F13798" s="285" t="str">
        <f t="shared" si="364"/>
        <v/>
      </c>
    </row>
    <row r="13799" spans="6:6" x14ac:dyDescent="0.2">
      <c r="F13799" s="285" t="str">
        <f t="shared" si="364"/>
        <v/>
      </c>
    </row>
    <row r="13800" spans="6:6" x14ac:dyDescent="0.2">
      <c r="F13800" s="285" t="str">
        <f t="shared" si="364"/>
        <v/>
      </c>
    </row>
    <row r="13801" spans="6:6" x14ac:dyDescent="0.2">
      <c r="F13801" s="285" t="str">
        <f t="shared" si="364"/>
        <v/>
      </c>
    </row>
    <row r="13802" spans="6:6" x14ac:dyDescent="0.2">
      <c r="F13802" s="285" t="str">
        <f t="shared" si="364"/>
        <v/>
      </c>
    </row>
    <row r="13803" spans="6:6" x14ac:dyDescent="0.2">
      <c r="F13803" s="285" t="str">
        <f t="shared" si="364"/>
        <v/>
      </c>
    </row>
    <row r="13804" spans="6:6" x14ac:dyDescent="0.2">
      <c r="F13804" s="285" t="str">
        <f t="shared" si="364"/>
        <v/>
      </c>
    </row>
    <row r="13805" spans="6:6" x14ac:dyDescent="0.2">
      <c r="F13805" s="285" t="str">
        <f t="shared" si="364"/>
        <v/>
      </c>
    </row>
    <row r="13806" spans="6:6" x14ac:dyDescent="0.2">
      <c r="F13806" s="285" t="str">
        <f t="shared" si="364"/>
        <v/>
      </c>
    </row>
    <row r="13807" spans="6:6" x14ac:dyDescent="0.2">
      <c r="F13807" s="285" t="str">
        <f t="shared" si="364"/>
        <v/>
      </c>
    </row>
    <row r="13808" spans="6:6" x14ac:dyDescent="0.2">
      <c r="F13808" s="285" t="str">
        <f t="shared" si="364"/>
        <v/>
      </c>
    </row>
    <row r="13809" spans="6:6" x14ac:dyDescent="0.2">
      <c r="F13809" s="285" t="str">
        <f t="shared" si="364"/>
        <v/>
      </c>
    </row>
    <row r="13810" spans="6:6" x14ac:dyDescent="0.2">
      <c r="F13810" s="285" t="str">
        <f t="shared" si="364"/>
        <v/>
      </c>
    </row>
    <row r="13811" spans="6:6" x14ac:dyDescent="0.2">
      <c r="F13811" s="285" t="str">
        <f t="shared" si="364"/>
        <v/>
      </c>
    </row>
    <row r="13812" spans="6:6" x14ac:dyDescent="0.2">
      <c r="F13812" s="285" t="str">
        <f t="shared" si="364"/>
        <v/>
      </c>
    </row>
    <row r="13813" spans="6:6" x14ac:dyDescent="0.2">
      <c r="F13813" s="285" t="str">
        <f t="shared" si="364"/>
        <v/>
      </c>
    </row>
    <row r="13814" spans="6:6" x14ac:dyDescent="0.2">
      <c r="F13814" s="285" t="str">
        <f t="shared" si="364"/>
        <v/>
      </c>
    </row>
    <row r="13815" spans="6:6" x14ac:dyDescent="0.2">
      <c r="F13815" s="285" t="str">
        <f t="shared" si="364"/>
        <v/>
      </c>
    </row>
    <row r="13816" spans="6:6" x14ac:dyDescent="0.2">
      <c r="F13816" s="285" t="str">
        <f t="shared" si="364"/>
        <v/>
      </c>
    </row>
    <row r="13817" spans="6:6" x14ac:dyDescent="0.2">
      <c r="F13817" s="285" t="str">
        <f t="shared" si="364"/>
        <v/>
      </c>
    </row>
    <row r="13818" spans="6:6" x14ac:dyDescent="0.2">
      <c r="F13818" s="285" t="str">
        <f t="shared" si="364"/>
        <v/>
      </c>
    </row>
    <row r="13819" spans="6:6" x14ac:dyDescent="0.2">
      <c r="F13819" s="285" t="str">
        <f t="shared" si="364"/>
        <v/>
      </c>
    </row>
    <row r="13820" spans="6:6" x14ac:dyDescent="0.2">
      <c r="F13820" s="285" t="str">
        <f t="shared" si="364"/>
        <v/>
      </c>
    </row>
    <row r="13821" spans="6:6" x14ac:dyDescent="0.2">
      <c r="F13821" s="285" t="str">
        <f t="shared" si="364"/>
        <v/>
      </c>
    </row>
    <row r="13822" spans="6:6" x14ac:dyDescent="0.2">
      <c r="F13822" s="285" t="str">
        <f t="shared" si="364"/>
        <v/>
      </c>
    </row>
    <row r="13823" spans="6:6" x14ac:dyDescent="0.2">
      <c r="F13823" s="285" t="str">
        <f t="shared" si="364"/>
        <v/>
      </c>
    </row>
    <row r="13824" spans="6:6" x14ac:dyDescent="0.2">
      <c r="F13824" s="285" t="str">
        <f t="shared" si="364"/>
        <v/>
      </c>
    </row>
    <row r="13825" spans="6:6" x14ac:dyDescent="0.2">
      <c r="F13825" s="285" t="str">
        <f t="shared" si="364"/>
        <v/>
      </c>
    </row>
    <row r="13826" spans="6:6" x14ac:dyDescent="0.2">
      <c r="F13826" s="285" t="str">
        <f t="shared" si="364"/>
        <v/>
      </c>
    </row>
    <row r="13827" spans="6:6" x14ac:dyDescent="0.2">
      <c r="F13827" s="285" t="str">
        <f t="shared" si="364"/>
        <v/>
      </c>
    </row>
    <row r="13828" spans="6:6" x14ac:dyDescent="0.2">
      <c r="F13828" s="285" t="str">
        <f t="shared" si="364"/>
        <v/>
      </c>
    </row>
    <row r="13829" spans="6:6" x14ac:dyDescent="0.2">
      <c r="F13829" s="285" t="str">
        <f t="shared" ref="F13829:F13892" si="365">IF(A13829="","",A13829)</f>
        <v/>
      </c>
    </row>
    <row r="13830" spans="6:6" x14ac:dyDescent="0.2">
      <c r="F13830" s="285" t="str">
        <f t="shared" si="365"/>
        <v/>
      </c>
    </row>
    <row r="13831" spans="6:6" x14ac:dyDescent="0.2">
      <c r="F13831" s="285" t="str">
        <f t="shared" si="365"/>
        <v/>
      </c>
    </row>
    <row r="13832" spans="6:6" x14ac:dyDescent="0.2">
      <c r="F13832" s="285" t="str">
        <f t="shared" si="365"/>
        <v/>
      </c>
    </row>
    <row r="13833" spans="6:6" x14ac:dyDescent="0.2">
      <c r="F13833" s="285" t="str">
        <f t="shared" si="365"/>
        <v/>
      </c>
    </row>
    <row r="13834" spans="6:6" x14ac:dyDescent="0.2">
      <c r="F13834" s="285" t="str">
        <f t="shared" si="365"/>
        <v/>
      </c>
    </row>
    <row r="13835" spans="6:6" x14ac:dyDescent="0.2">
      <c r="F13835" s="285" t="str">
        <f t="shared" si="365"/>
        <v/>
      </c>
    </row>
    <row r="13836" spans="6:6" x14ac:dyDescent="0.2">
      <c r="F13836" s="285" t="str">
        <f t="shared" si="365"/>
        <v/>
      </c>
    </row>
    <row r="13837" spans="6:6" x14ac:dyDescent="0.2">
      <c r="F13837" s="285" t="str">
        <f t="shared" si="365"/>
        <v/>
      </c>
    </row>
    <row r="13838" spans="6:6" x14ac:dyDescent="0.2">
      <c r="F13838" s="285" t="str">
        <f t="shared" si="365"/>
        <v/>
      </c>
    </row>
    <row r="13839" spans="6:6" x14ac:dyDescent="0.2">
      <c r="F13839" s="285" t="str">
        <f t="shared" si="365"/>
        <v/>
      </c>
    </row>
    <row r="13840" spans="6:6" x14ac:dyDescent="0.2">
      <c r="F13840" s="285" t="str">
        <f t="shared" si="365"/>
        <v/>
      </c>
    </row>
    <row r="13841" spans="6:6" x14ac:dyDescent="0.2">
      <c r="F13841" s="285" t="str">
        <f t="shared" si="365"/>
        <v/>
      </c>
    </row>
    <row r="13842" spans="6:6" x14ac:dyDescent="0.2">
      <c r="F13842" s="285" t="str">
        <f t="shared" si="365"/>
        <v/>
      </c>
    </row>
    <row r="13843" spans="6:6" x14ac:dyDescent="0.2">
      <c r="F13843" s="285" t="str">
        <f t="shared" si="365"/>
        <v/>
      </c>
    </row>
    <row r="13844" spans="6:6" x14ac:dyDescent="0.2">
      <c r="F13844" s="285" t="str">
        <f t="shared" si="365"/>
        <v/>
      </c>
    </row>
    <row r="13845" spans="6:6" x14ac:dyDescent="0.2">
      <c r="F13845" s="285" t="str">
        <f t="shared" si="365"/>
        <v/>
      </c>
    </row>
    <row r="13846" spans="6:6" x14ac:dyDescent="0.2">
      <c r="F13846" s="285" t="str">
        <f t="shared" si="365"/>
        <v/>
      </c>
    </row>
    <row r="13847" spans="6:6" x14ac:dyDescent="0.2">
      <c r="F13847" s="285" t="str">
        <f t="shared" si="365"/>
        <v/>
      </c>
    </row>
    <row r="13848" spans="6:6" x14ac:dyDescent="0.2">
      <c r="F13848" s="285" t="str">
        <f t="shared" si="365"/>
        <v/>
      </c>
    </row>
    <row r="13849" spans="6:6" x14ac:dyDescent="0.2">
      <c r="F13849" s="285" t="str">
        <f t="shared" si="365"/>
        <v/>
      </c>
    </row>
    <row r="13850" spans="6:6" x14ac:dyDescent="0.2">
      <c r="F13850" s="285" t="str">
        <f t="shared" si="365"/>
        <v/>
      </c>
    </row>
    <row r="13851" spans="6:6" x14ac:dyDescent="0.2">
      <c r="F13851" s="285" t="str">
        <f t="shared" si="365"/>
        <v/>
      </c>
    </row>
    <row r="13852" spans="6:6" x14ac:dyDescent="0.2">
      <c r="F13852" s="285" t="str">
        <f t="shared" si="365"/>
        <v/>
      </c>
    </row>
    <row r="13853" spans="6:6" x14ac:dyDescent="0.2">
      <c r="F13853" s="285" t="str">
        <f t="shared" si="365"/>
        <v/>
      </c>
    </row>
    <row r="13854" spans="6:6" x14ac:dyDescent="0.2">
      <c r="F13854" s="285" t="str">
        <f t="shared" si="365"/>
        <v/>
      </c>
    </row>
    <row r="13855" spans="6:6" x14ac:dyDescent="0.2">
      <c r="F13855" s="285" t="str">
        <f t="shared" si="365"/>
        <v/>
      </c>
    </row>
    <row r="13856" spans="6:6" x14ac:dyDescent="0.2">
      <c r="F13856" s="285" t="str">
        <f t="shared" si="365"/>
        <v/>
      </c>
    </row>
    <row r="13857" spans="6:6" x14ac:dyDescent="0.2">
      <c r="F13857" s="285" t="str">
        <f t="shared" si="365"/>
        <v/>
      </c>
    </row>
    <row r="13858" spans="6:6" x14ac:dyDescent="0.2">
      <c r="F13858" s="285" t="str">
        <f t="shared" si="365"/>
        <v/>
      </c>
    </row>
    <row r="13859" spans="6:6" x14ac:dyDescent="0.2">
      <c r="F13859" s="285" t="str">
        <f t="shared" si="365"/>
        <v/>
      </c>
    </row>
    <row r="13860" spans="6:6" x14ac:dyDescent="0.2">
      <c r="F13860" s="285" t="str">
        <f t="shared" si="365"/>
        <v/>
      </c>
    </row>
    <row r="13861" spans="6:6" x14ac:dyDescent="0.2">
      <c r="F13861" s="285" t="str">
        <f t="shared" si="365"/>
        <v/>
      </c>
    </row>
    <row r="13862" spans="6:6" x14ac:dyDescent="0.2">
      <c r="F13862" s="285" t="str">
        <f t="shared" si="365"/>
        <v/>
      </c>
    </row>
    <row r="13863" spans="6:6" x14ac:dyDescent="0.2">
      <c r="F13863" s="285" t="str">
        <f t="shared" si="365"/>
        <v/>
      </c>
    </row>
    <row r="13864" spans="6:6" x14ac:dyDescent="0.2">
      <c r="F13864" s="285" t="str">
        <f t="shared" si="365"/>
        <v/>
      </c>
    </row>
    <row r="13865" spans="6:6" x14ac:dyDescent="0.2">
      <c r="F13865" s="285" t="str">
        <f t="shared" si="365"/>
        <v/>
      </c>
    </row>
    <row r="13866" spans="6:6" x14ac:dyDescent="0.2">
      <c r="F13866" s="285" t="str">
        <f t="shared" si="365"/>
        <v/>
      </c>
    </row>
    <row r="13867" spans="6:6" x14ac:dyDescent="0.2">
      <c r="F13867" s="285" t="str">
        <f t="shared" si="365"/>
        <v/>
      </c>
    </row>
    <row r="13868" spans="6:6" x14ac:dyDescent="0.2">
      <c r="F13868" s="285" t="str">
        <f t="shared" si="365"/>
        <v/>
      </c>
    </row>
    <row r="13869" spans="6:6" x14ac:dyDescent="0.2">
      <c r="F13869" s="285" t="str">
        <f t="shared" si="365"/>
        <v/>
      </c>
    </row>
    <row r="13870" spans="6:6" x14ac:dyDescent="0.2">
      <c r="F13870" s="285" t="str">
        <f t="shared" si="365"/>
        <v/>
      </c>
    </row>
    <row r="13871" spans="6:6" x14ac:dyDescent="0.2">
      <c r="F13871" s="285" t="str">
        <f t="shared" si="365"/>
        <v/>
      </c>
    </row>
    <row r="13872" spans="6:6" x14ac:dyDescent="0.2">
      <c r="F13872" s="285" t="str">
        <f t="shared" si="365"/>
        <v/>
      </c>
    </row>
    <row r="13873" spans="6:6" x14ac:dyDescent="0.2">
      <c r="F13873" s="285" t="str">
        <f t="shared" si="365"/>
        <v/>
      </c>
    </row>
    <row r="13874" spans="6:6" x14ac:dyDescent="0.2">
      <c r="F13874" s="285" t="str">
        <f t="shared" si="365"/>
        <v/>
      </c>
    </row>
    <row r="13875" spans="6:6" x14ac:dyDescent="0.2">
      <c r="F13875" s="285" t="str">
        <f t="shared" si="365"/>
        <v/>
      </c>
    </row>
    <row r="13876" spans="6:6" x14ac:dyDescent="0.2">
      <c r="F13876" s="285" t="str">
        <f t="shared" si="365"/>
        <v/>
      </c>
    </row>
    <row r="13877" spans="6:6" x14ac:dyDescent="0.2">
      <c r="F13877" s="285" t="str">
        <f t="shared" si="365"/>
        <v/>
      </c>
    </row>
    <row r="13878" spans="6:6" x14ac:dyDescent="0.2">
      <c r="F13878" s="285" t="str">
        <f t="shared" si="365"/>
        <v/>
      </c>
    </row>
    <row r="13879" spans="6:6" x14ac:dyDescent="0.2">
      <c r="F13879" s="285" t="str">
        <f t="shared" si="365"/>
        <v/>
      </c>
    </row>
    <row r="13880" spans="6:6" x14ac:dyDescent="0.2">
      <c r="F13880" s="285" t="str">
        <f t="shared" si="365"/>
        <v/>
      </c>
    </row>
    <row r="13881" spans="6:6" x14ac:dyDescent="0.2">
      <c r="F13881" s="285" t="str">
        <f t="shared" si="365"/>
        <v/>
      </c>
    </row>
    <row r="13882" spans="6:6" x14ac:dyDescent="0.2">
      <c r="F13882" s="285" t="str">
        <f t="shared" si="365"/>
        <v/>
      </c>
    </row>
    <row r="13883" spans="6:6" x14ac:dyDescent="0.2">
      <c r="F13883" s="285" t="str">
        <f t="shared" si="365"/>
        <v/>
      </c>
    </row>
    <row r="13884" spans="6:6" x14ac:dyDescent="0.2">
      <c r="F13884" s="285" t="str">
        <f t="shared" si="365"/>
        <v/>
      </c>
    </row>
    <row r="13885" spans="6:6" x14ac:dyDescent="0.2">
      <c r="F13885" s="285" t="str">
        <f t="shared" si="365"/>
        <v/>
      </c>
    </row>
    <row r="13886" spans="6:6" x14ac:dyDescent="0.2">
      <c r="F13886" s="285" t="str">
        <f t="shared" si="365"/>
        <v/>
      </c>
    </row>
    <row r="13887" spans="6:6" x14ac:dyDescent="0.2">
      <c r="F13887" s="285" t="str">
        <f t="shared" si="365"/>
        <v/>
      </c>
    </row>
    <row r="13888" spans="6:6" x14ac:dyDescent="0.2">
      <c r="F13888" s="285" t="str">
        <f t="shared" si="365"/>
        <v/>
      </c>
    </row>
    <row r="13889" spans="6:6" x14ac:dyDescent="0.2">
      <c r="F13889" s="285" t="str">
        <f t="shared" si="365"/>
        <v/>
      </c>
    </row>
    <row r="13890" spans="6:6" x14ac:dyDescent="0.2">
      <c r="F13890" s="285" t="str">
        <f t="shared" si="365"/>
        <v/>
      </c>
    </row>
    <row r="13891" spans="6:6" x14ac:dyDescent="0.2">
      <c r="F13891" s="285" t="str">
        <f t="shared" si="365"/>
        <v/>
      </c>
    </row>
    <row r="13892" spans="6:6" x14ac:dyDescent="0.2">
      <c r="F13892" s="285" t="str">
        <f t="shared" si="365"/>
        <v/>
      </c>
    </row>
    <row r="13893" spans="6:6" x14ac:dyDescent="0.2">
      <c r="F13893" s="285" t="str">
        <f t="shared" ref="F13893:F13956" si="366">IF(A13893="","",A13893)</f>
        <v/>
      </c>
    </row>
    <row r="13894" spans="6:6" x14ac:dyDescent="0.2">
      <c r="F13894" s="285" t="str">
        <f t="shared" si="366"/>
        <v/>
      </c>
    </row>
    <row r="13895" spans="6:6" x14ac:dyDescent="0.2">
      <c r="F13895" s="285" t="str">
        <f t="shared" si="366"/>
        <v/>
      </c>
    </row>
    <row r="13896" spans="6:6" x14ac:dyDescent="0.2">
      <c r="F13896" s="285" t="str">
        <f t="shared" si="366"/>
        <v/>
      </c>
    </row>
    <row r="13897" spans="6:6" x14ac:dyDescent="0.2">
      <c r="F13897" s="285" t="str">
        <f t="shared" si="366"/>
        <v/>
      </c>
    </row>
    <row r="13898" spans="6:6" x14ac:dyDescent="0.2">
      <c r="F13898" s="285" t="str">
        <f t="shared" si="366"/>
        <v/>
      </c>
    </row>
    <row r="13899" spans="6:6" x14ac:dyDescent="0.2">
      <c r="F13899" s="285" t="str">
        <f t="shared" si="366"/>
        <v/>
      </c>
    </row>
    <row r="13900" spans="6:6" x14ac:dyDescent="0.2">
      <c r="F13900" s="285" t="str">
        <f t="shared" si="366"/>
        <v/>
      </c>
    </row>
    <row r="13901" spans="6:6" x14ac:dyDescent="0.2">
      <c r="F13901" s="285" t="str">
        <f t="shared" si="366"/>
        <v/>
      </c>
    </row>
    <row r="13902" spans="6:6" x14ac:dyDescent="0.2">
      <c r="F13902" s="285" t="str">
        <f t="shared" si="366"/>
        <v/>
      </c>
    </row>
    <row r="13903" spans="6:6" x14ac:dyDescent="0.2">
      <c r="F13903" s="285" t="str">
        <f t="shared" si="366"/>
        <v/>
      </c>
    </row>
    <row r="13904" spans="6:6" x14ac:dyDescent="0.2">
      <c r="F13904" s="285" t="str">
        <f t="shared" si="366"/>
        <v/>
      </c>
    </row>
    <row r="13905" spans="6:6" x14ac:dyDescent="0.2">
      <c r="F13905" s="285" t="str">
        <f t="shared" si="366"/>
        <v/>
      </c>
    </row>
    <row r="13906" spans="6:6" x14ac:dyDescent="0.2">
      <c r="F13906" s="285" t="str">
        <f t="shared" si="366"/>
        <v/>
      </c>
    </row>
    <row r="13907" spans="6:6" x14ac:dyDescent="0.2">
      <c r="F13907" s="285" t="str">
        <f t="shared" si="366"/>
        <v/>
      </c>
    </row>
    <row r="13908" spans="6:6" x14ac:dyDescent="0.2">
      <c r="F13908" s="285" t="str">
        <f t="shared" si="366"/>
        <v/>
      </c>
    </row>
    <row r="13909" spans="6:6" x14ac:dyDescent="0.2">
      <c r="F13909" s="285" t="str">
        <f t="shared" si="366"/>
        <v/>
      </c>
    </row>
    <row r="13910" spans="6:6" x14ac:dyDescent="0.2">
      <c r="F13910" s="285" t="str">
        <f t="shared" si="366"/>
        <v/>
      </c>
    </row>
    <row r="13911" spans="6:6" x14ac:dyDescent="0.2">
      <c r="F13911" s="285" t="str">
        <f t="shared" si="366"/>
        <v/>
      </c>
    </row>
    <row r="13912" spans="6:6" x14ac:dyDescent="0.2">
      <c r="F13912" s="285" t="str">
        <f t="shared" si="366"/>
        <v/>
      </c>
    </row>
    <row r="13913" spans="6:6" x14ac:dyDescent="0.2">
      <c r="F13913" s="285" t="str">
        <f t="shared" si="366"/>
        <v/>
      </c>
    </row>
    <row r="13914" spans="6:6" x14ac:dyDescent="0.2">
      <c r="F13914" s="285" t="str">
        <f t="shared" si="366"/>
        <v/>
      </c>
    </row>
    <row r="13915" spans="6:6" x14ac:dyDescent="0.2">
      <c r="F13915" s="285" t="str">
        <f t="shared" si="366"/>
        <v/>
      </c>
    </row>
    <row r="13916" spans="6:6" x14ac:dyDescent="0.2">
      <c r="F13916" s="285" t="str">
        <f t="shared" si="366"/>
        <v/>
      </c>
    </row>
    <row r="13917" spans="6:6" x14ac:dyDescent="0.2">
      <c r="F13917" s="285" t="str">
        <f t="shared" si="366"/>
        <v/>
      </c>
    </row>
    <row r="13918" spans="6:6" x14ac:dyDescent="0.2">
      <c r="F13918" s="285" t="str">
        <f t="shared" si="366"/>
        <v/>
      </c>
    </row>
    <row r="13919" spans="6:6" x14ac:dyDescent="0.2">
      <c r="F13919" s="285" t="str">
        <f t="shared" si="366"/>
        <v/>
      </c>
    </row>
    <row r="13920" spans="6:6" x14ac:dyDescent="0.2">
      <c r="F13920" s="285" t="str">
        <f t="shared" si="366"/>
        <v/>
      </c>
    </row>
    <row r="13921" spans="6:6" x14ac:dyDescent="0.2">
      <c r="F13921" s="285" t="str">
        <f t="shared" si="366"/>
        <v/>
      </c>
    </row>
    <row r="13922" spans="6:6" x14ac:dyDescent="0.2">
      <c r="F13922" s="285" t="str">
        <f t="shared" si="366"/>
        <v/>
      </c>
    </row>
    <row r="13923" spans="6:6" x14ac:dyDescent="0.2">
      <c r="F13923" s="285" t="str">
        <f t="shared" si="366"/>
        <v/>
      </c>
    </row>
    <row r="13924" spans="6:6" x14ac:dyDescent="0.2">
      <c r="F13924" s="285" t="str">
        <f t="shared" si="366"/>
        <v/>
      </c>
    </row>
    <row r="13925" spans="6:6" x14ac:dyDescent="0.2">
      <c r="F13925" s="285" t="str">
        <f t="shared" si="366"/>
        <v/>
      </c>
    </row>
    <row r="13926" spans="6:6" x14ac:dyDescent="0.2">
      <c r="F13926" s="285" t="str">
        <f t="shared" si="366"/>
        <v/>
      </c>
    </row>
    <row r="13927" spans="6:6" x14ac:dyDescent="0.2">
      <c r="F13927" s="285" t="str">
        <f t="shared" si="366"/>
        <v/>
      </c>
    </row>
    <row r="13928" spans="6:6" x14ac:dyDescent="0.2">
      <c r="F13928" s="285" t="str">
        <f t="shared" si="366"/>
        <v/>
      </c>
    </row>
    <row r="13929" spans="6:6" x14ac:dyDescent="0.2">
      <c r="F13929" s="285" t="str">
        <f t="shared" si="366"/>
        <v/>
      </c>
    </row>
    <row r="13930" spans="6:6" x14ac:dyDescent="0.2">
      <c r="F13930" s="285" t="str">
        <f t="shared" si="366"/>
        <v/>
      </c>
    </row>
    <row r="13931" spans="6:6" x14ac:dyDescent="0.2">
      <c r="F13931" s="285" t="str">
        <f t="shared" si="366"/>
        <v/>
      </c>
    </row>
    <row r="13932" spans="6:6" x14ac:dyDescent="0.2">
      <c r="F13932" s="285" t="str">
        <f t="shared" si="366"/>
        <v/>
      </c>
    </row>
    <row r="13933" spans="6:6" x14ac:dyDescent="0.2">
      <c r="F13933" s="285" t="str">
        <f t="shared" si="366"/>
        <v/>
      </c>
    </row>
    <row r="13934" spans="6:6" x14ac:dyDescent="0.2">
      <c r="F13934" s="285" t="str">
        <f t="shared" si="366"/>
        <v/>
      </c>
    </row>
    <row r="13935" spans="6:6" x14ac:dyDescent="0.2">
      <c r="F13935" s="285" t="str">
        <f t="shared" si="366"/>
        <v/>
      </c>
    </row>
    <row r="13936" spans="6:6" x14ac:dyDescent="0.2">
      <c r="F13936" s="285" t="str">
        <f t="shared" si="366"/>
        <v/>
      </c>
    </row>
    <row r="13937" spans="6:6" x14ac:dyDescent="0.2">
      <c r="F13937" s="285" t="str">
        <f t="shared" si="366"/>
        <v/>
      </c>
    </row>
    <row r="13938" spans="6:6" x14ac:dyDescent="0.2">
      <c r="F13938" s="285" t="str">
        <f t="shared" si="366"/>
        <v/>
      </c>
    </row>
    <row r="13939" spans="6:6" x14ac:dyDescent="0.2">
      <c r="F13939" s="285" t="str">
        <f t="shared" si="366"/>
        <v/>
      </c>
    </row>
    <row r="13940" spans="6:6" x14ac:dyDescent="0.2">
      <c r="F13940" s="285" t="str">
        <f t="shared" si="366"/>
        <v/>
      </c>
    </row>
    <row r="13941" spans="6:6" x14ac:dyDescent="0.2">
      <c r="F13941" s="285" t="str">
        <f t="shared" si="366"/>
        <v/>
      </c>
    </row>
    <row r="13942" spans="6:6" x14ac:dyDescent="0.2">
      <c r="F13942" s="285" t="str">
        <f t="shared" si="366"/>
        <v/>
      </c>
    </row>
    <row r="13943" spans="6:6" x14ac:dyDescent="0.2">
      <c r="F13943" s="285" t="str">
        <f t="shared" si="366"/>
        <v/>
      </c>
    </row>
    <row r="13944" spans="6:6" x14ac:dyDescent="0.2">
      <c r="F13944" s="285" t="str">
        <f t="shared" si="366"/>
        <v/>
      </c>
    </row>
    <row r="13945" spans="6:6" x14ac:dyDescent="0.2">
      <c r="F13945" s="285" t="str">
        <f t="shared" si="366"/>
        <v/>
      </c>
    </row>
    <row r="13946" spans="6:6" x14ac:dyDescent="0.2">
      <c r="F13946" s="285" t="str">
        <f t="shared" si="366"/>
        <v/>
      </c>
    </row>
    <row r="13947" spans="6:6" x14ac:dyDescent="0.2">
      <c r="F13947" s="285" t="str">
        <f t="shared" si="366"/>
        <v/>
      </c>
    </row>
    <row r="13948" spans="6:6" x14ac:dyDescent="0.2">
      <c r="F13948" s="285" t="str">
        <f t="shared" si="366"/>
        <v/>
      </c>
    </row>
    <row r="13949" spans="6:6" x14ac:dyDescent="0.2">
      <c r="F13949" s="285" t="str">
        <f t="shared" si="366"/>
        <v/>
      </c>
    </row>
    <row r="13950" spans="6:6" x14ac:dyDescent="0.2">
      <c r="F13950" s="285" t="str">
        <f t="shared" si="366"/>
        <v/>
      </c>
    </row>
    <row r="13951" spans="6:6" x14ac:dyDescent="0.2">
      <c r="F13951" s="285" t="str">
        <f t="shared" si="366"/>
        <v/>
      </c>
    </row>
    <row r="13952" spans="6:6" x14ac:dyDescent="0.2">
      <c r="F13952" s="285" t="str">
        <f t="shared" si="366"/>
        <v/>
      </c>
    </row>
    <row r="13953" spans="6:6" x14ac:dyDescent="0.2">
      <c r="F13953" s="285" t="str">
        <f t="shared" si="366"/>
        <v/>
      </c>
    </row>
    <row r="13954" spans="6:6" x14ac:dyDescent="0.2">
      <c r="F13954" s="285" t="str">
        <f t="shared" si="366"/>
        <v/>
      </c>
    </row>
    <row r="13955" spans="6:6" x14ac:dyDescent="0.2">
      <c r="F13955" s="285" t="str">
        <f t="shared" si="366"/>
        <v/>
      </c>
    </row>
    <row r="13956" spans="6:6" x14ac:dyDescent="0.2">
      <c r="F13956" s="285" t="str">
        <f t="shared" si="366"/>
        <v/>
      </c>
    </row>
    <row r="13957" spans="6:6" x14ac:dyDescent="0.2">
      <c r="F13957" s="285" t="str">
        <f t="shared" ref="F13957:F13989" si="367">IF(A13957="","",A13957)</f>
        <v/>
      </c>
    </row>
    <row r="13958" spans="6:6" x14ac:dyDescent="0.2">
      <c r="F13958" s="285" t="str">
        <f t="shared" si="367"/>
        <v/>
      </c>
    </row>
    <row r="13959" spans="6:6" x14ac:dyDescent="0.2">
      <c r="F13959" s="285" t="str">
        <f t="shared" si="367"/>
        <v/>
      </c>
    </row>
    <row r="13960" spans="6:6" x14ac:dyDescent="0.2">
      <c r="F13960" s="285" t="str">
        <f t="shared" si="367"/>
        <v/>
      </c>
    </row>
    <row r="13961" spans="6:6" x14ac:dyDescent="0.2">
      <c r="F13961" s="285" t="str">
        <f t="shared" si="367"/>
        <v/>
      </c>
    </row>
    <row r="13962" spans="6:6" x14ac:dyDescent="0.2">
      <c r="F13962" s="285" t="str">
        <f t="shared" si="367"/>
        <v/>
      </c>
    </row>
    <row r="13963" spans="6:6" x14ac:dyDescent="0.2">
      <c r="F13963" s="285" t="str">
        <f t="shared" si="367"/>
        <v/>
      </c>
    </row>
    <row r="13964" spans="6:6" x14ac:dyDescent="0.2">
      <c r="F13964" s="285" t="str">
        <f t="shared" si="367"/>
        <v/>
      </c>
    </row>
    <row r="13965" spans="6:6" x14ac:dyDescent="0.2">
      <c r="F13965" s="285" t="str">
        <f t="shared" si="367"/>
        <v/>
      </c>
    </row>
    <row r="13966" spans="6:6" x14ac:dyDescent="0.2">
      <c r="F13966" s="285" t="str">
        <f t="shared" si="367"/>
        <v/>
      </c>
    </row>
    <row r="13967" spans="6:6" x14ac:dyDescent="0.2">
      <c r="F13967" s="285" t="str">
        <f t="shared" si="367"/>
        <v/>
      </c>
    </row>
    <row r="13968" spans="6:6" x14ac:dyDescent="0.2">
      <c r="F13968" s="285" t="str">
        <f t="shared" si="367"/>
        <v/>
      </c>
    </row>
    <row r="13969" spans="6:6" x14ac:dyDescent="0.2">
      <c r="F13969" s="285" t="str">
        <f t="shared" si="367"/>
        <v/>
      </c>
    </row>
    <row r="13970" spans="6:6" x14ac:dyDescent="0.2">
      <c r="F13970" s="285" t="str">
        <f t="shared" si="367"/>
        <v/>
      </c>
    </row>
    <row r="13971" spans="6:6" x14ac:dyDescent="0.2">
      <c r="F13971" s="285" t="str">
        <f t="shared" si="367"/>
        <v/>
      </c>
    </row>
    <row r="13972" spans="6:6" x14ac:dyDescent="0.2">
      <c r="F13972" s="285" t="str">
        <f t="shared" si="367"/>
        <v/>
      </c>
    </row>
    <row r="13973" spans="6:6" x14ac:dyDescent="0.2">
      <c r="F13973" s="285" t="str">
        <f t="shared" si="367"/>
        <v/>
      </c>
    </row>
    <row r="13974" spans="6:6" x14ac:dyDescent="0.2">
      <c r="F13974" s="285" t="str">
        <f t="shared" si="367"/>
        <v/>
      </c>
    </row>
    <row r="13975" spans="6:6" x14ac:dyDescent="0.2">
      <c r="F13975" s="285" t="str">
        <f t="shared" si="367"/>
        <v/>
      </c>
    </row>
    <row r="13976" spans="6:6" x14ac:dyDescent="0.2">
      <c r="F13976" s="285" t="str">
        <f t="shared" si="367"/>
        <v/>
      </c>
    </row>
    <row r="13977" spans="6:6" x14ac:dyDescent="0.2">
      <c r="F13977" s="285" t="str">
        <f t="shared" si="367"/>
        <v/>
      </c>
    </row>
    <row r="13978" spans="6:6" x14ac:dyDescent="0.2">
      <c r="F13978" s="285" t="str">
        <f t="shared" si="367"/>
        <v/>
      </c>
    </row>
    <row r="13979" spans="6:6" x14ac:dyDescent="0.2">
      <c r="F13979" s="285" t="str">
        <f t="shared" si="367"/>
        <v/>
      </c>
    </row>
    <row r="13980" spans="6:6" x14ac:dyDescent="0.2">
      <c r="F13980" s="285" t="str">
        <f t="shared" si="367"/>
        <v/>
      </c>
    </row>
    <row r="13981" spans="6:6" x14ac:dyDescent="0.2">
      <c r="F13981" s="285" t="str">
        <f t="shared" si="367"/>
        <v/>
      </c>
    </row>
    <row r="13982" spans="6:6" x14ac:dyDescent="0.2">
      <c r="F13982" s="285" t="str">
        <f t="shared" si="367"/>
        <v/>
      </c>
    </row>
    <row r="13983" spans="6:6" x14ac:dyDescent="0.2">
      <c r="F13983" s="285" t="str">
        <f t="shared" si="367"/>
        <v/>
      </c>
    </row>
    <row r="13984" spans="6:6" x14ac:dyDescent="0.2">
      <c r="F13984" s="285" t="str">
        <f t="shared" si="367"/>
        <v/>
      </c>
    </row>
    <row r="13985" spans="6:6" x14ac:dyDescent="0.2">
      <c r="F13985" s="285" t="str">
        <f t="shared" si="367"/>
        <v/>
      </c>
    </row>
    <row r="13986" spans="6:6" x14ac:dyDescent="0.2">
      <c r="F13986" s="285" t="str">
        <f t="shared" si="367"/>
        <v/>
      </c>
    </row>
    <row r="13987" spans="6:6" x14ac:dyDescent="0.2">
      <c r="F13987" s="285" t="str">
        <f t="shared" si="367"/>
        <v/>
      </c>
    </row>
    <row r="13988" spans="6:6" x14ac:dyDescent="0.2">
      <c r="F13988" s="285" t="str">
        <f t="shared" si="367"/>
        <v/>
      </c>
    </row>
    <row r="13989" spans="6:6" x14ac:dyDescent="0.2">
      <c r="F13989" s="285" t="str">
        <f t="shared" si="367"/>
        <v/>
      </c>
    </row>
  </sheetData>
  <mergeCells count="6">
    <mergeCell ref="A1:I1"/>
    <mergeCell ref="F3:I3"/>
    <mergeCell ref="A3:D3"/>
    <mergeCell ref="L1:Q1"/>
    <mergeCell ref="S1:X1"/>
    <mergeCell ref="K3:Q3"/>
  </mergeCells>
  <phoneticPr fontId="0" type="noConversion"/>
  <conditionalFormatting sqref="N2 N4:N65536">
    <cfRule type="cellIs" dxfId="0" priority="1" stopIfTrue="1" operator="notBetween">
      <formula>-0.0206</formula>
      <formula>0</formula>
    </cfRule>
  </conditionalFormatting>
  <pageMargins left="0" right="0" top="0.62992125984251968" bottom="0" header="0" footer="0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ecarts">
                <anchor moveWithCells="1">
                  <from>
                    <xdr:col>3</xdr:col>
                    <xdr:colOff>857250</xdr:colOff>
                    <xdr:row>1</xdr:row>
                    <xdr:rowOff>76200</xdr:rowOff>
                  </from>
                  <to>
                    <xdr:col>5</xdr:col>
                    <xdr:colOff>638175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Feuil9.Efface">
                <anchor moveWithCells="1">
                  <from>
                    <xdr:col>8</xdr:col>
                    <xdr:colOff>800100</xdr:colOff>
                    <xdr:row>1</xdr:row>
                    <xdr:rowOff>66675</xdr:rowOff>
                  </from>
                  <to>
                    <xdr:col>10</xdr:col>
                    <xdr:colOff>314325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156AF-0A43-445B-B50C-772D9BB9CEC8}">
  <sheetPr codeName="Feuil2"/>
  <dimension ref="A1:T54"/>
  <sheetViews>
    <sheetView zoomScale="55" zoomScaleNormal="55" workbookViewId="0">
      <selection activeCell="D29" sqref="D29"/>
    </sheetView>
  </sheetViews>
  <sheetFormatPr baseColWidth="10" defaultColWidth="14" defaultRowHeight="15" x14ac:dyDescent="0.2"/>
  <cols>
    <col min="1" max="1" width="20.7109375" style="13" customWidth="1"/>
    <col min="2" max="2" width="40.42578125" style="13" bestFit="1" customWidth="1"/>
    <col min="3" max="3" width="43" style="13" bestFit="1" customWidth="1"/>
    <col min="4" max="4" width="59.140625" style="13" customWidth="1"/>
    <col min="5" max="6" width="20.7109375" customWidth="1"/>
    <col min="7" max="7" width="21.28515625" style="13" bestFit="1" customWidth="1"/>
    <col min="8" max="8" width="15.28515625" style="13" bestFit="1" customWidth="1"/>
    <col min="9" max="9" width="34.42578125" style="13" bestFit="1" customWidth="1"/>
    <col min="10" max="12" width="14" style="13" customWidth="1"/>
    <col min="13" max="13" width="18.5703125" style="13" customWidth="1"/>
    <col min="14" max="16384" width="14" style="13"/>
  </cols>
  <sheetData>
    <row r="1" spans="1:20" ht="39.950000000000003" customHeight="1" thickTop="1" thickBot="1" x14ac:dyDescent="0.25">
      <c r="A1" s="18" t="s">
        <v>0</v>
      </c>
      <c r="B1" s="19"/>
      <c r="C1" s="20" t="s">
        <v>16</v>
      </c>
      <c r="D1" s="19"/>
      <c r="G1"/>
      <c r="H1"/>
      <c r="O1" s="311" t="str">
        <f>'INFOS-PARAM'!B3&amp;"-"&amp;'INFOS-PARAM'!B5</f>
        <v>GGS-EXE</v>
      </c>
      <c r="P1" s="312"/>
      <c r="Q1" s="312"/>
      <c r="R1" s="312"/>
      <c r="S1" s="312"/>
      <c r="T1" s="313"/>
    </row>
    <row r="2" spans="1:20" ht="39.950000000000003" customHeight="1" thickTop="1" thickBot="1" x14ac:dyDescent="0.25">
      <c r="A2" s="65" t="s">
        <v>17</v>
      </c>
      <c r="B2" s="66" t="s">
        <v>18</v>
      </c>
      <c r="C2" s="67" t="s">
        <v>2</v>
      </c>
      <c r="D2" s="70" t="s">
        <v>19</v>
      </c>
      <c r="E2" s="70" t="s">
        <v>172</v>
      </c>
      <c r="G2"/>
      <c r="H2"/>
    </row>
    <row r="3" spans="1:20" ht="39.950000000000003" customHeight="1" thickTop="1" x14ac:dyDescent="0.2">
      <c r="A3" s="8"/>
      <c r="B3" s="4"/>
      <c r="C3" s="10"/>
      <c r="D3" s="12"/>
      <c r="E3" s="220"/>
      <c r="G3"/>
      <c r="H3"/>
    </row>
    <row r="4" spans="1:20" ht="39.950000000000003" customHeight="1" x14ac:dyDescent="0.2">
      <c r="A4" s="71">
        <f>Xdonné</f>
        <v>823072.59600000002</v>
      </c>
      <c r="B4" s="96">
        <f>Ydonné</f>
        <v>1091432.9236999999</v>
      </c>
      <c r="C4" s="63">
        <f>F54</f>
        <v>-9.9327199999999998</v>
      </c>
      <c r="D4" s="68">
        <f>E54</f>
        <v>-2.7017699999999998</v>
      </c>
      <c r="E4" s="221">
        <f>G54</f>
        <v>0</v>
      </c>
      <c r="G4"/>
      <c r="H4"/>
    </row>
    <row r="5" spans="1:20" ht="39.950000000000003" customHeight="1" thickBot="1" x14ac:dyDescent="0.25">
      <c r="A5" s="27"/>
      <c r="B5" s="28"/>
      <c r="C5" s="25"/>
      <c r="D5" s="69"/>
      <c r="E5" s="222"/>
      <c r="G5"/>
      <c r="H5"/>
    </row>
    <row r="6" spans="1:20" ht="15.75" thickTop="1" x14ac:dyDescent="0.2"/>
    <row r="7" spans="1:20" customFormat="1" x14ac:dyDescent="0.2">
      <c r="C7" s="195"/>
    </row>
    <row r="8" spans="1:20" customFormat="1" ht="12.75" x14ac:dyDescent="0.2"/>
    <row r="9" spans="1:20" customFormat="1" ht="20.25" x14ac:dyDescent="0.2">
      <c r="A9" s="13"/>
      <c r="B9" s="35" t="s">
        <v>157</v>
      </c>
      <c r="C9" s="35" t="s">
        <v>156</v>
      </c>
      <c r="D9" s="15" t="s">
        <v>20</v>
      </c>
      <c r="E9" s="15" t="s">
        <v>2</v>
      </c>
      <c r="F9" s="15" t="s">
        <v>21</v>
      </c>
      <c r="G9" s="15" t="s">
        <v>22</v>
      </c>
      <c r="H9" s="16" t="s">
        <v>23</v>
      </c>
      <c r="I9" s="15" t="s">
        <v>24</v>
      </c>
      <c r="J9" s="15" t="s">
        <v>25</v>
      </c>
      <c r="K9" s="17" t="s">
        <v>26</v>
      </c>
      <c r="L9" s="17" t="s">
        <v>145</v>
      </c>
      <c r="M9" s="17" t="s">
        <v>147</v>
      </c>
      <c r="N9" s="13"/>
      <c r="O9" s="13"/>
      <c r="P9" s="13"/>
      <c r="Q9" s="13"/>
      <c r="S9">
        <f>pmr</f>
        <v>-16.602</v>
      </c>
    </row>
    <row r="10" spans="1:20" customFormat="1" x14ac:dyDescent="0.2">
      <c r="A10" s="13"/>
      <c r="B10" s="36"/>
      <c r="C10" s="36"/>
      <c r="E10" s="36"/>
      <c r="F10" s="36"/>
      <c r="G10" s="36"/>
      <c r="H10" s="36"/>
      <c r="I10" s="36"/>
      <c r="J10" s="36"/>
      <c r="K10" s="36"/>
      <c r="L10" s="13"/>
      <c r="M10" s="13"/>
      <c r="N10" s="13"/>
      <c r="O10" s="13"/>
      <c r="P10" s="13"/>
      <c r="Q10" s="13"/>
    </row>
    <row r="11" spans="1:20" customFormat="1" x14ac:dyDescent="0.2">
      <c r="A11" s="119" t="s">
        <v>113</v>
      </c>
      <c r="B11" s="43" t="str">
        <f>IF(MOD('définition axe en plan'!H11+100-Gis(Xdonné,Ydonné,'définition axe en plan'!F11,'définition axe en plan'!G11)+400,400)&gt;200,"oui","non")</f>
        <v>oui</v>
      </c>
      <c r="C11" s="194" t="str">
        <f>IF(MOD('définition axe en plan'!H12+100-Gis(Xdonné,Ydonné,'définition axe en plan'!F12,'définition axe en plan'!G12)+400,400)&lt;200,"oui","non")</f>
        <v>oui</v>
      </c>
      <c r="D11" s="44" t="str">
        <f>IF(AND(test_dist="oui",test_gis="oui"),'définition axe en plan'!D11,"")</f>
        <v>alignement droit</v>
      </c>
      <c r="E11" s="44">
        <f>IF(AND(test_dist="oui",test_gis="oui"),IF(AND(typer="Clothoïde",'définition axe en plan'!D12="Alignement Droit"),'définition axe en plan'!E12,'définition axe en plan'!E11),"")</f>
        <v>-16.602</v>
      </c>
      <c r="F11" s="44">
        <f>IF(AND(test_dist="oui",test_gis="oui"),IF(AND(typer="Clothoïde",'définition axe en plan'!$D12="Alignement Droit"),'définition axe en plan'!F12,'définition axe en plan'!F11),"")</f>
        <v>823077.49860000005</v>
      </c>
      <c r="G11" s="44">
        <f>IF(AND(test_dist="oui",test_gis="oui"),IF(AND(typer="Clothoïde",'définition axe en plan'!$D12="Alignement Droit"),'définition axe en plan'!G12,'définition axe en plan'!G11),"")</f>
        <v>1091438.1909</v>
      </c>
      <c r="H11" s="44">
        <f>IF(AND(test_dist="oui",test_gis="oui"),IF(AND(typer="Clothoïde",'définition axe en plan'!$D12="Alignement Droit"),'définition axe en plan'!H12,'définition axe en plan'!H11),"")</f>
        <v>272.22219999999999</v>
      </c>
      <c r="I11" s="43">
        <f>IF(AND(test_dist="oui",test_gis="oui"),'définition axe en plan'!I11,"")</f>
        <v>0</v>
      </c>
      <c r="J11" s="43">
        <f>IF(AND(test_dist="oui",test_gis="oui"),'définition axe en plan'!J11,"")</f>
        <v>0</v>
      </c>
      <c r="K11" s="46">
        <f>IF(AND(test_dist="oui",test_gis="oui"),'définition axe en plan'!K11,"")</f>
        <v>0</v>
      </c>
      <c r="L11" s="185">
        <f>IF(AND(test_dist="oui",test_gis="oui"),SUM('définition axe en plan'!L10:L12),"")</f>
        <v>0</v>
      </c>
      <c r="M11" s="46">
        <f>IF(AND(test_dist="oui",test_gis="oui"),'définition axe en plan'!E12-'définition axe en plan'!E11,"")</f>
        <v>16.602</v>
      </c>
      <c r="N11" s="13"/>
      <c r="O11" s="13"/>
      <c r="P11" s="13"/>
      <c r="Q11" s="13"/>
    </row>
    <row r="12" spans="1:20" customFormat="1" x14ac:dyDescent="0.2">
      <c r="A12" s="119" t="s">
        <v>114</v>
      </c>
      <c r="B12" s="43" t="str">
        <f>IF(MOD('définition axe en plan'!H12+100-Gis(Xdonné,Ydonné,'définition axe en plan'!F12,'définition axe en plan'!G12)+400,400)&gt;200,"oui","non")</f>
        <v>non</v>
      </c>
      <c r="C12" s="194" t="str">
        <f>IF(MOD('définition axe en plan'!H13+100-Gis(Xdonné,Ydonné,'définition axe en plan'!F13,'définition axe en plan'!G13)+400,400)&lt;200,"oui","non")</f>
        <v>oui</v>
      </c>
      <c r="D12" s="44" t="str">
        <f>IF(AND(test_dist="oui",test_gis="oui"),'définition axe en plan'!D12,"")</f>
        <v/>
      </c>
      <c r="E12" s="44" t="str">
        <f>IF(AND(test_dist="oui",test_gis="oui"),IF(AND(typer="Clothoïde",'définition axe en plan'!D13="Alignement Droit"),'définition axe en plan'!E13,'définition axe en plan'!E12),"")</f>
        <v/>
      </c>
      <c r="F12" s="44" t="str">
        <f>IF(AND(test_dist="oui",test_gis="oui"),IF(AND(typer="Clothoïde",'définition axe en plan'!$D13="Alignement Droit"),'définition axe en plan'!F13,'définition axe en plan'!F12),"")</f>
        <v/>
      </c>
      <c r="G12" s="44" t="str">
        <f>IF(AND(test_dist="oui",test_gis="oui"),IF(AND(typer="Clothoïde",'définition axe en plan'!$D13="Alignement Droit"),'définition axe en plan'!G13,'définition axe en plan'!G12),"")</f>
        <v/>
      </c>
      <c r="H12" s="44" t="str">
        <f>IF(AND(test_dist="oui",test_gis="oui"),IF(AND(typer="Clothoïde",'définition axe en plan'!$D13="Alignement Droit"),'définition axe en plan'!H13,'définition axe en plan'!H12),"")</f>
        <v/>
      </c>
      <c r="I12" s="43" t="str">
        <f>IF(AND(test_dist="oui",test_gis="oui"),'définition axe en plan'!I12,"")</f>
        <v/>
      </c>
      <c r="J12" s="43" t="str">
        <f>IF(AND(test_dist="oui",test_gis="oui"),'définition axe en plan'!J12,"")</f>
        <v/>
      </c>
      <c r="K12" s="46" t="str">
        <f>IF(AND(test_dist="oui",test_gis="oui"),'définition axe en plan'!K12,"")</f>
        <v/>
      </c>
      <c r="L12" s="185" t="str">
        <f>IF(AND(test_dist="oui",test_gis="oui"),SUM('définition axe en plan'!L11:L13),"")</f>
        <v/>
      </c>
      <c r="M12" s="46" t="str">
        <f>IF(AND(test_dist="oui",test_gis="oui"),'définition axe en plan'!E13-'définition axe en plan'!E12,"")</f>
        <v/>
      </c>
      <c r="N12" s="13"/>
      <c r="O12" s="13"/>
      <c r="P12" s="13"/>
      <c r="Q12" s="13"/>
    </row>
    <row r="13" spans="1:20" customFormat="1" x14ac:dyDescent="0.2">
      <c r="A13" s="119" t="s">
        <v>115</v>
      </c>
      <c r="B13" s="43" t="str">
        <f>IF(MOD('définition axe en plan'!H13+100-Gis(Xdonné,Ydonné,'définition axe en plan'!F13,'définition axe en plan'!G13)+400,400)&gt;200,"oui","non")</f>
        <v>non</v>
      </c>
      <c r="C13" s="194" t="str">
        <f>IF(MOD('définition axe en plan'!H14+100-Gis(Xdonné,Ydonné,'définition axe en plan'!F14,'définition axe en plan'!G14)+400,400)&lt;200,"oui","non")</f>
        <v>non</v>
      </c>
      <c r="D13" s="44" t="str">
        <f>IF(AND(test_dist="oui",test_gis="oui"),'définition axe en plan'!D13,"")</f>
        <v/>
      </c>
      <c r="E13" s="44" t="str">
        <f>IF(AND(test_dist="oui",test_gis="oui"),IF(AND(typer="Clothoïde",'définition axe en plan'!D14="Alignement Droit"),'définition axe en plan'!E14,'définition axe en plan'!E13),"")</f>
        <v/>
      </c>
      <c r="F13" s="44" t="str">
        <f>IF(AND(test_dist="oui",test_gis="oui"),IF(AND(typer="Clothoïde",'définition axe en plan'!$D14="Alignement Droit"),'définition axe en plan'!F14,'définition axe en plan'!F13),"")</f>
        <v/>
      </c>
      <c r="G13" s="44" t="str">
        <f>IF(AND(test_dist="oui",test_gis="oui"),IF(AND(typer="Clothoïde",'définition axe en plan'!$D14="Alignement Droit"),'définition axe en plan'!G14,'définition axe en plan'!G13),"")</f>
        <v/>
      </c>
      <c r="H13" s="44" t="str">
        <f>IF(AND(test_dist="oui",test_gis="oui"),IF(AND(typer="Clothoïde",'définition axe en plan'!$D14="Alignement Droit"),'définition axe en plan'!H14,'définition axe en plan'!H13),"")</f>
        <v/>
      </c>
      <c r="I13" s="43" t="str">
        <f>IF(AND(test_dist="oui",test_gis="oui"),'définition axe en plan'!I13,"")</f>
        <v/>
      </c>
      <c r="J13" s="43" t="str">
        <f>IF(AND(test_dist="oui",test_gis="oui"),'définition axe en plan'!J13,"")</f>
        <v/>
      </c>
      <c r="K13" s="46" t="str">
        <f>IF(AND(test_dist="oui",test_gis="oui"),'définition axe en plan'!K13,"")</f>
        <v/>
      </c>
      <c r="L13" s="185" t="str">
        <f>IF(AND(test_dist="oui",test_gis="oui"),SUM('définition axe en plan'!L12:L14),"")</f>
        <v/>
      </c>
      <c r="M13" s="46" t="str">
        <f>IF(AND(test_dist="oui",test_gis="oui"),'définition axe en plan'!E14-'définition axe en plan'!E13,"")</f>
        <v/>
      </c>
      <c r="N13" s="13"/>
      <c r="O13" s="13"/>
      <c r="P13" s="13"/>
      <c r="Q13" s="13"/>
      <c r="R13">
        <f>Gis(Xdonné,Ydonné,'définition axe en plan'!F14,'définition axe en plan'!G14)</f>
        <v>241.13412974611356</v>
      </c>
      <c r="S13">
        <f>Dist(Xdonné,Ydonné,'définition axe en plan'!F14,'définition axe en plan'!G14)</f>
        <v>1366994.6324775782</v>
      </c>
      <c r="T13">
        <f>('définition axe en plan'!E14-'définition axe en plan'!E13)</f>
        <v>-85.953000000000003</v>
      </c>
    </row>
    <row r="14" spans="1:20" x14ac:dyDescent="0.2">
      <c r="A14" s="119" t="s">
        <v>116</v>
      </c>
      <c r="B14" s="43" t="str">
        <f>IF(MOD('définition axe en plan'!H14+100-Gis(Xdonné,Ydonné,'définition axe en plan'!F14,'définition axe en plan'!G14)+400,400)&gt;200,"oui","non")</f>
        <v>oui</v>
      </c>
      <c r="C14" s="194" t="str">
        <f>IF(MOD('définition axe en plan'!H15+100-Gis(Xdonné,Ydonné,'définition axe en plan'!F15,'définition axe en plan'!G15)+400,400)&lt;200,"oui","non")</f>
        <v>non</v>
      </c>
      <c r="D14" s="44" t="str">
        <f>IF(AND(test_dist="oui",test_gis="oui"),'définition axe en plan'!D14,"")</f>
        <v/>
      </c>
      <c r="E14" s="44" t="str">
        <f>IF(AND(test_dist="oui",test_gis="oui"),IF(AND(typer="Clothoïde",'définition axe en plan'!D15="Alignement Droit"),'définition axe en plan'!E15,'définition axe en plan'!E14),"")</f>
        <v/>
      </c>
      <c r="F14" s="44" t="str">
        <f>IF(AND(test_dist="oui",test_gis="oui"),IF(AND(typer="Clothoïde",'définition axe en plan'!$D15="Alignement Droit"),'définition axe en plan'!F15,'définition axe en plan'!F14),"")</f>
        <v/>
      </c>
      <c r="G14" s="44" t="str">
        <f>IF(AND(test_dist="oui",test_gis="oui"),IF(AND(typer="Clothoïde",'définition axe en plan'!$D15="Alignement Droit"),'définition axe en plan'!G15,'définition axe en plan'!G14),"")</f>
        <v/>
      </c>
      <c r="H14" s="44" t="str">
        <f>IF(AND(test_dist="oui",test_gis="oui"),IF(AND(typer="Clothoïde",'définition axe en plan'!$D15="Alignement Droit"),'définition axe en plan'!H15,'définition axe en plan'!H14),"")</f>
        <v/>
      </c>
      <c r="I14" s="43" t="str">
        <f>IF(AND(test_dist="oui",test_gis="oui"),'définition axe en plan'!I14,"")</f>
        <v/>
      </c>
      <c r="J14" s="43" t="str">
        <f>IF(AND(test_dist="oui",test_gis="oui"),'définition axe en plan'!J14,"")</f>
        <v/>
      </c>
      <c r="K14" s="46" t="str">
        <f>IF(AND(test_dist="oui",test_gis="oui"),'définition axe en plan'!K14,"")</f>
        <v/>
      </c>
      <c r="L14" s="185" t="str">
        <f>IF(AND(test_dist="oui",test_gis="oui"),SUM('définition axe en plan'!L13:L15),"")</f>
        <v/>
      </c>
      <c r="M14" s="46" t="str">
        <f>IF(AND(test_dist="oui",test_gis="oui"),'définition axe en plan'!E15-'définition axe en plan'!E14,"")</f>
        <v/>
      </c>
      <c r="R14">
        <f>Gis(Xdonné,Ydonné,'définition axe en plan'!F15,'définition axe en plan'!G15)</f>
        <v>241.13412974611356</v>
      </c>
      <c r="S14">
        <f>Dist(Xdonné,Ydonné,'définition axe en plan'!F15,'définition axe en plan'!G15)</f>
        <v>1366994.6324775782</v>
      </c>
      <c r="T14">
        <f>('définition axe en plan'!E15-'définition axe en plan'!E14)</f>
        <v>0</v>
      </c>
    </row>
    <row r="15" spans="1:20" x14ac:dyDescent="0.2">
      <c r="A15" s="119" t="s">
        <v>117</v>
      </c>
      <c r="B15" s="43" t="str">
        <f>IF(MOD('définition axe en plan'!H15+100-Gis(Xdonné,Ydonné,'définition axe en plan'!F15,'définition axe en plan'!G15)+400,400)&gt;200,"oui","non")</f>
        <v>oui</v>
      </c>
      <c r="C15" s="194" t="str">
        <f>IF(MOD('définition axe en plan'!H16+100-Gis(Xdonné,Ydonné,'définition axe en plan'!F16,'définition axe en plan'!G16)+400,400)&lt;200,"oui","non")</f>
        <v>non</v>
      </c>
      <c r="D15" s="44" t="str">
        <f>IF(AND(test_dist="oui",test_gis="oui"),'définition axe en plan'!D15,"")</f>
        <v/>
      </c>
      <c r="E15" s="44" t="str">
        <f>IF(AND(test_dist="oui",test_gis="oui"),IF(AND(typer="Clothoïde",'définition axe en plan'!D16="Alignement Droit"),'définition axe en plan'!E16,'définition axe en plan'!E15),"")</f>
        <v/>
      </c>
      <c r="F15" s="44" t="str">
        <f>IF(AND(test_dist="oui",test_gis="oui"),IF(AND(typer="Clothoïde",'définition axe en plan'!$D16="Alignement Droit"),'définition axe en plan'!F16,'définition axe en plan'!F15),"")</f>
        <v/>
      </c>
      <c r="G15" s="44" t="str">
        <f>IF(AND(test_dist="oui",test_gis="oui"),IF(AND(typer="Clothoïde",'définition axe en plan'!$D16="Alignement Droit"),'définition axe en plan'!G16,'définition axe en plan'!G15),"")</f>
        <v/>
      </c>
      <c r="H15" s="44" t="str">
        <f>IF(AND(test_dist="oui",test_gis="oui"),IF(AND(typer="Clothoïde",'définition axe en plan'!$D16="Alignement Droit"),'définition axe en plan'!H16,'définition axe en plan'!H15),"")</f>
        <v/>
      </c>
      <c r="I15" s="43" t="str">
        <f>IF(AND(test_dist="oui",test_gis="oui"),'définition axe en plan'!I15,"")</f>
        <v/>
      </c>
      <c r="J15" s="43" t="str">
        <f>IF(AND(test_dist="oui",test_gis="oui"),'définition axe en plan'!J15,"")</f>
        <v/>
      </c>
      <c r="K15" s="46" t="str">
        <f>IF(AND(test_dist="oui",test_gis="oui"),'définition axe en plan'!K15,"")</f>
        <v/>
      </c>
      <c r="L15" s="185" t="str">
        <f>IF(AND(test_dist="oui",test_gis="oui"),SUM('définition axe en plan'!L14:L16),"")</f>
        <v/>
      </c>
      <c r="M15" s="46" t="str">
        <f>IF(AND(test_dist="oui",test_gis="oui"),'définition axe en plan'!E16-'définition axe en plan'!E15,"")</f>
        <v/>
      </c>
      <c r="N15" s="13" t="b">
        <f>MOD('définition axe en plan'!H14+100-Gis(Xdonné,Ydonné,'définition axe en plan'!F14,'définition axe en plan'!G14)+400,400)&lt;200</f>
        <v>0</v>
      </c>
      <c r="O15" s="13">
        <f>Dist(Xdonné,Ydonné,'définition axe en plan'!F14,'définition axe en plan'!G14)</f>
        <v>1366994.6324775782</v>
      </c>
    </row>
    <row r="16" spans="1:20" x14ac:dyDescent="0.2">
      <c r="A16" s="119" t="s">
        <v>118</v>
      </c>
      <c r="B16" s="43" t="str">
        <f>IF(MOD('définition axe en plan'!H16+100-Gis(Xdonné,Ydonné,'définition axe en plan'!F16,'définition axe en plan'!G16)+400,400)&gt;200,"oui","non")</f>
        <v>oui</v>
      </c>
      <c r="C16" s="194" t="str">
        <f>IF(MOD('définition axe en plan'!H17+100-Gis(Xdonné,Ydonné,'définition axe en plan'!F17,'définition axe en plan'!G17)+400,400)&lt;200,"oui","non")</f>
        <v>non</v>
      </c>
      <c r="D16" s="44" t="str">
        <f>IF(AND(test_dist="oui",test_gis="oui"),'définition axe en plan'!D16,"")</f>
        <v/>
      </c>
      <c r="E16" s="44" t="str">
        <f>IF(AND(test_dist="oui",test_gis="oui"),IF(AND(typer="Clothoïde",'définition axe en plan'!D17="Alignement Droit"),'définition axe en plan'!E17,'définition axe en plan'!E16),"")</f>
        <v/>
      </c>
      <c r="F16" s="44" t="str">
        <f>IF(AND(test_dist="oui",test_gis="oui"),IF(AND(typer="Clothoïde",'définition axe en plan'!$D17="Alignement Droit"),'définition axe en plan'!F17,'définition axe en plan'!F16),"")</f>
        <v/>
      </c>
      <c r="G16" s="44" t="str">
        <f>IF(AND(test_dist="oui",test_gis="oui"),IF(AND(typer="Clothoïde",'définition axe en plan'!$D17="Alignement Droit"),'définition axe en plan'!G17,'définition axe en plan'!G16),"")</f>
        <v/>
      </c>
      <c r="H16" s="44" t="str">
        <f>IF(AND(test_dist="oui",test_gis="oui"),IF(AND(typer="Clothoïde",'définition axe en plan'!$D17="Alignement Droit"),'définition axe en plan'!H17,'définition axe en plan'!H16),"")</f>
        <v/>
      </c>
      <c r="I16" s="43" t="str">
        <f>IF(AND(test_dist="oui",test_gis="oui"),'définition axe en plan'!I16,"")</f>
        <v/>
      </c>
      <c r="J16" s="43" t="str">
        <f>IF(AND(test_dist="oui",test_gis="oui"),'définition axe en plan'!J16,"")</f>
        <v/>
      </c>
      <c r="K16" s="46" t="str">
        <f>IF(AND(test_dist="oui",test_gis="oui"),'définition axe en plan'!K16,"")</f>
        <v/>
      </c>
      <c r="L16" s="185" t="str">
        <f>IF(AND(test_dist="oui",test_gis="oui"),SUM('définition axe en plan'!L15:L17),"")</f>
        <v/>
      </c>
      <c r="M16" s="46" t="str">
        <f>IF(AND(test_dist="oui",test_gis="oui"),'définition axe en plan'!E17-'définition axe en plan'!E16,"")</f>
        <v/>
      </c>
      <c r="N16" s="13" t="b">
        <f>Dist(Xdonné,Ydonné,'définition axe en plan'!F14,'définition axe en plan'!G14)&lt;('définition axe en plan'!E14-'définition axe en plan'!E13)</f>
        <v>0</v>
      </c>
      <c r="O16" s="13">
        <f>('définition axe en plan'!E14-'définition axe en plan'!E13)</f>
        <v>-85.953000000000003</v>
      </c>
    </row>
    <row r="17" spans="1:13" x14ac:dyDescent="0.2">
      <c r="A17" s="119" t="s">
        <v>119</v>
      </c>
      <c r="B17" s="43" t="str">
        <f>IF(MOD('définition axe en plan'!H17+100-Gis(Xdonné,Ydonné,'définition axe en plan'!F17,'définition axe en plan'!G17)+400,400)&gt;200,"oui","non")</f>
        <v>oui</v>
      </c>
      <c r="C17" s="194" t="str">
        <f>IF(MOD('définition axe en plan'!H18+100-Gis(Xdonné,Ydonné,'définition axe en plan'!F18,'définition axe en plan'!G18)+400,400)&lt;200,"oui","non")</f>
        <v>non</v>
      </c>
      <c r="D17" s="44" t="str">
        <f>IF(AND(test_dist="oui",test_gis="oui"),'définition axe en plan'!D17,"")</f>
        <v/>
      </c>
      <c r="E17" s="44" t="str">
        <f>IF(AND(test_dist="oui",test_gis="oui"),IF(AND(typer="Clothoïde",'définition axe en plan'!D18="Alignement Droit"),'définition axe en plan'!E18,'définition axe en plan'!E17),"")</f>
        <v/>
      </c>
      <c r="F17" s="44" t="str">
        <f>IF(AND(test_dist="oui",test_gis="oui"),IF(AND(typer="Clothoïde",'définition axe en plan'!$D18="Alignement Droit"),'définition axe en plan'!F18,'définition axe en plan'!F17),"")</f>
        <v/>
      </c>
      <c r="G17" s="44" t="str">
        <f>IF(AND(test_dist="oui",test_gis="oui"),IF(AND(typer="Clothoïde",'définition axe en plan'!$D18="Alignement Droit"),'définition axe en plan'!G18,'définition axe en plan'!G17),"")</f>
        <v/>
      </c>
      <c r="H17" s="44" t="str">
        <f>IF(AND(test_dist="oui",test_gis="oui"),IF(AND(typer="Clothoïde",'définition axe en plan'!$D18="Alignement Droit"),'définition axe en plan'!H18,'définition axe en plan'!H17),"")</f>
        <v/>
      </c>
      <c r="I17" s="43" t="str">
        <f>IF(AND(test_dist="oui",test_gis="oui"),'définition axe en plan'!I17,"")</f>
        <v/>
      </c>
      <c r="J17" s="43" t="str">
        <f>IF(AND(test_dist="oui",test_gis="oui"),'définition axe en plan'!J17,"")</f>
        <v/>
      </c>
      <c r="K17" s="46" t="str">
        <f>IF(AND(test_dist="oui",test_gis="oui"),'définition axe en plan'!K17,"")</f>
        <v/>
      </c>
      <c r="L17" s="185" t="str">
        <f>IF(AND(test_dist="oui",test_gis="oui"),SUM('définition axe en plan'!L16:L18),"")</f>
        <v/>
      </c>
      <c r="M17" s="46" t="str">
        <f>IF(AND(test_dist="oui",test_gis="oui"),'définition axe en plan'!E18-'définition axe en plan'!E17,"")</f>
        <v/>
      </c>
    </row>
    <row r="18" spans="1:13" x14ac:dyDescent="0.2">
      <c r="A18" s="119" t="s">
        <v>120</v>
      </c>
      <c r="B18" s="43" t="str">
        <f>IF(MOD('définition axe en plan'!H18+100-Gis(Xdonné,Ydonné,'définition axe en plan'!F18,'définition axe en plan'!G18)+400,400)&gt;200,"oui","non")</f>
        <v>oui</v>
      </c>
      <c r="C18" s="194" t="str">
        <f>IF(MOD('définition axe en plan'!H19+100-Gis(Xdonné,Ydonné,'définition axe en plan'!F19,'définition axe en plan'!G19)+400,400)&lt;200,"oui","non")</f>
        <v>non</v>
      </c>
      <c r="D18" s="44" t="str">
        <f>IF(AND(test_dist="oui",test_gis="oui"),'définition axe en plan'!D18,"")</f>
        <v/>
      </c>
      <c r="E18" s="44" t="str">
        <f>IF(AND(test_dist="oui",test_gis="oui"),IF(AND(typer="Clothoïde",'définition axe en plan'!D19="Alignement Droit"),'définition axe en plan'!E19,'définition axe en plan'!E18),"")</f>
        <v/>
      </c>
      <c r="F18" s="44" t="str">
        <f>IF(AND(test_dist="oui",test_gis="oui"),IF(AND(typer="Clothoïde",'définition axe en plan'!$D19="Alignement Droit"),'définition axe en plan'!F19,'définition axe en plan'!F18),"")</f>
        <v/>
      </c>
      <c r="G18" s="44" t="str">
        <f>IF(AND(test_dist="oui",test_gis="oui"),IF(AND(typer="Clothoïde",'définition axe en plan'!$D19="Alignement Droit"),'définition axe en plan'!G19,'définition axe en plan'!G18),"")</f>
        <v/>
      </c>
      <c r="H18" s="44" t="str">
        <f>IF(AND(test_dist="oui",test_gis="oui"),IF(AND(typer="Clothoïde",'définition axe en plan'!$D19="Alignement Droit"),'définition axe en plan'!H19,'définition axe en plan'!H18),"")</f>
        <v/>
      </c>
      <c r="I18" s="43" t="str">
        <f>IF(AND(test_dist="oui",test_gis="oui"),'définition axe en plan'!I18,"")</f>
        <v/>
      </c>
      <c r="J18" s="43" t="str">
        <f>IF(AND(test_dist="oui",test_gis="oui"),'définition axe en plan'!J18,"")</f>
        <v/>
      </c>
      <c r="K18" s="46" t="str">
        <f>IF(AND(test_dist="oui",test_gis="oui"),'définition axe en plan'!K18,"")</f>
        <v/>
      </c>
      <c r="L18" s="185" t="str">
        <f>IF(AND(test_dist="oui",test_gis="oui"),SUM('définition axe en plan'!L17:L19),"")</f>
        <v/>
      </c>
      <c r="M18" s="46" t="str">
        <f>IF(AND(test_dist="oui",test_gis="oui"),'définition axe en plan'!E19-'définition axe en plan'!E18,"")</f>
        <v/>
      </c>
    </row>
    <row r="19" spans="1:13" x14ac:dyDescent="0.2">
      <c r="A19" s="119" t="s">
        <v>121</v>
      </c>
      <c r="B19" s="43" t="str">
        <f>IF(MOD('définition axe en plan'!H19+100-Gis(Xdonné,Ydonné,'définition axe en plan'!F19,'définition axe en plan'!G19)+400,400)&gt;200,"oui","non")</f>
        <v>oui</v>
      </c>
      <c r="C19" s="194" t="str">
        <f>IF(MOD('définition axe en plan'!H20+100-Gis(Xdonné,Ydonné,'définition axe en plan'!F20,'définition axe en plan'!G20)+400,400)&lt;200,"oui","non")</f>
        <v>non</v>
      </c>
      <c r="D19" s="44" t="str">
        <f>IF(AND(test_dist="oui",test_gis="oui"),'définition axe en plan'!D19,"")</f>
        <v/>
      </c>
      <c r="E19" s="44" t="str">
        <f>IF(AND(test_dist="oui",test_gis="oui"),IF(AND(typer="Clothoïde",'définition axe en plan'!D20="Alignement Droit"),'définition axe en plan'!E20,'définition axe en plan'!E19),"")</f>
        <v/>
      </c>
      <c r="F19" s="44" t="str">
        <f>IF(AND(test_dist="oui",test_gis="oui"),IF(AND(typer="Clothoïde",'définition axe en plan'!$D20="Alignement Droit"),'définition axe en plan'!F20,'définition axe en plan'!F19),"")</f>
        <v/>
      </c>
      <c r="G19" s="44" t="str">
        <f>IF(AND(test_dist="oui",test_gis="oui"),IF(AND(typer="Clothoïde",'définition axe en plan'!$D20="Alignement Droit"),'définition axe en plan'!G20,'définition axe en plan'!G19),"")</f>
        <v/>
      </c>
      <c r="H19" s="44" t="str">
        <f>IF(AND(test_dist="oui",test_gis="oui"),IF(AND(typer="Clothoïde",'définition axe en plan'!$D20="Alignement Droit"),'définition axe en plan'!H20,'définition axe en plan'!H19),"")</f>
        <v/>
      </c>
      <c r="I19" s="43" t="str">
        <f>IF(AND(test_dist="oui",test_gis="oui"),'définition axe en plan'!I19,"")</f>
        <v/>
      </c>
      <c r="J19" s="43" t="str">
        <f>IF(AND(test_dist="oui",test_gis="oui"),'définition axe en plan'!J19,"")</f>
        <v/>
      </c>
      <c r="K19" s="46" t="str">
        <f>IF(AND(test_dist="oui",test_gis="oui"),'définition axe en plan'!K19,"")</f>
        <v/>
      </c>
      <c r="L19" s="185" t="str">
        <f>IF(AND(test_dist="oui",test_gis="oui"),SUM('définition axe en plan'!L18:L20),"")</f>
        <v/>
      </c>
      <c r="M19" s="46" t="str">
        <f>IF(AND(test_dist="oui",test_gis="oui"),'définition axe en plan'!E20-'définition axe en plan'!E19,"")</f>
        <v/>
      </c>
    </row>
    <row r="20" spans="1:13" x14ac:dyDescent="0.2">
      <c r="A20" s="119" t="s">
        <v>122</v>
      </c>
      <c r="B20" s="43" t="str">
        <f>IF(MOD('définition axe en plan'!H20+100-Gis(Xdonné,Ydonné,'définition axe en plan'!F20,'définition axe en plan'!G20)+400,400)&gt;200,"oui","non")</f>
        <v>oui</v>
      </c>
      <c r="C20" s="194" t="str">
        <f>IF(MOD('définition axe en plan'!H21+100-Gis(Xdonné,Ydonné,'définition axe en plan'!F21,'définition axe en plan'!G21)+400,400)&lt;200,"oui","non")</f>
        <v>non</v>
      </c>
      <c r="D20" s="44" t="str">
        <f>IF(AND(test_dist="oui",test_gis="oui"),'définition axe en plan'!D20,"")</f>
        <v/>
      </c>
      <c r="E20" s="44" t="str">
        <f>IF(AND(test_dist="oui",test_gis="oui"),IF(AND(typer="Clothoïde",'définition axe en plan'!D21="Alignement Droit"),'définition axe en plan'!E21,'définition axe en plan'!E20),"")</f>
        <v/>
      </c>
      <c r="F20" s="44" t="str">
        <f>IF(AND(test_dist="oui",test_gis="oui"),IF(AND(typer="Clothoïde",'définition axe en plan'!$D21="Alignement Droit"),'définition axe en plan'!F21,'définition axe en plan'!F20),"")</f>
        <v/>
      </c>
      <c r="G20" s="44" t="str">
        <f>IF(AND(test_dist="oui",test_gis="oui"),IF(AND(typer="Clothoïde",'définition axe en plan'!$D21="Alignement Droit"),'définition axe en plan'!G21,'définition axe en plan'!G20),"")</f>
        <v/>
      </c>
      <c r="H20" s="44" t="str">
        <f>IF(AND(test_dist="oui",test_gis="oui"),IF(AND(typer="Clothoïde",'définition axe en plan'!$D21="Alignement Droit"),'définition axe en plan'!H21,'définition axe en plan'!H20),"")</f>
        <v/>
      </c>
      <c r="I20" s="43" t="str">
        <f>IF(AND(test_dist="oui",test_gis="oui"),'définition axe en plan'!I20,"")</f>
        <v/>
      </c>
      <c r="J20" s="43" t="str">
        <f>IF(AND(test_dist="oui",test_gis="oui"),'définition axe en plan'!J20,"")</f>
        <v/>
      </c>
      <c r="K20" s="46" t="str">
        <f>IF(AND(test_dist="oui",test_gis="oui"),'définition axe en plan'!K20,"")</f>
        <v/>
      </c>
      <c r="L20" s="185" t="str">
        <f>IF(AND(test_dist="oui",test_gis="oui"),SUM('définition axe en plan'!L19:L21),"")</f>
        <v/>
      </c>
      <c r="M20" s="46" t="str">
        <f>IF(AND(test_dist="oui",test_gis="oui"),'définition axe en plan'!E21-'définition axe en plan'!E20,"")</f>
        <v/>
      </c>
    </row>
    <row r="21" spans="1:13" x14ac:dyDescent="0.2">
      <c r="A21" s="119" t="s">
        <v>123</v>
      </c>
      <c r="B21" s="43" t="str">
        <f>IF(MOD('définition axe en plan'!H21+100-Gis(Xdonné,Ydonné,'définition axe en plan'!F21,'définition axe en plan'!G21)+400,400)&gt;200,"oui","non")</f>
        <v>oui</v>
      </c>
      <c r="C21" s="194" t="str">
        <f>IF(MOD('définition axe en plan'!H22+100-Gis(Xdonné,Ydonné,'définition axe en plan'!F22,'définition axe en plan'!G22)+400,400)&lt;200,"oui","non")</f>
        <v>non</v>
      </c>
      <c r="D21" s="44" t="str">
        <f>IF(AND(test_dist="oui",test_gis="oui"),'définition axe en plan'!D21,"")</f>
        <v/>
      </c>
      <c r="E21" s="44" t="str">
        <f>IF(AND(test_dist="oui",test_gis="oui"),IF(AND(typer="Clothoïde",'définition axe en plan'!D22="Alignement Droit"),'définition axe en plan'!E22,'définition axe en plan'!E21),"")</f>
        <v/>
      </c>
      <c r="F21" s="44" t="str">
        <f>IF(AND(test_dist="oui",test_gis="oui"),IF(AND(typer="Clothoïde",'définition axe en plan'!$D22="Alignement Droit"),'définition axe en plan'!F22,'définition axe en plan'!F21),"")</f>
        <v/>
      </c>
      <c r="G21" s="44" t="str">
        <f>IF(AND(test_dist="oui",test_gis="oui"),IF(AND(typer="Clothoïde",'définition axe en plan'!$D22="Alignement Droit"),'définition axe en plan'!G22,'définition axe en plan'!G21),"")</f>
        <v/>
      </c>
      <c r="H21" s="44" t="str">
        <f>IF(AND(test_dist="oui",test_gis="oui"),IF(AND(typer="Clothoïde",'définition axe en plan'!$D22="Alignement Droit"),'définition axe en plan'!H22,'définition axe en plan'!H21),"")</f>
        <v/>
      </c>
      <c r="I21" s="43" t="str">
        <f>IF(AND(test_dist="oui",test_gis="oui"),'définition axe en plan'!I21,"")</f>
        <v/>
      </c>
      <c r="J21" s="43" t="str">
        <f>IF(AND(test_dist="oui",test_gis="oui"),'définition axe en plan'!J21,"")</f>
        <v/>
      </c>
      <c r="K21" s="46" t="str">
        <f>IF(AND(test_dist="oui",test_gis="oui"),'définition axe en plan'!K21,"")</f>
        <v/>
      </c>
      <c r="L21" s="185" t="str">
        <f>IF(AND(test_dist="oui",test_gis="oui"),SUM('définition axe en plan'!L20:L22),"")</f>
        <v/>
      </c>
      <c r="M21" s="46" t="str">
        <f>IF(AND(test_dist="oui",test_gis="oui"),'définition axe en plan'!E22-'définition axe en plan'!E21,"")</f>
        <v/>
      </c>
    </row>
    <row r="22" spans="1:13" x14ac:dyDescent="0.2">
      <c r="A22" s="119" t="s">
        <v>124</v>
      </c>
      <c r="B22" s="43" t="str">
        <f>IF(MOD('définition axe en plan'!H22+100-Gis(Xdonné,Ydonné,'définition axe en plan'!F22,'définition axe en plan'!G22)+400,400)&gt;200,"oui","non")</f>
        <v>oui</v>
      </c>
      <c r="C22" s="194" t="str">
        <f>IF(MOD('définition axe en plan'!H23+100-Gis(Xdonné,Ydonné,'définition axe en plan'!F23,'définition axe en plan'!G23)+400,400)&lt;200,"oui","non")</f>
        <v>non</v>
      </c>
      <c r="D22" s="44" t="str">
        <f>IF(AND(test_dist="oui",test_gis="oui"),'définition axe en plan'!D22,"")</f>
        <v/>
      </c>
      <c r="E22" s="44" t="str">
        <f>IF(AND(test_dist="oui",test_gis="oui"),IF(AND(typer="Clothoïde",'définition axe en plan'!D23="Alignement Droit"),'définition axe en plan'!E23,'définition axe en plan'!E22),"")</f>
        <v/>
      </c>
      <c r="F22" s="44" t="str">
        <f>IF(AND(test_dist="oui",test_gis="oui"),IF(AND(typer="Clothoïde",'définition axe en plan'!$D23="Alignement Droit"),'définition axe en plan'!F23,'définition axe en plan'!F22),"")</f>
        <v/>
      </c>
      <c r="G22" s="44" t="str">
        <f>IF(AND(test_dist="oui",test_gis="oui"),IF(AND(typer="Clothoïde",'définition axe en plan'!$D23="Alignement Droit"),'définition axe en plan'!G23,'définition axe en plan'!G22),"")</f>
        <v/>
      </c>
      <c r="H22" s="44" t="str">
        <f>IF(AND(test_dist="oui",test_gis="oui"),IF(AND(typer="Clothoïde",'définition axe en plan'!$D23="Alignement Droit"),'définition axe en plan'!H23,'définition axe en plan'!H22),"")</f>
        <v/>
      </c>
      <c r="I22" s="43" t="str">
        <f>IF(AND(test_dist="oui",test_gis="oui"),'définition axe en plan'!I22,"")</f>
        <v/>
      </c>
      <c r="J22" s="43" t="str">
        <f>IF(AND(test_dist="oui",test_gis="oui"),'définition axe en plan'!J22,"")</f>
        <v/>
      </c>
      <c r="K22" s="46" t="str">
        <f>IF(AND(test_dist="oui",test_gis="oui"),'définition axe en plan'!K22,"")</f>
        <v/>
      </c>
      <c r="L22" s="185" t="str">
        <f>IF(AND(test_dist="oui",test_gis="oui"),SUM('définition axe en plan'!L21:L23),"")</f>
        <v/>
      </c>
      <c r="M22" s="46" t="str">
        <f>IF(AND(test_dist="oui",test_gis="oui"),'définition axe en plan'!E23-'définition axe en plan'!E22,"")</f>
        <v/>
      </c>
    </row>
    <row r="23" spans="1:13" x14ac:dyDescent="0.2">
      <c r="A23" s="119" t="s">
        <v>125</v>
      </c>
      <c r="B23" s="43" t="str">
        <f>IF(MOD('définition axe en plan'!H23+100-Gis(Xdonné,Ydonné,'définition axe en plan'!F23,'définition axe en plan'!G23)+400,400)&gt;200,"oui","non")</f>
        <v>oui</v>
      </c>
      <c r="C23" s="194" t="str">
        <f>IF(MOD('définition axe en plan'!H24+100-Gis(Xdonné,Ydonné,'définition axe en plan'!F24,'définition axe en plan'!G24)+400,400)&lt;200,"oui","non")</f>
        <v>non</v>
      </c>
      <c r="D23" s="44" t="str">
        <f>IF(AND(test_dist="oui",test_gis="oui"),'définition axe en plan'!D23,"")</f>
        <v/>
      </c>
      <c r="E23" s="44" t="str">
        <f>IF(AND(test_dist="oui",test_gis="oui"),IF(AND(typer="Clothoïde",'définition axe en plan'!D24="Alignement Droit"),'définition axe en plan'!E24,'définition axe en plan'!E23),"")</f>
        <v/>
      </c>
      <c r="F23" s="44" t="str">
        <f>IF(AND(test_dist="oui",test_gis="oui"),IF(AND(typer="Clothoïde",'définition axe en plan'!$D24="Alignement Droit"),'définition axe en plan'!F24,'définition axe en plan'!F23),"")</f>
        <v/>
      </c>
      <c r="G23" s="44" t="str">
        <f>IF(AND(test_dist="oui",test_gis="oui"),IF(AND(typer="Clothoïde",'définition axe en plan'!$D24="Alignement Droit"),'définition axe en plan'!G24,'définition axe en plan'!G23),"")</f>
        <v/>
      </c>
      <c r="H23" s="44" t="str">
        <f>IF(AND(test_dist="oui",test_gis="oui"),IF(AND(typer="Clothoïde",'définition axe en plan'!$D24="Alignement Droit"),'définition axe en plan'!H24,'définition axe en plan'!H23),"")</f>
        <v/>
      </c>
      <c r="I23" s="43" t="str">
        <f>IF(AND(test_dist="oui",test_gis="oui"),'définition axe en plan'!I23,"")</f>
        <v/>
      </c>
      <c r="J23" s="43" t="str">
        <f>IF(AND(test_dist="oui",test_gis="oui"),'définition axe en plan'!J23,"")</f>
        <v/>
      </c>
      <c r="K23" s="46" t="str">
        <f>IF(AND(test_dist="oui",test_gis="oui"),'définition axe en plan'!K23,"")</f>
        <v/>
      </c>
      <c r="L23" s="185" t="str">
        <f>IF(AND(test_dist="oui",test_gis="oui"),SUM('définition axe en plan'!L22:L24),"")</f>
        <v/>
      </c>
      <c r="M23" s="46" t="str">
        <f>IF(AND(test_dist="oui",test_gis="oui"),'définition axe en plan'!E24-'définition axe en plan'!E23,"")</f>
        <v/>
      </c>
    </row>
    <row r="24" spans="1:13" x14ac:dyDescent="0.2">
      <c r="A24" s="119" t="s">
        <v>126</v>
      </c>
      <c r="B24" s="43" t="str">
        <f>IF(MOD('définition axe en plan'!H24+100-Gis(Xdonné,Ydonné,'définition axe en plan'!F24,'définition axe en plan'!G24)+400,400)&gt;200,"oui","non")</f>
        <v>oui</v>
      </c>
      <c r="C24" s="194" t="str">
        <f>IF(MOD('définition axe en plan'!H25+100-Gis(Xdonné,Ydonné,'définition axe en plan'!F25,'définition axe en plan'!G25)+400,400)&lt;200,"oui","non")</f>
        <v>non</v>
      </c>
      <c r="D24" s="44" t="str">
        <f>IF(AND(test_dist="oui",test_gis="oui"),'définition axe en plan'!D24,"")</f>
        <v/>
      </c>
      <c r="E24" s="44" t="str">
        <f>IF(AND(test_dist="oui",test_gis="oui"),IF(AND(typer="Clothoïde",'définition axe en plan'!D25="Alignement Droit"),'définition axe en plan'!E25,'définition axe en plan'!E24),"")</f>
        <v/>
      </c>
      <c r="F24" s="44" t="str">
        <f>IF(AND(test_dist="oui",test_gis="oui"),IF(AND(typer="Clothoïde",'définition axe en plan'!$D25="Alignement Droit"),'définition axe en plan'!F25,'définition axe en plan'!F24),"")</f>
        <v/>
      </c>
      <c r="G24" s="44" t="str">
        <f>IF(AND(test_dist="oui",test_gis="oui"),IF(AND(typer="Clothoïde",'définition axe en plan'!$D25="Alignement Droit"),'définition axe en plan'!G25,'définition axe en plan'!G24),"")</f>
        <v/>
      </c>
      <c r="H24" s="44" t="str">
        <f>IF(AND(test_dist="oui",test_gis="oui"),IF(AND(typer="Clothoïde",'définition axe en plan'!$D25="Alignement Droit"),'définition axe en plan'!H25,'définition axe en plan'!H24),"")</f>
        <v/>
      </c>
      <c r="I24" s="43" t="str">
        <f>IF(AND(test_dist="oui",test_gis="oui"),'définition axe en plan'!I24,"")</f>
        <v/>
      </c>
      <c r="J24" s="43" t="str">
        <f>IF(AND(test_dist="oui",test_gis="oui"),'définition axe en plan'!J24,"")</f>
        <v/>
      </c>
      <c r="K24" s="46" t="str">
        <f>IF(AND(test_dist="oui",test_gis="oui"),'définition axe en plan'!K24,"")</f>
        <v/>
      </c>
      <c r="L24" s="185" t="str">
        <f>IF(AND(test_dist="oui",test_gis="oui"),SUM('définition axe en plan'!L23:L25),"")</f>
        <v/>
      </c>
      <c r="M24" s="46" t="str">
        <f>IF(AND(test_dist="oui",test_gis="oui"),'définition axe en plan'!E25-'définition axe en plan'!E24,"")</f>
        <v/>
      </c>
    </row>
    <row r="25" spans="1:13" x14ac:dyDescent="0.2">
      <c r="A25" s="119" t="s">
        <v>127</v>
      </c>
      <c r="B25" s="43" t="str">
        <f>IF(MOD('définition axe en plan'!H25+100-Gis(Xdonné,Ydonné,'définition axe en plan'!F25,'définition axe en plan'!G25)+400,400)&gt;200,"oui","non")</f>
        <v>oui</v>
      </c>
      <c r="C25" s="194" t="str">
        <f>IF(MOD('définition axe en plan'!H26+100-Gis(Xdonné,Ydonné,'définition axe en plan'!F26,'définition axe en plan'!G26)+400,400)&lt;200,"oui","non")</f>
        <v>non</v>
      </c>
      <c r="D25" s="44" t="str">
        <f>IF(AND(test_dist="oui",test_gis="oui"),'définition axe en plan'!D25,"")</f>
        <v/>
      </c>
      <c r="E25" s="44" t="str">
        <f>IF(AND(test_dist="oui",test_gis="oui"),IF(AND(typer="Clothoïde",'définition axe en plan'!D26="Alignement Droit"),'définition axe en plan'!E26,'définition axe en plan'!E25),"")</f>
        <v/>
      </c>
      <c r="F25" s="44" t="str">
        <f>IF(AND(test_dist="oui",test_gis="oui"),IF(AND(typer="Clothoïde",'définition axe en plan'!$D26="Alignement Droit"),'définition axe en plan'!F26,'définition axe en plan'!F25),"")</f>
        <v/>
      </c>
      <c r="G25" s="44" t="str">
        <f>IF(AND(test_dist="oui",test_gis="oui"),IF(AND(typer="Clothoïde",'définition axe en plan'!$D26="Alignement Droit"),'définition axe en plan'!G26,'définition axe en plan'!G25),"")</f>
        <v/>
      </c>
      <c r="H25" s="44" t="str">
        <f>IF(AND(test_dist="oui",test_gis="oui"),IF(AND(typer="Clothoïde",'définition axe en plan'!$D26="Alignement Droit"),'définition axe en plan'!H26,'définition axe en plan'!H25),"")</f>
        <v/>
      </c>
      <c r="I25" s="43" t="str">
        <f>IF(AND(test_dist="oui",test_gis="oui"),'définition axe en plan'!I25,"")</f>
        <v/>
      </c>
      <c r="J25" s="43" t="str">
        <f>IF(AND(test_dist="oui",test_gis="oui"),'définition axe en plan'!J25,"")</f>
        <v/>
      </c>
      <c r="K25" s="46" t="str">
        <f>IF(AND(test_dist="oui",test_gis="oui"),'définition axe en plan'!K25,"")</f>
        <v/>
      </c>
      <c r="L25" s="185" t="str">
        <f>IF(AND(test_dist="oui",test_gis="oui"),SUM('définition axe en plan'!L24:L26),"")</f>
        <v/>
      </c>
      <c r="M25" s="46" t="str">
        <f>IF(AND(test_dist="oui",test_gis="oui"),'définition axe en plan'!E26-'définition axe en plan'!E25,"")</f>
        <v/>
      </c>
    </row>
    <row r="26" spans="1:13" x14ac:dyDescent="0.2">
      <c r="A26" s="119" t="s">
        <v>128</v>
      </c>
      <c r="B26" s="43" t="str">
        <f>IF(MOD('définition axe en plan'!H26+100-Gis(Xdonné,Ydonné,'définition axe en plan'!F26,'définition axe en plan'!G26)+400,400)&gt;200,"oui","non")</f>
        <v>oui</v>
      </c>
      <c r="C26" s="194" t="str">
        <f>IF(MOD('définition axe en plan'!H27+100-Gis(Xdonné,Ydonné,'définition axe en plan'!F27,'définition axe en plan'!G27)+400,400)&lt;200,"oui","non")</f>
        <v>non</v>
      </c>
      <c r="D26" s="44" t="str">
        <f>IF(AND(test_dist="oui",test_gis="oui"),'définition axe en plan'!D26,"")</f>
        <v/>
      </c>
      <c r="E26" s="44" t="str">
        <f>IF(AND(test_dist="oui",test_gis="oui"),IF(AND(typer="Clothoïde",'définition axe en plan'!D27="Alignement Droit"),'définition axe en plan'!E27,'définition axe en plan'!E26),"")</f>
        <v/>
      </c>
      <c r="F26" s="44" t="str">
        <f>IF(AND(test_dist="oui",test_gis="oui"),IF(AND(typer="Clothoïde",'définition axe en plan'!$D27="Alignement Droit"),'définition axe en plan'!F27,'définition axe en plan'!F26),"")</f>
        <v/>
      </c>
      <c r="G26" s="44" t="str">
        <f>IF(AND(test_dist="oui",test_gis="oui"),IF(AND(typer="Clothoïde",'définition axe en plan'!$D27="Alignement Droit"),'définition axe en plan'!G27,'définition axe en plan'!G26),"")</f>
        <v/>
      </c>
      <c r="H26" s="44" t="str">
        <f>IF(AND(test_dist="oui",test_gis="oui"),IF(AND(typer="Clothoïde",'définition axe en plan'!$D27="Alignement Droit"),'définition axe en plan'!H27,'définition axe en plan'!H26),"")</f>
        <v/>
      </c>
      <c r="I26" s="43" t="str">
        <f>IF(AND(test_dist="oui",test_gis="oui"),'définition axe en plan'!I26,"")</f>
        <v/>
      </c>
      <c r="J26" s="43" t="str">
        <f>IF(AND(test_dist="oui",test_gis="oui"),'définition axe en plan'!J26,"")</f>
        <v/>
      </c>
      <c r="K26" s="46" t="str">
        <f>IF(AND(test_dist="oui",test_gis="oui"),'définition axe en plan'!K26,"")</f>
        <v/>
      </c>
      <c r="L26" s="185" t="str">
        <f>IF(AND(test_dist="oui",test_gis="oui"),SUM('définition axe en plan'!L25:L27),"")</f>
        <v/>
      </c>
      <c r="M26" s="46" t="str">
        <f>IF(AND(test_dist="oui",test_gis="oui"),'définition axe en plan'!E27-'définition axe en plan'!E26,"")</f>
        <v/>
      </c>
    </row>
    <row r="27" spans="1:13" x14ac:dyDescent="0.2">
      <c r="A27" s="119" t="s">
        <v>129</v>
      </c>
      <c r="B27" s="43" t="str">
        <f>IF(MOD('définition axe en plan'!H27+100-Gis(Xdonné,Ydonné,'définition axe en plan'!F27,'définition axe en plan'!G27)+400,400)&gt;200,"oui","non")</f>
        <v>oui</v>
      </c>
      <c r="C27" s="194" t="str">
        <f>IF(MOD('définition axe en plan'!H28+100-Gis(Xdonné,Ydonné,'définition axe en plan'!F28,'définition axe en plan'!G28)+400,400)&lt;200,"oui","non")</f>
        <v>non</v>
      </c>
      <c r="D27" s="44" t="str">
        <f>IF(AND(test_dist="oui",test_gis="oui"),'définition axe en plan'!D27,"")</f>
        <v/>
      </c>
      <c r="E27" s="44" t="str">
        <f>IF(AND(test_dist="oui",test_gis="oui"),IF(AND(typer="Clothoïde",'définition axe en plan'!D28="Alignement Droit"),'définition axe en plan'!E28,'définition axe en plan'!E27),"")</f>
        <v/>
      </c>
      <c r="F27" s="44" t="str">
        <f>IF(AND(test_dist="oui",test_gis="oui"),IF(AND(typer="Clothoïde",'définition axe en plan'!$D28="Alignement Droit"),'définition axe en plan'!F28,'définition axe en plan'!F27),"")</f>
        <v/>
      </c>
      <c r="G27" s="44" t="str">
        <f>IF(AND(test_dist="oui",test_gis="oui"),IF(AND(typer="Clothoïde",'définition axe en plan'!$D28="Alignement Droit"),'définition axe en plan'!G28,'définition axe en plan'!G27),"")</f>
        <v/>
      </c>
      <c r="H27" s="44" t="str">
        <f>IF(AND(test_dist="oui",test_gis="oui"),IF(AND(typer="Clothoïde",'définition axe en plan'!$D28="Alignement Droit"),'définition axe en plan'!H28,'définition axe en plan'!H27),"")</f>
        <v/>
      </c>
      <c r="I27" s="43" t="str">
        <f>IF(AND(test_dist="oui",test_gis="oui"),'définition axe en plan'!I27,"")</f>
        <v/>
      </c>
      <c r="J27" s="43" t="str">
        <f>IF(AND(test_dist="oui",test_gis="oui"),'définition axe en plan'!J27,"")</f>
        <v/>
      </c>
      <c r="K27" s="46" t="str">
        <f>IF(AND(test_dist="oui",test_gis="oui"),'définition axe en plan'!K27,"")</f>
        <v/>
      </c>
      <c r="L27" s="185" t="str">
        <f>IF(AND(test_dist="oui",test_gis="oui"),SUM('définition axe en plan'!L26:L28),"")</f>
        <v/>
      </c>
      <c r="M27" s="46" t="str">
        <f>IF(AND(test_dist="oui",test_gis="oui"),'définition axe en plan'!E28-'définition axe en plan'!E27,"")</f>
        <v/>
      </c>
    </row>
    <row r="28" spans="1:13" x14ac:dyDescent="0.2">
      <c r="A28" s="119" t="s">
        <v>136</v>
      </c>
      <c r="B28" s="43" t="str">
        <f>IF(MOD('définition axe en plan'!H28+100-Gis(Xdonné,Ydonné,'définition axe en plan'!F28,'définition axe en plan'!G28)+400,400)&gt;200,"oui","non")</f>
        <v>oui</v>
      </c>
      <c r="C28" s="194" t="str">
        <f>IF(MOD('définition axe en plan'!H29+100-Gis(Xdonné,Ydonné,'définition axe en plan'!F29,'définition axe en plan'!G29)+400,400)&lt;200,"oui","non")</f>
        <v>non</v>
      </c>
      <c r="D28" s="44" t="str">
        <f>IF(AND(test_dist="oui",test_gis="oui"),'définition axe en plan'!D28,"")</f>
        <v/>
      </c>
      <c r="E28" s="44" t="str">
        <f>IF(AND(test_dist="oui",test_gis="oui"),IF(AND(typer="Clothoïde",'définition axe en plan'!D29="Alignement Droit"),'définition axe en plan'!E29,'définition axe en plan'!E28),"")</f>
        <v/>
      </c>
      <c r="F28" s="44" t="str">
        <f>IF(AND(test_dist="oui",test_gis="oui"),IF(AND(typer="Clothoïde",'définition axe en plan'!$D29="Alignement Droit"),'définition axe en plan'!F29,'définition axe en plan'!F28),"")</f>
        <v/>
      </c>
      <c r="G28" s="44" t="str">
        <f>IF(AND(test_dist="oui",test_gis="oui"),IF(AND(typer="Clothoïde",'définition axe en plan'!$D29="Alignement Droit"),'définition axe en plan'!G29,'définition axe en plan'!G28),"")</f>
        <v/>
      </c>
      <c r="H28" s="44" t="str">
        <f>IF(AND(test_dist="oui",test_gis="oui"),IF(AND(typer="Clothoïde",'définition axe en plan'!$D29="Alignement Droit"),'définition axe en plan'!H29,'définition axe en plan'!H28),"")</f>
        <v/>
      </c>
      <c r="I28" s="43" t="str">
        <f>IF(AND(test_dist="oui",test_gis="oui"),'définition axe en plan'!I28,"")</f>
        <v/>
      </c>
      <c r="J28" s="43" t="str">
        <f>IF(AND(test_dist="oui",test_gis="oui"),'définition axe en plan'!J28,"")</f>
        <v/>
      </c>
      <c r="K28" s="46" t="str">
        <f>IF(AND(test_dist="oui",test_gis="oui"),'définition axe en plan'!K28,"")</f>
        <v/>
      </c>
      <c r="L28" s="185" t="str">
        <f>IF(AND(test_dist="oui",test_gis="oui"),SUM('définition axe en plan'!L27:L29),"")</f>
        <v/>
      </c>
      <c r="M28" s="46" t="str">
        <f>IF(AND(test_dist="oui",test_gis="oui"),'définition axe en plan'!E29-'définition axe en plan'!E28,"")</f>
        <v/>
      </c>
    </row>
    <row r="29" spans="1:13" x14ac:dyDescent="0.2">
      <c r="A29" s="119" t="s">
        <v>137</v>
      </c>
      <c r="B29" s="43" t="str">
        <f>IF(MOD('définition axe en plan'!H29+100-Gis(Xdonné,Ydonné,'définition axe en plan'!F29,'définition axe en plan'!G29)+400,400)&gt;200,"oui","non")</f>
        <v>oui</v>
      </c>
      <c r="C29" s="194" t="str">
        <f>IF(MOD('définition axe en plan'!H30+100-Gis(Xdonné,Ydonné,'définition axe en plan'!F30,'définition axe en plan'!G30)+400,400)&lt;200,"oui","non")</f>
        <v>non</v>
      </c>
      <c r="D29" s="44" t="str">
        <f>IF(AND(test_dist="oui",test_gis="oui"),'définition axe en plan'!D29,"")</f>
        <v/>
      </c>
      <c r="E29" s="44" t="str">
        <f>IF(AND(test_dist="oui",test_gis="oui"),IF(AND(typer="Clothoïde",'définition axe en plan'!D30="Alignement Droit"),'définition axe en plan'!E30,'définition axe en plan'!E29),"")</f>
        <v/>
      </c>
      <c r="F29" s="44" t="str">
        <f>IF(AND(test_dist="oui",test_gis="oui"),IF(AND(typer="Clothoïde",'définition axe en plan'!$D30="Alignement Droit"),'définition axe en plan'!F30,'définition axe en plan'!F29),"")</f>
        <v/>
      </c>
      <c r="G29" s="44" t="str">
        <f>IF(AND(test_dist="oui",test_gis="oui"),IF(AND(typer="Clothoïde",'définition axe en plan'!$D30="Alignement Droit"),'définition axe en plan'!G30,'définition axe en plan'!G29),"")</f>
        <v/>
      </c>
      <c r="H29" s="44" t="str">
        <f>IF(AND(test_dist="oui",test_gis="oui"),IF(AND(typer="Clothoïde",'définition axe en plan'!$D30="Alignement Droit"),'définition axe en plan'!H30,'définition axe en plan'!H29),"")</f>
        <v/>
      </c>
      <c r="I29" s="43" t="str">
        <f>IF(AND(test_dist="oui",test_gis="oui"),'définition axe en plan'!I29,"")</f>
        <v/>
      </c>
      <c r="J29" s="43" t="str">
        <f>IF(AND(test_dist="oui",test_gis="oui"),'définition axe en plan'!J29,"")</f>
        <v/>
      </c>
      <c r="K29" s="46" t="str">
        <f>IF(AND(test_dist="oui",test_gis="oui"),'définition axe en plan'!K29,"")</f>
        <v/>
      </c>
      <c r="L29" s="185" t="str">
        <f>IF(AND(test_dist="oui",test_gis="oui"),SUM('définition axe en plan'!L28:L30),"")</f>
        <v/>
      </c>
      <c r="M29" s="46" t="str">
        <f>IF(AND(test_dist="oui",test_gis="oui"),'définition axe en plan'!E30-'définition axe en plan'!E29,"")</f>
        <v/>
      </c>
    </row>
    <row r="30" spans="1:13" x14ac:dyDescent="0.2">
      <c r="A30" s="119" t="s">
        <v>138</v>
      </c>
      <c r="B30" s="43" t="str">
        <f>IF(MOD('définition axe en plan'!H30+100-Gis(Xdonné,Ydonné,'définition axe en plan'!F30,'définition axe en plan'!G30)+400,400)&gt;200,"oui","non")</f>
        <v>oui</v>
      </c>
      <c r="C30" s="194" t="str">
        <f>IF(MOD('définition axe en plan'!H31+100-Gis(Xdonné,Ydonné,'définition axe en plan'!F31,'définition axe en plan'!G31)+400,400)&lt;200,"oui","non")</f>
        <v>non</v>
      </c>
      <c r="D30" s="44" t="str">
        <f>IF(AND(test_dist="oui",test_gis="oui"),'définition axe en plan'!D30,"")</f>
        <v/>
      </c>
      <c r="E30" s="44" t="str">
        <f>IF(AND(test_dist="oui",test_gis="oui"),IF(AND(typer="Clothoïde",'définition axe en plan'!D31="Alignement Droit"),'définition axe en plan'!E31,'définition axe en plan'!E30),"")</f>
        <v/>
      </c>
      <c r="F30" s="44" t="str">
        <f>IF(AND(test_dist="oui",test_gis="oui"),IF(AND(typer="Clothoïde",'définition axe en plan'!$D31="Alignement Droit"),'définition axe en plan'!F31,'définition axe en plan'!F30),"")</f>
        <v/>
      </c>
      <c r="G30" s="44" t="str">
        <f>IF(AND(test_dist="oui",test_gis="oui"),IF(AND(typer="Clothoïde",'définition axe en plan'!$D31="Alignement Droit"),'définition axe en plan'!G31,'définition axe en plan'!G30),"")</f>
        <v/>
      </c>
      <c r="H30" s="44" t="str">
        <f>IF(AND(test_dist="oui",test_gis="oui"),IF(AND(typer="Clothoïde",'définition axe en plan'!$D31="Alignement Droit"),'définition axe en plan'!H31,'définition axe en plan'!H30),"")</f>
        <v/>
      </c>
      <c r="I30" s="43" t="str">
        <f>IF(AND(test_dist="oui",test_gis="oui"),'définition axe en plan'!I30,"")</f>
        <v/>
      </c>
      <c r="J30" s="43" t="str">
        <f>IF(AND(test_dist="oui",test_gis="oui"),'définition axe en plan'!J30,"")</f>
        <v/>
      </c>
      <c r="K30" s="46" t="str">
        <f>IF(AND(test_dist="oui",test_gis="oui"),'définition axe en plan'!K30,"")</f>
        <v/>
      </c>
      <c r="L30" s="185" t="str">
        <f>IF(AND(test_dist="oui",test_gis="oui"),SUM('définition axe en plan'!L29:L31),"")</f>
        <v/>
      </c>
      <c r="M30" s="46" t="str">
        <f>IF(AND(test_dist="oui",test_gis="oui"),'définition axe en plan'!E31-'définition axe en plan'!E30,"")</f>
        <v/>
      </c>
    </row>
    <row r="31" spans="1:13" x14ac:dyDescent="0.2">
      <c r="A31" s="119" t="s">
        <v>139</v>
      </c>
      <c r="B31" s="43" t="str">
        <f>IF(MOD('définition axe en plan'!H31+100-Gis(Xdonné,Ydonné,'définition axe en plan'!F31,'définition axe en plan'!G31)+400,400)&gt;200,"oui","non")</f>
        <v>oui</v>
      </c>
      <c r="C31" s="194" t="str">
        <f>IF(MOD('définition axe en plan'!H32+100-Gis(Xdonné,Ydonné,'définition axe en plan'!F32,'définition axe en plan'!G32)+400,400)&lt;200,"oui","non")</f>
        <v>non</v>
      </c>
      <c r="D31" s="44" t="str">
        <f>IF(AND(test_dist="oui",test_gis="oui"),'définition axe en plan'!D31,"")</f>
        <v/>
      </c>
      <c r="E31" s="44" t="str">
        <f>IF(AND(test_dist="oui",test_gis="oui"),IF(AND(typer="Clothoïde",'définition axe en plan'!D32="Alignement Droit"),'définition axe en plan'!E32,'définition axe en plan'!E31),"")</f>
        <v/>
      </c>
      <c r="F31" s="44" t="str">
        <f>IF(AND(test_dist="oui",test_gis="oui"),IF(AND(typer="Clothoïde",'définition axe en plan'!$D32="Alignement Droit"),'définition axe en plan'!F32,'définition axe en plan'!F31),"")</f>
        <v/>
      </c>
      <c r="G31" s="44" t="str">
        <f>IF(AND(test_dist="oui",test_gis="oui"),IF(AND(typer="Clothoïde",'définition axe en plan'!$D32="Alignement Droit"),'définition axe en plan'!G32,'définition axe en plan'!G31),"")</f>
        <v/>
      </c>
      <c r="H31" s="44" t="str">
        <f>IF(AND(test_dist="oui",test_gis="oui"),IF(AND(typer="Clothoïde",'définition axe en plan'!$D32="Alignement Droit"),'définition axe en plan'!H32,'définition axe en plan'!H31),"")</f>
        <v/>
      </c>
      <c r="I31" s="43" t="str">
        <f>IF(AND(test_dist="oui",test_gis="oui"),'définition axe en plan'!I31,"")</f>
        <v/>
      </c>
      <c r="J31" s="43" t="str">
        <f>IF(AND(test_dist="oui",test_gis="oui"),'définition axe en plan'!J31,"")</f>
        <v/>
      </c>
      <c r="K31" s="46" t="str">
        <f>IF(AND(test_dist="oui",test_gis="oui"),'définition axe en plan'!K31,"")</f>
        <v/>
      </c>
      <c r="L31" s="185" t="str">
        <f>IF(AND(test_dist="oui",test_gis="oui"),SUM('définition axe en plan'!L30:L32),"")</f>
        <v/>
      </c>
      <c r="M31" s="46" t="str">
        <f>IF(AND(test_dist="oui",test_gis="oui"),'définition axe en plan'!E32-'définition axe en plan'!E31,"")</f>
        <v/>
      </c>
    </row>
    <row r="32" spans="1:13" x14ac:dyDescent="0.2">
      <c r="A32" s="119" t="s">
        <v>140</v>
      </c>
      <c r="B32" s="43" t="str">
        <f>IF(MOD('définition axe en plan'!H32+100-Gis(Xdonné,Ydonné,'définition axe en plan'!F32,'définition axe en plan'!G32)+400,400)&gt;200,"oui","non")</f>
        <v>oui</v>
      </c>
      <c r="C32" s="194" t="str">
        <f>IF(MOD('définition axe en plan'!H33+100-Gis(Xdonné,Ydonné,'définition axe en plan'!F33,'définition axe en plan'!G33)+400,400)&lt;200,"oui","non")</f>
        <v>non</v>
      </c>
      <c r="D32" s="44" t="str">
        <f>IF(AND(test_dist="oui",test_gis="oui"),'définition axe en plan'!D32,"")</f>
        <v/>
      </c>
      <c r="E32" s="44" t="str">
        <f>IF(AND(test_dist="oui",test_gis="oui"),IF(AND(typer="Clothoïde",'définition axe en plan'!D33="Alignement Droit"),'définition axe en plan'!E33,'définition axe en plan'!E32),"")</f>
        <v/>
      </c>
      <c r="F32" s="44" t="str">
        <f>IF(AND(test_dist="oui",test_gis="oui"),IF(AND(typer="Clothoïde",'définition axe en plan'!$D33="Alignement Droit"),'définition axe en plan'!F33,'définition axe en plan'!F32),"")</f>
        <v/>
      </c>
      <c r="G32" s="44" t="str">
        <f>IF(AND(test_dist="oui",test_gis="oui"),IF(AND(typer="Clothoïde",'définition axe en plan'!$D33="Alignement Droit"),'définition axe en plan'!G33,'définition axe en plan'!G32),"")</f>
        <v/>
      </c>
      <c r="H32" s="44" t="str">
        <f>IF(AND(test_dist="oui",test_gis="oui"),IF(AND(typer="Clothoïde",'définition axe en plan'!$D33="Alignement Droit"),'définition axe en plan'!H33,'définition axe en plan'!H32),"")</f>
        <v/>
      </c>
      <c r="I32" s="43" t="str">
        <f>IF(AND(test_dist="oui",test_gis="oui"),'définition axe en plan'!I32,"")</f>
        <v/>
      </c>
      <c r="J32" s="43" t="str">
        <f>IF(AND(test_dist="oui",test_gis="oui"),'définition axe en plan'!J32,"")</f>
        <v/>
      </c>
      <c r="K32" s="46" t="str">
        <f>IF(AND(test_dist="oui",test_gis="oui"),'définition axe en plan'!K32,"")</f>
        <v/>
      </c>
      <c r="L32" s="185" t="str">
        <f>IF(AND(test_dist="oui",test_gis="oui"),SUM('définition axe en plan'!L31:L33),"")</f>
        <v/>
      </c>
      <c r="M32" s="46" t="str">
        <f>IF(AND(test_dist="oui",test_gis="oui"),'définition axe en plan'!E33-'définition axe en plan'!E32,"")</f>
        <v/>
      </c>
    </row>
    <row r="33" spans="1:19" x14ac:dyDescent="0.2">
      <c r="A33" s="119" t="s">
        <v>141</v>
      </c>
      <c r="B33" s="43" t="str">
        <f>IF(MOD('définition axe en plan'!H33+100-Gis(Xdonné,Ydonné,'définition axe en plan'!F33,'définition axe en plan'!G33)+400,400)&gt;200,"oui","non")</f>
        <v>oui</v>
      </c>
      <c r="C33" s="194" t="str">
        <f>IF(MOD('définition axe en plan'!H34+100-Gis(Xdonné,Ydonné,'définition axe en plan'!F34,'définition axe en plan'!G34)+400,400)&lt;200,"oui","non")</f>
        <v>non</v>
      </c>
      <c r="D33" s="44" t="str">
        <f>IF(AND(test_dist="oui",test_gis="oui"),'définition axe en plan'!D33,"")</f>
        <v/>
      </c>
      <c r="E33" s="44" t="str">
        <f>IF(AND(test_dist="oui",test_gis="oui"),IF(AND(typer="Clothoïde",'définition axe en plan'!D34="Alignement Droit"),'définition axe en plan'!E34,'définition axe en plan'!E33),"")</f>
        <v/>
      </c>
      <c r="F33" s="44" t="str">
        <f>IF(AND(test_dist="oui",test_gis="oui"),IF(AND(typer="Clothoïde",'définition axe en plan'!$D34="Alignement Droit"),'définition axe en plan'!F34,'définition axe en plan'!F33),"")</f>
        <v/>
      </c>
      <c r="G33" s="44" t="str">
        <f>IF(AND(test_dist="oui",test_gis="oui"),IF(AND(typer="Clothoïde",'définition axe en plan'!$D34="Alignement Droit"),'définition axe en plan'!G34,'définition axe en plan'!G33),"")</f>
        <v/>
      </c>
      <c r="H33" s="44" t="str">
        <f>IF(AND(test_dist="oui",test_gis="oui"),IF(AND(typer="Clothoïde",'définition axe en plan'!$D34="Alignement Droit"),'définition axe en plan'!H34,'définition axe en plan'!H33),"")</f>
        <v/>
      </c>
      <c r="I33" s="43" t="str">
        <f>IF(AND(test_dist="oui",test_gis="oui"),'définition axe en plan'!I33,"")</f>
        <v/>
      </c>
      <c r="J33" s="43" t="str">
        <f>IF(AND(test_dist="oui",test_gis="oui"),'définition axe en plan'!J33,"")</f>
        <v/>
      </c>
      <c r="K33" s="46" t="str">
        <f>IF(AND(test_dist="oui",test_gis="oui"),'définition axe en plan'!K33,"")</f>
        <v/>
      </c>
      <c r="L33" s="185" t="str">
        <f>IF(AND(test_dist="oui",test_gis="oui"),SUM('définition axe en plan'!L32:L34),"")</f>
        <v/>
      </c>
      <c r="M33" s="46" t="str">
        <f>IF(AND(test_dist="oui",test_gis="oui"),'définition axe en plan'!E34-'définition axe en plan'!E33,"")</f>
        <v/>
      </c>
    </row>
    <row r="34" spans="1:19" x14ac:dyDescent="0.2">
      <c r="A34" s="119" t="s">
        <v>161</v>
      </c>
      <c r="B34" s="43" t="str">
        <f>IF(MOD('définition axe en plan'!H34+100-Gis(Xdonné,Ydonné,'définition axe en plan'!F34,'définition axe en plan'!G34)+400,400)&gt;200,"oui","non")</f>
        <v>oui</v>
      </c>
      <c r="C34" s="194" t="str">
        <f>IF(MOD('définition axe en plan'!H35+100-Gis(Xdonné,Ydonné,'définition axe en plan'!F35,'définition axe en plan'!G35)+400,400)&lt;200,"oui","non")</f>
        <v>non</v>
      </c>
      <c r="D34" s="44" t="str">
        <f>IF(AND(test_dist="oui",test_gis="oui"),'définition axe en plan'!D34,"")</f>
        <v/>
      </c>
      <c r="E34" s="44" t="str">
        <f>IF(AND(test_dist="oui",test_gis="oui"),IF(AND(typer="Clothoïde",'définition axe en plan'!D35="Alignement Droit"),'définition axe en plan'!E35,'définition axe en plan'!E34),"")</f>
        <v/>
      </c>
      <c r="F34" s="44" t="str">
        <f>IF(AND(test_dist="oui",test_gis="oui"),IF(AND(typer="Clothoïde",'définition axe en plan'!$D35="Alignement Droit"),'définition axe en plan'!F35,'définition axe en plan'!F34),"")</f>
        <v/>
      </c>
      <c r="G34" s="44" t="str">
        <f>IF(AND(test_dist="oui",test_gis="oui"),IF(AND(typer="Clothoïde",'définition axe en plan'!$D35="Alignement Droit"),'définition axe en plan'!G35,'définition axe en plan'!G34),"")</f>
        <v/>
      </c>
      <c r="H34" s="44" t="str">
        <f>IF(AND(test_dist="oui",test_gis="oui"),IF(AND(typer="Clothoïde",'définition axe en plan'!$D35="Alignement Droit"),'définition axe en plan'!H35,'définition axe en plan'!H34),"")</f>
        <v/>
      </c>
      <c r="I34" s="43" t="str">
        <f>IF(AND(test_dist="oui",test_gis="oui"),'définition axe en plan'!I34,"")</f>
        <v/>
      </c>
      <c r="J34" s="43" t="str">
        <f>IF(AND(test_dist="oui",test_gis="oui"),'définition axe en plan'!J34,"")</f>
        <v/>
      </c>
      <c r="K34" s="46" t="str">
        <f>IF(AND(test_dist="oui",test_gis="oui"),'définition axe en plan'!K34,"")</f>
        <v/>
      </c>
      <c r="L34" s="185" t="str">
        <f>IF(AND(test_dist="oui",test_gis="oui"),SUM('définition axe en plan'!L33:L35),"")</f>
        <v/>
      </c>
      <c r="M34" s="46" t="str">
        <f>IF(AND(test_dist="oui",test_gis="oui"),'définition axe en plan'!E35-'définition axe en plan'!E34,"")</f>
        <v/>
      </c>
    </row>
    <row r="35" spans="1:19" x14ac:dyDescent="0.2">
      <c r="A35" s="119" t="s">
        <v>162</v>
      </c>
      <c r="B35" s="43" t="str">
        <f>IF(MOD('définition axe en plan'!H35+100-Gis(Xdonné,Ydonné,'définition axe en plan'!F35,'définition axe en plan'!G35)+400,400)&gt;200,"oui","non")</f>
        <v>oui</v>
      </c>
      <c r="C35" s="194" t="str">
        <f>IF(MOD('définition axe en plan'!H36+100-Gis(Xdonné,Ydonné,'définition axe en plan'!F36,'définition axe en plan'!G36)+400,400)&lt;200,"oui","non")</f>
        <v>non</v>
      </c>
      <c r="D35" s="44" t="str">
        <f>IF(AND(test_dist="oui",test_gis="oui"),'définition axe en plan'!D35,"")</f>
        <v/>
      </c>
      <c r="E35" s="44" t="str">
        <f>IF(AND(test_dist="oui",test_gis="oui"),IF(AND(typer="Clothoïde",'définition axe en plan'!D36="Alignement Droit"),'définition axe en plan'!E36,'définition axe en plan'!E35),"")</f>
        <v/>
      </c>
      <c r="F35" s="44" t="str">
        <f>IF(AND(test_dist="oui",test_gis="oui"),IF(AND(typer="Clothoïde",'définition axe en plan'!$D36="Alignement Droit"),'définition axe en plan'!F36,'définition axe en plan'!F35),"")</f>
        <v/>
      </c>
      <c r="G35" s="44" t="str">
        <f>IF(AND(test_dist="oui",test_gis="oui"),IF(AND(typer="Clothoïde",'définition axe en plan'!$D36="Alignement Droit"),'définition axe en plan'!G36,'définition axe en plan'!G35),"")</f>
        <v/>
      </c>
      <c r="H35" s="44" t="str">
        <f>IF(AND(test_dist="oui",test_gis="oui"),IF(AND(typer="Clothoïde",'définition axe en plan'!$D36="Alignement Droit"),'définition axe en plan'!H36,'définition axe en plan'!H35),"")</f>
        <v/>
      </c>
      <c r="I35" s="43" t="str">
        <f>IF(AND(test_dist="oui",test_gis="oui"),'définition axe en plan'!I35,"")</f>
        <v/>
      </c>
      <c r="J35" s="43" t="str">
        <f>IF(AND(test_dist="oui",test_gis="oui"),'définition axe en plan'!J35,"")</f>
        <v/>
      </c>
      <c r="K35" s="46" t="str">
        <f>IF(AND(test_dist="oui",test_gis="oui"),'définition axe en plan'!K35,"")</f>
        <v/>
      </c>
      <c r="L35" s="185" t="str">
        <f>IF(AND(test_dist="oui",test_gis="oui"),SUM('définition axe en plan'!L34:L36),"")</f>
        <v/>
      </c>
      <c r="M35" s="46" t="str">
        <f>IF(AND(test_dist="oui",test_gis="oui"),'définition axe en plan'!E36-'définition axe en plan'!E35,"")</f>
        <v/>
      </c>
    </row>
    <row r="36" spans="1:19" x14ac:dyDescent="0.2">
      <c r="A36" s="119" t="s">
        <v>163</v>
      </c>
      <c r="B36" s="43" t="str">
        <f>IF(MOD('définition axe en plan'!H36+100-Gis(Xdonné,Ydonné,'définition axe en plan'!F36,'définition axe en plan'!G36)+400,400)&gt;200,"oui","non")</f>
        <v>oui</v>
      </c>
      <c r="C36" s="194" t="str">
        <f>IF(MOD('définition axe en plan'!H37+100-Gis(Xdonné,Ydonné,'définition axe en plan'!F37,'définition axe en plan'!G37)+400,400)&lt;200,"oui","non")</f>
        <v>non</v>
      </c>
      <c r="D36" s="44" t="str">
        <f>IF(AND(test_dist="oui",test_gis="oui"),'définition axe en plan'!D36,"")</f>
        <v/>
      </c>
      <c r="E36" s="44" t="str">
        <f>IF(AND(test_dist="oui",test_gis="oui"),IF(AND(typer="Clothoïde",'définition axe en plan'!D37="Alignement Droit"),'définition axe en plan'!E37,'définition axe en plan'!E36),"")</f>
        <v/>
      </c>
      <c r="F36" s="44" t="str">
        <f>IF(AND(test_dist="oui",test_gis="oui"),IF(AND(typer="Clothoïde",'définition axe en plan'!$D37="Alignement Droit"),'définition axe en plan'!F37,'définition axe en plan'!F36),"")</f>
        <v/>
      </c>
      <c r="G36" s="44" t="str">
        <f>IF(AND(test_dist="oui",test_gis="oui"),IF(AND(typer="Clothoïde",'définition axe en plan'!$D37="Alignement Droit"),'définition axe en plan'!G37,'définition axe en plan'!G36),"")</f>
        <v/>
      </c>
      <c r="H36" s="44" t="str">
        <f>IF(AND(test_dist="oui",test_gis="oui"),IF(AND(typer="Clothoïde",'définition axe en plan'!$D37="Alignement Droit"),'définition axe en plan'!H37,'définition axe en plan'!H36),"")</f>
        <v/>
      </c>
      <c r="I36" s="43" t="str">
        <f>IF(AND(test_dist="oui",test_gis="oui"),'définition axe en plan'!I36,"")</f>
        <v/>
      </c>
      <c r="J36" s="43" t="str">
        <f>IF(AND(test_dist="oui",test_gis="oui"),'définition axe en plan'!J36,"")</f>
        <v/>
      </c>
      <c r="K36" s="46" t="str">
        <f>IF(AND(test_dist="oui",test_gis="oui"),'définition axe en plan'!K36,"")</f>
        <v/>
      </c>
      <c r="L36" s="185" t="str">
        <f>IF(AND(test_dist="oui",test_gis="oui"),SUM('définition axe en plan'!L35:L37),"")</f>
        <v/>
      </c>
      <c r="M36" s="46" t="str">
        <f>IF(AND(test_dist="oui",test_gis="oui"),'définition axe en plan'!E37-'définition axe en plan'!E36,"")</f>
        <v/>
      </c>
    </row>
    <row r="37" spans="1:19" x14ac:dyDescent="0.2">
      <c r="A37" s="119" t="s">
        <v>170</v>
      </c>
      <c r="B37" s="43" t="str">
        <f>IF(MOD('définition axe en plan'!H37+100-Gis(Xdonné,Ydonné,'définition axe en plan'!F37,'définition axe en plan'!G37)+400,400)&gt;200,"oui","non")</f>
        <v>oui</v>
      </c>
      <c r="C37" s="194" t="str">
        <f>IF(MOD('définition axe en plan'!H38+100-Gis(Xdonné,Ydonné,'définition axe en plan'!F38,'définition axe en plan'!G38)+400,400)&lt;200,"oui","non")</f>
        <v>non</v>
      </c>
      <c r="D37" s="44" t="str">
        <f>IF(AND(test_dist="oui",test_gis="oui"),'définition axe en plan'!D37,"")</f>
        <v/>
      </c>
      <c r="E37" s="44" t="str">
        <f>IF(AND(test_dist="oui",test_gis="oui"),IF(AND(typer="Clothoïde",'définition axe en plan'!D38="Alignement Droit"),'définition axe en plan'!E38,'définition axe en plan'!E37),"")</f>
        <v/>
      </c>
      <c r="F37" s="44" t="str">
        <f>IF(AND(test_dist="oui",test_gis="oui"),IF(AND(typer="Clothoïde",'définition axe en plan'!$D38="Alignement Droit"),'définition axe en plan'!F38,'définition axe en plan'!F37),"")</f>
        <v/>
      </c>
      <c r="G37" s="44" t="str">
        <f>IF(AND(test_dist="oui",test_gis="oui"),IF(AND(typer="Clothoïde",'définition axe en plan'!$D38="Alignement Droit"),'définition axe en plan'!G38,'définition axe en plan'!G37),"")</f>
        <v/>
      </c>
      <c r="H37" s="44" t="str">
        <f>IF(AND(test_dist="oui",test_gis="oui"),IF(AND(typer="Clothoïde",'définition axe en plan'!$D38="Alignement Droit"),'définition axe en plan'!H38,'définition axe en plan'!H37),"")</f>
        <v/>
      </c>
      <c r="I37" s="43" t="str">
        <f>IF(AND(test_dist="oui",test_gis="oui"),'définition axe en plan'!I37,"")</f>
        <v/>
      </c>
      <c r="J37" s="43" t="str">
        <f>IF(AND(test_dist="oui",test_gis="oui"),'définition axe en plan'!J37,"")</f>
        <v/>
      </c>
      <c r="K37" s="46" t="str">
        <f>IF(AND(test_dist="oui",test_gis="oui"),'définition axe en plan'!K37,"")</f>
        <v/>
      </c>
      <c r="L37" s="185" t="str">
        <f>IF(AND(test_dist="oui",test_gis="oui"),SUM('définition axe en plan'!L36:L38),"")</f>
        <v/>
      </c>
      <c r="M37" s="46" t="str">
        <f>IF(AND(test_dist="oui",test_gis="oui"),'définition axe en plan'!E38-'définition axe en plan'!E37,"")</f>
        <v/>
      </c>
    </row>
    <row r="38" spans="1:19" x14ac:dyDescent="0.2">
      <c r="A38" s="119" t="s">
        <v>171</v>
      </c>
      <c r="B38" s="43" t="str">
        <f>IF(MOD('définition axe en plan'!H38+100-Gis(Xdonné,Ydonné,'définition axe en plan'!F38,'définition axe en plan'!G38)+400,400)&gt;200,"oui","non")</f>
        <v>oui</v>
      </c>
      <c r="C38" s="194" t="str">
        <f>IF(MOD('définition axe en plan'!H39+100-Gis(Xdonné,Ydonné,'définition axe en plan'!F39,'définition axe en plan'!G39)+400,400)&lt;200,"oui","non")</f>
        <v>non</v>
      </c>
      <c r="D38" s="44" t="str">
        <f>IF(AND(test_dist="oui",test_gis="oui"),'définition axe en plan'!D38,"")</f>
        <v/>
      </c>
      <c r="E38" s="44" t="str">
        <f>IF(AND(test_dist="oui",test_gis="oui"),IF(AND(typer="Clothoïde",'définition axe en plan'!D39="Alignement Droit"),'définition axe en plan'!E39,'définition axe en plan'!E38),"")</f>
        <v/>
      </c>
      <c r="F38" s="44" t="str">
        <f>IF(AND(test_dist="oui",test_gis="oui"),IF(AND(typer="Clothoïde",'définition axe en plan'!$D39="Alignement Droit"),'définition axe en plan'!F39,'définition axe en plan'!F38),"")</f>
        <v/>
      </c>
      <c r="G38" s="44" t="str">
        <f>IF(AND(test_dist="oui",test_gis="oui"),IF(AND(typer="Clothoïde",'définition axe en plan'!$D39="Alignement Droit"),'définition axe en plan'!G39,'définition axe en plan'!G38),"")</f>
        <v/>
      </c>
      <c r="H38" s="44" t="str">
        <f>IF(AND(test_dist="oui",test_gis="oui"),IF(AND(typer="Clothoïde",'définition axe en plan'!$D39="Alignement Droit"),'définition axe en plan'!H39,'définition axe en plan'!H38),"")</f>
        <v/>
      </c>
      <c r="I38" s="43" t="str">
        <f>IF(AND(test_dist="oui",test_gis="oui"),'définition axe en plan'!I38,"")</f>
        <v/>
      </c>
      <c r="J38" s="43" t="str">
        <f>IF(AND(test_dist="oui",test_gis="oui"),'définition axe en plan'!J38,"")</f>
        <v/>
      </c>
      <c r="K38" s="46" t="str">
        <f>IF(AND(test_dist="oui",test_gis="oui"),'définition axe en plan'!K38,"")</f>
        <v/>
      </c>
      <c r="L38" s="185" t="str">
        <f>IF(AND(test_dist="oui",test_gis="oui"),SUM('définition axe en plan'!L37:L39),"")</f>
        <v/>
      </c>
      <c r="M38" s="46" t="str">
        <f>IF(AND(test_dist="oui",test_gis="oui"),'définition axe en plan'!E39-'définition axe en plan'!E38,"")</f>
        <v/>
      </c>
    </row>
    <row r="39" spans="1:19" x14ac:dyDescent="0.2">
      <c r="A39" s="119"/>
      <c r="B39" s="43"/>
      <c r="C39" s="194"/>
      <c r="D39" s="44"/>
      <c r="E39" s="44"/>
      <c r="F39" s="44"/>
      <c r="G39" s="44"/>
      <c r="H39" s="44"/>
      <c r="I39" s="43"/>
      <c r="J39" s="43"/>
      <c r="K39" s="46"/>
      <c r="L39" s="185" t="str">
        <f>IF(AND(test_dist="oui",test_gis="oui"),SUM('définition axe en plan'!L38:L40),"")</f>
        <v/>
      </c>
      <c r="M39" s="46"/>
    </row>
    <row r="40" spans="1:19" x14ac:dyDescent="0.2">
      <c r="A40" s="119"/>
      <c r="B40" s="43"/>
      <c r="C40" s="194"/>
      <c r="D40" s="44"/>
      <c r="E40" s="44"/>
      <c r="F40" s="44"/>
      <c r="G40" s="44"/>
      <c r="H40" s="44"/>
      <c r="I40" s="43"/>
      <c r="J40" s="43"/>
      <c r="K40" s="46"/>
      <c r="L40" s="185" t="str">
        <f>IF(AND(test_dist="oui",test_gis="oui"),SUM('définition axe en plan'!L39:L41),"")</f>
        <v/>
      </c>
      <c r="M40" s="46"/>
    </row>
    <row r="41" spans="1:19" x14ac:dyDescent="0.2">
      <c r="D41" s="36"/>
      <c r="E41" s="37"/>
      <c r="F41" s="37"/>
      <c r="G41" s="37"/>
      <c r="H41" s="38"/>
      <c r="I41" s="36"/>
      <c r="J41" s="36"/>
      <c r="K41" s="39"/>
    </row>
    <row r="42" spans="1:19" ht="15.75" x14ac:dyDescent="0.2">
      <c r="B42" s="32"/>
      <c r="C42" s="33" t="s">
        <v>28</v>
      </c>
      <c r="D42" s="48" t="str">
        <f>D11&amp;D12&amp;D13&amp;D14&amp;D15&amp;D16&amp;D17&amp;D18&amp;D19&amp;D20&amp;D21&amp;D22&amp;D23&amp;D24&amp;D25&amp;D26&amp;D27&amp;D28&amp;D29&amp;D30&amp;D31&amp;D32&amp;D33&amp;D34&amp;D35&amp;D36&amp;D37&amp;D38&amp;D39&amp;D40</f>
        <v>alignement droit</v>
      </c>
      <c r="E42" s="48">
        <f>SUM(E11:E40)</f>
        <v>-16.602</v>
      </c>
      <c r="F42" s="48">
        <f t="shared" ref="F42:M42" si="0">SUM(F11:F40)</f>
        <v>823077.49860000005</v>
      </c>
      <c r="G42" s="48">
        <f t="shared" si="0"/>
        <v>1091438.1909</v>
      </c>
      <c r="H42" s="48">
        <f t="shared" si="0"/>
        <v>272.22219999999999</v>
      </c>
      <c r="I42" s="48">
        <f t="shared" si="0"/>
        <v>0</v>
      </c>
      <c r="J42" s="48">
        <f t="shared" si="0"/>
        <v>0</v>
      </c>
      <c r="K42" s="48">
        <f t="shared" si="0"/>
        <v>0</v>
      </c>
      <c r="L42" s="48">
        <f t="shared" si="0"/>
        <v>0</v>
      </c>
      <c r="M42" s="48">
        <f t="shared" si="0"/>
        <v>16.602</v>
      </c>
    </row>
    <row r="43" spans="1:19" x14ac:dyDescent="0.2">
      <c r="D43" s="36"/>
      <c r="E43" s="37"/>
      <c r="F43" s="37"/>
      <c r="G43" s="37"/>
      <c r="H43" s="38"/>
      <c r="I43" s="36"/>
      <c r="J43" s="36"/>
      <c r="K43" s="39"/>
    </row>
    <row r="44" spans="1:19" ht="30" x14ac:dyDescent="0.2">
      <c r="B44" s="103" t="s">
        <v>56</v>
      </c>
      <c r="C44" s="104"/>
      <c r="D44" s="42">
        <f>PMdonnér-pmr</f>
        <v>6.6692800000000005</v>
      </c>
    </row>
    <row r="46" spans="1:19" ht="75" x14ac:dyDescent="0.2">
      <c r="A46" s="52" t="s">
        <v>29</v>
      </c>
      <c r="B46" s="53" t="s">
        <v>30</v>
      </c>
      <c r="C46" s="53" t="s">
        <v>31</v>
      </c>
      <c r="D46" s="53" t="s">
        <v>32</v>
      </c>
      <c r="E46" s="53" t="s">
        <v>33</v>
      </c>
      <c r="F46" s="53" t="s">
        <v>2</v>
      </c>
      <c r="G46" s="91" t="s">
        <v>146</v>
      </c>
      <c r="L46" s="34" t="s">
        <v>34</v>
      </c>
      <c r="M46" s="52" t="s">
        <v>35</v>
      </c>
      <c r="N46" s="53" t="s">
        <v>36</v>
      </c>
      <c r="P46" s="13" t="s">
        <v>37</v>
      </c>
      <c r="Q46" s="13" t="s">
        <v>38</v>
      </c>
      <c r="R46" s="13" t="s">
        <v>39</v>
      </c>
      <c r="S46" s="13" t="s">
        <v>40</v>
      </c>
    </row>
    <row r="47" spans="1:19" x14ac:dyDescent="0.2">
      <c r="G47"/>
    </row>
    <row r="48" spans="1:19" ht="30" customHeight="1" x14ac:dyDescent="0.2">
      <c r="A48" s="41">
        <f>IF(typer="Alignement Droit",Dist(Xr,Yr,Xdonné,Ydonné),"")</f>
        <v>7.1957544845238877</v>
      </c>
      <c r="B48" s="41">
        <f>IF(typer="Alignement Droit",Gis(Xr,Yr,Xdonné,Ydonné),"")</f>
        <v>247.71861589775622</v>
      </c>
      <c r="C48" s="41">
        <f>IF(typer="Alignement Droit",B48-Gisr,"")</f>
        <v>-24.503584102243764</v>
      </c>
      <c r="D48" s="41">
        <f>IF(typer="Alignement Droit",A48*cosgr(C48),"")</f>
        <v>6.6692804081414376</v>
      </c>
      <c r="E48" s="110">
        <f>IF(typer="Alignement Droit",A48*singr(C48),"")</f>
        <v>-2.7017737579461412</v>
      </c>
      <c r="F48" s="110">
        <f>IF(typer="Alignement Droit",pmr+D48,"")</f>
        <v>-9.9327195918585627</v>
      </c>
      <c r="G48"/>
      <c r="I48" s="14" t="s">
        <v>41</v>
      </c>
    </row>
    <row r="49" spans="1:19" x14ac:dyDescent="0.2">
      <c r="G49"/>
    </row>
    <row r="50" spans="1:19" ht="30" customHeight="1" x14ac:dyDescent="0.2">
      <c r="C50" s="41" t="str">
        <f>IF(typer="Cercle",MOD(ABS((Gisr-100*sensr)-L50),"400"),"")</f>
        <v/>
      </c>
      <c r="D50" s="41" t="str">
        <f>IF(typer="Cercle",C50*PI()/200*Rayr,"")</f>
        <v/>
      </c>
      <c r="E50" s="110" t="str">
        <f>IF(typer="Cercle",sensr*(Rayr-Dist(M50,N50,Xdonné,Ydonné)),"")</f>
        <v/>
      </c>
      <c r="F50" s="110" t="str">
        <f>IF(typer="Cercle",pmr+D50,"")</f>
        <v/>
      </c>
      <c r="G50" s="41" t="str">
        <f>IF(typer="Cercle",Déversrabat,"")</f>
        <v/>
      </c>
      <c r="I50" s="14" t="s">
        <v>42</v>
      </c>
      <c r="L50" s="41" t="str">
        <f>IF(typer="Cercle",Gis(M50,N50,Xdonné,Ydonné),"")</f>
        <v/>
      </c>
      <c r="M50" s="54" t="str">
        <f>IF(typer="Cercle",coordX(Xr,Gisr+100*sensr,Rayr),"")</f>
        <v/>
      </c>
      <c r="N50" s="41" t="str">
        <f>IF(typer="Cercle",coordY(Yr,Gisr+100*sensr,Rayr),"")</f>
        <v/>
      </c>
    </row>
    <row r="51" spans="1:19" x14ac:dyDescent="0.2">
      <c r="G51"/>
    </row>
    <row r="52" spans="1:19" ht="30" customHeight="1" x14ac:dyDescent="0.2">
      <c r="A52" s="41" t="str">
        <f>IF(typer="Clothoïde",Dist(Xr,Yr,Xdonné,Ydonné),"")</f>
        <v/>
      </c>
      <c r="B52" s="41" t="str">
        <f>IF(typer="Clothoïde",Gis(Xr,Yr,Xdonné,Ydonné),"")</f>
        <v/>
      </c>
      <c r="C52" s="41" t="str">
        <f>IF(typer="Clothoïde",B52-Gisr,"")</f>
        <v/>
      </c>
      <c r="D52" s="41" t="str">
        <f>IF(typer="Clothoïde",R52*paramr,"")</f>
        <v/>
      </c>
      <c r="E52" s="41" t="str">
        <f>IF(typer="Clothoïde",S52*paramr*sensr,"")</f>
        <v/>
      </c>
      <c r="F52" s="41" t="str">
        <f>IF(typer="Clothoïde",pmr+D52,"")</f>
        <v/>
      </c>
      <c r="G52" s="41" t="str">
        <f>IF(typer="Clothoïde",Déversrabat*ABS(Dr)/M42,"")</f>
        <v/>
      </c>
      <c r="I52" s="14" t="s">
        <v>43</v>
      </c>
      <c r="P52" s="41" t="str">
        <f>IF(typer="Clothoïde",A52*cosgr(C52)/paramr,"")</f>
        <v/>
      </c>
      <c r="Q52" s="41" t="str">
        <f>IF(typer="Clothoïde",A52*singr(C52)/paramr*sensr,"")</f>
        <v/>
      </c>
      <c r="R52" s="41" t="str">
        <f>IF(typer="Clothoïde",P52*(1-Q52*P52/2+7/30*P52^4)/(1-Q52*P52+7/24*P52^4),"")</f>
        <v/>
      </c>
      <c r="S52" s="41" t="str">
        <f>IF(typer="Clothoïde",Q52-R52^3/6+Q52/8*R52^4-R52^7/56,"")</f>
        <v/>
      </c>
    </row>
    <row r="53" spans="1:19" ht="15.75" thickBot="1" x14ac:dyDescent="0.25">
      <c r="G53"/>
    </row>
    <row r="54" spans="1:19" ht="30" customHeight="1" thickBot="1" x14ac:dyDescent="0.25">
      <c r="A54" s="55">
        <f t="shared" ref="A54:G54" si="1">ROUND(SUM(A48:A52),5)</f>
        <v>7.1957500000000003</v>
      </c>
      <c r="B54" s="42">
        <f t="shared" si="1"/>
        <v>247.71861999999999</v>
      </c>
      <c r="C54" s="42">
        <f t="shared" si="1"/>
        <v>-24.503579999999999</v>
      </c>
      <c r="D54" s="42">
        <f t="shared" si="1"/>
        <v>6.6692799999999997</v>
      </c>
      <c r="E54" s="111">
        <f t="shared" si="1"/>
        <v>-2.7017699999999998</v>
      </c>
      <c r="F54" s="112">
        <f t="shared" si="1"/>
        <v>-9.9327199999999998</v>
      </c>
      <c r="G54" s="210">
        <f t="shared" si="1"/>
        <v>0</v>
      </c>
    </row>
  </sheetData>
  <customSheetViews>
    <customSheetView guid="{7E34E800-94BB-11D6-B2C6-0002A57730F5}" scale="50" showRuler="0" topLeftCell="K19">
      <selection activeCell="N45" sqref="N45"/>
      <pageMargins left="0.39370078740157483" right="0.19685039370078741" top="0.39370078740157483" bottom="0.39370078740157483" header="0.11811023622047245" footer="0.11811023622047245"/>
      <printOptions horizontalCentered="1"/>
      <pageSetup paperSize="9" orientation="portrait" horizontalDpi="300" verticalDpi="300" r:id="rId1"/>
      <headerFooter alignWithMargins="0">
        <oddHeader>&amp;C&amp;F&amp;A</oddHeader>
      </headerFooter>
    </customSheetView>
  </customSheetViews>
  <mergeCells count="1">
    <mergeCell ref="O1:T1"/>
  </mergeCells>
  <phoneticPr fontId="0" type="noConversion"/>
  <printOptions horizontalCentered="1"/>
  <pageMargins left="0.39370078740157483" right="0.19685039370078741" top="0.39370078740157483" bottom="0.39370078740157483" header="0.11811023622047245" footer="0.11811023622047245"/>
  <pageSetup paperSize="9" orientation="portrait" horizontalDpi="300" verticalDpi="300" r:id="rId2"/>
  <headerFooter alignWithMargins="0">
    <oddHeader>&amp;C&amp;F&amp;A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5CBE9-4FA1-4719-A37F-7EA7396C9E47}">
  <sheetPr codeName="Feuil3"/>
  <dimension ref="A1:X159"/>
  <sheetViews>
    <sheetView zoomScale="50" workbookViewId="0">
      <selection activeCell="A4" sqref="A4"/>
    </sheetView>
  </sheetViews>
  <sheetFormatPr baseColWidth="10" defaultColWidth="14" defaultRowHeight="15" x14ac:dyDescent="0.2"/>
  <cols>
    <col min="1" max="3" width="25.7109375" style="13" customWidth="1"/>
    <col min="4" max="4" width="28.7109375" style="13" customWidth="1"/>
    <col min="5" max="5" width="20.7109375" style="13" customWidth="1"/>
    <col min="6" max="6" width="19.85546875" style="13" customWidth="1"/>
    <col min="7" max="7" width="17.7109375" style="13" customWidth="1"/>
    <col min="8" max="8" width="18.85546875" style="13" customWidth="1"/>
    <col min="9" max="9" width="20.28515625" style="13" customWidth="1"/>
    <col min="10" max="16384" width="14" style="13"/>
  </cols>
  <sheetData>
    <row r="1" spans="1:24" ht="80.099999999999994" customHeight="1" thickTop="1" thickBot="1" x14ac:dyDescent="0.25">
      <c r="A1" s="18" t="s">
        <v>0</v>
      </c>
      <c r="B1" s="19"/>
      <c r="C1" s="20" t="s">
        <v>16</v>
      </c>
      <c r="D1" s="21"/>
      <c r="E1" s="22"/>
      <c r="G1" s="14" t="s">
        <v>44</v>
      </c>
      <c r="H1"/>
      <c r="J1" s="14" t="s">
        <v>45</v>
      </c>
      <c r="S1" s="311" t="str">
        <f>'INFOS-PARAM'!B3&amp;"-"&amp;'INFOS-PARAM'!B5</f>
        <v>GGS-EXE</v>
      </c>
      <c r="T1" s="312"/>
      <c r="U1" s="312"/>
      <c r="V1" s="312"/>
      <c r="W1" s="312"/>
      <c r="X1" s="313"/>
    </row>
    <row r="2" spans="1:24" ht="39.950000000000003" customHeight="1" thickTop="1" thickBot="1" x14ac:dyDescent="0.25">
      <c r="A2" s="61" t="s">
        <v>2</v>
      </c>
      <c r="B2" s="62" t="s">
        <v>19</v>
      </c>
      <c r="C2" s="59" t="s">
        <v>46</v>
      </c>
      <c r="D2" s="58" t="s">
        <v>47</v>
      </c>
      <c r="E2" s="57" t="s">
        <v>48</v>
      </c>
      <c r="G2" s="14" t="s">
        <v>49</v>
      </c>
      <c r="H2"/>
      <c r="J2" s="14" t="s">
        <v>50</v>
      </c>
    </row>
    <row r="3" spans="1:24" ht="80.099999999999994" customHeight="1" thickTop="1" x14ac:dyDescent="0.2">
      <c r="A3" s="10"/>
      <c r="B3"/>
      <c r="C3" s="8"/>
      <c r="D3" s="4"/>
      <c r="E3" s="9"/>
      <c r="G3" s="14" t="s">
        <v>51</v>
      </c>
      <c r="H3"/>
      <c r="J3" s="14" t="s">
        <v>52</v>
      </c>
    </row>
    <row r="4" spans="1:24" ht="39.950000000000003" customHeight="1" x14ac:dyDescent="0.2">
      <c r="A4" s="71">
        <f>Entrée!D10</f>
        <v>-9.9327199999999998</v>
      </c>
      <c r="B4" s="72"/>
      <c r="C4" s="23">
        <f>C54</f>
        <v>823071.45418</v>
      </c>
      <c r="D4" s="24">
        <f>D54</f>
        <v>1091435.37234</v>
      </c>
      <c r="E4" s="51">
        <f>E54</f>
        <v>272.22219999999999</v>
      </c>
      <c r="G4" s="14" t="s">
        <v>53</v>
      </c>
      <c r="H4"/>
      <c r="J4" s="14" t="s">
        <v>54</v>
      </c>
    </row>
    <row r="5" spans="1:24" ht="80.099999999999994" customHeight="1" thickBot="1" x14ac:dyDescent="0.25">
      <c r="A5" s="25"/>
      <c r="B5" s="26"/>
      <c r="C5" s="27"/>
      <c r="D5" s="28"/>
      <c r="E5" s="29"/>
    </row>
    <row r="6" spans="1:24" ht="15.75" thickTop="1" x14ac:dyDescent="0.2"/>
    <row r="9" spans="1:24" ht="20.25" x14ac:dyDescent="0.2">
      <c r="C9" s="35" t="s">
        <v>55</v>
      </c>
      <c r="D9" s="15" t="s">
        <v>20</v>
      </c>
      <c r="E9" s="15" t="s">
        <v>2</v>
      </c>
      <c r="F9" s="15" t="s">
        <v>21</v>
      </c>
      <c r="G9" s="15" t="s">
        <v>22</v>
      </c>
      <c r="H9" s="16" t="s">
        <v>23</v>
      </c>
      <c r="I9" s="15" t="s">
        <v>24</v>
      </c>
      <c r="J9" s="15" t="s">
        <v>25</v>
      </c>
      <c r="K9" s="17" t="s">
        <v>26</v>
      </c>
    </row>
    <row r="10" spans="1:24" x14ac:dyDescent="0.2">
      <c r="C10" s="36"/>
      <c r="D10" s="36"/>
      <c r="E10" s="36"/>
      <c r="F10" s="36"/>
      <c r="G10" s="36"/>
      <c r="H10" s="36"/>
      <c r="I10" s="36"/>
      <c r="J10" s="36"/>
      <c r="K10" s="36"/>
    </row>
    <row r="11" spans="1:24" x14ac:dyDescent="0.2">
      <c r="A11" s="14"/>
      <c r="B11" s="119" t="s">
        <v>130</v>
      </c>
      <c r="C11" s="43" t="str">
        <f>IF(PMrabat&lt;_PM2,"oui","non")</f>
        <v>oui</v>
      </c>
      <c r="D11" s="43" t="str">
        <f>IF(test="oui",'définition axe en plan'!D11,"")</f>
        <v>alignement droit</v>
      </c>
      <c r="E11" s="44">
        <f>IF(test="oui",IF(AND(Type="Clothoïde",'définition axe en plan'!D12="Alignement Droit"),'définition axe en plan'!E12,'définition axe en plan'!E11),"")</f>
        <v>-16.602</v>
      </c>
      <c r="F11" s="44">
        <f>IF(test="oui",IF(AND(Type="Clothoïde",'définition axe en plan'!$D12="Alignement Droit"),'définition axe en plan'!F12,'définition axe en plan'!F11),"")</f>
        <v>823077.49860000005</v>
      </c>
      <c r="G11" s="44">
        <f>IF(test="oui",IF(AND(Type="Clothoïde",'définition axe en plan'!$D12="Alignement Droit"),'définition axe en plan'!G12,'définition axe en plan'!G11),"")</f>
        <v>1091438.1909</v>
      </c>
      <c r="H11" s="44">
        <f>IF(test="oui",IF(AND(Type="Clothoïde",'définition axe en plan'!$D12="Alignement Droit"),'définition axe en plan'!H12,'définition axe en plan'!H11),"")</f>
        <v>272.22219999999999</v>
      </c>
      <c r="I11" s="43">
        <f>IF(test="oui",'définition axe en plan'!I11,"")</f>
        <v>0</v>
      </c>
      <c r="J11" s="43">
        <f>IF(test="oui",'définition axe en plan'!J11,"")</f>
        <v>0</v>
      </c>
      <c r="K11" s="46">
        <f>IF(test="oui",'définition axe en plan'!K11,"")</f>
        <v>0</v>
      </c>
    </row>
    <row r="12" spans="1:24" x14ac:dyDescent="0.2">
      <c r="A12" s="14"/>
      <c r="B12" s="119" t="s">
        <v>114</v>
      </c>
      <c r="C12" s="43" t="str">
        <f>IF(AND(PMrabat&gt;=_PM2,PMrabat&lt;_PM3),"oui","non")</f>
        <v>non</v>
      </c>
      <c r="D12" s="43" t="str">
        <f>IF(test="oui",'définition axe en plan'!D12,"")</f>
        <v/>
      </c>
      <c r="E12" s="44" t="str">
        <f>IF(test="oui",IF(AND(Type="Clothoïde",'définition axe en plan'!D13="Alignement Droit"),'définition axe en plan'!E13,'définition axe en plan'!E12),"")</f>
        <v/>
      </c>
      <c r="F12" s="44" t="str">
        <f>IF(test="oui",IF(AND(Type="Clothoïde",'définition axe en plan'!$D13="Alignement Droit"),'définition axe en plan'!F13,'définition axe en plan'!F12),"")</f>
        <v/>
      </c>
      <c r="G12" s="44" t="str">
        <f>IF(test="oui",IF(AND(Type="Clothoïde",'définition axe en plan'!$D13="Alignement Droit"),'définition axe en plan'!G13,'définition axe en plan'!G12),"")</f>
        <v/>
      </c>
      <c r="H12" s="44" t="str">
        <f>IF(test="oui",IF(AND(Type="Clothoïde",'définition axe en plan'!$D13="Alignement Droit"),'définition axe en plan'!H13,'définition axe en plan'!H12),"")</f>
        <v/>
      </c>
      <c r="I12" s="43" t="str">
        <f>IF(test="oui",'définition axe en plan'!I12,"")</f>
        <v/>
      </c>
      <c r="J12" s="43" t="str">
        <f>IF(test="oui",'définition axe en plan'!J12,"")</f>
        <v/>
      </c>
      <c r="K12" s="46" t="str">
        <f>IF(test="oui",'définition axe en plan'!K12,"")</f>
        <v/>
      </c>
    </row>
    <row r="13" spans="1:24" x14ac:dyDescent="0.2">
      <c r="A13" s="14"/>
      <c r="B13" s="119" t="s">
        <v>115</v>
      </c>
      <c r="C13" s="43" t="str">
        <f>IF(AND(PMrabat&gt;=_PM3,PMrabat&lt;_PM4),"oui","non")</f>
        <v>non</v>
      </c>
      <c r="D13" s="43" t="str">
        <f>IF(test="oui",'définition axe en plan'!D13,"")</f>
        <v/>
      </c>
      <c r="E13" s="44" t="str">
        <f>IF(test="oui",IF(AND(Type="Clothoïde",'définition axe en plan'!D14="Alignement Droit"),'définition axe en plan'!E14,'définition axe en plan'!E13),"")</f>
        <v/>
      </c>
      <c r="F13" s="44" t="str">
        <f>IF(test="oui",IF(AND(Type="Clothoïde",'définition axe en plan'!$D14="Alignement Droit"),'définition axe en plan'!F14,'définition axe en plan'!F13),"")</f>
        <v/>
      </c>
      <c r="G13" s="44" t="str">
        <f>IF(test="oui",IF(AND(Type="Clothoïde",'définition axe en plan'!$D14="Alignement Droit"),'définition axe en plan'!G14,'définition axe en plan'!G13),"")</f>
        <v/>
      </c>
      <c r="H13" s="44" t="str">
        <f>IF(test="oui",IF(AND(Type="Clothoïde",'définition axe en plan'!$D14="Alignement Droit"),'définition axe en plan'!H14,'définition axe en plan'!H13),"")</f>
        <v/>
      </c>
      <c r="I13" s="43" t="str">
        <f>IF(test="oui",'définition axe en plan'!I13,"")</f>
        <v/>
      </c>
      <c r="J13" s="43" t="str">
        <f>IF(test="oui",'définition axe en plan'!J13,"")</f>
        <v/>
      </c>
      <c r="K13" s="46" t="str">
        <f>IF(test="oui",'définition axe en plan'!K13,"")</f>
        <v/>
      </c>
      <c r="M13" s="102" t="s">
        <v>27</v>
      </c>
    </row>
    <row r="14" spans="1:24" x14ac:dyDescent="0.2">
      <c r="A14" s="14"/>
      <c r="B14" s="119" t="s">
        <v>116</v>
      </c>
      <c r="C14" s="43" t="str">
        <f>IF(AND(PMrabat&gt;=_PM4,PMrabat&lt;_PM5),"oui","non")</f>
        <v>non</v>
      </c>
      <c r="D14" s="43" t="str">
        <f>IF(test="oui",'définition axe en plan'!D14,"")</f>
        <v/>
      </c>
      <c r="E14" s="44" t="str">
        <f>IF(test="oui",IF(AND(Type="Clothoïde",'définition axe en plan'!D15="Alignement Droit"),'définition axe en plan'!E15,'définition axe en plan'!E14),"")</f>
        <v/>
      </c>
      <c r="F14" s="44" t="str">
        <f>IF(test="oui",IF(AND(Type="Clothoïde",'définition axe en plan'!$D15="Alignement Droit"),'définition axe en plan'!F15,'définition axe en plan'!F14),"")</f>
        <v/>
      </c>
      <c r="G14" s="44" t="str">
        <f>IF(test="oui",IF(AND(Type="Clothoïde",'définition axe en plan'!$D15="Alignement Droit"),'définition axe en plan'!G15,'définition axe en plan'!G14),"")</f>
        <v/>
      </c>
      <c r="H14" s="44" t="str">
        <f>IF(test="oui",IF(AND(Type="Clothoïde",'définition axe en plan'!$D15="Alignement Droit"),'définition axe en plan'!H15,'définition axe en plan'!H14),"")</f>
        <v/>
      </c>
      <c r="I14" s="43" t="str">
        <f>IF(test="oui",'définition axe en plan'!I14,"")</f>
        <v/>
      </c>
      <c r="J14" s="43" t="str">
        <f>IF(test="oui",'définition axe en plan'!J14,"")</f>
        <v/>
      </c>
      <c r="K14" s="46" t="str">
        <f>IF(test="oui",'définition axe en plan'!K14,"")</f>
        <v/>
      </c>
    </row>
    <row r="15" spans="1:24" x14ac:dyDescent="0.2">
      <c r="A15" s="14"/>
      <c r="B15" s="119" t="s">
        <v>117</v>
      </c>
      <c r="C15" s="43" t="str">
        <f>IF(AND(PMrabat&gt;=_PM5,PMrabat&lt;_PM6),"oui","non")</f>
        <v>non</v>
      </c>
      <c r="D15" s="43" t="str">
        <f>IF(test="oui",'définition axe en plan'!D15,"")</f>
        <v/>
      </c>
      <c r="E15" s="44" t="str">
        <f>IF(test="oui",IF(AND(Type="Clothoïde",'définition axe en plan'!D16="Alignement Droit"),'définition axe en plan'!E16,'définition axe en plan'!E15),"")</f>
        <v/>
      </c>
      <c r="F15" s="44" t="str">
        <f>IF(test="oui",IF(AND(Type="Clothoïde",'définition axe en plan'!$D16="Alignement Droit"),'définition axe en plan'!F16,'définition axe en plan'!F15),"")</f>
        <v/>
      </c>
      <c r="G15" s="44" t="str">
        <f>IF(test="oui",IF(AND(Type="Clothoïde",'définition axe en plan'!$D16="Alignement Droit"),'définition axe en plan'!G16,'définition axe en plan'!G15),"")</f>
        <v/>
      </c>
      <c r="H15" s="44" t="str">
        <f>IF(test="oui",IF(AND(Type="Clothoïde",'définition axe en plan'!$D16="Alignement Droit"),'définition axe en plan'!H16,'définition axe en plan'!H15),"")</f>
        <v/>
      </c>
      <c r="I15" s="43" t="str">
        <f>IF(test="oui",'définition axe en plan'!I15,"")</f>
        <v/>
      </c>
      <c r="J15" s="43" t="str">
        <f>IF(test="oui",'définition axe en plan'!J15,"")</f>
        <v/>
      </c>
      <c r="K15" s="46" t="str">
        <f>IF(test="oui",'définition axe en plan'!K15,"")</f>
        <v/>
      </c>
    </row>
    <row r="16" spans="1:24" x14ac:dyDescent="0.2">
      <c r="A16" s="14"/>
      <c r="B16" s="119" t="s">
        <v>118</v>
      </c>
      <c r="C16" s="43" t="str">
        <f>IF(AND(PMrabat&gt;=_PM6,PMrabat&lt;_PM7),"oui","non")</f>
        <v>non</v>
      </c>
      <c r="D16" s="43" t="str">
        <f>IF(test="oui",'définition axe en plan'!D16,"")</f>
        <v/>
      </c>
      <c r="E16" s="44" t="str">
        <f>IF(test="oui",IF(AND(Type="Clothoïde",'définition axe en plan'!D17="Alignement Droit"),'définition axe en plan'!E17,'définition axe en plan'!E16),"")</f>
        <v/>
      </c>
      <c r="F16" s="44" t="str">
        <f>IF(test="oui",IF(AND(Type="Clothoïde",'définition axe en plan'!$D17="Alignement Droit"),'définition axe en plan'!F17,'définition axe en plan'!F16),"")</f>
        <v/>
      </c>
      <c r="G16" s="44" t="str">
        <f>IF(test="oui",IF(AND(Type="Clothoïde",'définition axe en plan'!$D17="Alignement Droit"),'définition axe en plan'!G17,'définition axe en plan'!G16),"")</f>
        <v/>
      </c>
      <c r="H16" s="44" t="str">
        <f>IF(test="oui",IF(AND(Type="Clothoïde",'définition axe en plan'!$D17="Alignement Droit"),'définition axe en plan'!H17,'définition axe en plan'!H16),"")</f>
        <v/>
      </c>
      <c r="I16" s="43" t="str">
        <f>IF(test="oui",'définition axe en plan'!I16,"")</f>
        <v/>
      </c>
      <c r="J16" s="43" t="str">
        <f>IF(test="oui",'définition axe en plan'!J16,"")</f>
        <v/>
      </c>
      <c r="K16" s="46" t="str">
        <f>IF(test="oui",'définition axe en plan'!K16,"")</f>
        <v/>
      </c>
    </row>
    <row r="17" spans="1:11" x14ac:dyDescent="0.2">
      <c r="A17" s="14"/>
      <c r="B17" s="119" t="s">
        <v>119</v>
      </c>
      <c r="C17" s="43" t="str">
        <f>IF(AND(PMrabat&gt;=_PM7,PMrabat&lt;_PM8),"oui","non")</f>
        <v>non</v>
      </c>
      <c r="D17" s="43" t="str">
        <f>IF(test="oui",'définition axe en plan'!D17,"")</f>
        <v/>
      </c>
      <c r="E17" s="44" t="str">
        <f>IF(test="oui",IF(AND(Type="Clothoïde",'définition axe en plan'!D18="Alignement Droit"),'définition axe en plan'!E18,'définition axe en plan'!E17),"")</f>
        <v/>
      </c>
      <c r="F17" s="44" t="str">
        <f>IF(test="oui",IF(AND(Type="Clothoïde",'définition axe en plan'!$D18="Alignement Droit"),'définition axe en plan'!F18,'définition axe en plan'!F17),"")</f>
        <v/>
      </c>
      <c r="G17" s="44" t="str">
        <f>IF(test="oui",IF(AND(Type="Clothoïde",'définition axe en plan'!$D18="Alignement Droit"),'définition axe en plan'!G18,'définition axe en plan'!G17),"")</f>
        <v/>
      </c>
      <c r="H17" s="44" t="str">
        <f>IF(test="oui",IF(AND(Type="Clothoïde",'définition axe en plan'!$D18="Alignement Droit"),'définition axe en plan'!H18,'définition axe en plan'!H17),"")</f>
        <v/>
      </c>
      <c r="I17" s="43" t="str">
        <f>IF(test="oui",'définition axe en plan'!I17,"")</f>
        <v/>
      </c>
      <c r="J17" s="43" t="str">
        <f>IF(test="oui",'définition axe en plan'!J17,"")</f>
        <v/>
      </c>
      <c r="K17" s="46" t="str">
        <f>IF(test="oui",'définition axe en plan'!K17,"")</f>
        <v/>
      </c>
    </row>
    <row r="18" spans="1:11" x14ac:dyDescent="0.2">
      <c r="A18" s="14"/>
      <c r="B18" s="119" t="s">
        <v>120</v>
      </c>
      <c r="C18" s="43" t="str">
        <f>IF(AND(PMrabat&gt;=_PM8,PMrabat&lt;_PM9),"oui","non")</f>
        <v>non</v>
      </c>
      <c r="D18" s="43" t="str">
        <f>IF(test="oui",'définition axe en plan'!D18,"")</f>
        <v/>
      </c>
      <c r="E18" s="44" t="str">
        <f>IF(test="oui",IF(AND(Type="Clothoïde",'définition axe en plan'!$D19="Alignement Droit"),'définition axe en plan'!E19,'définition axe en plan'!E18),"")</f>
        <v/>
      </c>
      <c r="F18" s="44" t="str">
        <f>IF(test="oui",IF(AND(Type="Clothoïde",'définition axe en plan'!$D19="Alignement Droit"),'définition axe en plan'!F19,'définition axe en plan'!F18),"")</f>
        <v/>
      </c>
      <c r="G18" s="44" t="str">
        <f>IF(test="oui",IF(AND(Type="Clothoïde",'définition axe en plan'!$D19="Alignement Droit"),'définition axe en plan'!G19,'définition axe en plan'!G18),"")</f>
        <v/>
      </c>
      <c r="H18" s="44" t="str">
        <f>IF(test="oui",IF(AND(Type="Clothoïde",'définition axe en plan'!$D19="Alignement Droit"),'définition axe en plan'!H19,'définition axe en plan'!H18),"")</f>
        <v/>
      </c>
      <c r="I18" s="43" t="str">
        <f>IF(test="oui",'définition axe en plan'!I18,"")</f>
        <v/>
      </c>
      <c r="J18" s="43" t="str">
        <f>IF(test="oui",'définition axe en plan'!J18,"")</f>
        <v/>
      </c>
      <c r="K18" s="46" t="str">
        <f>IF(test="oui",'définition axe en plan'!K18,"")</f>
        <v/>
      </c>
    </row>
    <row r="19" spans="1:11" x14ac:dyDescent="0.2">
      <c r="A19" s="14"/>
      <c r="B19" s="119" t="s">
        <v>121</v>
      </c>
      <c r="C19" s="43" t="str">
        <f>IF(AND(PMrabat&gt;=_PM9,PMrabat&lt;_PM10),"oui","non")</f>
        <v>non</v>
      </c>
      <c r="D19" s="43" t="str">
        <f>IF(test="oui",'définition axe en plan'!D19,"")</f>
        <v/>
      </c>
      <c r="E19" s="44" t="str">
        <f>IF(test="oui",IF(AND(Type="Clothoïde",'définition axe en plan'!D20="Alignement Droit"),'définition axe en plan'!E20,'définition axe en plan'!E19),"")</f>
        <v/>
      </c>
      <c r="F19" s="44" t="str">
        <f>IF(test="oui",IF(AND(Type="Clothoïde",'définition axe en plan'!$D20="Alignement Droit"),'définition axe en plan'!F20,'définition axe en plan'!F19),"")</f>
        <v/>
      </c>
      <c r="G19" s="44" t="str">
        <f>IF(test="oui",IF(AND(Type="Clothoïde",'définition axe en plan'!$D20="Alignement Droit"),'définition axe en plan'!G20,'définition axe en plan'!G19),"")</f>
        <v/>
      </c>
      <c r="H19" s="44" t="str">
        <f>IF(test="oui",IF(AND(Type="Clothoïde",'définition axe en plan'!$D20="Alignement Droit"),'définition axe en plan'!H20,'définition axe en plan'!H19),"")</f>
        <v/>
      </c>
      <c r="I19" s="43" t="str">
        <f>IF(test="oui",'définition axe en plan'!I19,"")</f>
        <v/>
      </c>
      <c r="J19" s="43" t="str">
        <f>IF(test="oui",'définition axe en plan'!J19,"")</f>
        <v/>
      </c>
      <c r="K19" s="46" t="str">
        <f>IF(test="oui",'définition axe en plan'!K19,"")</f>
        <v/>
      </c>
    </row>
    <row r="20" spans="1:11" x14ac:dyDescent="0.2">
      <c r="A20" s="14"/>
      <c r="B20" s="119" t="s">
        <v>122</v>
      </c>
      <c r="C20" s="43" t="str">
        <f>IF(AND(PMrabat&gt;=_PM10,PMrabat&lt;_PM11),"oui","non")</f>
        <v>non</v>
      </c>
      <c r="D20" s="43" t="str">
        <f>IF(test="oui",'définition axe en plan'!D20,"")</f>
        <v/>
      </c>
      <c r="E20" s="44" t="str">
        <f>IF(test="oui",IF(AND(Type="Clothoïde",'définition axe en plan'!D21="Alignement Droit"),'définition axe en plan'!E21,'définition axe en plan'!E20),"")</f>
        <v/>
      </c>
      <c r="F20" s="44" t="str">
        <f>IF(test="oui",IF(AND(Type="Clothoïde",'définition axe en plan'!$D21="Alignement Droit"),'définition axe en plan'!F21,'définition axe en plan'!F20),"")</f>
        <v/>
      </c>
      <c r="G20" s="44" t="str">
        <f>IF(test="oui",IF(AND(Type="Clothoïde",'définition axe en plan'!$D21="Alignement Droit"),'définition axe en plan'!G21,'définition axe en plan'!G20),"")</f>
        <v/>
      </c>
      <c r="H20" s="44" t="str">
        <f>IF(test="oui",IF(AND(Type="Clothoïde",'définition axe en plan'!$D21="Alignement Droit"),'définition axe en plan'!H21,'définition axe en plan'!H20),"")</f>
        <v/>
      </c>
      <c r="I20" s="43" t="str">
        <f>IF(test="oui",'définition axe en plan'!I20,"")</f>
        <v/>
      </c>
      <c r="J20" s="43" t="str">
        <f>IF(test="oui",'définition axe en plan'!J20,"")</f>
        <v/>
      </c>
      <c r="K20" s="46" t="str">
        <f>IF(test="oui",'définition axe en plan'!K20,"")</f>
        <v/>
      </c>
    </row>
    <row r="21" spans="1:11" x14ac:dyDescent="0.2">
      <c r="A21" s="14"/>
      <c r="B21" s="119" t="s">
        <v>123</v>
      </c>
      <c r="C21" s="43" t="str">
        <f>IF(AND(PMrabat&gt;=_PM11,PMrabat&lt;_PM12),"oui","non")</f>
        <v>non</v>
      </c>
      <c r="D21" s="43" t="str">
        <f>IF(test="oui",'définition axe en plan'!D21,"")</f>
        <v/>
      </c>
      <c r="E21" s="44" t="str">
        <f>IF(test="oui",IF(AND(Type="Clothoïde",'définition axe en plan'!D22="Alignement Droit"),'définition axe en plan'!E22,'définition axe en plan'!E21),"")</f>
        <v/>
      </c>
      <c r="F21" s="44" t="str">
        <f>IF(test="oui",IF(AND(Type="Clothoïde",'définition axe en plan'!$D22="Alignement Droit"),'définition axe en plan'!F22,'définition axe en plan'!F21),"")</f>
        <v/>
      </c>
      <c r="G21" s="44" t="str">
        <f>IF(test="oui",IF(AND(Type="Clothoïde",'définition axe en plan'!$D22="Alignement Droit"),'définition axe en plan'!G22,'définition axe en plan'!G21),"")</f>
        <v/>
      </c>
      <c r="H21" s="44" t="str">
        <f>IF(test="oui",IF(AND(Type="Clothoïde",'définition axe en plan'!$D22="Alignement Droit"),'définition axe en plan'!H22,'définition axe en plan'!H21),"")</f>
        <v/>
      </c>
      <c r="I21" s="43" t="str">
        <f>IF(test="oui",'définition axe en plan'!I21,"")</f>
        <v/>
      </c>
      <c r="J21" s="43" t="str">
        <f>IF(test="oui",'définition axe en plan'!J21,"")</f>
        <v/>
      </c>
      <c r="K21" s="46" t="str">
        <f>IF(test="oui",'définition axe en plan'!K21,"")</f>
        <v/>
      </c>
    </row>
    <row r="22" spans="1:11" x14ac:dyDescent="0.2">
      <c r="A22" s="14"/>
      <c r="B22" s="119" t="s">
        <v>124</v>
      </c>
      <c r="C22" s="43" t="str">
        <f>IF(AND(PMrabat&gt;=_PM12,PMrabat&lt;_PM13),"oui","non")</f>
        <v>non</v>
      </c>
      <c r="D22" s="43" t="str">
        <f>IF(test="oui",'définition axe en plan'!D22,"")</f>
        <v/>
      </c>
      <c r="E22" s="44" t="str">
        <f>IF(test="oui",IF(AND(Type="Clothoïde",'définition axe en plan'!D23="Alignement Droit"),'définition axe en plan'!E23,'définition axe en plan'!E22),"")</f>
        <v/>
      </c>
      <c r="F22" s="44" t="str">
        <f>IF(test="oui",IF(AND(Type="Clothoïde",'définition axe en plan'!$D23="Alignement Droit"),'définition axe en plan'!F23,'définition axe en plan'!F22),"")</f>
        <v/>
      </c>
      <c r="G22" s="44" t="str">
        <f>IF(test="oui",IF(AND(Type="Clothoïde",'définition axe en plan'!$D23="Alignement Droit"),'définition axe en plan'!G23,'définition axe en plan'!G22),"")</f>
        <v/>
      </c>
      <c r="H22" s="44" t="str">
        <f>IF(test="oui",IF(AND(Type="Clothoïde",'définition axe en plan'!$D23="Alignement Droit"),'définition axe en plan'!H23,'définition axe en plan'!H22),"")</f>
        <v/>
      </c>
      <c r="I22" s="43" t="str">
        <f>IF(test="oui",'définition axe en plan'!I22,"")</f>
        <v/>
      </c>
      <c r="J22" s="43" t="str">
        <f>IF(test="oui",'définition axe en plan'!J22,"")</f>
        <v/>
      </c>
      <c r="K22" s="46" t="str">
        <f>IF(test="oui",'définition axe en plan'!K22,"")</f>
        <v/>
      </c>
    </row>
    <row r="23" spans="1:11" x14ac:dyDescent="0.2">
      <c r="A23" s="14"/>
      <c r="B23" s="119" t="s">
        <v>125</v>
      </c>
      <c r="C23" s="43" t="str">
        <f>IF(AND(PMrabat&gt;=_PM13,PMrabat&lt;_PM14),"oui","non")</f>
        <v>non</v>
      </c>
      <c r="D23" s="43" t="str">
        <f>IF(test="oui",'définition axe en plan'!D23,"")</f>
        <v/>
      </c>
      <c r="E23" s="44" t="str">
        <f>IF(test="oui",IF(AND(Type="Clothoïde",'définition axe en plan'!D24="Alignement Droit"),'définition axe en plan'!E24,'définition axe en plan'!E23),"")</f>
        <v/>
      </c>
      <c r="F23" s="44" t="str">
        <f>IF(test="oui",IF(AND(Type="Clothoïde",'définition axe en plan'!$D24="Alignement Droit"),'définition axe en plan'!F24,'définition axe en plan'!F23),"")</f>
        <v/>
      </c>
      <c r="G23" s="44" t="str">
        <f>IF(test="oui",IF(AND(Type="Clothoïde",'définition axe en plan'!$D24="Alignement Droit"),'définition axe en plan'!G24,'définition axe en plan'!G23),"")</f>
        <v/>
      </c>
      <c r="H23" s="44" t="str">
        <f>IF(test="oui",IF(AND(Type="Clothoïde",'définition axe en plan'!$D24="Alignement Droit"),'définition axe en plan'!H24,'définition axe en plan'!H23),"")</f>
        <v/>
      </c>
      <c r="I23" s="43" t="str">
        <f>IF(test="oui",'définition axe en plan'!I23,"")</f>
        <v/>
      </c>
      <c r="J23" s="43" t="str">
        <f>IF(test="oui",'définition axe en plan'!J23,"")</f>
        <v/>
      </c>
      <c r="K23" s="46" t="str">
        <f>IF(test="oui",'définition axe en plan'!K23,"")</f>
        <v/>
      </c>
    </row>
    <row r="24" spans="1:11" x14ac:dyDescent="0.2">
      <c r="A24" s="14"/>
      <c r="B24" s="119" t="s">
        <v>126</v>
      </c>
      <c r="C24" s="43" t="str">
        <f>IF(AND(PMrabat&gt;=_PM14,PMrabat&lt;_PM15),"oui","non")</f>
        <v>non</v>
      </c>
      <c r="D24" s="43" t="str">
        <f>IF(test="oui",'définition axe en plan'!D24,"")</f>
        <v/>
      </c>
      <c r="E24" s="44" t="str">
        <f>IF(test="oui",IF(AND(Type="Clothoïde",'définition axe en plan'!D25="Alignement Droit"),'définition axe en plan'!E25,'définition axe en plan'!E24),"")</f>
        <v/>
      </c>
      <c r="F24" s="44" t="str">
        <f>IF(test="oui",IF(AND(Type="Clothoïde",'définition axe en plan'!$D25="Alignement Droit"),'définition axe en plan'!F25,'définition axe en plan'!F24),"")</f>
        <v/>
      </c>
      <c r="G24" s="44" t="str">
        <f>IF(test="oui",IF(AND(Type="Clothoïde",'définition axe en plan'!$D25="Alignement Droit"),'définition axe en plan'!G25,'définition axe en plan'!G24),"")</f>
        <v/>
      </c>
      <c r="H24" s="44" t="str">
        <f>IF(test="oui",IF(AND(Type="Clothoïde",'définition axe en plan'!$D25="Alignement Droit"),'définition axe en plan'!H25,'définition axe en plan'!H24),"")</f>
        <v/>
      </c>
      <c r="I24" s="43" t="str">
        <f>IF(test="oui",'définition axe en plan'!I24,"")</f>
        <v/>
      </c>
      <c r="J24" s="43" t="str">
        <f>IF(test="oui",'définition axe en plan'!J24,"")</f>
        <v/>
      </c>
      <c r="K24" s="46" t="str">
        <f>IF(test="oui",'définition axe en plan'!K24,"")</f>
        <v/>
      </c>
    </row>
    <row r="25" spans="1:11" x14ac:dyDescent="0.2">
      <c r="A25" s="14"/>
      <c r="B25" s="119" t="s">
        <v>127</v>
      </c>
      <c r="C25" s="43" t="str">
        <f>IF(AND(PMrabat&gt;=_PM15,PMrabat&lt;_PM16),"oui","non")</f>
        <v>non</v>
      </c>
      <c r="D25" s="43" t="str">
        <f>IF(test="oui",'définition axe en plan'!D25,"")</f>
        <v/>
      </c>
      <c r="E25" s="44" t="str">
        <f>IF(test="oui",IF(AND(Type="Clothoïde",'définition axe en plan'!D26="Alignement Droit"),'définition axe en plan'!E26,'définition axe en plan'!E25),"")</f>
        <v/>
      </c>
      <c r="F25" s="44" t="str">
        <f>IF(test="oui",IF(AND(Type="Clothoïde",'définition axe en plan'!$D26="Alignement Droit"),'définition axe en plan'!F26,'définition axe en plan'!F25),"")</f>
        <v/>
      </c>
      <c r="G25" s="44" t="str">
        <f>IF(test="oui",IF(AND(Type="Clothoïde",'définition axe en plan'!$D26="Alignement Droit"),'définition axe en plan'!G26,'définition axe en plan'!G25),"")</f>
        <v/>
      </c>
      <c r="H25" s="44" t="str">
        <f>IF(test="oui",IF(AND(Type="Clothoïde",'définition axe en plan'!$D26="Alignement Droit"),'définition axe en plan'!H26,'définition axe en plan'!H25),"")</f>
        <v/>
      </c>
      <c r="I25" s="43" t="str">
        <f>IF(test="oui",'définition axe en plan'!I25,"")</f>
        <v/>
      </c>
      <c r="J25" s="43" t="str">
        <f>IF(test="oui",'définition axe en plan'!J25,"")</f>
        <v/>
      </c>
      <c r="K25" s="46" t="str">
        <f>IF(test="oui",'définition axe en plan'!K25,"")</f>
        <v/>
      </c>
    </row>
    <row r="26" spans="1:11" x14ac:dyDescent="0.2">
      <c r="A26" s="14"/>
      <c r="B26" s="119" t="s">
        <v>128</v>
      </c>
      <c r="C26" s="43" t="str">
        <f>IF(AND(PMrabat&gt;=_PM16,PMrabat&lt;_PM17),"oui","non")</f>
        <v>non</v>
      </c>
      <c r="D26" s="43" t="str">
        <f>IF(test="oui",'définition axe en plan'!D26,"")</f>
        <v/>
      </c>
      <c r="E26" s="44" t="str">
        <f>IF(test="oui",IF(AND(Type="Clothoïde",'définition axe en plan'!D27="Alignement Droit"),'définition axe en plan'!E27,'définition axe en plan'!E26),"")</f>
        <v/>
      </c>
      <c r="F26" s="44" t="str">
        <f>IF(test="oui",IF(AND(Type="Clothoïde",'définition axe en plan'!$D27="Alignement Droit"),'définition axe en plan'!F27,'définition axe en plan'!F26),"")</f>
        <v/>
      </c>
      <c r="G26" s="44" t="str">
        <f>IF(test="oui",IF(AND(Type="Clothoïde",'définition axe en plan'!$D27="Alignement Droit"),'définition axe en plan'!G27,'définition axe en plan'!G26),"")</f>
        <v/>
      </c>
      <c r="H26" s="44" t="str">
        <f>IF(test="oui",IF(AND(Type="Clothoïde",'définition axe en plan'!$D27="Alignement Droit"),'définition axe en plan'!H27,'définition axe en plan'!H26),"")</f>
        <v/>
      </c>
      <c r="I26" s="43" t="str">
        <f>IF(test="oui",'définition axe en plan'!I26,"")</f>
        <v/>
      </c>
      <c r="J26" s="43" t="str">
        <f>IF(test="oui",'définition axe en plan'!J26,"")</f>
        <v/>
      </c>
      <c r="K26" s="46" t="str">
        <f>IF(test="oui",'définition axe en plan'!K26,"")</f>
        <v/>
      </c>
    </row>
    <row r="27" spans="1:11" x14ac:dyDescent="0.2">
      <c r="A27" s="14"/>
      <c r="B27" s="119" t="s">
        <v>129</v>
      </c>
      <c r="C27" s="43" t="str">
        <f>IF(AND(PMrabat&gt;=_PM17,PMrabat&lt;_PM18),"oui","non")</f>
        <v>non</v>
      </c>
      <c r="D27" s="43" t="str">
        <f>IF(test="oui",'définition axe en plan'!D27,"")</f>
        <v/>
      </c>
      <c r="E27" s="44" t="str">
        <f>IF(test="oui",IF(AND(Type="Clothoïde",'définition axe en plan'!D28="Alignement Droit"),'définition axe en plan'!E28,'définition axe en plan'!E27),"")</f>
        <v/>
      </c>
      <c r="F27" s="44" t="str">
        <f>IF(test="oui",IF(AND(Type="Clothoïde",'définition axe en plan'!$D28="Alignement Droit"),'définition axe en plan'!F28,'définition axe en plan'!F27),"")</f>
        <v/>
      </c>
      <c r="G27" s="44" t="str">
        <f>IF(test="oui",IF(AND(Type="Clothoïde",'définition axe en plan'!$D28="Alignement Droit"),'définition axe en plan'!G28,'définition axe en plan'!G27),"")</f>
        <v/>
      </c>
      <c r="H27" s="44" t="str">
        <f>IF(test="oui",IF(AND(Type="Clothoïde",'définition axe en plan'!$D28="Alignement Droit"),'définition axe en plan'!H28,'définition axe en plan'!H27),"")</f>
        <v/>
      </c>
      <c r="I27" s="43" t="str">
        <f>IF(test="oui",'définition axe en plan'!I27,"")</f>
        <v/>
      </c>
      <c r="J27" s="43" t="str">
        <f>IF(test="oui",'définition axe en plan'!J27,"")</f>
        <v/>
      </c>
      <c r="K27" s="46" t="str">
        <f>IF(test="oui",'définition axe en plan'!K27,"")</f>
        <v/>
      </c>
    </row>
    <row r="28" spans="1:11" x14ac:dyDescent="0.2">
      <c r="A28" s="14"/>
      <c r="B28" s="119" t="s">
        <v>136</v>
      </c>
      <c r="C28" s="43" t="str">
        <f>IF(AND(PMrabat&gt;=_PM18,PMrabat&lt;_PM19),"oui","non")</f>
        <v>non</v>
      </c>
      <c r="D28" s="43" t="str">
        <f>IF(test="oui",'définition axe en plan'!D28,"")</f>
        <v/>
      </c>
      <c r="E28" s="44" t="str">
        <f>IF(test="oui",IF(AND(Type="Clothoïde",'définition axe en plan'!D29="Alignement Droit"),'définition axe en plan'!E29,'définition axe en plan'!E28),"")</f>
        <v/>
      </c>
      <c r="F28" s="44" t="str">
        <f>IF(test="oui",IF(AND(Type="Clothoïde",'définition axe en plan'!$D29="Alignement Droit"),'définition axe en plan'!F29,'définition axe en plan'!F28),"")</f>
        <v/>
      </c>
      <c r="G28" s="44" t="str">
        <f>IF(test="oui",IF(AND(Type="Clothoïde",'définition axe en plan'!$D29="Alignement Droit"),'définition axe en plan'!G29,'définition axe en plan'!G28),"")</f>
        <v/>
      </c>
      <c r="H28" s="44" t="str">
        <f>IF(test="oui",IF(AND(Type="Clothoïde",'définition axe en plan'!$D29="Alignement Droit"),'définition axe en plan'!H29,'définition axe en plan'!H28),"")</f>
        <v/>
      </c>
      <c r="I28" s="43" t="str">
        <f>IF(test="oui",'définition axe en plan'!I28,"")</f>
        <v/>
      </c>
      <c r="J28" s="43" t="str">
        <f>IF(test="oui",'définition axe en plan'!J28,"")</f>
        <v/>
      </c>
      <c r="K28" s="46" t="str">
        <f>IF(test="oui",'définition axe en plan'!K28,"")</f>
        <v/>
      </c>
    </row>
    <row r="29" spans="1:11" x14ac:dyDescent="0.2">
      <c r="A29" s="14"/>
      <c r="B29" s="119" t="s">
        <v>137</v>
      </c>
      <c r="C29" s="43" t="str">
        <f>IF(AND(PMrabat&gt;=_PM19,PMrabat&lt;_PM20),"oui","non")</f>
        <v>non</v>
      </c>
      <c r="D29" s="43" t="str">
        <f>IF(test="oui",'définition axe en plan'!D29,"")</f>
        <v/>
      </c>
      <c r="E29" s="44" t="str">
        <f>IF(test="oui",IF(AND(Type="Clothoïde",'définition axe en plan'!D30="Alignement Droit"),'définition axe en plan'!E30,'définition axe en plan'!E29),"")</f>
        <v/>
      </c>
      <c r="F29" s="44" t="str">
        <f>IF(test="oui",IF(AND(Type="Clothoïde",'définition axe en plan'!$D30="Alignement Droit"),'définition axe en plan'!F30,'définition axe en plan'!F29),"")</f>
        <v/>
      </c>
      <c r="G29" s="44" t="str">
        <f>IF(test="oui",IF(AND(Type="Clothoïde",'définition axe en plan'!$D30="Alignement Droit"),'définition axe en plan'!G30,'définition axe en plan'!G29),"")</f>
        <v/>
      </c>
      <c r="H29" s="44" t="str">
        <f>IF(test="oui",IF(AND(Type="Clothoïde",'définition axe en plan'!$D30="Alignement Droit"),'définition axe en plan'!H30,'définition axe en plan'!H29),"")</f>
        <v/>
      </c>
      <c r="I29" s="43" t="str">
        <f>IF(test="oui",'définition axe en plan'!I29,"")</f>
        <v/>
      </c>
      <c r="J29" s="43" t="str">
        <f>IF(test="oui",'définition axe en plan'!J29,"")</f>
        <v/>
      </c>
      <c r="K29" s="46" t="str">
        <f>IF(test="oui",'définition axe en plan'!K29,"")</f>
        <v/>
      </c>
    </row>
    <row r="30" spans="1:11" x14ac:dyDescent="0.2">
      <c r="A30" s="14"/>
      <c r="B30" s="119" t="s">
        <v>138</v>
      </c>
      <c r="C30" s="43" t="str">
        <f>IF(AND(PMrabat&gt;=_PM20,PMrabat&lt;_PM21),"oui","non")</f>
        <v>non</v>
      </c>
      <c r="D30" s="43" t="str">
        <f>IF(test="oui",'définition axe en plan'!D30,"")</f>
        <v/>
      </c>
      <c r="E30" s="44" t="str">
        <f>IF(test="oui",IF(AND(Type="Clothoïde",'définition axe en plan'!D31="Alignement Droit"),'définition axe en plan'!E31,'définition axe en plan'!E30),"")</f>
        <v/>
      </c>
      <c r="F30" s="44" t="str">
        <f>IF(test="oui",IF(AND(Type="Clothoïde",'définition axe en plan'!$D31="Alignement Droit"),'définition axe en plan'!F31,'définition axe en plan'!F30),"")</f>
        <v/>
      </c>
      <c r="G30" s="44" t="str">
        <f>IF(test="oui",IF(AND(Type="Clothoïde",'définition axe en plan'!$D31="Alignement Droit"),'définition axe en plan'!G31,'définition axe en plan'!G30),"")</f>
        <v/>
      </c>
      <c r="H30" s="44" t="str">
        <f>IF(test="oui",IF(AND(Type="Clothoïde",'définition axe en plan'!$D31="Alignement Droit"),'définition axe en plan'!H31,'définition axe en plan'!H30),"")</f>
        <v/>
      </c>
      <c r="I30" s="43" t="str">
        <f>IF(test="oui",'définition axe en plan'!I30,"")</f>
        <v/>
      </c>
      <c r="J30" s="43" t="str">
        <f>IF(test="oui",'définition axe en plan'!J30,"")</f>
        <v/>
      </c>
      <c r="K30" s="46" t="str">
        <f>IF(test="oui",'définition axe en plan'!K30,"")</f>
        <v/>
      </c>
    </row>
    <row r="31" spans="1:11" x14ac:dyDescent="0.2">
      <c r="A31" s="14"/>
      <c r="B31" s="119" t="s">
        <v>139</v>
      </c>
      <c r="C31" s="43" t="str">
        <f>IF(AND(PMrabat&gt;=_PM21,PMrabat&lt;_PM22),"oui","non")</f>
        <v>non</v>
      </c>
      <c r="D31" s="43" t="str">
        <f>IF(test="oui",'définition axe en plan'!D31,"")</f>
        <v/>
      </c>
      <c r="E31" s="44" t="str">
        <f>IF(test="oui",IF(AND(Type="Clothoïde",'définition axe en plan'!D32="Alignement Droit"),'définition axe en plan'!E32,'définition axe en plan'!E31),"")</f>
        <v/>
      </c>
      <c r="F31" s="44" t="str">
        <f>IF(test="oui",IF(AND(Type="Clothoïde",'définition axe en plan'!$D32="Alignement Droit"),'définition axe en plan'!F32,'définition axe en plan'!F31),"")</f>
        <v/>
      </c>
      <c r="G31" s="44" t="str">
        <f>IF(test="oui",IF(AND(Type="Clothoïde",'définition axe en plan'!$D32="Alignement Droit"),'définition axe en plan'!G32,'définition axe en plan'!G31),"")</f>
        <v/>
      </c>
      <c r="H31" s="44" t="str">
        <f>IF(test="oui",IF(AND(Type="Clothoïde",'définition axe en plan'!$D32="Alignement Droit"),'définition axe en plan'!H32,'définition axe en plan'!H31),"")</f>
        <v/>
      </c>
      <c r="I31" s="43" t="str">
        <f>IF(test="oui",'définition axe en plan'!I31,"")</f>
        <v/>
      </c>
      <c r="J31" s="43" t="str">
        <f>IF(test="oui",'définition axe en plan'!J31,"")</f>
        <v/>
      </c>
      <c r="K31" s="46" t="str">
        <f>IF(test="oui",'définition axe en plan'!K31,"")</f>
        <v/>
      </c>
    </row>
    <row r="32" spans="1:11" x14ac:dyDescent="0.2">
      <c r="B32" s="119" t="s">
        <v>140</v>
      </c>
      <c r="C32" s="43" t="str">
        <f>IF(AND(PMrabat&gt;=_PM22,PMrabat&lt;_PM23),"oui","non")</f>
        <v>non</v>
      </c>
      <c r="D32" s="43" t="str">
        <f>IF(test="oui",'définition axe en plan'!D32,"")</f>
        <v/>
      </c>
      <c r="E32" s="44" t="str">
        <f>IF(test="oui",IF(AND(Type="Clothoïde",'définition axe en plan'!D33="Alignement Droit"),'définition axe en plan'!E33,'définition axe en plan'!E32),"")</f>
        <v/>
      </c>
      <c r="F32" s="44" t="str">
        <f>IF(test="oui",IF(AND(Type="Clothoïde",'définition axe en plan'!$D33="Alignement Droit"),'définition axe en plan'!F33,'définition axe en plan'!F32),"")</f>
        <v/>
      </c>
      <c r="G32" s="44" t="str">
        <f>IF(test="oui",IF(AND(Type="Clothoïde",'définition axe en plan'!$D33="Alignement Droit"),'définition axe en plan'!G33,'définition axe en plan'!G32),"")</f>
        <v/>
      </c>
      <c r="H32" s="44" t="str">
        <f>IF(test="oui",IF(AND(Type="Clothoïde",'définition axe en plan'!$D33="Alignement Droit"),'définition axe en plan'!H33,'définition axe en plan'!H32),"")</f>
        <v/>
      </c>
      <c r="I32" s="43" t="str">
        <f>IF(test="oui",'définition axe en plan'!I32,"")</f>
        <v/>
      </c>
      <c r="J32" s="43" t="str">
        <f>IF(test="oui",'définition axe en plan'!J32,"")</f>
        <v/>
      </c>
      <c r="K32" s="46" t="str">
        <f>IF(test="oui",'définition axe en plan'!K32,"")</f>
        <v/>
      </c>
    </row>
    <row r="33" spans="1:15" x14ac:dyDescent="0.2">
      <c r="A33" s="14"/>
      <c r="B33" s="119" t="s">
        <v>141</v>
      </c>
      <c r="C33" s="43" t="str">
        <f>IF(AND(PMrabat&gt;=_PM23,PMrabat&lt;_PM24),"oui","non")</f>
        <v>non</v>
      </c>
      <c r="D33" s="43" t="str">
        <f>IF(test="oui",'définition axe en plan'!D33,"")</f>
        <v/>
      </c>
      <c r="E33" s="44" t="str">
        <f>IF(test="oui",IF(AND(Type="Clothoïde",'définition axe en plan'!D34="Alignement Droit"),'définition axe en plan'!E34,'définition axe en plan'!E33),"")</f>
        <v/>
      </c>
      <c r="F33" s="44" t="str">
        <f>IF(test="oui",IF(AND(Type="Clothoïde",'définition axe en plan'!$D34="Alignement Droit"),'définition axe en plan'!F34,'définition axe en plan'!F33),"")</f>
        <v/>
      </c>
      <c r="G33" s="44" t="str">
        <f>IF(test="oui",IF(AND(Type="Clothoïde",'définition axe en plan'!$D34="Alignement Droit"),'définition axe en plan'!G34,'définition axe en plan'!G33),"")</f>
        <v/>
      </c>
      <c r="H33" s="44" t="str">
        <f>IF(test="oui",IF(AND(Type="Clothoïde",'définition axe en plan'!$D34="Alignement Droit"),'définition axe en plan'!H34,'définition axe en plan'!H33),"")</f>
        <v/>
      </c>
      <c r="I33" s="43" t="str">
        <f>IF(test="oui",'définition axe en plan'!I33,"")</f>
        <v/>
      </c>
      <c r="J33" s="43" t="str">
        <f>IF(test="oui",'définition axe en plan'!J33,"")</f>
        <v/>
      </c>
      <c r="K33" s="46" t="str">
        <f>IF(test="oui",'définition axe en plan'!K33,"")</f>
        <v/>
      </c>
    </row>
    <row r="34" spans="1:15" x14ac:dyDescent="0.2">
      <c r="A34" s="14"/>
      <c r="B34" s="119" t="s">
        <v>161</v>
      </c>
      <c r="C34" s="43" t="str">
        <f>IF(AND(PMrabat&gt;=_PM24,PMrabat&lt;_PM25),"oui","non")</f>
        <v>non</v>
      </c>
      <c r="D34" s="43" t="str">
        <f>IF(test="oui",'définition axe en plan'!D34,"")</f>
        <v/>
      </c>
      <c r="E34" s="44" t="str">
        <f>IF(test="oui",IF(AND(Type="Clothoïde",'définition axe en plan'!D35="Alignement Droit"),'définition axe en plan'!E35,'définition axe en plan'!E34),"")</f>
        <v/>
      </c>
      <c r="F34" s="44" t="str">
        <f>IF(test="oui",IF(AND(Type="Clothoïde",'définition axe en plan'!$D35="Alignement Droit"),'définition axe en plan'!F35,'définition axe en plan'!F34),"")</f>
        <v/>
      </c>
      <c r="G34" s="44" t="str">
        <f>IF(test="oui",IF(AND(Type="Clothoïde",'définition axe en plan'!$D35="Alignement Droit"),'définition axe en plan'!G35,'définition axe en plan'!G34),"")</f>
        <v/>
      </c>
      <c r="H34" s="44" t="str">
        <f>IF(test="oui",IF(AND(Type="Clothoïde",'définition axe en plan'!$D35="Alignement Droit"),'définition axe en plan'!H35,'définition axe en plan'!H34),"")</f>
        <v/>
      </c>
      <c r="I34" s="43" t="str">
        <f>IF(test="oui",'définition axe en plan'!I34,"")</f>
        <v/>
      </c>
      <c r="J34" s="43" t="str">
        <f>IF(test="oui",'définition axe en plan'!J34,"")</f>
        <v/>
      </c>
      <c r="K34" s="46" t="str">
        <f>IF(test="oui",'définition axe en plan'!K34,"")</f>
        <v/>
      </c>
    </row>
    <row r="35" spans="1:15" x14ac:dyDescent="0.2">
      <c r="B35" s="119" t="s">
        <v>162</v>
      </c>
      <c r="C35" s="43" t="str">
        <f>IF(AND(PMrabat&gt;=_PM25,PMrabat&lt;_PM26),"oui","non")</f>
        <v>non</v>
      </c>
      <c r="D35" s="43" t="str">
        <f>IF(test="oui",'définition axe en plan'!D35,"")</f>
        <v/>
      </c>
      <c r="E35" s="44" t="str">
        <f>IF(test="oui",IF(AND(Type="Clothoïde",'définition axe en plan'!D36="Alignement Droit"),'définition axe en plan'!E36,'définition axe en plan'!E35),"")</f>
        <v/>
      </c>
      <c r="F35" s="44" t="str">
        <f>IF(test="oui",IF(AND(Type="Clothoïde",'définition axe en plan'!$D36="Alignement Droit"),'définition axe en plan'!F36,'définition axe en plan'!F35),"")</f>
        <v/>
      </c>
      <c r="G35" s="44" t="str">
        <f>IF(test="oui",IF(AND(Type="Clothoïde",'définition axe en plan'!$D36="Alignement Droit"),'définition axe en plan'!G36,'définition axe en plan'!G35),"")</f>
        <v/>
      </c>
      <c r="H35" s="44" t="str">
        <f>IF(test="oui",IF(AND(Type="Clothoïde",'définition axe en plan'!$D36="Alignement Droit"),'définition axe en plan'!H36,'définition axe en plan'!H35),"")</f>
        <v/>
      </c>
      <c r="I35" s="43" t="str">
        <f>IF(test="oui",'définition axe en plan'!I35,"")</f>
        <v/>
      </c>
      <c r="J35" s="43" t="str">
        <f>IF(test="oui",'définition axe en plan'!J35,"")</f>
        <v/>
      </c>
      <c r="K35" s="46" t="str">
        <f>IF(test="oui",'définition axe en plan'!K35,"")</f>
        <v/>
      </c>
    </row>
    <row r="36" spans="1:15" x14ac:dyDescent="0.2">
      <c r="A36" s="14"/>
      <c r="B36" s="119" t="s">
        <v>163</v>
      </c>
      <c r="C36" s="43" t="str">
        <f>IF(AND(PMrabat&gt;=_PM26,PMrabat&lt;_PM27),"oui","non")</f>
        <v>non</v>
      </c>
      <c r="D36" s="43" t="str">
        <f>IF(test="oui",'définition axe en plan'!D36,"")</f>
        <v/>
      </c>
      <c r="E36" s="44" t="str">
        <f>IF(test="oui",IF(AND(Type="Clothoïde",'définition axe en plan'!D37="Alignement Droit"),'définition axe en plan'!E37,'définition axe en plan'!E36),"")</f>
        <v/>
      </c>
      <c r="F36" s="44" t="str">
        <f>IF(test="oui",IF(AND(Type="Clothoïde",'définition axe en plan'!$D37="Alignement Droit"),'définition axe en plan'!F37,'définition axe en plan'!F36),"")</f>
        <v/>
      </c>
      <c r="G36" s="44" t="str">
        <f>IF(test="oui",IF(AND(Type="Clothoïde",'définition axe en plan'!$D37="Alignement Droit"),'définition axe en plan'!G37,'définition axe en plan'!G36),"")</f>
        <v/>
      </c>
      <c r="H36" s="44" t="str">
        <f>IF(test="oui",IF(AND(Type="Clothoïde",'définition axe en plan'!$D37="Alignement Droit"),'définition axe en plan'!H37,'définition axe en plan'!H36),"")</f>
        <v/>
      </c>
      <c r="I36" s="43" t="str">
        <f>IF(test="oui",'définition axe en plan'!I36,"")</f>
        <v/>
      </c>
      <c r="J36" s="43" t="str">
        <f>IF(test="oui",'définition axe en plan'!J36,"")</f>
        <v/>
      </c>
      <c r="K36" s="46" t="str">
        <f>IF(test="oui",'définition axe en plan'!K36,"")</f>
        <v/>
      </c>
    </row>
    <row r="37" spans="1:15" x14ac:dyDescent="0.2">
      <c r="A37" s="14"/>
      <c r="B37" s="119" t="s">
        <v>170</v>
      </c>
      <c r="C37" s="43" t="str">
        <f>IF(AND(PMrabat&gt;=_PM27,PMrabat&lt;_PM28),"oui","non")</f>
        <v>non</v>
      </c>
      <c r="D37" s="43" t="str">
        <f>IF(test="oui",'définition axe en plan'!D37,"")</f>
        <v/>
      </c>
      <c r="E37" s="44" t="str">
        <f>IF(test="oui",IF(AND(Type="Clothoïde",'définition axe en plan'!D38="Alignement Droit"),'définition axe en plan'!E38,'définition axe en plan'!E37),"")</f>
        <v/>
      </c>
      <c r="F37" s="44" t="str">
        <f>IF(test="oui",IF(AND(Type="Clothoïde",'définition axe en plan'!$D38="Alignement Droit"),'définition axe en plan'!F38,'définition axe en plan'!F37),"")</f>
        <v/>
      </c>
      <c r="G37" s="44" t="str">
        <f>IF(test="oui",IF(AND(Type="Clothoïde",'définition axe en plan'!$D38="Alignement Droit"),'définition axe en plan'!G38,'définition axe en plan'!G37),"")</f>
        <v/>
      </c>
      <c r="H37" s="44" t="str">
        <f>IF(test="oui",IF(AND(Type="Clothoïde",'définition axe en plan'!$D38="Alignement Droit"),'définition axe en plan'!H38,'définition axe en plan'!H37),"")</f>
        <v/>
      </c>
      <c r="I37" s="43" t="str">
        <f>IF(test="oui",'définition axe en plan'!I37,"")</f>
        <v/>
      </c>
      <c r="J37" s="43" t="str">
        <f>IF(test="oui",'définition axe en plan'!J37,"")</f>
        <v/>
      </c>
      <c r="K37" s="46" t="str">
        <f>IF(test="oui",'définition axe en plan'!K37,"")</f>
        <v/>
      </c>
    </row>
    <row r="38" spans="1:15" x14ac:dyDescent="0.2">
      <c r="A38" s="14"/>
      <c r="B38" s="119" t="s">
        <v>171</v>
      </c>
      <c r="C38" s="43"/>
      <c r="D38" s="43" t="str">
        <f>IF(test="oui",'définition axe en plan'!D38,"")</f>
        <v/>
      </c>
      <c r="E38" s="44" t="str">
        <f>IF(test="oui",IF(AND(Type="Clothoïde",'définition axe en plan'!D39="Alignement Droit"),'définition axe en plan'!E39,'définition axe en plan'!E38),"")</f>
        <v/>
      </c>
      <c r="F38" s="44" t="str">
        <f>IF(test="oui",IF(AND(Type="Clothoïde",'définition axe en plan'!$D39="Alignement Droit"),'définition axe en plan'!F39,'définition axe en plan'!F38),"")</f>
        <v/>
      </c>
      <c r="G38" s="44" t="str">
        <f>IF(test="oui",IF(AND(Type="Clothoïde",'définition axe en plan'!$D39="Alignement Droit"),'définition axe en plan'!G39,'définition axe en plan'!G38),"")</f>
        <v/>
      </c>
      <c r="H38" s="44" t="str">
        <f>IF(test="oui",IF(AND(Type="Clothoïde",'définition axe en plan'!$D39="Alignement Droit"),'définition axe en plan'!H39,'définition axe en plan'!H38),"")</f>
        <v/>
      </c>
      <c r="I38" s="43" t="str">
        <f>IF(test="oui",'définition axe en plan'!I38,"")</f>
        <v/>
      </c>
      <c r="J38" s="43" t="str">
        <f>IF(test="oui",'définition axe en plan'!J38,"")</f>
        <v/>
      </c>
      <c r="K38" s="46" t="str">
        <f>IF(test="oui",'définition axe en plan'!K38,"")</f>
        <v/>
      </c>
    </row>
    <row r="39" spans="1:15" x14ac:dyDescent="0.2">
      <c r="B39" s="119"/>
      <c r="D39" s="36"/>
      <c r="E39" s="37"/>
      <c r="F39" s="37"/>
      <c r="G39" s="37"/>
      <c r="H39" s="38"/>
      <c r="I39" s="36"/>
      <c r="J39" s="36"/>
      <c r="K39" s="39"/>
    </row>
    <row r="40" spans="1:15" x14ac:dyDescent="0.2">
      <c r="B40" s="119"/>
      <c r="D40" s="36"/>
      <c r="E40" s="37"/>
      <c r="F40" s="37"/>
      <c r="G40" s="37"/>
      <c r="H40" s="38"/>
      <c r="I40" s="36"/>
      <c r="J40" s="36"/>
      <c r="K40" s="39"/>
    </row>
    <row r="41" spans="1:15" x14ac:dyDescent="0.2">
      <c r="B41" s="119"/>
      <c r="D41" s="36"/>
      <c r="E41" s="37"/>
      <c r="F41" s="37"/>
      <c r="G41" s="37"/>
      <c r="H41" s="38"/>
      <c r="I41" s="36"/>
      <c r="J41" s="36"/>
      <c r="K41" s="39"/>
    </row>
    <row r="42" spans="1:15" ht="15.75" x14ac:dyDescent="0.2">
      <c r="B42" s="32"/>
      <c r="C42" s="33" t="s">
        <v>28</v>
      </c>
      <c r="D42" s="47" t="str">
        <f>D11&amp;D12&amp;D13&amp;D14&amp;D15&amp;D16&amp;D17&amp;D18&amp;D19&amp;D20&amp;D21&amp;D22&amp;D23&amp;D24&amp;D25&amp;D26&amp;D27&amp;D28&amp;D29&amp;D30&amp;D31&amp;D32&amp;D33&amp;D34&amp;D35&amp;D36</f>
        <v>alignement droit</v>
      </c>
      <c r="E42" s="48">
        <f t="shared" ref="E42:K42" si="0">SUM(E11:E36)</f>
        <v>-16.602</v>
      </c>
      <c r="F42" s="48">
        <f t="shared" si="0"/>
        <v>823077.49860000005</v>
      </c>
      <c r="G42" s="48">
        <f t="shared" si="0"/>
        <v>1091438.1909</v>
      </c>
      <c r="H42" s="48">
        <f t="shared" si="0"/>
        <v>272.22219999999999</v>
      </c>
      <c r="I42" s="48">
        <f t="shared" si="0"/>
        <v>0</v>
      </c>
      <c r="J42" s="48">
        <f t="shared" si="0"/>
        <v>0</v>
      </c>
      <c r="K42" s="48">
        <f t="shared" si="0"/>
        <v>0</v>
      </c>
    </row>
    <row r="43" spans="1:15" x14ac:dyDescent="0.2">
      <c r="D43" s="36"/>
      <c r="E43" s="37"/>
      <c r="F43" s="37"/>
      <c r="G43" s="37"/>
      <c r="H43" s="38"/>
      <c r="I43" s="36"/>
      <c r="J43" s="36"/>
      <c r="K43" s="39"/>
    </row>
    <row r="44" spans="1:15" ht="27.75" customHeight="1" x14ac:dyDescent="0.2">
      <c r="B44" s="103" t="s">
        <v>56</v>
      </c>
      <c r="C44" s="104"/>
      <c r="D44" s="42">
        <f>PMrabat-PM</f>
        <v>6.6692800000000005</v>
      </c>
      <c r="H44" s="30"/>
      <c r="K44" s="31"/>
    </row>
    <row r="46" spans="1:15" ht="69" customHeight="1" x14ac:dyDescent="0.2">
      <c r="A46" s="52" t="s">
        <v>57</v>
      </c>
      <c r="B46" s="53" t="s">
        <v>58</v>
      </c>
      <c r="C46" s="53" t="s">
        <v>59</v>
      </c>
      <c r="D46" s="53" t="s">
        <v>60</v>
      </c>
      <c r="E46" s="91" t="s">
        <v>61</v>
      </c>
      <c r="F46"/>
      <c r="G46" s="34" t="s">
        <v>34</v>
      </c>
      <c r="H46" s="52" t="s">
        <v>35</v>
      </c>
      <c r="I46" s="53" t="s">
        <v>36</v>
      </c>
      <c r="J46" s="99"/>
      <c r="K46" s="40" t="s">
        <v>62</v>
      </c>
      <c r="L46" s="40" t="s">
        <v>63</v>
      </c>
      <c r="M46" s="40" t="s">
        <v>64</v>
      </c>
    </row>
    <row r="47" spans="1:15" x14ac:dyDescent="0.2">
      <c r="A47"/>
      <c r="F47"/>
    </row>
    <row r="48" spans="1:15" ht="27.75" customHeight="1" x14ac:dyDescent="0.2">
      <c r="A48" s="41">
        <f>IF(Type="Alignement Droit",coordX(Xe,Gise,D),"")</f>
        <v>823071.45418058604</v>
      </c>
      <c r="B48" s="41">
        <f>IF(Type="Alignement Droit",coordY(Ye,Gise,D),"")</f>
        <v>1091435.3723383695</v>
      </c>
      <c r="C48" s="41">
        <f>IF(Type="Alignement Droit",A48,"")</f>
        <v>823071.45418058604</v>
      </c>
      <c r="D48" s="41">
        <f>IF(Type="Alignement Droit",B48,"")</f>
        <v>1091435.3723383695</v>
      </c>
      <c r="E48" s="41">
        <f>IF(Type="Alignement Droit",Gise,"")</f>
        <v>272.22219999999999</v>
      </c>
      <c r="F48"/>
      <c r="J48"/>
      <c r="K48" s="14" t="s">
        <v>41</v>
      </c>
      <c r="N48"/>
      <c r="O48" s="106" t="s">
        <v>65</v>
      </c>
    </row>
    <row r="49" spans="1:15" x14ac:dyDescent="0.2">
      <c r="F49"/>
      <c r="J49"/>
      <c r="N49"/>
      <c r="O49" s="106" t="s">
        <v>66</v>
      </c>
    </row>
    <row r="50" spans="1:15" ht="30.75" customHeight="1" x14ac:dyDescent="0.2">
      <c r="A50" s="54" t="str">
        <f>IF(Type="Cercle",coordX(Xc,G50,Ray),"")</f>
        <v/>
      </c>
      <c r="B50" s="41" t="str">
        <f>IF(Type="Cercle",coordY(Yc,G50,Ray),"")</f>
        <v/>
      </c>
      <c r="C50" s="41" t="str">
        <f>IF(Type="Cercle",A50,"")</f>
        <v/>
      </c>
      <c r="D50" s="41" t="str">
        <f>IF(Type="Cercle",B50,"")</f>
        <v/>
      </c>
      <c r="E50" s="41" t="str">
        <f>IF(Type="Cercle",G50+Sens*100,"")</f>
        <v/>
      </c>
      <c r="F50"/>
      <c r="G50" s="41" t="str">
        <f>IF(Type="Cercle",Gise-100*Sens+Sens*D/Ray*200/PI(),"")</f>
        <v/>
      </c>
      <c r="H50" s="54" t="str">
        <f>IF(Type="Cercle",coordX(Xe,Gise+100*Sens,Ray),"")</f>
        <v/>
      </c>
      <c r="I50" s="41" t="str">
        <f>IF(Type="Cercle",coordY(Ye,Gise+100*Sens,Ray),"")</f>
        <v/>
      </c>
      <c r="J50"/>
      <c r="K50" s="14" t="s">
        <v>42</v>
      </c>
      <c r="N50"/>
      <c r="O50" s="106" t="s">
        <v>67</v>
      </c>
    </row>
    <row r="51" spans="1:15" x14ac:dyDescent="0.2">
      <c r="A51"/>
      <c r="F51"/>
      <c r="J51"/>
    </row>
    <row r="52" spans="1:15" ht="30" customHeight="1" x14ac:dyDescent="0.2">
      <c r="A52" s="41" t="str">
        <f>IF(Type="Clothoïde",Xe+Dx*singr(Gise)+Sens*Dy*cosgr(Gise),"")</f>
        <v/>
      </c>
      <c r="B52" s="41" t="str">
        <f>IF(Type="Clothoïde",Ye+Dx*cosgr(Gise)-Sens*Dy*singr(Gise),"")</f>
        <v/>
      </c>
      <c r="C52" s="41" t="str">
        <f>IF(Type="Clothoïde",A52,"")</f>
        <v/>
      </c>
      <c r="D52" s="41" t="str">
        <f>IF(Type="Clothoïde",B52,"")</f>
        <v/>
      </c>
      <c r="E52" s="41" t="str">
        <f>IF(Type="Clothoïde",Gise+Sens*M*200/PI(),"")</f>
        <v/>
      </c>
      <c r="F52"/>
      <c r="H52" s="14" t="s">
        <v>43</v>
      </c>
      <c r="J52"/>
      <c r="K52" s="41" t="str">
        <f>IF(Type="Clothoïde",(D/param)^2/2,"")</f>
        <v/>
      </c>
      <c r="L52" s="41" t="str">
        <f>IF(Type="Clothoïde",D*(1-M^2/10+M^4/216-M^6/9360),"")</f>
        <v/>
      </c>
      <c r="M52" s="41" t="str">
        <f>IF(Type="Clothoïde",M*D*(1/3-M^2/42+M^4/1320-M^6/75600),"")</f>
        <v/>
      </c>
      <c r="N52"/>
      <c r="O52" s="106" t="s">
        <v>68</v>
      </c>
    </row>
    <row r="53" spans="1:15" ht="15.75" thickBot="1" x14ac:dyDescent="0.25">
      <c r="F53"/>
    </row>
    <row r="54" spans="1:15" ht="30.75" customHeight="1" thickBot="1" x14ac:dyDescent="0.25">
      <c r="A54" s="55">
        <f>ROUND(SUM(A48:A52),5)</f>
        <v>823071.45418</v>
      </c>
      <c r="B54" s="42">
        <f>ROUND(SUM(B48:B52),5)</f>
        <v>1091435.37234</v>
      </c>
      <c r="C54" s="56">
        <f>ROUND(SUM(C48:C52),5)</f>
        <v>823071.45418</v>
      </c>
      <c r="D54" s="50">
        <f>ROUND(SUM(D48:D52),5)</f>
        <v>1091435.37234</v>
      </c>
      <c r="E54" s="49">
        <f>ROUND(SUM(E48:E52),5)</f>
        <v>272.22219999999999</v>
      </c>
      <c r="F54"/>
      <c r="G54"/>
      <c r="H54" s="105"/>
      <c r="I54" s="105"/>
      <c r="J54"/>
      <c r="K54"/>
      <c r="L54"/>
      <c r="M54"/>
      <c r="O54" s="106" t="s">
        <v>69</v>
      </c>
    </row>
    <row r="58" spans="1:15" x14ac:dyDescent="0.2">
      <c r="A58"/>
      <c r="B58"/>
      <c r="C58"/>
    </row>
    <row r="59" spans="1:15" x14ac:dyDescent="0.2">
      <c r="A59"/>
      <c r="B59"/>
      <c r="C59"/>
      <c r="D59"/>
      <c r="E59"/>
      <c r="F59"/>
      <c r="G59"/>
    </row>
    <row r="60" spans="1:15" x14ac:dyDescent="0.2">
      <c r="A60"/>
      <c r="B60"/>
      <c r="C60"/>
      <c r="D60"/>
      <c r="E60"/>
      <c r="F60"/>
      <c r="G60"/>
    </row>
    <row r="61" spans="1:15" x14ac:dyDescent="0.2">
      <c r="A61"/>
      <c r="B61"/>
      <c r="C61"/>
      <c r="D61"/>
      <c r="E61"/>
      <c r="F61"/>
      <c r="G61"/>
    </row>
    <row r="62" spans="1:15" x14ac:dyDescent="0.2">
      <c r="A62"/>
      <c r="B62"/>
      <c r="C62"/>
      <c r="D62"/>
      <c r="E62"/>
      <c r="F62"/>
      <c r="G62"/>
    </row>
    <row r="63" spans="1:15" x14ac:dyDescent="0.2">
      <c r="A63"/>
      <c r="B63"/>
      <c r="C63"/>
      <c r="D63"/>
      <c r="E63"/>
      <c r="F63"/>
      <c r="G63"/>
    </row>
    <row r="64" spans="1:15" x14ac:dyDescent="0.2">
      <c r="A64"/>
      <c r="B64"/>
      <c r="C64"/>
      <c r="D64"/>
      <c r="E64"/>
      <c r="F64"/>
      <c r="G64"/>
    </row>
    <row r="65" spans="1:9" x14ac:dyDescent="0.2">
      <c r="A65"/>
      <c r="B65"/>
      <c r="C65"/>
      <c r="D65"/>
      <c r="E65"/>
      <c r="F65"/>
      <c r="G65"/>
    </row>
    <row r="66" spans="1:9" x14ac:dyDescent="0.2">
      <c r="A66"/>
      <c r="B66"/>
      <c r="C66"/>
      <c r="D66"/>
      <c r="E66"/>
      <c r="F66"/>
      <c r="G66"/>
    </row>
    <row r="67" spans="1:9" x14ac:dyDescent="0.2">
      <c r="A67"/>
      <c r="B67"/>
      <c r="C67"/>
      <c r="D67"/>
      <c r="E67"/>
      <c r="F67"/>
      <c r="G67"/>
    </row>
    <row r="71" spans="1:9" x14ac:dyDescent="0.2">
      <c r="A71"/>
      <c r="B71"/>
      <c r="C71"/>
      <c r="D71"/>
      <c r="E71"/>
      <c r="F71"/>
      <c r="G71"/>
    </row>
    <row r="72" spans="1:9" x14ac:dyDescent="0.2">
      <c r="A72"/>
      <c r="B72"/>
      <c r="C72"/>
      <c r="D72"/>
      <c r="E72"/>
      <c r="F72"/>
      <c r="G72"/>
    </row>
    <row r="73" spans="1:9" x14ac:dyDescent="0.2">
      <c r="A73"/>
      <c r="B73"/>
      <c r="C73"/>
      <c r="D73"/>
      <c r="E73"/>
      <c r="F73"/>
      <c r="G73"/>
    </row>
    <row r="74" spans="1:9" x14ac:dyDescent="0.2">
      <c r="A74"/>
      <c r="B74"/>
      <c r="D74"/>
      <c r="E74"/>
      <c r="F74"/>
      <c r="G74" s="14"/>
      <c r="H74"/>
    </row>
    <row r="75" spans="1:9" x14ac:dyDescent="0.2">
      <c r="A75"/>
      <c r="B75"/>
      <c r="D75"/>
      <c r="E75"/>
      <c r="F75"/>
      <c r="G75" s="14"/>
      <c r="H75" s="14"/>
    </row>
    <row r="76" spans="1:9" x14ac:dyDescent="0.2">
      <c r="A76"/>
      <c r="B76"/>
      <c r="D76"/>
      <c r="E76"/>
      <c r="F76"/>
      <c r="G76" s="14"/>
      <c r="H76" s="14"/>
    </row>
    <row r="77" spans="1:9" x14ac:dyDescent="0.2">
      <c r="A77"/>
      <c r="B77"/>
      <c r="D77"/>
      <c r="E77"/>
      <c r="F77"/>
      <c r="G77" s="14"/>
      <c r="H77" s="14"/>
      <c r="I77"/>
    </row>
    <row r="78" spans="1:9" x14ac:dyDescent="0.2">
      <c r="A78"/>
      <c r="B78"/>
      <c r="D78"/>
      <c r="F78"/>
      <c r="G78" s="14"/>
      <c r="H78" s="14"/>
      <c r="I78"/>
    </row>
    <row r="79" spans="1:9" x14ac:dyDescent="0.2">
      <c r="A79"/>
      <c r="B79"/>
      <c r="F79" s="14"/>
      <c r="G79" s="14"/>
      <c r="H79" s="14"/>
      <c r="I79"/>
    </row>
    <row r="80" spans="1:9" x14ac:dyDescent="0.2">
      <c r="A80"/>
      <c r="B80"/>
      <c r="F80"/>
      <c r="G80" s="14"/>
      <c r="H80" s="14"/>
    </row>
    <row r="81" spans="1:7" x14ac:dyDescent="0.2">
      <c r="A81"/>
      <c r="B81"/>
    </row>
    <row r="82" spans="1:7" x14ac:dyDescent="0.2">
      <c r="A82"/>
      <c r="B82"/>
    </row>
    <row r="83" spans="1:7" x14ac:dyDescent="0.2">
      <c r="A83"/>
      <c r="B83"/>
      <c r="C83"/>
      <c r="D83"/>
      <c r="E83"/>
      <c r="F83"/>
      <c r="G83"/>
    </row>
    <row r="84" spans="1:7" x14ac:dyDescent="0.2">
      <c r="A84"/>
      <c r="B84"/>
      <c r="C84"/>
      <c r="D84"/>
      <c r="E84"/>
      <c r="F84"/>
      <c r="G84"/>
    </row>
    <row r="85" spans="1:7" x14ac:dyDescent="0.2">
      <c r="A85"/>
      <c r="B85"/>
      <c r="C85"/>
      <c r="D85"/>
      <c r="E85"/>
      <c r="F85"/>
      <c r="G85"/>
    </row>
    <row r="86" spans="1:7" x14ac:dyDescent="0.2">
      <c r="A86"/>
      <c r="B86"/>
      <c r="C86"/>
      <c r="D86"/>
      <c r="E86"/>
      <c r="F86"/>
      <c r="G86"/>
    </row>
    <row r="87" spans="1:7" x14ac:dyDescent="0.2">
      <c r="A87"/>
      <c r="B87"/>
      <c r="C87"/>
      <c r="D87"/>
      <c r="E87"/>
      <c r="F87"/>
      <c r="G87"/>
    </row>
    <row r="88" spans="1:7" x14ac:dyDescent="0.2">
      <c r="A88"/>
      <c r="B88"/>
      <c r="C88"/>
      <c r="D88"/>
      <c r="E88"/>
      <c r="F88"/>
      <c r="G88"/>
    </row>
    <row r="89" spans="1:7" x14ac:dyDescent="0.2">
      <c r="A89"/>
      <c r="B89"/>
      <c r="C89"/>
      <c r="D89"/>
      <c r="E89"/>
      <c r="F89"/>
      <c r="G89"/>
    </row>
    <row r="90" spans="1:7" x14ac:dyDescent="0.2">
      <c r="A90"/>
      <c r="B90"/>
      <c r="C90"/>
      <c r="D90"/>
      <c r="E90"/>
      <c r="F90"/>
      <c r="G90"/>
    </row>
    <row r="91" spans="1:7" x14ac:dyDescent="0.2">
      <c r="A91"/>
      <c r="B91"/>
      <c r="C91"/>
      <c r="D91"/>
      <c r="E91"/>
      <c r="F91"/>
      <c r="G91"/>
    </row>
    <row r="92" spans="1:7" x14ac:dyDescent="0.2">
      <c r="A92"/>
      <c r="B92"/>
      <c r="C92"/>
      <c r="D92"/>
      <c r="E92"/>
      <c r="F92"/>
      <c r="G92"/>
    </row>
    <row r="93" spans="1:7" x14ac:dyDescent="0.2">
      <c r="A93"/>
      <c r="B93"/>
      <c r="C93"/>
      <c r="D93"/>
      <c r="E93"/>
      <c r="F93"/>
      <c r="G93"/>
    </row>
    <row r="94" spans="1:7" x14ac:dyDescent="0.2">
      <c r="A94"/>
      <c r="B94"/>
      <c r="C94"/>
      <c r="D94"/>
      <c r="E94"/>
      <c r="F94"/>
      <c r="G94"/>
    </row>
    <row r="95" spans="1:7" x14ac:dyDescent="0.2">
      <c r="A95"/>
      <c r="B95"/>
      <c r="C95"/>
      <c r="D95"/>
      <c r="E95"/>
      <c r="F95"/>
      <c r="G95"/>
    </row>
    <row r="96" spans="1:7" x14ac:dyDescent="0.2">
      <c r="A96"/>
      <c r="B96"/>
      <c r="C96"/>
      <c r="D96"/>
      <c r="E96"/>
      <c r="F96"/>
      <c r="G96"/>
    </row>
    <row r="97" spans="1:7" x14ac:dyDescent="0.2">
      <c r="A97"/>
      <c r="B97"/>
      <c r="C97"/>
      <c r="D97"/>
      <c r="E97"/>
      <c r="F97"/>
      <c r="G97"/>
    </row>
    <row r="98" spans="1:7" x14ac:dyDescent="0.2">
      <c r="A98"/>
      <c r="B98"/>
      <c r="C98"/>
      <c r="D98"/>
      <c r="E98"/>
      <c r="F98"/>
      <c r="G98"/>
    </row>
    <row r="99" spans="1:7" x14ac:dyDescent="0.2">
      <c r="A99"/>
      <c r="B99"/>
      <c r="C99"/>
      <c r="D99"/>
      <c r="E99"/>
      <c r="F99"/>
      <c r="G99"/>
    </row>
    <row r="100" spans="1:7" x14ac:dyDescent="0.2">
      <c r="A100"/>
      <c r="B100"/>
      <c r="C100"/>
      <c r="D100"/>
      <c r="E100"/>
      <c r="F100"/>
      <c r="G100"/>
    </row>
    <row r="101" spans="1:7" x14ac:dyDescent="0.2">
      <c r="A101"/>
      <c r="B101"/>
      <c r="C101"/>
      <c r="D101"/>
      <c r="E101"/>
      <c r="F101"/>
      <c r="G101"/>
    </row>
    <row r="102" spans="1:7" x14ac:dyDescent="0.2">
      <c r="A102"/>
      <c r="B102"/>
      <c r="C102"/>
      <c r="D102"/>
      <c r="E102"/>
      <c r="F102"/>
      <c r="G102"/>
    </row>
    <row r="103" spans="1:7" x14ac:dyDescent="0.2">
      <c r="A103"/>
      <c r="B103"/>
      <c r="C103"/>
      <c r="D103"/>
      <c r="E103"/>
      <c r="F103"/>
      <c r="G103"/>
    </row>
    <row r="104" spans="1:7" x14ac:dyDescent="0.2">
      <c r="A104"/>
      <c r="B104"/>
      <c r="C104"/>
      <c r="D104"/>
      <c r="E104"/>
      <c r="F104"/>
      <c r="G104"/>
    </row>
    <row r="105" spans="1:7" x14ac:dyDescent="0.2">
      <c r="A105"/>
      <c r="B105"/>
      <c r="C105"/>
      <c r="D105"/>
      <c r="E105"/>
      <c r="F105"/>
      <c r="G105"/>
    </row>
    <row r="106" spans="1:7" x14ac:dyDescent="0.2">
      <c r="A106"/>
      <c r="B106"/>
      <c r="C106"/>
      <c r="D106"/>
      <c r="E106"/>
      <c r="F106"/>
      <c r="G106"/>
    </row>
    <row r="107" spans="1:7" x14ac:dyDescent="0.2">
      <c r="A107"/>
      <c r="B107"/>
      <c r="C107"/>
      <c r="D107"/>
      <c r="E107"/>
      <c r="F107"/>
      <c r="G107"/>
    </row>
    <row r="108" spans="1:7" x14ac:dyDescent="0.2">
      <c r="A108"/>
      <c r="B108"/>
      <c r="C108"/>
      <c r="D108"/>
      <c r="E108"/>
      <c r="F108"/>
      <c r="G108"/>
    </row>
    <row r="109" spans="1:7" x14ac:dyDescent="0.2">
      <c r="A109"/>
      <c r="B109"/>
      <c r="C109"/>
      <c r="D109"/>
      <c r="E109"/>
      <c r="F109"/>
      <c r="G109"/>
    </row>
    <row r="110" spans="1:7" x14ac:dyDescent="0.2">
      <c r="A110"/>
      <c r="B110"/>
      <c r="C110"/>
      <c r="D110"/>
      <c r="E110"/>
      <c r="F110"/>
      <c r="G110"/>
    </row>
    <row r="111" spans="1:7" x14ac:dyDescent="0.2">
      <c r="A111"/>
      <c r="B111"/>
      <c r="C111"/>
      <c r="D111"/>
      <c r="E111"/>
      <c r="F111"/>
      <c r="G111"/>
    </row>
    <row r="112" spans="1:7" x14ac:dyDescent="0.2">
      <c r="A112"/>
      <c r="B112"/>
      <c r="C112"/>
      <c r="D112"/>
      <c r="E112"/>
      <c r="F112"/>
      <c r="G112"/>
    </row>
    <row r="113" spans="1:7" x14ac:dyDescent="0.2">
      <c r="A113"/>
      <c r="B113"/>
      <c r="C113"/>
      <c r="D113"/>
      <c r="E113"/>
      <c r="F113"/>
      <c r="G113"/>
    </row>
    <row r="114" spans="1:7" x14ac:dyDescent="0.2">
      <c r="A114"/>
      <c r="B114"/>
      <c r="C114"/>
      <c r="D114"/>
      <c r="E114"/>
      <c r="F114"/>
      <c r="G114"/>
    </row>
    <row r="115" spans="1:7" x14ac:dyDescent="0.2">
      <c r="A115"/>
      <c r="B115"/>
      <c r="C115"/>
      <c r="D115"/>
      <c r="E115"/>
      <c r="F115"/>
      <c r="G115"/>
    </row>
    <row r="116" spans="1:7" x14ac:dyDescent="0.2">
      <c r="A116"/>
      <c r="B116"/>
      <c r="C116"/>
      <c r="D116"/>
      <c r="E116"/>
      <c r="F116"/>
      <c r="G116"/>
    </row>
    <row r="117" spans="1:7" x14ac:dyDescent="0.2">
      <c r="A117"/>
      <c r="B117"/>
      <c r="C117"/>
      <c r="D117"/>
      <c r="E117"/>
      <c r="F117"/>
      <c r="G117"/>
    </row>
    <row r="118" spans="1:7" x14ac:dyDescent="0.2">
      <c r="A118"/>
      <c r="B118"/>
      <c r="C118"/>
      <c r="D118"/>
      <c r="E118"/>
      <c r="F118"/>
      <c r="G118"/>
    </row>
    <row r="119" spans="1:7" x14ac:dyDescent="0.2">
      <c r="A119"/>
      <c r="B119"/>
      <c r="C119"/>
      <c r="D119"/>
      <c r="E119"/>
      <c r="F119"/>
      <c r="G119"/>
    </row>
    <row r="120" spans="1:7" x14ac:dyDescent="0.2">
      <c r="A120"/>
      <c r="B120"/>
      <c r="C120"/>
      <c r="D120"/>
      <c r="E120"/>
      <c r="F120"/>
      <c r="G120"/>
    </row>
    <row r="121" spans="1:7" x14ac:dyDescent="0.2">
      <c r="A121"/>
      <c r="B121"/>
      <c r="C121"/>
      <c r="D121"/>
      <c r="E121"/>
      <c r="F121"/>
      <c r="G121"/>
    </row>
    <row r="122" spans="1:7" x14ac:dyDescent="0.2">
      <c r="A122"/>
      <c r="B122"/>
      <c r="C122"/>
      <c r="D122"/>
      <c r="E122"/>
      <c r="F122"/>
      <c r="G122"/>
    </row>
    <row r="123" spans="1:7" x14ac:dyDescent="0.2">
      <c r="A123"/>
      <c r="B123"/>
      <c r="C123"/>
      <c r="D123"/>
      <c r="E123"/>
      <c r="F123"/>
      <c r="G123"/>
    </row>
    <row r="124" spans="1:7" x14ac:dyDescent="0.2">
      <c r="A124"/>
      <c r="B124"/>
      <c r="C124"/>
      <c r="D124"/>
      <c r="E124"/>
      <c r="F124"/>
      <c r="G124"/>
    </row>
    <row r="125" spans="1:7" x14ac:dyDescent="0.2">
      <c r="A125"/>
      <c r="B125"/>
      <c r="C125"/>
      <c r="D125"/>
      <c r="E125"/>
      <c r="F125"/>
      <c r="G125"/>
    </row>
    <row r="126" spans="1:7" x14ac:dyDescent="0.2">
      <c r="A126"/>
      <c r="B126"/>
      <c r="C126"/>
      <c r="D126"/>
      <c r="E126"/>
      <c r="F126"/>
      <c r="G126"/>
    </row>
    <row r="127" spans="1:7" x14ac:dyDescent="0.2">
      <c r="A127"/>
      <c r="B127"/>
      <c r="C127"/>
      <c r="D127"/>
      <c r="E127"/>
      <c r="F127"/>
      <c r="G127"/>
    </row>
    <row r="128" spans="1:7" x14ac:dyDescent="0.2">
      <c r="A128"/>
      <c r="B128"/>
      <c r="C128"/>
      <c r="D128"/>
      <c r="E128"/>
      <c r="F128"/>
      <c r="G128"/>
    </row>
    <row r="129" spans="1:7" x14ac:dyDescent="0.2">
      <c r="A129"/>
      <c r="B129"/>
      <c r="C129"/>
      <c r="D129"/>
      <c r="E129"/>
      <c r="F129"/>
      <c r="G129"/>
    </row>
    <row r="130" spans="1:7" x14ac:dyDescent="0.2">
      <c r="A130"/>
      <c r="B130"/>
      <c r="C130"/>
      <c r="D130"/>
      <c r="E130"/>
      <c r="F130"/>
      <c r="G130"/>
    </row>
    <row r="131" spans="1:7" x14ac:dyDescent="0.2">
      <c r="A131"/>
      <c r="B131"/>
      <c r="C131"/>
      <c r="D131"/>
      <c r="E131"/>
      <c r="F131"/>
      <c r="G131"/>
    </row>
    <row r="132" spans="1:7" x14ac:dyDescent="0.2">
      <c r="A132"/>
      <c r="B132"/>
      <c r="C132"/>
      <c r="D132"/>
      <c r="E132"/>
      <c r="F132"/>
      <c r="G132"/>
    </row>
    <row r="133" spans="1:7" x14ac:dyDescent="0.2">
      <c r="A133"/>
      <c r="B133"/>
      <c r="C133"/>
      <c r="D133"/>
      <c r="E133"/>
      <c r="F133"/>
      <c r="G133"/>
    </row>
    <row r="134" spans="1:7" x14ac:dyDescent="0.2">
      <c r="A134"/>
      <c r="B134"/>
      <c r="C134"/>
      <c r="D134"/>
      <c r="E134"/>
      <c r="F134"/>
      <c r="G134"/>
    </row>
    <row r="135" spans="1:7" x14ac:dyDescent="0.2">
      <c r="A135"/>
      <c r="B135"/>
      <c r="C135"/>
      <c r="D135"/>
      <c r="E135"/>
      <c r="F135"/>
      <c r="G135"/>
    </row>
    <row r="136" spans="1:7" x14ac:dyDescent="0.2">
      <c r="A136"/>
      <c r="B136"/>
      <c r="C136"/>
      <c r="D136"/>
      <c r="E136"/>
      <c r="F136"/>
      <c r="G136"/>
    </row>
    <row r="137" spans="1:7" x14ac:dyDescent="0.2">
      <c r="A137"/>
      <c r="B137"/>
      <c r="C137"/>
      <c r="D137"/>
      <c r="E137"/>
      <c r="F137"/>
      <c r="G137"/>
    </row>
    <row r="138" spans="1:7" x14ac:dyDescent="0.2">
      <c r="A138"/>
      <c r="B138"/>
      <c r="C138"/>
      <c r="D138"/>
      <c r="E138"/>
      <c r="F138"/>
      <c r="G138"/>
    </row>
    <row r="139" spans="1:7" x14ac:dyDescent="0.2">
      <c r="A139"/>
      <c r="B139"/>
      <c r="C139"/>
      <c r="D139"/>
      <c r="E139"/>
      <c r="F139"/>
      <c r="G139"/>
    </row>
    <row r="140" spans="1:7" x14ac:dyDescent="0.2">
      <c r="A140"/>
      <c r="B140"/>
      <c r="C140"/>
      <c r="D140"/>
      <c r="E140"/>
      <c r="F140"/>
      <c r="G140"/>
    </row>
    <row r="141" spans="1:7" x14ac:dyDescent="0.2">
      <c r="A141"/>
      <c r="B141"/>
      <c r="C141"/>
      <c r="D141"/>
      <c r="E141"/>
      <c r="F141"/>
      <c r="G141"/>
    </row>
    <row r="142" spans="1:7" x14ac:dyDescent="0.2">
      <c r="A142"/>
      <c r="B142"/>
      <c r="C142"/>
      <c r="D142"/>
      <c r="E142"/>
      <c r="F142"/>
      <c r="G142"/>
    </row>
    <row r="143" spans="1:7" x14ac:dyDescent="0.2">
      <c r="A143"/>
      <c r="B143"/>
      <c r="C143"/>
      <c r="D143"/>
      <c r="E143"/>
      <c r="F143"/>
      <c r="G143"/>
    </row>
    <row r="144" spans="1:7" x14ac:dyDescent="0.2">
      <c r="A144"/>
      <c r="B144"/>
      <c r="C144"/>
      <c r="D144"/>
      <c r="E144"/>
      <c r="F144"/>
      <c r="G144"/>
    </row>
    <row r="145" spans="1:7" x14ac:dyDescent="0.2">
      <c r="A145"/>
      <c r="B145"/>
      <c r="C145"/>
      <c r="D145"/>
      <c r="E145"/>
      <c r="F145"/>
      <c r="G145"/>
    </row>
    <row r="146" spans="1:7" x14ac:dyDescent="0.2">
      <c r="A146"/>
      <c r="B146"/>
      <c r="C146"/>
      <c r="D146"/>
      <c r="E146"/>
      <c r="F146"/>
      <c r="G146"/>
    </row>
    <row r="147" spans="1:7" x14ac:dyDescent="0.2">
      <c r="A147"/>
      <c r="B147"/>
      <c r="C147"/>
      <c r="D147"/>
      <c r="E147"/>
      <c r="F147"/>
      <c r="G147"/>
    </row>
    <row r="148" spans="1:7" x14ac:dyDescent="0.2">
      <c r="A148"/>
      <c r="B148"/>
      <c r="C148"/>
      <c r="D148"/>
      <c r="E148"/>
      <c r="F148"/>
      <c r="G148"/>
    </row>
    <row r="149" spans="1:7" x14ac:dyDescent="0.2">
      <c r="A149"/>
      <c r="B149"/>
      <c r="C149"/>
      <c r="D149"/>
      <c r="E149"/>
      <c r="F149"/>
      <c r="G149"/>
    </row>
    <row r="150" spans="1:7" x14ac:dyDescent="0.2">
      <c r="A150"/>
      <c r="B150"/>
      <c r="C150"/>
      <c r="D150"/>
      <c r="E150"/>
      <c r="F150"/>
      <c r="G150"/>
    </row>
    <row r="151" spans="1:7" x14ac:dyDescent="0.2">
      <c r="A151"/>
      <c r="B151"/>
      <c r="C151"/>
      <c r="D151"/>
      <c r="E151"/>
      <c r="F151"/>
      <c r="G151"/>
    </row>
    <row r="152" spans="1:7" x14ac:dyDescent="0.2">
      <c r="A152"/>
      <c r="B152"/>
      <c r="C152"/>
      <c r="D152"/>
      <c r="E152"/>
      <c r="F152"/>
      <c r="G152"/>
    </row>
    <row r="153" spans="1:7" x14ac:dyDescent="0.2">
      <c r="A153"/>
      <c r="B153"/>
      <c r="C153"/>
      <c r="D153"/>
      <c r="E153"/>
      <c r="F153"/>
      <c r="G153"/>
    </row>
    <row r="154" spans="1:7" x14ac:dyDescent="0.2">
      <c r="A154"/>
      <c r="B154"/>
      <c r="C154"/>
      <c r="D154"/>
      <c r="E154"/>
      <c r="F154"/>
      <c r="G154"/>
    </row>
    <row r="155" spans="1:7" x14ac:dyDescent="0.2">
      <c r="A155"/>
      <c r="B155"/>
      <c r="C155"/>
    </row>
    <row r="156" spans="1:7" x14ac:dyDescent="0.2">
      <c r="A156"/>
      <c r="B156"/>
      <c r="C156"/>
    </row>
    <row r="157" spans="1:7" x14ac:dyDescent="0.2">
      <c r="A157"/>
      <c r="B157"/>
      <c r="C157"/>
    </row>
    <row r="158" spans="1:7" x14ac:dyDescent="0.2">
      <c r="A158"/>
      <c r="B158"/>
      <c r="C158"/>
    </row>
    <row r="159" spans="1:7" x14ac:dyDescent="0.2">
      <c r="A159"/>
      <c r="B159"/>
      <c r="C159"/>
    </row>
  </sheetData>
  <customSheetViews>
    <customSheetView guid="{7E34E800-94BB-11D6-B2C6-0002A57730F5}" scale="75" showPageBreaks="1" printArea="1" showRuler="0" topLeftCell="A15">
      <selection activeCell="B29" sqref="B29:B31"/>
      <pageMargins left="0" right="0" top="0.39370078740157483" bottom="0.39370078740157483" header="0.11811023622047245" footer="0.11811023622047245"/>
      <pageSetup paperSize="9" orientation="landscape" horizontalDpi="300" verticalDpi="300" r:id="rId1"/>
      <headerFooter alignWithMargins="0">
        <oddHeader>&amp;C&amp;F&amp;    &amp;"     ,Normal"&amp;A</oddHeader>
      </headerFooter>
    </customSheetView>
  </customSheetViews>
  <mergeCells count="1">
    <mergeCell ref="S1:X1"/>
  </mergeCells>
  <phoneticPr fontId="0" type="noConversion"/>
  <pageMargins left="0" right="0" top="0.39370078740157483" bottom="0.39370078740157483" header="0.11811023622047245" footer="0.11811023622047245"/>
  <pageSetup paperSize="9" orientation="landscape" horizontalDpi="300" verticalDpi="300" r:id="rId2"/>
  <headerFooter alignWithMargins="0">
    <oddHeader>&amp;C&amp;F&amp;    &amp;"     ,Normal"&amp;A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845B7-157A-4165-B6DC-28E07CBD52F8}">
  <sheetPr codeName="Feuil4"/>
  <dimension ref="A1:V52"/>
  <sheetViews>
    <sheetView zoomScale="55" workbookViewId="0">
      <selection activeCell="C33" sqref="C33"/>
    </sheetView>
  </sheetViews>
  <sheetFormatPr baseColWidth="10" defaultColWidth="14" defaultRowHeight="15" x14ac:dyDescent="0.2"/>
  <cols>
    <col min="1" max="5" width="25.7109375" style="13" customWidth="1"/>
    <col min="6" max="7" width="14" style="13" customWidth="1"/>
    <col min="8" max="8" width="16.140625" style="13" customWidth="1"/>
    <col min="9" max="9" width="16.28515625" style="13" customWidth="1"/>
    <col min="10" max="16384" width="14" style="13"/>
  </cols>
  <sheetData>
    <row r="1" spans="1:22" ht="80.099999999999994" customHeight="1" thickTop="1" thickBot="1" x14ac:dyDescent="0.25">
      <c r="A1" s="18" t="s">
        <v>0</v>
      </c>
      <c r="B1" s="19"/>
      <c r="C1" s="20" t="s">
        <v>16</v>
      </c>
      <c r="D1" s="21"/>
      <c r="E1" s="22"/>
      <c r="G1"/>
      <c r="H1"/>
      <c r="I1"/>
      <c r="J1"/>
      <c r="K1"/>
      <c r="L1"/>
      <c r="M1"/>
      <c r="Q1" s="311" t="str">
        <f>'INFOS-PARAM'!B3&amp;"-"&amp;'INFOS-PARAM'!B5</f>
        <v>GGS-EXE</v>
      </c>
      <c r="R1" s="312"/>
      <c r="S1" s="312"/>
      <c r="T1" s="312"/>
      <c r="U1" s="312"/>
      <c r="V1" s="313"/>
    </row>
    <row r="2" spans="1:22" ht="39.950000000000003" customHeight="1" thickTop="1" thickBot="1" x14ac:dyDescent="0.25">
      <c r="A2" s="61" t="s">
        <v>2</v>
      </c>
      <c r="B2" s="62" t="s">
        <v>70</v>
      </c>
      <c r="C2" s="59" t="s">
        <v>71</v>
      </c>
      <c r="D2" s="58" t="s">
        <v>72</v>
      </c>
      <c r="E2" s="57" t="s">
        <v>73</v>
      </c>
      <c r="G2"/>
      <c r="H2"/>
      <c r="I2"/>
      <c r="J2"/>
      <c r="K2"/>
      <c r="L2"/>
      <c r="M2"/>
    </row>
    <row r="3" spans="1:22" ht="80.099999999999994" customHeight="1" thickTop="1" x14ac:dyDescent="0.2">
      <c r="A3" s="10"/>
      <c r="B3"/>
      <c r="C3" s="8"/>
      <c r="D3" s="4"/>
      <c r="E3" s="9"/>
      <c r="G3"/>
      <c r="H3"/>
      <c r="I3"/>
      <c r="J3"/>
      <c r="K3"/>
      <c r="L3"/>
      <c r="M3"/>
    </row>
    <row r="4" spans="1:22" ht="39.950000000000003" customHeight="1" x14ac:dyDescent="0.2">
      <c r="A4" s="71">
        <f>PMrabat</f>
        <v>-9.9327199999999998</v>
      </c>
      <c r="B4" s="72"/>
      <c r="C4" s="63">
        <f>C49</f>
        <v>-122.42630598278951</v>
      </c>
      <c r="D4" s="95">
        <f>D49</f>
        <v>1.0000182509878046E-2</v>
      </c>
      <c r="E4" s="64">
        <f>E49</f>
        <v>0</v>
      </c>
      <c r="G4"/>
      <c r="H4"/>
      <c r="I4"/>
      <c r="J4"/>
      <c r="K4"/>
      <c r="L4"/>
      <c r="M4"/>
    </row>
    <row r="5" spans="1:22" ht="80.099999999999994" customHeight="1" thickBot="1" x14ac:dyDescent="0.25">
      <c r="A5" s="25"/>
      <c r="B5" s="26"/>
      <c r="C5" s="27"/>
      <c r="D5" s="28"/>
      <c r="E5" s="29"/>
      <c r="G5"/>
      <c r="H5"/>
      <c r="I5"/>
      <c r="J5"/>
      <c r="K5"/>
      <c r="L5"/>
      <c r="M5"/>
    </row>
    <row r="6" spans="1:22" ht="15.75" thickTop="1" x14ac:dyDescent="0.2">
      <c r="G6"/>
      <c r="H6"/>
      <c r="I6"/>
      <c r="J6"/>
      <c r="K6"/>
      <c r="L6"/>
      <c r="M6"/>
    </row>
    <row r="9" spans="1:22" ht="20.25" x14ac:dyDescent="0.2">
      <c r="C9" s="35" t="s">
        <v>55</v>
      </c>
      <c r="D9" s="15" t="s">
        <v>20</v>
      </c>
      <c r="E9" s="15" t="s">
        <v>2</v>
      </c>
      <c r="F9" s="15" t="s">
        <v>75</v>
      </c>
      <c r="G9" s="15" t="s">
        <v>76</v>
      </c>
      <c r="H9" s="16" t="s">
        <v>24</v>
      </c>
      <c r="I9" s="15" t="s">
        <v>77</v>
      </c>
      <c r="J9"/>
      <c r="K9"/>
    </row>
    <row r="10" spans="1:22" x14ac:dyDescent="0.2">
      <c r="C10" s="36"/>
      <c r="D10" s="36"/>
      <c r="E10" s="36"/>
      <c r="F10" s="36"/>
      <c r="G10" s="36"/>
      <c r="H10" s="36"/>
      <c r="I10" s="36"/>
      <c r="J10"/>
      <c r="K10"/>
    </row>
    <row r="11" spans="1:22" x14ac:dyDescent="0.2">
      <c r="B11" s="119" t="s">
        <v>113</v>
      </c>
      <c r="C11" s="43" t="str">
        <f>IF(PMrabat&lt;_PL2,"oui","non")</f>
        <v>oui</v>
      </c>
      <c r="D11" s="43" t="str">
        <f>IF(testZ="oui",'définition profil en long'!D11,"")</f>
        <v>Pente constante</v>
      </c>
      <c r="E11" s="44">
        <f>IF(testZ="oui",'définition profil en long'!E11,"")</f>
        <v>-16.602</v>
      </c>
      <c r="F11" s="44">
        <f>IF(testZ="oui",'définition profil en long'!F11,"")</f>
        <v>-122.492999999999</v>
      </c>
      <c r="G11" s="44">
        <f>IF(testZ="oui",'définition profil en long'!G11,"")</f>
        <v>1.0000182509878046E-2</v>
      </c>
      <c r="H11" s="45">
        <f>IF(testZ="oui",'définition profil en long'!H11,"")</f>
        <v>0</v>
      </c>
      <c r="I11" s="43">
        <f>IF(testZ="oui",'définition profil en long'!I11,"")</f>
        <v>0</v>
      </c>
      <c r="J11"/>
      <c r="K11"/>
    </row>
    <row r="12" spans="1:22" x14ac:dyDescent="0.2">
      <c r="B12" s="119" t="s">
        <v>114</v>
      </c>
      <c r="C12" s="43" t="str">
        <f>IF(AND(PMrabat&gt;=_PL2,PMrabat&lt;_PL3),"oui","non")</f>
        <v>non</v>
      </c>
      <c r="D12" s="43" t="str">
        <f>IF(testZ="oui",'définition profil en long'!D12,"")</f>
        <v/>
      </c>
      <c r="E12" s="44" t="str">
        <f>IF(testZ="oui",'définition profil en long'!E12,"")</f>
        <v/>
      </c>
      <c r="F12" s="44" t="str">
        <f>IF(testZ="oui",'définition profil en long'!F12,"")</f>
        <v/>
      </c>
      <c r="G12" s="44" t="str">
        <f>IF(testZ="oui",'définition profil en long'!G12,"")</f>
        <v/>
      </c>
      <c r="H12" s="45" t="str">
        <f>IF(testZ="oui",'définition profil en long'!H12,"")</f>
        <v/>
      </c>
      <c r="I12" s="43" t="str">
        <f>IF(testZ="oui",'définition profil en long'!I12,"")</f>
        <v/>
      </c>
      <c r="J12"/>
      <c r="K12"/>
    </row>
    <row r="13" spans="1:22" x14ac:dyDescent="0.2">
      <c r="B13" s="119" t="s">
        <v>115</v>
      </c>
      <c r="C13" s="43" t="str">
        <f>IF(AND(PMrabat&gt;=_PL3,PMrabat&lt;_PL4),"oui","non")</f>
        <v>non</v>
      </c>
      <c r="D13" s="43" t="str">
        <f>IF(testZ="oui",'définition profil en long'!D13,"")</f>
        <v/>
      </c>
      <c r="E13" s="44" t="str">
        <f>IF(testZ="oui",'définition profil en long'!E13,"")</f>
        <v/>
      </c>
      <c r="F13" s="44" t="str">
        <f>IF(testZ="oui",'définition profil en long'!F13,"")</f>
        <v/>
      </c>
      <c r="G13" s="44" t="str">
        <f>IF(testZ="oui",'définition profil en long'!G13,"")</f>
        <v/>
      </c>
      <c r="H13" s="45" t="str">
        <f>IF(testZ="oui",'définition profil en long'!H13,"")</f>
        <v/>
      </c>
      <c r="I13" s="43" t="str">
        <f>IF(testZ="oui",'définition profil en long'!I13,"")</f>
        <v/>
      </c>
      <c r="J13"/>
      <c r="K13" t="s">
        <v>78</v>
      </c>
    </row>
    <row r="14" spans="1:22" x14ac:dyDescent="0.2">
      <c r="B14" s="119" t="s">
        <v>116</v>
      </c>
      <c r="C14" s="43" t="str">
        <f>IF(AND(PMrabat&gt;=_PL4,PMrabat&lt;_PL5),"oui","non")</f>
        <v>non</v>
      </c>
      <c r="D14" s="43" t="str">
        <f>IF(testZ="oui",'définition profil en long'!D14,"")</f>
        <v/>
      </c>
      <c r="E14" s="44" t="str">
        <f>IF(testZ="oui",'définition profil en long'!E14,"")</f>
        <v/>
      </c>
      <c r="F14" s="44" t="str">
        <f>IF(testZ="oui",'définition profil en long'!F14,"")</f>
        <v/>
      </c>
      <c r="G14" s="44" t="str">
        <f>IF(testZ="oui",'définition profil en long'!G14,"")</f>
        <v/>
      </c>
      <c r="H14" s="45" t="str">
        <f>IF(testZ="oui",'définition profil en long'!H14,"")</f>
        <v/>
      </c>
      <c r="I14" s="43" t="str">
        <f>IF(testZ="oui",'définition profil en long'!I14,"")</f>
        <v/>
      </c>
      <c r="J14"/>
      <c r="K14" t="s">
        <v>79</v>
      </c>
    </row>
    <row r="15" spans="1:22" x14ac:dyDescent="0.2">
      <c r="B15" s="119" t="s">
        <v>117</v>
      </c>
      <c r="C15" s="43" t="str">
        <f>IF(AND(PMrabat&gt;=_PL5,PMrabat&lt;_PL6),"oui","non")</f>
        <v>non</v>
      </c>
      <c r="D15" s="43" t="str">
        <f>IF(testZ="oui",'définition profil en long'!D15,"")</f>
        <v/>
      </c>
      <c r="E15" s="44" t="str">
        <f>IF(testZ="oui",'définition profil en long'!E15,"")</f>
        <v/>
      </c>
      <c r="F15" s="44" t="str">
        <f>IF(testZ="oui",'définition profil en long'!F15,"")</f>
        <v/>
      </c>
      <c r="G15" s="44" t="str">
        <f>IF(testZ="oui",'définition profil en long'!G15,"")</f>
        <v/>
      </c>
      <c r="H15" s="45" t="str">
        <f>IF(testZ="oui",'définition profil en long'!H15,"")</f>
        <v/>
      </c>
      <c r="I15" s="43" t="str">
        <f>IF(testZ="oui",'définition profil en long'!I15,"")</f>
        <v/>
      </c>
      <c r="J15"/>
      <c r="K15"/>
    </row>
    <row r="16" spans="1:22" x14ac:dyDescent="0.2">
      <c r="B16" s="119" t="s">
        <v>118</v>
      </c>
      <c r="C16" s="43" t="str">
        <f>IF(AND(PMrabat&gt;=_PL6,PMrabat&lt;_PL7),"oui","non")</f>
        <v>non</v>
      </c>
      <c r="D16" s="43" t="str">
        <f>IF(testZ="oui",'définition profil en long'!D16,"")</f>
        <v/>
      </c>
      <c r="E16" s="44" t="str">
        <f>IF(testZ="oui",'définition profil en long'!E16,"")</f>
        <v/>
      </c>
      <c r="F16" s="44" t="str">
        <f>IF(testZ="oui",'définition profil en long'!F16,"")</f>
        <v/>
      </c>
      <c r="G16" s="44" t="str">
        <f>IF(testZ="oui",'définition profil en long'!G16,"")</f>
        <v/>
      </c>
      <c r="H16" s="45" t="str">
        <f>IF(testZ="oui",'définition profil en long'!H16,"")</f>
        <v/>
      </c>
      <c r="I16" s="43" t="str">
        <f>IF(testZ="oui",'définition profil en long'!I16,"")</f>
        <v/>
      </c>
      <c r="J16"/>
      <c r="K16"/>
    </row>
    <row r="17" spans="2:11" x14ac:dyDescent="0.2">
      <c r="B17" s="119" t="s">
        <v>119</v>
      </c>
      <c r="C17" s="43" t="str">
        <f>IF(AND(PMrabat&gt;=_PL7,PMrabat&lt;_PL8),"oui","non")</f>
        <v>non</v>
      </c>
      <c r="D17" s="43" t="str">
        <f>IF(testZ="oui",'définition profil en long'!D17,"")</f>
        <v/>
      </c>
      <c r="E17" s="44" t="str">
        <f>IF(testZ="oui",'définition profil en long'!E17,"")</f>
        <v/>
      </c>
      <c r="F17" s="44" t="str">
        <f>IF(testZ="oui",'définition profil en long'!F17,"")</f>
        <v/>
      </c>
      <c r="G17" s="44" t="str">
        <f>IF(testZ="oui",'définition profil en long'!G17,"")</f>
        <v/>
      </c>
      <c r="H17" s="45" t="str">
        <f>IF(testZ="oui",'définition profil en long'!H17,"")</f>
        <v/>
      </c>
      <c r="I17" s="43" t="str">
        <f>IF(testZ="oui",'définition profil en long'!I17,"")</f>
        <v/>
      </c>
      <c r="J17"/>
      <c r="K17"/>
    </row>
    <row r="18" spans="2:11" x14ac:dyDescent="0.2">
      <c r="B18" s="119" t="s">
        <v>120</v>
      </c>
      <c r="C18" s="43" t="str">
        <f>IF(AND(PMrabat&gt;=_PL8,PMrabat&lt;_PL9),"oui","non")</f>
        <v>non</v>
      </c>
      <c r="D18" s="43" t="str">
        <f>IF(testZ="oui",'définition profil en long'!D18,"")</f>
        <v/>
      </c>
      <c r="E18" s="44" t="str">
        <f>IF(testZ="oui",'définition profil en long'!E18,"")</f>
        <v/>
      </c>
      <c r="F18" s="44" t="str">
        <f>IF(testZ="oui",'définition profil en long'!F18,"")</f>
        <v/>
      </c>
      <c r="G18" s="44" t="str">
        <f>IF(testZ="oui",'définition profil en long'!G18,"")</f>
        <v/>
      </c>
      <c r="H18" s="45" t="str">
        <f>IF(testZ="oui",'définition profil en long'!H18,"")</f>
        <v/>
      </c>
      <c r="I18" s="43" t="str">
        <f>IF(testZ="oui",'définition profil en long'!I18,"")</f>
        <v/>
      </c>
      <c r="J18"/>
      <c r="K18"/>
    </row>
    <row r="19" spans="2:11" x14ac:dyDescent="0.2">
      <c r="B19" s="119" t="s">
        <v>121</v>
      </c>
      <c r="C19" s="43" t="str">
        <f>IF(AND(PMrabat&gt;=_PL9,PMrabat&lt;_PL10),"oui","non")</f>
        <v>non</v>
      </c>
      <c r="D19" s="43" t="str">
        <f>IF(testZ="oui",'définition profil en long'!D19,"")</f>
        <v/>
      </c>
      <c r="E19" s="44" t="str">
        <f>IF(testZ="oui",'définition profil en long'!E19,"")</f>
        <v/>
      </c>
      <c r="F19" s="44" t="str">
        <f>IF(testZ="oui",'définition profil en long'!F19,"")</f>
        <v/>
      </c>
      <c r="G19" s="44" t="str">
        <f>IF(testZ="oui",'définition profil en long'!G19,"")</f>
        <v/>
      </c>
      <c r="H19" s="45" t="str">
        <f>IF(testZ="oui",'définition profil en long'!H19,"")</f>
        <v/>
      </c>
      <c r="I19" s="43" t="str">
        <f>IF(testZ="oui",'définition profil en long'!I19,"")</f>
        <v/>
      </c>
      <c r="J19"/>
      <c r="K19"/>
    </row>
    <row r="20" spans="2:11" x14ac:dyDescent="0.2">
      <c r="B20" s="119" t="s">
        <v>122</v>
      </c>
      <c r="C20" s="43" t="str">
        <f>IF(AND(PMrabat&gt;=_PL10,PMrabat&lt;_PL11),"oui","non")</f>
        <v>non</v>
      </c>
      <c r="D20" s="43" t="str">
        <f>IF(testZ="oui",'définition profil en long'!D20,"")</f>
        <v/>
      </c>
      <c r="E20" s="44" t="str">
        <f>IF(testZ="oui",'définition profil en long'!E20,"")</f>
        <v/>
      </c>
      <c r="F20" s="44" t="str">
        <f>IF(testZ="oui",'définition profil en long'!F20,"")</f>
        <v/>
      </c>
      <c r="G20" s="44" t="str">
        <f>IF(testZ="oui",'définition profil en long'!G20,"")</f>
        <v/>
      </c>
      <c r="H20" s="45" t="str">
        <f>IF(testZ="oui",'définition profil en long'!H20,"")</f>
        <v/>
      </c>
      <c r="I20" s="43" t="str">
        <f>IF(testZ="oui",'définition profil en long'!I20,"")</f>
        <v/>
      </c>
      <c r="J20"/>
      <c r="K20"/>
    </row>
    <row r="21" spans="2:11" x14ac:dyDescent="0.2">
      <c r="B21" s="119" t="s">
        <v>123</v>
      </c>
      <c r="C21" s="43" t="str">
        <f>IF(AND(PMrabat&gt;=_PL11,PMrabat&lt;_PL12),"oui","non")</f>
        <v>non</v>
      </c>
      <c r="D21" s="43" t="str">
        <f>IF(testZ="oui",'définition profil en long'!D21,"")</f>
        <v/>
      </c>
      <c r="E21" s="44" t="str">
        <f>IF(testZ="oui",'définition profil en long'!E21,"")</f>
        <v/>
      </c>
      <c r="F21" s="44" t="str">
        <f>IF(testZ="oui",'définition profil en long'!F21,"")</f>
        <v/>
      </c>
      <c r="G21" s="44" t="str">
        <f>IF(testZ="oui",'définition profil en long'!G21,"")</f>
        <v/>
      </c>
      <c r="H21" s="45" t="str">
        <f>IF(testZ="oui",'définition profil en long'!H21,"")</f>
        <v/>
      </c>
      <c r="I21" s="43" t="str">
        <f>IF(testZ="oui",'définition profil en long'!I21,"")</f>
        <v/>
      </c>
      <c r="J21"/>
      <c r="K21"/>
    </row>
    <row r="22" spans="2:11" x14ac:dyDescent="0.2">
      <c r="B22" s="119" t="s">
        <v>124</v>
      </c>
      <c r="C22" s="43" t="str">
        <f>IF(AND(PMrabat&gt;=_PL12,PMrabat&lt;_PL13),"oui","non")</f>
        <v>non</v>
      </c>
      <c r="D22" s="43" t="str">
        <f>IF(testZ="oui",'définition profil en long'!D22,"")</f>
        <v/>
      </c>
      <c r="E22" s="44" t="str">
        <f>IF(testZ="oui",'définition profil en long'!E22,"")</f>
        <v/>
      </c>
      <c r="F22" s="44" t="str">
        <f>IF(testZ="oui",'définition profil en long'!F22,"")</f>
        <v/>
      </c>
      <c r="G22" s="44" t="str">
        <f>IF(testZ="oui",'définition profil en long'!G22,"")</f>
        <v/>
      </c>
      <c r="H22" s="45" t="str">
        <f>IF(testZ="oui",'définition profil en long'!H22,"")</f>
        <v/>
      </c>
      <c r="I22" s="43" t="str">
        <f>IF(testZ="oui",'définition profil en long'!I22,"")</f>
        <v/>
      </c>
      <c r="J22"/>
      <c r="K22"/>
    </row>
    <row r="23" spans="2:11" x14ac:dyDescent="0.2">
      <c r="B23" s="119" t="s">
        <v>125</v>
      </c>
      <c r="C23" s="43" t="str">
        <f>IF(AND(PMrabat&gt;=_PL13,PMrabat&lt;_PL14),"oui","non")</f>
        <v>non</v>
      </c>
      <c r="D23" s="43" t="str">
        <f>IF(testZ="oui",'définition profil en long'!D23,"")</f>
        <v/>
      </c>
      <c r="E23" s="44" t="str">
        <f>IF(testZ="oui",'définition profil en long'!E23,"")</f>
        <v/>
      </c>
      <c r="F23" s="44" t="str">
        <f>IF(testZ="oui",'définition profil en long'!F23,"")</f>
        <v/>
      </c>
      <c r="G23" s="44" t="str">
        <f>IF(testZ="oui",'définition profil en long'!G23,"")</f>
        <v/>
      </c>
      <c r="H23" s="45" t="str">
        <f>IF(testZ="oui",'définition profil en long'!H23,"")</f>
        <v/>
      </c>
      <c r="I23" s="43" t="str">
        <f>IF(testZ="oui",'définition profil en long'!I23,"")</f>
        <v/>
      </c>
      <c r="J23"/>
      <c r="K23"/>
    </row>
    <row r="24" spans="2:11" x14ac:dyDescent="0.2">
      <c r="B24" s="119" t="s">
        <v>126</v>
      </c>
      <c r="C24" s="43" t="str">
        <f>IF(AND(PMrabat&gt;=_PL14,PMrabat&lt;_PL15),"oui","non")</f>
        <v>non</v>
      </c>
      <c r="D24" s="43" t="str">
        <f>IF(testZ="oui",'définition profil en long'!D24,"")</f>
        <v/>
      </c>
      <c r="E24" s="44" t="str">
        <f>IF(testZ="oui",'définition profil en long'!E24,"")</f>
        <v/>
      </c>
      <c r="F24" s="44" t="str">
        <f>IF(testZ="oui",'définition profil en long'!F24,"")</f>
        <v/>
      </c>
      <c r="G24" s="44" t="str">
        <f>IF(testZ="oui",'définition profil en long'!G24,"")</f>
        <v/>
      </c>
      <c r="H24" s="45" t="str">
        <f>IF(testZ="oui",'définition profil en long'!H24,"")</f>
        <v/>
      </c>
      <c r="I24" s="43" t="str">
        <f>IF(testZ="oui",'définition profil en long'!I24,"")</f>
        <v/>
      </c>
      <c r="J24"/>
      <c r="K24"/>
    </row>
    <row r="25" spans="2:11" x14ac:dyDescent="0.2">
      <c r="B25" s="119" t="s">
        <v>127</v>
      </c>
      <c r="C25" s="43" t="str">
        <f>IF(AND(PMrabat&gt;=_PL15,PMrabat&lt;_PL16),"oui","non")</f>
        <v>non</v>
      </c>
      <c r="D25" s="43" t="str">
        <f>IF(testZ="oui",'définition profil en long'!D25,"")</f>
        <v/>
      </c>
      <c r="E25" s="44" t="str">
        <f>IF(testZ="oui",'définition profil en long'!E25,"")</f>
        <v/>
      </c>
      <c r="F25" s="44" t="str">
        <f>IF(testZ="oui",'définition profil en long'!F25,"")</f>
        <v/>
      </c>
      <c r="G25" s="44" t="str">
        <f>IF(testZ="oui",'définition profil en long'!G25,"")</f>
        <v/>
      </c>
      <c r="H25" s="45" t="str">
        <f>IF(testZ="oui",'définition profil en long'!H25,"")</f>
        <v/>
      </c>
      <c r="I25" s="43" t="str">
        <f>IF(testZ="oui",'définition profil en long'!I25,"")</f>
        <v/>
      </c>
      <c r="J25"/>
      <c r="K25"/>
    </row>
    <row r="26" spans="2:11" x14ac:dyDescent="0.2">
      <c r="B26" s="119" t="s">
        <v>128</v>
      </c>
      <c r="C26" s="43" t="str">
        <f>IF(AND(PMrabat&gt;=_PL16,PMrabat&lt;_PL17),"oui","non")</f>
        <v>non</v>
      </c>
      <c r="D26" s="43" t="str">
        <f>IF(testZ="oui",'définition profil en long'!D26,"")</f>
        <v/>
      </c>
      <c r="E26" s="44" t="str">
        <f>IF(testZ="oui",'définition profil en long'!E26,"")</f>
        <v/>
      </c>
      <c r="F26" s="44" t="str">
        <f>IF(testZ="oui",'définition profil en long'!F26,"")</f>
        <v/>
      </c>
      <c r="G26" s="44" t="str">
        <f>IF(testZ="oui",'définition profil en long'!G26,"")</f>
        <v/>
      </c>
      <c r="H26" s="45" t="str">
        <f>IF(testZ="oui",'définition profil en long'!H26,"")</f>
        <v/>
      </c>
      <c r="I26" s="43" t="str">
        <f>IF(testZ="oui",'définition profil en long'!I26,"")</f>
        <v/>
      </c>
      <c r="J26"/>
      <c r="K26"/>
    </row>
    <row r="27" spans="2:11" x14ac:dyDescent="0.2">
      <c r="B27" s="119" t="s">
        <v>129</v>
      </c>
      <c r="C27" s="43" t="str">
        <f>IF(AND(PMrabat&gt;=_PL17,PMrabat&lt;_PL18),"oui","non")</f>
        <v>non</v>
      </c>
      <c r="D27" s="43" t="str">
        <f>IF(testZ="oui",'définition profil en long'!D27,"")</f>
        <v/>
      </c>
      <c r="E27" s="44" t="str">
        <f>IF(testZ="oui",'définition profil en long'!E27,"")</f>
        <v/>
      </c>
      <c r="F27" s="44" t="str">
        <f>IF(testZ="oui",'définition profil en long'!F27,"")</f>
        <v/>
      </c>
      <c r="G27" s="44" t="str">
        <f>IF(testZ="oui",'définition profil en long'!G27,"")</f>
        <v/>
      </c>
      <c r="H27" s="45" t="str">
        <f>IF(testZ="oui",'définition profil en long'!H27,"")</f>
        <v/>
      </c>
      <c r="I27" s="43" t="str">
        <f>IF(testZ="oui",'définition profil en long'!I27,"")</f>
        <v/>
      </c>
      <c r="J27"/>
      <c r="K27"/>
    </row>
    <row r="28" spans="2:11" x14ac:dyDescent="0.2">
      <c r="B28" s="119" t="s">
        <v>136</v>
      </c>
      <c r="C28" s="43" t="str">
        <f>IF(AND(PMrabat&gt;=_PL18,PMrabat&lt;_PL19),"oui","non")</f>
        <v>non</v>
      </c>
      <c r="D28" s="43" t="str">
        <f>IF(testZ="oui",'définition profil en long'!D28,"")</f>
        <v/>
      </c>
      <c r="E28" s="44" t="str">
        <f>IF(testZ="oui",'définition profil en long'!E28,"")</f>
        <v/>
      </c>
      <c r="F28" s="44" t="str">
        <f>IF(testZ="oui",'définition profil en long'!F28,"")</f>
        <v/>
      </c>
      <c r="G28" s="44" t="str">
        <f>IF(testZ="oui",'définition profil en long'!G28,"")</f>
        <v/>
      </c>
      <c r="H28" s="45" t="str">
        <f>IF(testZ="oui",'définition profil en long'!H28,"")</f>
        <v/>
      </c>
      <c r="I28" s="43" t="str">
        <f>IF(testZ="oui",'définition profil en long'!I28,"")</f>
        <v/>
      </c>
      <c r="J28"/>
      <c r="K28"/>
    </row>
    <row r="29" spans="2:11" x14ac:dyDescent="0.2">
      <c r="B29" s="119" t="s">
        <v>137</v>
      </c>
      <c r="C29" s="43" t="str">
        <f>IF(AND(PMrabat&gt;=_PL19,PMrabat&lt;_PL20),"oui","non")</f>
        <v>non</v>
      </c>
      <c r="D29" s="43" t="str">
        <f>IF(testZ="oui",'définition profil en long'!D29,"")</f>
        <v/>
      </c>
      <c r="E29" s="44" t="str">
        <f>IF(testZ="oui",'définition profil en long'!E29,"")</f>
        <v/>
      </c>
      <c r="F29" s="44" t="str">
        <f>IF(testZ="oui",'définition profil en long'!F29,"")</f>
        <v/>
      </c>
      <c r="G29" s="44" t="str">
        <f>IF(testZ="oui",'définition profil en long'!G29,"")</f>
        <v/>
      </c>
      <c r="H29" s="45" t="str">
        <f>IF(testZ="oui",'définition profil en long'!H29,"")</f>
        <v/>
      </c>
      <c r="I29" s="43" t="str">
        <f>IF(testZ="oui",'définition profil en long'!I29,"")</f>
        <v/>
      </c>
      <c r="J29"/>
      <c r="K29"/>
    </row>
    <row r="30" spans="2:11" x14ac:dyDescent="0.2">
      <c r="B30" s="119" t="s">
        <v>138</v>
      </c>
      <c r="C30" s="43" t="str">
        <f>IF(AND(PMrabat&gt;=_PL20,PMrabat&lt;_PL21),"oui","non")</f>
        <v>non</v>
      </c>
      <c r="D30" s="43" t="str">
        <f>IF(testZ="oui",'définition profil en long'!D30,"")</f>
        <v/>
      </c>
      <c r="E30" s="44" t="str">
        <f>IF(testZ="oui",'définition profil en long'!E30,"")</f>
        <v/>
      </c>
      <c r="F30" s="44" t="str">
        <f>IF(testZ="oui",'définition profil en long'!F30,"")</f>
        <v/>
      </c>
      <c r="G30" s="44" t="str">
        <f>IF(testZ="oui",'définition profil en long'!G30,"")</f>
        <v/>
      </c>
      <c r="H30" s="45" t="str">
        <f>IF(testZ="oui",'définition profil en long'!H30,"")</f>
        <v/>
      </c>
      <c r="I30" s="43" t="str">
        <f>IF(testZ="oui",'définition profil en long'!I30,"")</f>
        <v/>
      </c>
      <c r="J30"/>
      <c r="K30"/>
    </row>
    <row r="31" spans="2:11" x14ac:dyDescent="0.2">
      <c r="B31" s="119" t="s">
        <v>139</v>
      </c>
      <c r="C31" s="43" t="str">
        <f>IF(AND(PMrabat&gt;=_PL21,PMrabat&lt;_PL22),"oui","non")</f>
        <v>non</v>
      </c>
      <c r="D31" s="43" t="str">
        <f>IF(testZ="oui",'définition profil en long'!D31,"")</f>
        <v/>
      </c>
      <c r="E31" s="44" t="str">
        <f>IF(testZ="oui",'définition profil en long'!E31,"")</f>
        <v/>
      </c>
      <c r="F31" s="44" t="str">
        <f>IF(testZ="oui",'définition profil en long'!F31,"")</f>
        <v/>
      </c>
      <c r="G31" s="44" t="str">
        <f>IF(testZ="oui",'définition profil en long'!G31,"")</f>
        <v/>
      </c>
      <c r="H31" s="45" t="str">
        <f>IF(testZ="oui",'définition profil en long'!H31,"")</f>
        <v/>
      </c>
      <c r="I31" s="43" t="str">
        <f>IF(testZ="oui",'définition profil en long'!I31,"")</f>
        <v/>
      </c>
      <c r="J31"/>
      <c r="K31"/>
    </row>
    <row r="32" spans="2:11" x14ac:dyDescent="0.2">
      <c r="B32" s="119" t="s">
        <v>140</v>
      </c>
      <c r="C32" s="43" t="str">
        <f>IF(AND(PMrabat&gt;=_PL22,PMrabat&lt;_PL23),"oui","non")</f>
        <v>non</v>
      </c>
      <c r="D32" s="43" t="str">
        <f>IF(testZ="oui",'définition profil en long'!D32,"")</f>
        <v/>
      </c>
      <c r="E32" s="44" t="str">
        <f>IF(testZ="oui",'définition profil en long'!E32,"")</f>
        <v/>
      </c>
      <c r="F32" s="44" t="str">
        <f>IF(testZ="oui",'définition profil en long'!F32,"")</f>
        <v/>
      </c>
      <c r="G32" s="44" t="str">
        <f>IF(testZ="oui",'définition profil en long'!G32,"")</f>
        <v/>
      </c>
      <c r="H32" s="45" t="str">
        <f>IF(testZ="oui",'définition profil en long'!H32,"")</f>
        <v/>
      </c>
      <c r="I32" s="43" t="str">
        <f>IF(testZ="oui",'définition profil en long'!I32,"")</f>
        <v/>
      </c>
      <c r="J32"/>
      <c r="K32"/>
    </row>
    <row r="33" spans="1:12" x14ac:dyDescent="0.2">
      <c r="B33" s="119" t="s">
        <v>141</v>
      </c>
      <c r="C33" s="43" t="str">
        <f>IF(AND(PMrabat&gt;=_PL23,PMrabat&lt;_PL24),"oui","non")</f>
        <v>non</v>
      </c>
      <c r="D33" s="43" t="str">
        <f>IF(testZ="oui",'définition profil en long'!D33,"")</f>
        <v/>
      </c>
      <c r="E33" s="44" t="str">
        <f>IF(testZ="oui",'définition profil en long'!E33,"")</f>
        <v/>
      </c>
      <c r="F33" s="44" t="str">
        <f>IF(testZ="oui",'définition profil en long'!F33,"")</f>
        <v/>
      </c>
      <c r="G33" s="44" t="str">
        <f>IF(testZ="oui",'définition profil en long'!G33,"")</f>
        <v/>
      </c>
      <c r="H33" s="45" t="str">
        <f>IF(testZ="oui",'définition profil en long'!H33,"")</f>
        <v/>
      </c>
      <c r="I33" s="43" t="str">
        <f>IF(testZ="oui",'définition profil en long'!I33,"")</f>
        <v/>
      </c>
      <c r="J33"/>
      <c r="K33"/>
    </row>
    <row r="34" spans="1:12" x14ac:dyDescent="0.2">
      <c r="B34" s="119"/>
      <c r="D34" s="36"/>
      <c r="E34" s="37"/>
      <c r="F34" s="37"/>
      <c r="G34" s="37"/>
      <c r="H34" s="38"/>
      <c r="I34" s="36"/>
      <c r="J34"/>
      <c r="K34"/>
    </row>
    <row r="35" spans="1:12" ht="15.75" x14ac:dyDescent="0.2">
      <c r="B35" s="32"/>
      <c r="C35" s="33" t="s">
        <v>28</v>
      </c>
      <c r="D35" s="47" t="str">
        <f>D11&amp;D12&amp;D13&amp;D14&amp;D15&amp;D16&amp;D17&amp;D18&amp;D19&amp;D20&amp;D21&amp;D22&amp;D23&amp;D24&amp;D25&amp;D26&amp;D27&amp;D28&amp;D29&amp;D30&amp;D31&amp;D32&amp;D33</f>
        <v>Pente constante</v>
      </c>
      <c r="E35" s="48">
        <f>SUM(E11:E33)</f>
        <v>-16.602</v>
      </c>
      <c r="F35" s="48">
        <f>SUM(F11:F33)</f>
        <v>-122.492999999999</v>
      </c>
      <c r="G35" s="48">
        <f>SUM(G11:G33)</f>
        <v>1.0000182509878046E-2</v>
      </c>
      <c r="H35" s="47" t="str">
        <f>IF(SUM(H11:H33)=0,"",SUM(H11:H33))</f>
        <v/>
      </c>
      <c r="I35" s="47" t="str">
        <f>IF(SUM(I11:I33)=0,"",SUM(I11:I33))</f>
        <v/>
      </c>
      <c r="J35"/>
      <c r="K35" t="s">
        <v>80</v>
      </c>
    </row>
    <row r="36" spans="1:12" ht="15.75" x14ac:dyDescent="0.2">
      <c r="B36" s="32"/>
      <c r="C36" s="33"/>
      <c r="D36" s="47"/>
      <c r="E36" s="48"/>
      <c r="F36" s="48"/>
      <c r="G36" s="48"/>
      <c r="H36" s="47"/>
      <c r="I36" s="47"/>
      <c r="J36"/>
      <c r="K36"/>
    </row>
    <row r="37" spans="1:12" ht="15.75" x14ac:dyDescent="0.2">
      <c r="B37" s="32"/>
      <c r="C37" s="33"/>
      <c r="D37" s="47"/>
      <c r="E37" s="48"/>
      <c r="F37" s="48"/>
      <c r="G37" s="48"/>
      <c r="H37" s="47"/>
      <c r="I37" s="47"/>
      <c r="J37"/>
      <c r="K37"/>
    </row>
    <row r="38" spans="1:12" x14ac:dyDescent="0.2">
      <c r="D38" s="36"/>
      <c r="E38" s="37"/>
      <c r="F38" s="37"/>
      <c r="G38" s="37"/>
      <c r="H38" s="38"/>
      <c r="I38" s="36"/>
      <c r="J38"/>
      <c r="K38"/>
    </row>
    <row r="39" spans="1:12" x14ac:dyDescent="0.2">
      <c r="J39"/>
      <c r="K39"/>
    </row>
    <row r="41" spans="1:12" ht="69" customHeight="1" x14ac:dyDescent="0.2">
      <c r="A41" s="90" t="s">
        <v>81</v>
      </c>
      <c r="B41" s="91"/>
      <c r="C41" s="91" t="s">
        <v>82</v>
      </c>
      <c r="D41" s="91" t="s">
        <v>76</v>
      </c>
      <c r="E41" s="34"/>
      <c r="F41" s="34"/>
      <c r="G41" s="40"/>
      <c r="H41" s="40"/>
      <c r="I41" s="101" t="s">
        <v>83</v>
      </c>
      <c r="J41" s="101" t="s">
        <v>84</v>
      </c>
      <c r="K41" s="100" t="s">
        <v>85</v>
      </c>
      <c r="L41"/>
    </row>
    <row r="42" spans="1:12" x14ac:dyDescent="0.2">
      <c r="A42"/>
      <c r="L42"/>
    </row>
    <row r="43" spans="1:12" ht="27.75" customHeight="1" x14ac:dyDescent="0.2">
      <c r="A43" s="41">
        <f>IF(typeZ="Pente constante",PMrabat-PMz,"")</f>
        <v>6.6692800000000005</v>
      </c>
      <c r="B43" s="94"/>
      <c r="C43" s="92">
        <f>IF(typeZ="Pente constante",Ze+pente*A43,"")</f>
        <v>-122.42630598278951</v>
      </c>
      <c r="D43" s="41">
        <f>IF(typeZ="Pente constante",pente,"")</f>
        <v>1.0000182509878046E-2</v>
      </c>
      <c r="E43" s="13" t="s">
        <v>86</v>
      </c>
      <c r="F43" s="14" t="s">
        <v>87</v>
      </c>
      <c r="G43"/>
      <c r="H43"/>
      <c r="I43"/>
      <c r="J43"/>
      <c r="L43"/>
    </row>
    <row r="44" spans="1:12" x14ac:dyDescent="0.2">
      <c r="C44" s="94"/>
      <c r="G44"/>
      <c r="H44"/>
      <c r="I44"/>
      <c r="J44"/>
      <c r="L44"/>
    </row>
    <row r="45" spans="1:12" ht="30.75" customHeight="1" x14ac:dyDescent="0.2">
      <c r="A45" s="41" t="str">
        <f>IF(typeZ="cercle",PMrabat-PMz,"")</f>
        <v/>
      </c>
      <c r="B45" s="13" t="s">
        <v>86</v>
      </c>
      <c r="C45" s="92" t="str">
        <f>IF(typeZ="Cercle",J45-SensZ*_R*COS(K45),"")</f>
        <v/>
      </c>
      <c r="D45" s="41" t="str">
        <f>IF(typeZ="Cercle",TAN(SensZ*K45),"")</f>
        <v/>
      </c>
      <c r="E45" s="13" t="s">
        <v>86</v>
      </c>
      <c r="F45" s="14" t="s">
        <v>42</v>
      </c>
      <c r="G45"/>
      <c r="H45"/>
      <c r="I45" s="107" t="str">
        <f>IF(typeZ="Cercle",PMz-_R*SensZ*SIN(ATAN(pente)),"")</f>
        <v/>
      </c>
      <c r="J45" s="107" t="str">
        <f>IF(typeZ="Cercle",Ze+_R*SensZ*COS(ATAN(pente)),"")</f>
        <v/>
      </c>
      <c r="K45" s="41" t="str">
        <f>IF(typeZ="Cercle",ASIN((PMdonné-I45)/_R),"")</f>
        <v/>
      </c>
      <c r="L45"/>
    </row>
    <row r="46" spans="1:12" x14ac:dyDescent="0.2">
      <c r="A46"/>
      <c r="C46" s="94"/>
      <c r="G46"/>
      <c r="H46"/>
      <c r="I46"/>
      <c r="J46"/>
      <c r="K46"/>
    </row>
    <row r="47" spans="1:12" ht="30" customHeight="1" x14ac:dyDescent="0.2">
      <c r="A47" s="41" t="str">
        <f>IF(typeZ="Parabole",PMrabat-PMz,"")</f>
        <v/>
      </c>
      <c r="C47" s="41" t="str">
        <f>IF(typeZ="Parabole",Ze+A47*pente+A47^2/(2*_R*SensZ),"")</f>
        <v/>
      </c>
      <c r="D47" s="41" t="str">
        <f>IF(typeZ="Parabole",pente+A47/(_R*SensZ),"")</f>
        <v/>
      </c>
      <c r="E47"/>
      <c r="F47" s="14" t="s">
        <v>88</v>
      </c>
      <c r="G47"/>
      <c r="H47"/>
      <c r="I47"/>
      <c r="J47"/>
      <c r="K47"/>
    </row>
    <row r="48" spans="1:12" ht="15.75" thickBot="1" x14ac:dyDescent="0.25">
      <c r="E48"/>
      <c r="F48"/>
      <c r="G48"/>
      <c r="H48"/>
      <c r="I48"/>
      <c r="J48"/>
    </row>
    <row r="49" spans="1:10" ht="30.75" customHeight="1" thickBot="1" x14ac:dyDescent="0.25">
      <c r="A49" s="93">
        <f>ROUND(SUM(A43:A47),5)</f>
        <v>6.6692799999999997</v>
      </c>
      <c r="B49" s="93">
        <f>SUM(B43:B47)</f>
        <v>0</v>
      </c>
      <c r="C49" s="56">
        <f>SUM(C43:C47)</f>
        <v>-122.42630598278951</v>
      </c>
      <c r="D49" s="113">
        <f>SUM(D43:D47)</f>
        <v>1.0000182509878046E-2</v>
      </c>
      <c r="E49"/>
      <c r="F49"/>
      <c r="G49"/>
      <c r="H49"/>
      <c r="I49"/>
      <c r="J49"/>
    </row>
    <row r="50" spans="1:10" x14ac:dyDescent="0.2">
      <c r="E50"/>
      <c r="F50"/>
      <c r="G50"/>
      <c r="H50"/>
      <c r="I50"/>
      <c r="J50"/>
    </row>
    <row r="51" spans="1:10" x14ac:dyDescent="0.2">
      <c r="E51"/>
      <c r="F51"/>
      <c r="G51"/>
      <c r="H51"/>
      <c r="I51"/>
      <c r="J51"/>
    </row>
    <row r="52" spans="1:10" x14ac:dyDescent="0.2">
      <c r="E52"/>
    </row>
  </sheetData>
  <customSheetViews>
    <customSheetView guid="{7E34E800-94BB-11D6-B2C6-0002A57730F5}" scale="50" showPageBreaks="1" showRuler="0" topLeftCell="A6">
      <selection activeCell="D20" sqref="D20"/>
      <pageMargins left="0.39370078740157483" right="0.19685039370078741" top="0.39370078740157483" bottom="0.39370078740157483" header="0.11811023622047245" footer="0.11811023622047245"/>
      <printOptions horizontalCentered="1"/>
      <pageSetup paperSize="9" orientation="portrait" horizontalDpi="300" verticalDpi="300" r:id="rId1"/>
      <headerFooter alignWithMargins="0">
        <oddHeader>&amp;C&amp;F&amp;A</oddHeader>
      </headerFooter>
    </customSheetView>
  </customSheetViews>
  <mergeCells count="1">
    <mergeCell ref="Q1:V1"/>
  </mergeCells>
  <phoneticPr fontId="0" type="noConversion"/>
  <printOptions horizontalCentered="1"/>
  <pageMargins left="0.39370078740157483" right="0.19685039370078741" top="0.39370078740157483" bottom="0.39370078740157483" header="0.11811023622047245" footer="0.11811023622047245"/>
  <pageSetup paperSize="9" orientation="portrait" horizontalDpi="300" verticalDpi="300" r:id="rId2"/>
  <headerFooter alignWithMargins="0">
    <oddHeader>&amp;C&amp;F&amp;A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ED343-EC0B-4702-AB21-FC9F672BD646}">
  <sheetPr codeName="Feuil5">
    <pageSetUpPr fitToPage="1"/>
  </sheetPr>
  <dimension ref="C1:IQ39"/>
  <sheetViews>
    <sheetView defaultGridColor="0" colorId="8" zoomScale="70" zoomScaleNormal="70" workbookViewId="0">
      <selection activeCell="G17" sqref="G17"/>
    </sheetView>
  </sheetViews>
  <sheetFormatPr baseColWidth="10" defaultRowHeight="12.75" x14ac:dyDescent="0.2"/>
  <cols>
    <col min="3" max="3" width="16.140625" customWidth="1"/>
    <col min="4" max="4" width="31.28515625" customWidth="1"/>
    <col min="5" max="5" width="14.42578125" bestFit="1" customWidth="1"/>
    <col min="6" max="6" width="23.7109375" customWidth="1"/>
    <col min="7" max="7" width="24.28515625" customWidth="1"/>
    <col min="8" max="8" width="27.140625" customWidth="1"/>
    <col min="9" max="9" width="16.7109375" bestFit="1" customWidth="1"/>
    <col min="10" max="10" width="15.5703125" customWidth="1"/>
    <col min="12" max="12" width="13.140625" bestFit="1" customWidth="1"/>
    <col min="13" max="13" width="11.7109375" bestFit="1" customWidth="1"/>
    <col min="14" max="14" width="21.28515625" style="199" customWidth="1"/>
    <col min="15" max="15" width="19.85546875" customWidth="1"/>
    <col min="16" max="17" width="16" bestFit="1" customWidth="1"/>
    <col min="18" max="18" width="15.140625" bestFit="1" customWidth="1"/>
    <col min="19" max="19" width="14.42578125" bestFit="1" customWidth="1"/>
    <col min="20" max="20" width="12.85546875" bestFit="1" customWidth="1"/>
    <col min="21" max="21" width="6.5703125" bestFit="1" customWidth="1"/>
  </cols>
  <sheetData>
    <row r="1" spans="3:251" ht="39.950000000000003" customHeight="1" thickBot="1" x14ac:dyDescent="0.4">
      <c r="D1" s="330" t="str">
        <f>"GALERIE "&amp;'INFOS-PARAM'!B3&amp;"  : definition axe en plan"</f>
        <v>GALERIE GGS  : definition axe en plan</v>
      </c>
      <c r="E1" s="331"/>
      <c r="F1" s="331"/>
      <c r="G1" s="331"/>
      <c r="H1" s="331"/>
      <c r="I1" s="331"/>
      <c r="J1" s="331"/>
      <c r="K1" s="331"/>
      <c r="L1" s="332"/>
      <c r="N1" s="272" t="s">
        <v>204</v>
      </c>
      <c r="O1" s="163"/>
      <c r="P1" s="163"/>
      <c r="Q1" s="163"/>
      <c r="R1" s="163"/>
      <c r="S1" s="163"/>
      <c r="T1" s="163"/>
      <c r="U1" s="163"/>
    </row>
    <row r="2" spans="3:251" ht="39.950000000000003" customHeight="1" x14ac:dyDescent="0.35">
      <c r="D2" s="333"/>
      <c r="E2" s="333"/>
      <c r="F2" s="333"/>
      <c r="G2" s="333"/>
      <c r="H2" s="333"/>
      <c r="I2" s="333"/>
      <c r="J2" s="333"/>
      <c r="K2" s="333"/>
      <c r="L2" s="333"/>
      <c r="M2" s="161"/>
      <c r="N2" s="89" t="s">
        <v>89</v>
      </c>
      <c r="Q2" s="2"/>
      <c r="R2" s="1"/>
      <c r="S2" s="164"/>
      <c r="T2" s="3"/>
    </row>
    <row r="3" spans="3:251" ht="12.75" hidden="1" customHeight="1" x14ac:dyDescent="0.2">
      <c r="G3" s="2"/>
      <c r="H3" s="1"/>
      <c r="I3" s="1"/>
      <c r="J3" s="3"/>
      <c r="Q3" s="2"/>
      <c r="R3" s="1"/>
      <c r="S3" s="1"/>
      <c r="T3" s="3"/>
    </row>
    <row r="4" spans="3:251" ht="12.75" hidden="1" customHeight="1" x14ac:dyDescent="0.2">
      <c r="G4" s="2"/>
      <c r="H4" s="1"/>
      <c r="I4" s="1"/>
      <c r="J4" s="3"/>
      <c r="Q4" s="2"/>
      <c r="R4" s="1"/>
      <c r="S4" s="1"/>
      <c r="T4" s="3"/>
    </row>
    <row r="5" spans="3:251" ht="12.75" hidden="1" customHeight="1" x14ac:dyDescent="0.2">
      <c r="I5" s="1"/>
      <c r="S5" s="1"/>
    </row>
    <row r="6" spans="3:251" ht="12.75" hidden="1" customHeight="1" x14ac:dyDescent="0.2"/>
    <row r="7" spans="3:251" ht="12.75" hidden="1" customHeight="1" x14ac:dyDescent="0.2"/>
    <row r="8" spans="3:251" ht="12.75" hidden="1" customHeight="1" x14ac:dyDescent="0.2"/>
    <row r="9" spans="3:251" ht="24.75" customHeight="1" x14ac:dyDescent="0.2">
      <c r="C9" s="118"/>
      <c r="D9" s="80" t="s">
        <v>190</v>
      </c>
      <c r="E9" s="80" t="s">
        <v>164</v>
      </c>
      <c r="F9" s="80" t="s">
        <v>191</v>
      </c>
      <c r="G9" s="80" t="s">
        <v>192</v>
      </c>
      <c r="H9" s="97" t="s">
        <v>165</v>
      </c>
      <c r="I9" s="98" t="s">
        <v>193</v>
      </c>
      <c r="J9" s="80" t="s">
        <v>194</v>
      </c>
      <c r="K9" s="173" t="s">
        <v>26</v>
      </c>
      <c r="L9" s="80" t="s">
        <v>76</v>
      </c>
      <c r="M9" s="5"/>
      <c r="O9" s="165"/>
      <c r="P9" s="165"/>
      <c r="Q9" s="165"/>
      <c r="R9" s="166"/>
      <c r="S9" s="167"/>
      <c r="T9" s="165"/>
      <c r="U9" s="168"/>
    </row>
    <row r="10" spans="3:251" ht="24.75" customHeight="1" x14ac:dyDescent="0.2">
      <c r="C10" s="88"/>
      <c r="D10" s="123"/>
      <c r="E10" s="123"/>
      <c r="F10" s="123"/>
      <c r="G10" s="123"/>
      <c r="H10" s="124"/>
      <c r="I10" s="125"/>
      <c r="J10" s="123"/>
      <c r="K10" s="174"/>
      <c r="L10" s="123"/>
      <c r="M10" s="5"/>
      <c r="O10" s="165"/>
      <c r="P10" s="165"/>
      <c r="Q10" s="165"/>
      <c r="R10" s="166"/>
      <c r="S10" s="167"/>
      <c r="T10" s="165"/>
      <c r="U10" s="168"/>
    </row>
    <row r="11" spans="3:251" s="75" customFormat="1" ht="24.75" customHeight="1" x14ac:dyDescent="0.2">
      <c r="C11" s="76" t="s">
        <v>90</v>
      </c>
      <c r="D11" s="76" t="s">
        <v>182</v>
      </c>
      <c r="E11" s="255">
        <v>-16.602</v>
      </c>
      <c r="F11" s="255">
        <v>823077.49860000005</v>
      </c>
      <c r="G11" s="255">
        <v>1091438.1909</v>
      </c>
      <c r="H11" s="178">
        <v>272.22219999999999</v>
      </c>
      <c r="I11" s="179"/>
      <c r="J11" s="180"/>
      <c r="K11" s="181"/>
      <c r="L11" s="209"/>
      <c r="M11" s="73"/>
      <c r="N11" s="171"/>
      <c r="O11" s="196"/>
      <c r="P11" s="120"/>
      <c r="Q11" s="120"/>
      <c r="R11" s="169"/>
      <c r="S11" s="170"/>
      <c r="T11" s="171"/>
      <c r="U11" s="74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</row>
    <row r="12" spans="3:251" s="75" customFormat="1" ht="24.75" customHeight="1" x14ac:dyDescent="0.2">
      <c r="C12" s="76" t="s">
        <v>91</v>
      </c>
      <c r="D12" s="76" t="s">
        <v>182</v>
      </c>
      <c r="E12" s="255">
        <v>0</v>
      </c>
      <c r="F12" s="255">
        <v>823062.45180000004</v>
      </c>
      <c r="G12" s="255">
        <v>1091431.1751000001</v>
      </c>
      <c r="H12" s="178">
        <v>272.22219999999999</v>
      </c>
      <c r="I12" s="179"/>
      <c r="J12" s="180"/>
      <c r="K12" s="181"/>
      <c r="L12" s="209"/>
      <c r="M12" s="73"/>
      <c r="N12" s="165" t="s">
        <v>196</v>
      </c>
      <c r="O12" s="120"/>
      <c r="P12" s="120">
        <f>SQRT((F12-F11)^2+(G12-G11)^2)</f>
        <v>16.602037220757772</v>
      </c>
      <c r="Q12" s="120"/>
      <c r="R12" s="169"/>
      <c r="S12" s="170"/>
      <c r="T12" s="171"/>
      <c r="U12" s="74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</row>
    <row r="13" spans="3:251" s="75" customFormat="1" ht="24.75" customHeight="1" x14ac:dyDescent="0.2">
      <c r="C13" s="76" t="s">
        <v>93</v>
      </c>
      <c r="D13" s="76" t="s">
        <v>182</v>
      </c>
      <c r="E13" s="255">
        <v>85.953000000000003</v>
      </c>
      <c r="F13" s="255">
        <v>822984.55200000003</v>
      </c>
      <c r="G13" s="255">
        <v>1091394.8498</v>
      </c>
      <c r="H13" s="178">
        <v>272.22219999999999</v>
      </c>
      <c r="I13" s="179"/>
      <c r="J13" s="180"/>
      <c r="K13" s="181"/>
      <c r="L13" s="209"/>
      <c r="M13" s="73"/>
      <c r="N13" s="216">
        <v>5</v>
      </c>
      <c r="O13" s="262"/>
      <c r="P13" s="120">
        <f>SQRT((F13-F12)^2+(G13-G12)^2)</f>
        <v>85.952930491883095</v>
      </c>
      <c r="Q13" s="120"/>
      <c r="R13" s="169"/>
      <c r="S13" s="170"/>
      <c r="T13" s="171"/>
      <c r="U13" s="74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</row>
    <row r="14" spans="3:251" s="75" customFormat="1" ht="24.75" customHeight="1" x14ac:dyDescent="0.2">
      <c r="C14" s="76" t="s">
        <v>101</v>
      </c>
      <c r="D14" s="76"/>
      <c r="E14" s="255"/>
      <c r="F14" s="255"/>
      <c r="G14" s="255"/>
      <c r="H14" s="178"/>
      <c r="I14" s="179"/>
      <c r="J14" s="180"/>
      <c r="K14" s="181"/>
      <c r="L14" s="209"/>
      <c r="M14" s="73"/>
      <c r="N14" s="200"/>
      <c r="O14" s="120"/>
      <c r="P14" s="120"/>
      <c r="Q14" s="120"/>
      <c r="R14" s="169"/>
      <c r="S14" s="170"/>
      <c r="T14" s="171"/>
      <c r="U14" s="7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</row>
    <row r="15" spans="3:251" s="75" customFormat="1" ht="24.75" customHeight="1" x14ac:dyDescent="0.2">
      <c r="C15" s="76" t="s">
        <v>102</v>
      </c>
      <c r="D15" s="76"/>
      <c r="E15" s="255"/>
      <c r="F15" s="255"/>
      <c r="G15" s="255"/>
      <c r="H15" s="178"/>
      <c r="I15" s="179"/>
      <c r="J15" s="180"/>
      <c r="K15" s="181"/>
      <c r="L15" s="209"/>
      <c r="M15" s="73"/>
      <c r="N15" s="200"/>
      <c r="O15" s="120"/>
      <c r="P15" s="120"/>
      <c r="Q15" s="120"/>
      <c r="R15" s="169"/>
      <c r="S15" s="170"/>
      <c r="T15" s="171"/>
      <c r="U15" s="74"/>
    </row>
    <row r="16" spans="3:251" s="75" customFormat="1" ht="24.75" customHeight="1" x14ac:dyDescent="0.2">
      <c r="C16" s="76" t="s">
        <v>103</v>
      </c>
      <c r="D16" s="76"/>
      <c r="E16" s="255"/>
      <c r="F16" s="255"/>
      <c r="G16" s="255"/>
      <c r="H16" s="178"/>
      <c r="I16" s="179"/>
      <c r="J16" s="180"/>
      <c r="K16" s="181"/>
      <c r="L16" s="209"/>
      <c r="M16" s="73"/>
      <c r="N16" s="200"/>
      <c r="O16" s="120"/>
      <c r="P16" s="120"/>
      <c r="Q16" s="120"/>
      <c r="R16" s="169"/>
      <c r="S16" s="170"/>
      <c r="T16" s="171"/>
      <c r="U16" s="74"/>
    </row>
    <row r="17" spans="3:25" s="75" customFormat="1" ht="24.75" customHeight="1" x14ac:dyDescent="0.2">
      <c r="C17" s="76" t="s">
        <v>104</v>
      </c>
      <c r="D17" s="76"/>
      <c r="E17" s="177"/>
      <c r="F17" s="177"/>
      <c r="G17" s="177"/>
      <c r="H17" s="178"/>
      <c r="I17" s="179"/>
      <c r="J17" s="180"/>
      <c r="K17" s="181"/>
      <c r="L17" s="209"/>
      <c r="M17" s="73"/>
      <c r="N17" s="200"/>
      <c r="O17" s="120"/>
      <c r="P17" s="197"/>
      <c r="Q17" s="197"/>
      <c r="R17" s="172"/>
      <c r="S17" s="170"/>
      <c r="T17" s="171"/>
      <c r="U17" s="74"/>
    </row>
    <row r="18" spans="3:25" s="75" customFormat="1" ht="24.75" customHeight="1" x14ac:dyDescent="0.2">
      <c r="C18" s="76" t="s">
        <v>105</v>
      </c>
      <c r="D18" s="115"/>
      <c r="E18" s="177"/>
      <c r="F18" s="177"/>
      <c r="G18" s="177"/>
      <c r="H18" s="178"/>
      <c r="I18" s="179"/>
      <c r="J18" s="180"/>
      <c r="K18" s="181"/>
      <c r="L18" s="209"/>
      <c r="M18" s="73"/>
      <c r="N18" s="200"/>
      <c r="O18" s="120"/>
      <c r="P18" s="197"/>
      <c r="Q18" s="197"/>
      <c r="R18" s="172"/>
      <c r="S18" s="170"/>
      <c r="T18" s="171"/>
      <c r="U18" s="74"/>
    </row>
    <row r="19" spans="3:25" s="75" customFormat="1" ht="24.75" customHeight="1" x14ac:dyDescent="0.2">
      <c r="C19" s="76" t="s">
        <v>142</v>
      </c>
      <c r="D19" s="115"/>
      <c r="E19" s="177"/>
      <c r="F19" s="177"/>
      <c r="G19" s="177"/>
      <c r="H19" s="178"/>
      <c r="I19" s="179"/>
      <c r="J19" s="180"/>
      <c r="K19" s="181"/>
      <c r="L19" s="209"/>
      <c r="M19" s="73"/>
      <c r="N19" s="200"/>
      <c r="O19" s="120"/>
      <c r="P19" s="120"/>
      <c r="Q19" s="120"/>
      <c r="R19" s="169"/>
      <c r="S19" s="170"/>
      <c r="T19" s="171"/>
      <c r="U19" s="74"/>
    </row>
    <row r="20" spans="3:25" s="75" customFormat="1" ht="24.75" customHeight="1" x14ac:dyDescent="0.2">
      <c r="C20" s="76" t="s">
        <v>106</v>
      </c>
      <c r="D20" s="115"/>
      <c r="E20" s="177"/>
      <c r="F20" s="177"/>
      <c r="G20" s="177"/>
      <c r="H20" s="178"/>
      <c r="I20" s="179"/>
      <c r="J20" s="180"/>
      <c r="K20" s="181"/>
      <c r="L20" s="209"/>
      <c r="M20" s="73"/>
      <c r="N20" s="200"/>
      <c r="O20" s="120"/>
      <c r="P20" s="120"/>
      <c r="Q20" s="120"/>
      <c r="R20" s="169"/>
      <c r="S20" s="170"/>
      <c r="T20" s="171"/>
      <c r="U20" s="74"/>
    </row>
    <row r="21" spans="3:25" s="75" customFormat="1" ht="24.75" customHeight="1" x14ac:dyDescent="0.2">
      <c r="C21" s="76" t="s">
        <v>107</v>
      </c>
      <c r="D21" s="198"/>
      <c r="E21" s="177"/>
      <c r="F21" s="177"/>
      <c r="G21" s="177"/>
      <c r="H21" s="178"/>
      <c r="I21" s="179"/>
      <c r="J21" s="180"/>
      <c r="K21" s="181"/>
      <c r="L21" s="209"/>
      <c r="M21" s="73"/>
      <c r="N21" s="200"/>
      <c r="O21" s="120"/>
      <c r="P21" s="120"/>
      <c r="Q21" s="120"/>
      <c r="R21" s="169"/>
      <c r="S21" s="170"/>
      <c r="T21" s="171"/>
      <c r="U21" s="74"/>
    </row>
    <row r="22" spans="3:25" s="75" customFormat="1" ht="24.75" customHeight="1" x14ac:dyDescent="0.2">
      <c r="C22" s="76" t="s">
        <v>108</v>
      </c>
      <c r="D22" s="115"/>
      <c r="E22" s="177"/>
      <c r="F22" s="177"/>
      <c r="G22" s="177"/>
      <c r="H22" s="178"/>
      <c r="I22" s="179"/>
      <c r="J22" s="180"/>
      <c r="K22" s="181"/>
      <c r="L22" s="209"/>
      <c r="M22" s="73"/>
      <c r="N22" s="200"/>
      <c r="O22" s="120"/>
      <c r="P22" s="120"/>
      <c r="Q22" s="120"/>
      <c r="R22" s="169"/>
      <c r="S22" s="170"/>
      <c r="T22" s="171"/>
      <c r="U22" s="74"/>
    </row>
    <row r="23" spans="3:25" ht="24.75" customHeight="1" x14ac:dyDescent="0.2">
      <c r="C23" s="76" t="s">
        <v>109</v>
      </c>
      <c r="D23" s="115"/>
      <c r="E23" s="177"/>
      <c r="F23" s="177"/>
      <c r="G23" s="177"/>
      <c r="H23" s="178"/>
      <c r="I23" s="179"/>
      <c r="J23" s="180"/>
      <c r="K23" s="181"/>
      <c r="L23" s="209"/>
      <c r="M23" s="73"/>
      <c r="N23" s="200"/>
      <c r="O23" s="120"/>
      <c r="P23" s="120"/>
      <c r="Q23" s="120"/>
      <c r="R23" s="169"/>
      <c r="S23" s="170"/>
      <c r="T23" s="171"/>
      <c r="U23" s="74"/>
      <c r="Y23" s="75"/>
    </row>
    <row r="24" spans="3:25" ht="24.75" customHeight="1" x14ac:dyDescent="0.2">
      <c r="C24" s="76" t="s">
        <v>110</v>
      </c>
      <c r="D24" s="115"/>
      <c r="E24" s="177"/>
      <c r="F24" s="177"/>
      <c r="G24" s="177"/>
      <c r="H24" s="178"/>
      <c r="I24" s="179"/>
      <c r="J24" s="180"/>
      <c r="K24" s="181"/>
      <c r="L24" s="209"/>
      <c r="M24" s="73"/>
      <c r="N24" s="200"/>
      <c r="O24" s="120"/>
      <c r="P24" s="120"/>
      <c r="Q24" s="120"/>
      <c r="R24" s="169"/>
      <c r="S24" s="170"/>
      <c r="T24" s="171"/>
      <c r="U24" s="74"/>
      <c r="Y24" s="75"/>
    </row>
    <row r="25" spans="3:25" ht="24.75" customHeight="1" x14ac:dyDescent="0.2">
      <c r="C25" s="76" t="s">
        <v>111</v>
      </c>
      <c r="D25" s="198"/>
      <c r="E25" s="177"/>
      <c r="F25" s="177"/>
      <c r="G25" s="177"/>
      <c r="H25" s="178"/>
      <c r="I25" s="179"/>
      <c r="J25" s="180"/>
      <c r="K25" s="181"/>
      <c r="L25" s="209"/>
      <c r="M25" s="73"/>
      <c r="N25" s="200"/>
      <c r="O25" s="120"/>
      <c r="P25" s="120"/>
      <c r="Q25" s="120"/>
      <c r="R25" s="169"/>
      <c r="S25" s="170"/>
      <c r="T25" s="171"/>
      <c r="U25" s="74"/>
      <c r="Y25" s="75"/>
    </row>
    <row r="26" spans="3:25" ht="24.75" customHeight="1" x14ac:dyDescent="0.2">
      <c r="C26" s="76" t="s">
        <v>112</v>
      </c>
      <c r="D26" s="115"/>
      <c r="E26" s="177"/>
      <c r="F26" s="177"/>
      <c r="G26" s="177"/>
      <c r="H26" s="178"/>
      <c r="I26" s="179"/>
      <c r="J26" s="180"/>
      <c r="K26" s="181"/>
      <c r="L26" s="209"/>
      <c r="M26" s="73"/>
      <c r="N26" s="200"/>
      <c r="O26" s="120"/>
      <c r="P26" s="120"/>
      <c r="Q26" s="120"/>
      <c r="R26" s="169"/>
      <c r="S26" s="170"/>
      <c r="T26" s="171"/>
      <c r="U26" s="74"/>
      <c r="Y26" s="75"/>
    </row>
    <row r="27" spans="3:25" ht="24.75" customHeight="1" x14ac:dyDescent="0.2">
      <c r="C27" s="76" t="s">
        <v>132</v>
      </c>
      <c r="D27" s="76"/>
      <c r="E27" s="177"/>
      <c r="F27" s="177"/>
      <c r="G27" s="177"/>
      <c r="H27" s="178"/>
      <c r="I27" s="179"/>
      <c r="J27" s="180"/>
      <c r="K27" s="181"/>
      <c r="L27" s="209"/>
      <c r="M27" s="73"/>
      <c r="N27" s="200"/>
      <c r="O27" s="120"/>
      <c r="P27" s="120"/>
      <c r="Q27" s="120"/>
      <c r="R27" s="169"/>
      <c r="S27" s="170"/>
      <c r="T27" s="171"/>
      <c r="U27" s="74"/>
      <c r="Y27" s="75"/>
    </row>
    <row r="28" spans="3:25" ht="24.75" customHeight="1" x14ac:dyDescent="0.2">
      <c r="C28" s="76" t="s">
        <v>133</v>
      </c>
      <c r="D28" s="76"/>
      <c r="E28" s="177"/>
      <c r="F28" s="177"/>
      <c r="G28" s="177"/>
      <c r="H28" s="178"/>
      <c r="I28" s="179"/>
      <c r="J28" s="180"/>
      <c r="K28" s="181"/>
      <c r="L28" s="209"/>
      <c r="M28" s="73"/>
      <c r="N28" s="200"/>
      <c r="O28" s="120"/>
      <c r="P28" s="120"/>
      <c r="Q28" s="120"/>
      <c r="R28" s="169"/>
      <c r="S28" s="170"/>
      <c r="T28" s="171"/>
      <c r="U28" s="74"/>
      <c r="Y28" s="75"/>
    </row>
    <row r="29" spans="3:25" ht="24.75" customHeight="1" x14ac:dyDescent="0.2">
      <c r="C29" s="76" t="s">
        <v>134</v>
      </c>
      <c r="D29" s="76"/>
      <c r="E29" s="177"/>
      <c r="F29" s="177"/>
      <c r="G29" s="177"/>
      <c r="H29" s="178"/>
      <c r="I29" s="179"/>
      <c r="J29" s="180"/>
      <c r="K29" s="181"/>
      <c r="L29" s="209"/>
      <c r="M29" s="73"/>
      <c r="N29" s="200"/>
      <c r="O29" s="120"/>
      <c r="P29" s="120"/>
      <c r="Q29" s="120"/>
      <c r="R29" s="169"/>
      <c r="S29" s="170"/>
      <c r="T29" s="171"/>
      <c r="U29" s="74"/>
      <c r="Y29" s="75"/>
    </row>
    <row r="30" spans="3:25" ht="24.75" customHeight="1" x14ac:dyDescent="0.2">
      <c r="C30" s="76" t="s">
        <v>135</v>
      </c>
      <c r="D30" s="76"/>
      <c r="E30" s="177"/>
      <c r="F30" s="177"/>
      <c r="G30" s="177"/>
      <c r="H30" s="178"/>
      <c r="I30" s="179"/>
      <c r="J30" s="180"/>
      <c r="K30" s="181"/>
      <c r="L30" s="209"/>
      <c r="M30" s="73"/>
      <c r="N30" s="200"/>
      <c r="O30" s="120"/>
      <c r="P30" s="120"/>
      <c r="Q30" s="120"/>
      <c r="R30" s="169"/>
      <c r="S30" s="170"/>
      <c r="T30" s="171"/>
      <c r="U30" s="74"/>
      <c r="Y30" s="75"/>
    </row>
    <row r="31" spans="3:25" ht="24.75" customHeight="1" x14ac:dyDescent="0.2">
      <c r="C31" s="76" t="s">
        <v>143</v>
      </c>
      <c r="D31" s="76"/>
      <c r="E31" s="177"/>
      <c r="F31" s="177"/>
      <c r="G31" s="177"/>
      <c r="H31" s="178"/>
      <c r="I31" s="179"/>
      <c r="J31" s="180"/>
      <c r="K31" s="181"/>
      <c r="L31" s="209"/>
      <c r="M31" s="73"/>
      <c r="N31" s="200"/>
      <c r="O31" s="120"/>
      <c r="P31" s="120"/>
      <c r="Q31" s="120"/>
      <c r="R31" s="169"/>
      <c r="S31" s="170"/>
      <c r="T31" s="171"/>
      <c r="U31" s="74"/>
      <c r="Y31" s="75"/>
    </row>
    <row r="32" spans="3:25" ht="24.75" customHeight="1" x14ac:dyDescent="0.2">
      <c r="C32" s="76" t="s">
        <v>144</v>
      </c>
      <c r="D32" s="76"/>
      <c r="E32" s="177"/>
      <c r="F32" s="177"/>
      <c r="G32" s="177"/>
      <c r="H32" s="178"/>
      <c r="I32" s="179"/>
      <c r="J32" s="180"/>
      <c r="K32" s="181"/>
      <c r="L32" s="209"/>
      <c r="M32" s="73"/>
      <c r="N32" s="200"/>
      <c r="O32" s="120"/>
      <c r="P32" s="120"/>
      <c r="Q32" s="120"/>
      <c r="R32" s="169"/>
      <c r="S32" s="170"/>
      <c r="T32" s="171"/>
      <c r="U32" s="74"/>
      <c r="Y32" s="75"/>
    </row>
    <row r="33" spans="3:25" ht="24.75" customHeight="1" x14ac:dyDescent="0.2">
      <c r="C33" s="76" t="s">
        <v>158</v>
      </c>
      <c r="D33" s="76"/>
      <c r="E33" s="177"/>
      <c r="F33" s="177"/>
      <c r="G33" s="177"/>
      <c r="H33" s="178"/>
      <c r="I33" s="179"/>
      <c r="J33" s="180"/>
      <c r="K33" s="181"/>
      <c r="L33" s="209"/>
      <c r="M33" s="73"/>
      <c r="N33" s="200"/>
      <c r="O33" s="120"/>
      <c r="P33" s="120"/>
      <c r="Q33" s="120"/>
      <c r="R33" s="169"/>
      <c r="S33" s="170"/>
      <c r="T33" s="171"/>
      <c r="U33" s="74"/>
      <c r="Y33" s="75"/>
    </row>
    <row r="34" spans="3:25" ht="24.75" customHeight="1" x14ac:dyDescent="0.2">
      <c r="C34" s="76" t="s">
        <v>159</v>
      </c>
      <c r="D34" s="76"/>
      <c r="E34" s="177"/>
      <c r="F34" s="177"/>
      <c r="G34" s="177"/>
      <c r="H34" s="178"/>
      <c r="I34" s="179"/>
      <c r="J34" s="180"/>
      <c r="K34" s="181"/>
      <c r="L34" s="209"/>
      <c r="N34" s="200"/>
      <c r="O34" s="120"/>
    </row>
    <row r="35" spans="3:25" ht="24.75" customHeight="1" x14ac:dyDescent="0.2">
      <c r="C35" s="76" t="s">
        <v>160</v>
      </c>
      <c r="D35" s="76"/>
      <c r="E35" s="177"/>
      <c r="F35" s="177"/>
      <c r="G35" s="177"/>
      <c r="H35" s="178"/>
      <c r="I35" s="179"/>
      <c r="J35" s="180"/>
      <c r="K35" s="181"/>
      <c r="L35" s="209"/>
      <c r="N35" s="200"/>
      <c r="O35" s="120"/>
    </row>
    <row r="36" spans="3:25" ht="24.75" customHeight="1" x14ac:dyDescent="0.2">
      <c r="C36" s="76" t="s">
        <v>166</v>
      </c>
      <c r="D36" s="76"/>
      <c r="E36" s="177"/>
      <c r="F36" s="177"/>
      <c r="G36" s="177"/>
      <c r="H36" s="178"/>
      <c r="I36" s="179"/>
      <c r="J36" s="180"/>
      <c r="K36" s="181"/>
      <c r="L36" s="209"/>
      <c r="N36" s="200"/>
      <c r="O36" s="120"/>
    </row>
    <row r="37" spans="3:25" ht="24.75" customHeight="1" x14ac:dyDescent="0.2">
      <c r="C37" s="76" t="s">
        <v>168</v>
      </c>
      <c r="D37" s="76"/>
      <c r="E37" s="177"/>
      <c r="F37" s="177"/>
      <c r="G37" s="177"/>
      <c r="H37" s="178"/>
      <c r="I37" s="179"/>
      <c r="J37" s="180"/>
      <c r="K37" s="181"/>
      <c r="L37" s="209"/>
      <c r="N37" s="200"/>
      <c r="O37" s="120"/>
    </row>
    <row r="38" spans="3:25" ht="24.75" customHeight="1" x14ac:dyDescent="0.2">
      <c r="C38" s="76" t="s">
        <v>169</v>
      </c>
      <c r="D38" s="76"/>
      <c r="E38" s="177"/>
      <c r="F38" s="177"/>
      <c r="G38" s="177"/>
      <c r="H38" s="178"/>
      <c r="I38" s="179"/>
      <c r="J38" s="180"/>
      <c r="K38" s="181"/>
      <c r="L38" s="209"/>
      <c r="N38" s="200"/>
      <c r="O38" s="120"/>
    </row>
    <row r="39" spans="3:25" ht="15" x14ac:dyDescent="0.2">
      <c r="N39" s="200"/>
      <c r="O39" s="120"/>
    </row>
  </sheetData>
  <customSheetViews>
    <customSheetView guid="{7E34E800-94BB-11D6-B2C6-0002A57730F5}" scale="75" fitToPage="1" hiddenRows="1" hiddenColumns="1" showRuler="0" topLeftCell="C1">
      <selection activeCell="D14" sqref="D14"/>
      <pageMargins left="0" right="0" top="0.52" bottom="0.31" header="0.17" footer="0.16"/>
      <pageSetup paperSize="270" scale="75" orientation="landscape" horizontalDpi="300" verticalDpi="300" r:id="rId1"/>
      <headerFooter alignWithMargins="0">
        <oddHeader>&amp;CE_SMC_1207_F1</oddHeader>
      </headerFooter>
    </customSheetView>
  </customSheetViews>
  <mergeCells count="2">
    <mergeCell ref="D1:L1"/>
    <mergeCell ref="D2:L2"/>
  </mergeCells>
  <phoneticPr fontId="0" type="noConversion"/>
  <pageMargins left="0.6692913385826772" right="0" top="0.51181102362204722" bottom="0.31496062992125984" header="0" footer="0.15748031496062992"/>
  <pageSetup paperSize="270" scale="72" orientation="landscape" horizontalDpi="300" verticalDpi="300" r:id="rId2"/>
  <headerFooter alignWithMargins="0">
    <oddHeader xml:space="preserve">&amp;CLaboratoire ANDRA
&amp;"Arial,Gras"&amp;14GAN&amp;"Arial,Normal"&amp;10
</oddHeader>
    <oddFooter>&amp;R&amp;F</oddFooter>
  </headerFooter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9C5E5-A92C-4540-9EDC-D40861946E4A}">
  <sheetPr codeName="Feuil13"/>
  <dimension ref="A1"/>
  <sheetViews>
    <sheetView tabSelected="1" workbookViewId="0">
      <selection activeCell="L28" sqref="L28"/>
    </sheetView>
  </sheetViews>
  <sheetFormatPr baseColWidth="10" defaultRowHeight="12.75" x14ac:dyDescent="0.2"/>
  <sheetData>
    <row r="1" spans="1:1" x14ac:dyDescent="0.2">
      <c r="A1" s="272" t="s">
        <v>283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94527-C2D6-44C6-B4C3-C95ECCDCAC31}">
  <sheetPr codeName="Feuil6">
    <pageSetUpPr fitToPage="1"/>
  </sheetPr>
  <dimension ref="B1:S49"/>
  <sheetViews>
    <sheetView topLeftCell="A9" zoomScale="85" zoomScaleNormal="85" workbookViewId="0">
      <selection activeCell="E13" sqref="E13"/>
    </sheetView>
  </sheetViews>
  <sheetFormatPr baseColWidth="10" defaultColWidth="15.7109375" defaultRowHeight="12.75" x14ac:dyDescent="0.2"/>
  <cols>
    <col min="1" max="2" width="15.7109375" customWidth="1"/>
    <col min="3" max="3" width="12.7109375" bestFit="1" customWidth="1"/>
    <col min="4" max="4" width="21.140625" bestFit="1" customWidth="1"/>
    <col min="5" max="5" width="18.28515625" customWidth="1"/>
    <col min="6" max="6" width="16.140625" customWidth="1"/>
    <col min="7" max="7" width="19.28515625" customWidth="1"/>
    <col min="8" max="8" width="15.42578125" customWidth="1"/>
    <col min="9" max="9" width="11.42578125" customWidth="1"/>
    <col min="10" max="10" width="15.7109375" customWidth="1"/>
    <col min="11" max="11" width="17.5703125" bestFit="1" customWidth="1"/>
    <col min="12" max="12" width="11.140625" customWidth="1"/>
    <col min="13" max="13" width="45.140625" customWidth="1"/>
    <col min="14" max="14" width="14.140625" bestFit="1" customWidth="1"/>
    <col min="15" max="15" width="10.7109375" bestFit="1" customWidth="1"/>
    <col min="16" max="16" width="4.42578125" bestFit="1" customWidth="1"/>
  </cols>
  <sheetData>
    <row r="1" spans="2:19" ht="39.950000000000003" customHeight="1" thickBot="1" x14ac:dyDescent="0.25">
      <c r="D1" s="336" t="str">
        <f>"GALERIE "&amp;'INFOS-PARAM'!B3&amp;"  definition profil en long"</f>
        <v>GALERIE GGS  definition profil en long</v>
      </c>
      <c r="E1" s="337"/>
      <c r="F1" s="337"/>
      <c r="G1" s="337"/>
      <c r="H1" s="337"/>
      <c r="I1" s="338"/>
      <c r="M1" s="272"/>
    </row>
    <row r="2" spans="2:19" ht="39.950000000000003" customHeight="1" x14ac:dyDescent="0.35">
      <c r="C2" s="161"/>
      <c r="D2" s="334"/>
      <c r="E2" s="335"/>
      <c r="F2" s="335"/>
      <c r="G2" s="335"/>
      <c r="H2" s="335"/>
      <c r="I2" s="335"/>
      <c r="J2" s="89" t="s">
        <v>89</v>
      </c>
      <c r="K2" s="161"/>
    </row>
    <row r="3" spans="2:19" hidden="1" x14ac:dyDescent="0.2"/>
    <row r="4" spans="2:19" hidden="1" x14ac:dyDescent="0.2"/>
    <row r="5" spans="2:19" hidden="1" x14ac:dyDescent="0.2"/>
    <row r="6" spans="2:19" hidden="1" x14ac:dyDescent="0.2"/>
    <row r="7" spans="2:19" hidden="1" x14ac:dyDescent="0.2"/>
    <row r="8" spans="2:19" hidden="1" x14ac:dyDescent="0.2"/>
    <row r="9" spans="2:19" ht="30" customHeight="1" x14ac:dyDescent="0.2">
      <c r="C9" s="79"/>
      <c r="D9" s="162" t="s">
        <v>190</v>
      </c>
      <c r="E9" s="80" t="s">
        <v>164</v>
      </c>
      <c r="F9" s="80" t="s">
        <v>195</v>
      </c>
      <c r="G9" s="80" t="s">
        <v>76</v>
      </c>
      <c r="H9" s="80" t="s">
        <v>193</v>
      </c>
      <c r="I9" s="81" t="s">
        <v>26</v>
      </c>
      <c r="J9" s="80"/>
      <c r="K9" s="80"/>
      <c r="L9" s="175"/>
      <c r="M9" s="265" t="s">
        <v>176</v>
      </c>
    </row>
    <row r="10" spans="2:19" ht="30" customHeight="1" x14ac:dyDescent="0.2">
      <c r="C10" s="82"/>
      <c r="D10" s="82"/>
      <c r="E10" s="83"/>
      <c r="F10" s="83"/>
      <c r="G10" s="84"/>
      <c r="H10" s="85"/>
      <c r="I10" s="86"/>
      <c r="J10" s="182"/>
      <c r="K10" s="183"/>
      <c r="L10" s="5"/>
      <c r="M10" s="231"/>
    </row>
    <row r="11" spans="2:19" s="75" customFormat="1" ht="24.95" customHeight="1" x14ac:dyDescent="0.2">
      <c r="B11"/>
      <c r="C11" s="76" t="s">
        <v>90</v>
      </c>
      <c r="D11" s="76" t="s">
        <v>92</v>
      </c>
      <c r="E11" s="255">
        <v>-16.602</v>
      </c>
      <c r="F11" s="202">
        <v>-122.492999999999</v>
      </c>
      <c r="G11" s="275">
        <v>1.0000182509878046E-2</v>
      </c>
      <c r="H11" s="203"/>
      <c r="I11" s="204"/>
      <c r="J11" s="182"/>
      <c r="K11" s="182"/>
      <c r="L11" s="5"/>
      <c r="M11" s="120"/>
      <c r="N11" s="176"/>
      <c r="O11" s="122"/>
      <c r="P11" s="74"/>
      <c r="Q11" s="75">
        <f>ROW(P11)</f>
        <v>11</v>
      </c>
      <c r="R11" s="75">
        <f t="array" aca="1" ref="R11" ca="1">INDIRECT("E"&amp;$Q11)</f>
        <v>-16.602</v>
      </c>
      <c r="S11" s="75">
        <f t="array" aca="1" ref="S11" ca="1">INDIRECT("F"&amp;$Q11)</f>
        <v>-122.492999999999</v>
      </c>
    </row>
    <row r="12" spans="2:19" s="75" customFormat="1" ht="24.95" customHeight="1" x14ac:dyDescent="0.2">
      <c r="B12"/>
      <c r="C12" s="76" t="s">
        <v>91</v>
      </c>
      <c r="D12" s="76" t="s">
        <v>92</v>
      </c>
      <c r="E12" s="255">
        <v>0</v>
      </c>
      <c r="F12" s="202">
        <v>-122.32697696997</v>
      </c>
      <c r="G12" s="275">
        <v>9.9989334039666672E-3</v>
      </c>
      <c r="H12" s="203"/>
      <c r="I12" s="204"/>
      <c r="J12" s="182"/>
      <c r="K12" s="182"/>
      <c r="L12" s="5"/>
      <c r="M12" s="120"/>
      <c r="N12" s="176"/>
      <c r="O12" s="302">
        <f t="array" aca="1" ref="O12" ca="1">( (INDIRECT("F"&amp;ROW())) - (INDIRECT("F"&amp;ROW()-1)) ) / ((INDIRECT("E"&amp;ROW())) - (INDIRECT("E"&amp;ROW()-1)))</f>
        <v>1.0000182509878046E-2</v>
      </c>
      <c r="P12" s="74"/>
      <c r="Q12" s="75">
        <f t="shared" ref="Q12:Q34" si="0">ROW(P12)</f>
        <v>12</v>
      </c>
      <c r="R12" s="75">
        <f t="array" aca="1" ref="R12" ca="1">INDIRECT("E"&amp;$Q12)</f>
        <v>0</v>
      </c>
      <c r="S12" s="75">
        <f t="array" aca="1" ref="S12" ca="1">INDIRECT("F"&amp;$Q12)</f>
        <v>-122.32697696997</v>
      </c>
    </row>
    <row r="13" spans="2:19" s="75" customFormat="1" ht="24.95" customHeight="1" x14ac:dyDescent="0.2">
      <c r="B13"/>
      <c r="C13" s="76" t="s">
        <v>93</v>
      </c>
      <c r="D13" s="76" t="s">
        <v>92</v>
      </c>
      <c r="E13" s="255">
        <v>11.2789</v>
      </c>
      <c r="F13" s="202">
        <v>-122.21420000000001</v>
      </c>
      <c r="G13" s="275">
        <v>0.13968943620330715</v>
      </c>
      <c r="H13" s="203"/>
      <c r="I13" s="204"/>
      <c r="J13" s="182"/>
      <c r="K13" s="182"/>
      <c r="L13" s="5"/>
      <c r="M13" s="265" t="s">
        <v>178</v>
      </c>
      <c r="N13" s="176"/>
      <c r="O13" s="302">
        <f t="array" aca="1" ref="O13" ca="1">( (INDIRECT("F"&amp;ROW())) - (INDIRECT("F"&amp;ROW()-1)) ) / ((INDIRECT("E"&amp;ROW())) - (INDIRECT("E"&amp;ROW()-1)))</f>
        <v>9.9989334039666672E-3</v>
      </c>
      <c r="P13" s="74"/>
      <c r="Q13" s="75">
        <f t="shared" si="0"/>
        <v>13</v>
      </c>
      <c r="R13" s="75">
        <f t="array" aca="1" ref="R13" ca="1">INDIRECT("E"&amp;$Q13)</f>
        <v>11.2789</v>
      </c>
      <c r="S13" s="75">
        <f t="array" aca="1" ref="S13" ca="1">INDIRECT("F"&amp;$Q13)</f>
        <v>-122.21420000000001</v>
      </c>
    </row>
    <row r="14" spans="2:19" s="75" customFormat="1" ht="24.95" customHeight="1" x14ac:dyDescent="0.2">
      <c r="B14"/>
      <c r="C14" s="76" t="s">
        <v>101</v>
      </c>
      <c r="D14" s="76" t="s">
        <v>92</v>
      </c>
      <c r="E14" s="255">
        <v>19.058299999999999</v>
      </c>
      <c r="F14" s="202">
        <v>-121.1275</v>
      </c>
      <c r="G14" s="275">
        <v>1.0002601273921028E-2</v>
      </c>
      <c r="H14" s="203"/>
      <c r="I14" s="204"/>
      <c r="J14" s="182"/>
      <c r="K14" s="182"/>
      <c r="L14" s="5"/>
      <c r="M14" s="231"/>
      <c r="N14" s="176"/>
      <c r="O14" s="302">
        <f t="array" aca="1" ref="O14" ca="1">( (INDIRECT("F"&amp;ROW())) - (INDIRECT("F"&amp;ROW()-1)) ) / ((INDIRECT("E"&amp;ROW())) - (INDIRECT("E"&amp;ROW()-1)))</f>
        <v>0.13968943620330715</v>
      </c>
      <c r="P14" s="74"/>
      <c r="Q14" s="75">
        <f t="shared" si="0"/>
        <v>14</v>
      </c>
      <c r="R14" s="75">
        <f t="array" aca="1" ref="R14" ca="1">INDIRECT("E"&amp;$Q14)</f>
        <v>19.058299999999999</v>
      </c>
      <c r="S14" s="75">
        <f t="array" aca="1" ref="S14" ca="1">INDIRECT("F"&amp;$Q14)</f>
        <v>-121.1275</v>
      </c>
    </row>
    <row r="15" spans="2:19" s="75" customFormat="1" ht="24.95" customHeight="1" x14ac:dyDescent="0.2">
      <c r="B15"/>
      <c r="C15" s="76" t="s">
        <v>102</v>
      </c>
      <c r="D15" s="76" t="s">
        <v>92</v>
      </c>
      <c r="E15" s="255">
        <v>75.953500000000005</v>
      </c>
      <c r="F15" s="202">
        <v>-120.55840000000001</v>
      </c>
      <c r="G15" s="275">
        <v>1.0000500025002105E-2</v>
      </c>
      <c r="H15" s="203"/>
      <c r="I15" s="204"/>
      <c r="J15" s="182"/>
      <c r="K15" s="182"/>
      <c r="L15" s="5"/>
      <c r="M15" s="120"/>
      <c r="N15" s="176"/>
      <c r="O15" s="302">
        <f t="array" aca="1" ref="O15" ca="1">( (INDIRECT("F"&amp;ROW())) - (INDIRECT("F"&amp;ROW()-1)) ) / ((INDIRECT("E"&amp;ROW())) - (INDIRECT("E"&amp;ROW()-1)))</f>
        <v>1.0002601273921028E-2</v>
      </c>
      <c r="P15" s="74"/>
      <c r="Q15" s="75">
        <f t="shared" si="0"/>
        <v>15</v>
      </c>
      <c r="R15" s="75">
        <f t="array" aca="1" ref="R15" ca="1">INDIRECT("E"&amp;$Q15)</f>
        <v>75.953500000000005</v>
      </c>
      <c r="S15" s="75">
        <f t="array" aca="1" ref="S15" ca="1">INDIRECT("F"&amp;$Q15)</f>
        <v>-120.55840000000001</v>
      </c>
    </row>
    <row r="16" spans="2:19" s="75" customFormat="1" ht="24.95" customHeight="1" x14ac:dyDescent="0.2">
      <c r="B16"/>
      <c r="C16" s="76" t="s">
        <v>103</v>
      </c>
      <c r="D16" s="76" t="s">
        <v>92</v>
      </c>
      <c r="E16" s="255">
        <v>85.953000000000003</v>
      </c>
      <c r="F16" s="202">
        <v>-120.4584</v>
      </c>
      <c r="G16" s="275">
        <v>1.0000500025002105E-2</v>
      </c>
      <c r="H16" s="203"/>
      <c r="I16" s="204"/>
      <c r="J16" s="182"/>
      <c r="K16" s="182"/>
      <c r="L16" s="5"/>
      <c r="M16" s="120"/>
      <c r="N16" s="176"/>
      <c r="O16" s="302">
        <f t="array" aca="1" ref="O16" ca="1">( (INDIRECT("F"&amp;ROW())) - (INDIRECT("F"&amp;ROW()-1)) ) / ((INDIRECT("E"&amp;ROW())) - (INDIRECT("E"&amp;ROW()-1)))</f>
        <v>1.0000500025002105E-2</v>
      </c>
      <c r="P16" s="74"/>
      <c r="Q16" s="75">
        <f t="shared" si="0"/>
        <v>16</v>
      </c>
      <c r="R16" s="75">
        <f t="array" aca="1" ref="R16" ca="1">INDIRECT("E"&amp;$Q16)</f>
        <v>85.953000000000003</v>
      </c>
      <c r="S16" s="75">
        <f t="array" aca="1" ref="S16" ca="1">INDIRECT("F"&amp;$Q16)</f>
        <v>-120.4584</v>
      </c>
    </row>
    <row r="17" spans="2:19" s="75" customFormat="1" ht="24.95" customHeight="1" x14ac:dyDescent="0.2">
      <c r="B17"/>
      <c r="C17" s="76" t="s">
        <v>104</v>
      </c>
      <c r="D17" s="76"/>
      <c r="E17" s="177"/>
      <c r="F17" s="202"/>
      <c r="G17" s="275"/>
      <c r="H17" s="203"/>
      <c r="I17" s="204"/>
      <c r="J17" s="182"/>
      <c r="K17" s="182"/>
      <c r="L17" s="5"/>
      <c r="M17" s="120"/>
      <c r="N17" s="176"/>
      <c r="O17" s="122"/>
      <c r="P17" s="74"/>
      <c r="Q17" s="75">
        <f t="shared" si="0"/>
        <v>17</v>
      </c>
      <c r="R17" s="75">
        <f t="array" aca="1" ref="R17" ca="1">INDIRECT("E"&amp;$Q17)</f>
        <v>0</v>
      </c>
      <c r="S17" s="75">
        <f t="array" aca="1" ref="S17" ca="1">INDIRECT("F"&amp;$Q17)</f>
        <v>0</v>
      </c>
    </row>
    <row r="18" spans="2:19" s="75" customFormat="1" ht="24.95" customHeight="1" x14ac:dyDescent="0.2">
      <c r="B18"/>
      <c r="C18" s="76" t="s">
        <v>105</v>
      </c>
      <c r="D18" s="76"/>
      <c r="E18" s="201"/>
      <c r="F18" s="202"/>
      <c r="G18" s="275"/>
      <c r="H18" s="203"/>
      <c r="I18" s="204"/>
      <c r="J18" s="182"/>
      <c r="K18" s="182"/>
      <c r="L18" s="5"/>
      <c r="M18" s="120"/>
      <c r="N18" s="176"/>
      <c r="O18" s="122"/>
      <c r="P18" s="74"/>
      <c r="Q18" s="75">
        <f t="shared" si="0"/>
        <v>18</v>
      </c>
      <c r="R18" s="75">
        <f t="array" aca="1" ref="R18" ca="1">INDIRECT("E"&amp;$Q18)</f>
        <v>0</v>
      </c>
      <c r="S18" s="75">
        <f t="array" aca="1" ref="S18" ca="1">INDIRECT("F"&amp;$Q18)</f>
        <v>0</v>
      </c>
    </row>
    <row r="19" spans="2:19" s="75" customFormat="1" ht="24.95" customHeight="1" x14ac:dyDescent="0.2">
      <c r="B19"/>
      <c r="C19" s="76" t="s">
        <v>142</v>
      </c>
      <c r="D19" s="76"/>
      <c r="E19" s="201"/>
      <c r="F19" s="202"/>
      <c r="G19" s="275"/>
      <c r="H19" s="203"/>
      <c r="I19" s="204"/>
      <c r="J19" s="182"/>
      <c r="K19" s="182"/>
      <c r="L19" s="5"/>
      <c r="M19" s="120"/>
      <c r="N19" s="176"/>
      <c r="O19" s="122"/>
      <c r="P19" s="74"/>
      <c r="Q19" s="75">
        <f t="shared" si="0"/>
        <v>19</v>
      </c>
      <c r="R19" s="75">
        <f t="array" aca="1" ref="R19" ca="1">INDIRECT("E"&amp;$Q19)</f>
        <v>0</v>
      </c>
      <c r="S19" s="75">
        <f t="array" aca="1" ref="S19" ca="1">INDIRECT("F"&amp;$Q19)</f>
        <v>0</v>
      </c>
    </row>
    <row r="20" spans="2:19" s="75" customFormat="1" ht="24.95" customHeight="1" x14ac:dyDescent="0.2">
      <c r="B20"/>
      <c r="C20" s="76" t="s">
        <v>106</v>
      </c>
      <c r="D20" s="76"/>
      <c r="E20" s="201"/>
      <c r="F20" s="202"/>
      <c r="G20" s="275"/>
      <c r="H20" s="203"/>
      <c r="I20" s="204"/>
      <c r="J20" s="182"/>
      <c r="K20" s="182"/>
      <c r="L20" s="5"/>
      <c r="Q20" s="75">
        <f t="shared" si="0"/>
        <v>20</v>
      </c>
      <c r="R20" s="75">
        <f t="array" aca="1" ref="R20" ca="1">INDIRECT("E"&amp;$Q20)</f>
        <v>0</v>
      </c>
      <c r="S20" s="75">
        <f t="array" aca="1" ref="S20" ca="1">INDIRECT("F"&amp;$Q20)</f>
        <v>0</v>
      </c>
    </row>
    <row r="21" spans="2:19" s="75" customFormat="1" ht="24.95" customHeight="1" x14ac:dyDescent="0.2">
      <c r="B21"/>
      <c r="C21" s="76"/>
      <c r="D21" s="76"/>
      <c r="E21" s="87"/>
      <c r="F21" s="108"/>
      <c r="G21" s="275"/>
      <c r="H21" s="77"/>
      <c r="I21" s="78"/>
      <c r="J21" s="182"/>
      <c r="K21" s="183"/>
      <c r="L21" s="5"/>
      <c r="Q21" s="75">
        <f t="shared" si="0"/>
        <v>21</v>
      </c>
      <c r="R21" s="75">
        <f t="array" aca="1" ref="R21" ca="1">INDIRECT("E"&amp;$Q21)</f>
        <v>0</v>
      </c>
      <c r="S21" s="75">
        <f t="array" aca="1" ref="S21" ca="1">INDIRECT("F"&amp;$Q21)</f>
        <v>0</v>
      </c>
    </row>
    <row r="22" spans="2:19" s="75" customFormat="1" ht="24.95" customHeight="1" x14ac:dyDescent="0.2">
      <c r="B22"/>
      <c r="C22" s="76"/>
      <c r="D22" s="76"/>
      <c r="E22" s="87"/>
      <c r="F22" s="108"/>
      <c r="G22" s="275"/>
      <c r="H22" s="77"/>
      <c r="I22" s="78"/>
      <c r="J22" s="182"/>
      <c r="K22" s="183"/>
      <c r="L22" s="184"/>
      <c r="Q22" s="75">
        <f t="shared" si="0"/>
        <v>22</v>
      </c>
      <c r="R22" s="75">
        <f t="array" aca="1" ref="R22" ca="1">INDIRECT("E"&amp;$Q22)</f>
        <v>0</v>
      </c>
      <c r="S22" s="75">
        <f t="array" aca="1" ref="S22" ca="1">INDIRECT("F"&amp;$Q22)</f>
        <v>0</v>
      </c>
    </row>
    <row r="23" spans="2:19" s="75" customFormat="1" ht="24.95" customHeight="1" x14ac:dyDescent="0.2">
      <c r="B23"/>
      <c r="C23" s="76"/>
      <c r="D23" s="76"/>
      <c r="E23" s="87"/>
      <c r="F23" s="108"/>
      <c r="G23" s="275"/>
      <c r="H23" s="77"/>
      <c r="I23" s="78"/>
      <c r="J23" s="182"/>
      <c r="K23" s="183"/>
      <c r="L23" s="184"/>
      <c r="Q23" s="75">
        <f t="shared" si="0"/>
        <v>23</v>
      </c>
      <c r="R23" s="75">
        <f t="array" aca="1" ref="R23" ca="1">INDIRECT("E"&amp;$Q23)</f>
        <v>0</v>
      </c>
      <c r="S23" s="75">
        <f t="array" aca="1" ref="S23" ca="1">INDIRECT("F"&amp;$Q23)</f>
        <v>0</v>
      </c>
    </row>
    <row r="24" spans="2:19" s="75" customFormat="1" ht="24.95" customHeight="1" x14ac:dyDescent="0.2">
      <c r="B24"/>
      <c r="C24" s="76"/>
      <c r="D24" s="76"/>
      <c r="E24" s="87"/>
      <c r="F24" s="108"/>
      <c r="G24" s="275"/>
      <c r="H24" s="77"/>
      <c r="I24" s="78"/>
      <c r="J24" s="182"/>
      <c r="K24" s="183"/>
      <c r="L24" s="184"/>
      <c r="Q24" s="75">
        <f t="shared" si="0"/>
        <v>24</v>
      </c>
      <c r="R24" s="75">
        <f t="array" aca="1" ref="R24" ca="1">INDIRECT("E"&amp;$Q24)</f>
        <v>0</v>
      </c>
      <c r="S24" s="75">
        <f t="array" aca="1" ref="S24" ca="1">INDIRECT("F"&amp;$Q24)</f>
        <v>0</v>
      </c>
    </row>
    <row r="25" spans="2:19" s="75" customFormat="1" ht="24.95" customHeight="1" x14ac:dyDescent="0.2">
      <c r="B25"/>
      <c r="C25" s="76"/>
      <c r="D25" s="76"/>
      <c r="E25" s="87"/>
      <c r="F25" s="108"/>
      <c r="G25" s="275"/>
      <c r="H25" s="77"/>
      <c r="I25" s="78"/>
      <c r="J25" s="182"/>
      <c r="K25" s="183"/>
      <c r="L25" s="184"/>
      <c r="Q25" s="75">
        <f t="shared" si="0"/>
        <v>25</v>
      </c>
      <c r="R25" s="75">
        <f t="array" aca="1" ref="R25" ca="1">INDIRECT("E"&amp;$Q25)</f>
        <v>0</v>
      </c>
      <c r="S25" s="75">
        <f t="array" aca="1" ref="S25" ca="1">INDIRECT("F"&amp;$Q25)</f>
        <v>0</v>
      </c>
    </row>
    <row r="26" spans="2:19" s="75" customFormat="1" ht="24.95" customHeight="1" x14ac:dyDescent="0.2">
      <c r="B26"/>
      <c r="C26" s="76"/>
      <c r="D26" s="76"/>
      <c r="E26" s="87"/>
      <c r="F26" s="108"/>
      <c r="G26" s="275"/>
      <c r="H26" s="77"/>
      <c r="I26" s="78"/>
      <c r="J26" s="182"/>
      <c r="K26" s="183"/>
      <c r="L26" s="184"/>
      <c r="Q26" s="75">
        <f t="shared" si="0"/>
        <v>26</v>
      </c>
      <c r="R26" s="75">
        <f t="array" aca="1" ref="R26" ca="1">INDIRECT("E"&amp;$Q26)</f>
        <v>0</v>
      </c>
      <c r="S26" s="75">
        <f t="array" aca="1" ref="S26" ca="1">INDIRECT("F"&amp;$Q26)</f>
        <v>0</v>
      </c>
    </row>
    <row r="27" spans="2:19" s="75" customFormat="1" ht="24.95" customHeight="1" x14ac:dyDescent="0.2">
      <c r="B27"/>
      <c r="C27" s="76"/>
      <c r="D27" s="76"/>
      <c r="E27" s="87"/>
      <c r="F27" s="108"/>
      <c r="G27" s="275"/>
      <c r="H27" s="77"/>
      <c r="I27" s="78"/>
      <c r="J27" s="182"/>
      <c r="K27" s="183"/>
      <c r="L27" s="184"/>
      <c r="Q27" s="75">
        <f t="shared" si="0"/>
        <v>27</v>
      </c>
      <c r="R27" s="75">
        <f t="array" aca="1" ref="R27" ca="1">INDIRECT("E"&amp;$Q27)</f>
        <v>0</v>
      </c>
      <c r="S27" s="75">
        <f t="array" aca="1" ref="S27" ca="1">INDIRECT("F"&amp;$Q27)</f>
        <v>0</v>
      </c>
    </row>
    <row r="28" spans="2:19" s="75" customFormat="1" ht="24.95" customHeight="1" x14ac:dyDescent="0.2">
      <c r="B28"/>
      <c r="C28" s="76"/>
      <c r="D28" s="76"/>
      <c r="E28" s="87"/>
      <c r="F28" s="108"/>
      <c r="G28" s="275"/>
      <c r="H28" s="77"/>
      <c r="I28" s="78"/>
      <c r="J28" s="182"/>
      <c r="K28" s="183"/>
      <c r="L28" s="5"/>
      <c r="Q28" s="75">
        <f t="shared" si="0"/>
        <v>28</v>
      </c>
      <c r="R28" s="75">
        <f t="array" aca="1" ref="R28" ca="1">INDIRECT("E"&amp;$Q28)</f>
        <v>0</v>
      </c>
      <c r="S28" s="75">
        <f t="array" aca="1" ref="S28" ca="1">INDIRECT("F"&amp;$Q28)</f>
        <v>0</v>
      </c>
    </row>
    <row r="29" spans="2:19" s="75" customFormat="1" ht="24.95" customHeight="1" x14ac:dyDescent="0.2">
      <c r="B29"/>
      <c r="C29" s="76"/>
      <c r="D29" s="76"/>
      <c r="E29" s="87"/>
      <c r="F29" s="108"/>
      <c r="G29" s="275"/>
      <c r="H29" s="77"/>
      <c r="I29" s="78"/>
      <c r="J29" s="182"/>
      <c r="K29" s="183"/>
      <c r="L29" s="5"/>
      <c r="M29" s="5"/>
      <c r="N29" s="5"/>
      <c r="Q29" s="75">
        <f t="shared" si="0"/>
        <v>29</v>
      </c>
      <c r="R29" s="75">
        <f t="array" aca="1" ref="R29" ca="1">INDIRECT("E"&amp;$Q29)</f>
        <v>0</v>
      </c>
      <c r="S29" s="75">
        <f t="array" aca="1" ref="S29" ca="1">INDIRECT("F"&amp;$Q29)</f>
        <v>0</v>
      </c>
    </row>
    <row r="30" spans="2:19" s="75" customFormat="1" ht="24.95" customHeight="1" x14ac:dyDescent="0.2">
      <c r="B30"/>
      <c r="C30" s="76"/>
      <c r="D30" s="76"/>
      <c r="E30" s="87"/>
      <c r="F30" s="108"/>
      <c r="G30" s="275"/>
      <c r="H30" s="77"/>
      <c r="I30" s="78"/>
      <c r="J30" s="182"/>
      <c r="K30" s="183"/>
      <c r="L30" s="5"/>
      <c r="Q30" s="75">
        <f t="shared" si="0"/>
        <v>30</v>
      </c>
      <c r="R30" s="75">
        <f t="array" aca="1" ref="R30" ca="1">INDIRECT("E"&amp;$Q30)</f>
        <v>0</v>
      </c>
      <c r="S30" s="75">
        <f t="array" aca="1" ref="S30" ca="1">INDIRECT("F"&amp;$Q30)</f>
        <v>0</v>
      </c>
    </row>
    <row r="31" spans="2:19" s="75" customFormat="1" ht="24.95" customHeight="1" x14ac:dyDescent="0.2">
      <c r="B31"/>
      <c r="C31" s="76"/>
      <c r="D31" s="76"/>
      <c r="E31" s="87"/>
      <c r="F31" s="108"/>
      <c r="G31" s="275"/>
      <c r="H31" s="77"/>
      <c r="I31" s="78"/>
      <c r="J31" s="182"/>
      <c r="K31" s="183"/>
      <c r="L31" s="5"/>
      <c r="Q31" s="75">
        <f t="shared" si="0"/>
        <v>31</v>
      </c>
      <c r="R31" s="75">
        <f t="array" aca="1" ref="R31" ca="1">INDIRECT("E"&amp;$Q31)</f>
        <v>0</v>
      </c>
      <c r="S31" s="75">
        <f t="array" aca="1" ref="S31" ca="1">INDIRECT("F"&amp;$Q31)</f>
        <v>0</v>
      </c>
    </row>
    <row r="32" spans="2:19" s="75" customFormat="1" ht="24.95" customHeight="1" x14ac:dyDescent="0.2">
      <c r="B32"/>
      <c r="C32" s="76"/>
      <c r="D32" s="76"/>
      <c r="E32" s="87"/>
      <c r="F32" s="108"/>
      <c r="G32" s="275"/>
      <c r="H32" s="77"/>
      <c r="I32" s="78"/>
      <c r="J32" s="182"/>
      <c r="K32" s="183"/>
      <c r="L32" s="5"/>
      <c r="O32" s="74"/>
      <c r="Q32" s="75">
        <f t="shared" si="0"/>
        <v>32</v>
      </c>
      <c r="R32" s="75">
        <f t="array" aca="1" ref="R32" ca="1">INDIRECT("E"&amp;$Q32)</f>
        <v>0</v>
      </c>
      <c r="S32" s="75">
        <f t="array" aca="1" ref="S32" ca="1">INDIRECT("F"&amp;$Q32)</f>
        <v>0</v>
      </c>
    </row>
    <row r="33" spans="2:19" s="75" customFormat="1" ht="24.95" customHeight="1" x14ac:dyDescent="0.2">
      <c r="B33"/>
      <c r="C33" s="76"/>
      <c r="D33" s="76"/>
      <c r="E33" s="87"/>
      <c r="F33" s="108"/>
      <c r="G33" s="275"/>
      <c r="H33" s="77"/>
      <c r="I33" s="78"/>
      <c r="J33" s="182"/>
      <c r="K33" s="183"/>
      <c r="L33" s="73"/>
      <c r="Q33" s="75">
        <f t="shared" si="0"/>
        <v>33</v>
      </c>
      <c r="R33" s="75">
        <f t="array" aca="1" ref="R33" ca="1">INDIRECT("E"&amp;$Q33)</f>
        <v>0</v>
      </c>
      <c r="S33" s="75">
        <f t="array" aca="1" ref="S33" ca="1">INDIRECT("F"&amp;$Q33)</f>
        <v>0</v>
      </c>
    </row>
    <row r="34" spans="2:19" s="75" customFormat="1" ht="24.95" customHeight="1" x14ac:dyDescent="0.2">
      <c r="B34"/>
      <c r="C34" s="76"/>
      <c r="D34" s="76"/>
      <c r="E34" s="87"/>
      <c r="F34" s="108"/>
      <c r="G34" s="275"/>
      <c r="H34" s="77"/>
      <c r="I34" s="78"/>
      <c r="J34" s="74"/>
      <c r="K34" s="73"/>
      <c r="L34" s="73"/>
      <c r="Q34" s="75">
        <f t="shared" si="0"/>
        <v>34</v>
      </c>
      <c r="R34" s="75">
        <f t="array" aca="1" ref="R34" ca="1">INDIRECT("E"&amp;$Q34)</f>
        <v>0</v>
      </c>
      <c r="S34" s="75">
        <f t="array" aca="1" ref="S34" ca="1">INDIRECT("F"&amp;$Q34)</f>
        <v>0</v>
      </c>
    </row>
    <row r="35" spans="2:19" s="75" customFormat="1" ht="24.95" customHeight="1" x14ac:dyDescent="0.2">
      <c r="B35"/>
      <c r="C35" s="73"/>
      <c r="D35"/>
      <c r="E35" s="120"/>
      <c r="F35" s="120"/>
      <c r="G35" s="121"/>
      <c r="H35" s="122"/>
      <c r="I35" s="74"/>
      <c r="J35" s="73"/>
      <c r="K35" s="73"/>
      <c r="L35" s="73"/>
    </row>
    <row r="36" spans="2:19" s="75" customFormat="1" ht="24.95" customHeight="1" x14ac:dyDescent="0.2">
      <c r="B36"/>
      <c r="C36" s="73"/>
      <c r="D36"/>
      <c r="E36" s="120"/>
      <c r="F36" s="120"/>
      <c r="G36" s="121"/>
      <c r="H36" s="122"/>
      <c r="I36" s="74"/>
      <c r="J36" s="73"/>
      <c r="K36" s="73"/>
      <c r="L36" s="73"/>
    </row>
    <row r="37" spans="2:19" ht="15" x14ac:dyDescent="0.2">
      <c r="E37" s="6"/>
      <c r="F37" s="6"/>
      <c r="G37" s="6"/>
      <c r="H37" s="6"/>
      <c r="I37" s="7"/>
      <c r="J37" s="7"/>
      <c r="K37" s="7"/>
      <c r="L37" s="7"/>
    </row>
    <row r="38" spans="2:19" ht="15" x14ac:dyDescent="0.2">
      <c r="J38" s="5"/>
      <c r="K38" s="5"/>
      <c r="L38" s="5"/>
    </row>
    <row r="39" spans="2:19" ht="15" x14ac:dyDescent="0.2">
      <c r="I39" s="109" t="s">
        <v>94</v>
      </c>
      <c r="J39" s="7"/>
      <c r="K39" s="7"/>
      <c r="L39" s="7"/>
    </row>
    <row r="40" spans="2:19" ht="15" x14ac:dyDescent="0.2">
      <c r="I40" s="109" t="s">
        <v>95</v>
      </c>
      <c r="J40" s="5"/>
      <c r="K40" s="5"/>
      <c r="L40" s="5"/>
    </row>
    <row r="41" spans="2:19" ht="15" x14ac:dyDescent="0.2">
      <c r="J41" s="7"/>
      <c r="K41" s="7"/>
      <c r="L41" s="7"/>
    </row>
    <row r="42" spans="2:19" x14ac:dyDescent="0.2">
      <c r="I42" s="109" t="s">
        <v>96</v>
      </c>
    </row>
    <row r="43" spans="2:19" x14ac:dyDescent="0.2">
      <c r="I43" s="109" t="s">
        <v>97</v>
      </c>
    </row>
    <row r="44" spans="2:19" ht="15.75" x14ac:dyDescent="0.25">
      <c r="E44" s="60"/>
    </row>
    <row r="45" spans="2:19" ht="15.75" x14ac:dyDescent="0.25">
      <c r="D45" s="5"/>
      <c r="E45" s="60"/>
    </row>
    <row r="46" spans="2:19" ht="15" x14ac:dyDescent="0.2">
      <c r="D46" s="6"/>
    </row>
    <row r="48" spans="2:19" ht="15.75" x14ac:dyDescent="0.25">
      <c r="D48" s="11"/>
      <c r="E48" s="60"/>
    </row>
    <row r="49" spans="4:4" ht="15" x14ac:dyDescent="0.2">
      <c r="D49" s="5"/>
    </row>
  </sheetData>
  <customSheetViews>
    <customSheetView guid="{7E34E800-94BB-11D6-B2C6-0002A57730F5}" scale="85" fitToPage="1" hiddenRows="1" showRuler="0" topLeftCell="B1">
      <selection activeCell="B1" sqref="A1:IV65536"/>
      <pageMargins left="0.78740157499999996" right="0.78740157499999996" top="0.984251969" bottom="0.984251969" header="0.4921259845" footer="0.4921259845"/>
      <pageSetup paperSize="270" scale="55" orientation="landscape" horizontalDpi="300" verticalDpi="300" r:id="rId1"/>
      <headerFooter alignWithMargins="0">
        <oddHeader>&amp;C&amp;F&amp;     &amp;A</oddHeader>
      </headerFooter>
    </customSheetView>
  </customSheetViews>
  <mergeCells count="2">
    <mergeCell ref="D2:I2"/>
    <mergeCell ref="D1:I1"/>
  </mergeCells>
  <phoneticPr fontId="0" type="noConversion"/>
  <pageMargins left="1.58" right="0.78740157499999996" top="0.984251969" bottom="0.984251969" header="0.4921259845" footer="0.4921259845"/>
  <pageSetup paperSize="270" scale="93" orientation="landscape" horizontalDpi="300" verticalDpi="300" r:id="rId2"/>
  <headerFooter alignWithMargins="0">
    <oddHeader>&amp;CLaboratoire ANDRA
&amp;"Arial,Gras"&amp;14GAN</oddHeader>
    <oddFooter>&amp;R&amp;F</odd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08BAF-18AE-4730-9183-D53FA3DF57E7}">
  <sheetPr codeName="Feuil7"/>
  <dimension ref="A1:V161"/>
  <sheetViews>
    <sheetView topLeftCell="A10" zoomScale="50" workbookViewId="0">
      <selection activeCell="C37" sqref="C37"/>
    </sheetView>
  </sheetViews>
  <sheetFormatPr baseColWidth="10" defaultColWidth="14" defaultRowHeight="15" x14ac:dyDescent="0.2"/>
  <cols>
    <col min="1" max="3" width="25.7109375" style="13" customWidth="1"/>
    <col min="4" max="4" width="28.7109375" style="13" customWidth="1"/>
    <col min="5" max="5" width="20.7109375" style="13" customWidth="1"/>
    <col min="6" max="6" width="19.85546875" style="13" customWidth="1"/>
    <col min="7" max="7" width="17.7109375" style="13" customWidth="1"/>
    <col min="8" max="8" width="18.85546875" style="13" customWidth="1"/>
    <col min="9" max="9" width="20.28515625" style="13" customWidth="1"/>
    <col min="10" max="13" width="14" style="13" customWidth="1"/>
    <col min="14" max="15" width="19.140625" style="13" customWidth="1"/>
    <col min="16" max="16384" width="14" style="13"/>
  </cols>
  <sheetData>
    <row r="1" spans="1:22" ht="80.099999999999994" customHeight="1" thickTop="1" thickBot="1" x14ac:dyDescent="0.25">
      <c r="A1" s="18" t="s">
        <v>0</v>
      </c>
      <c r="B1" s="19"/>
      <c r="C1" s="20" t="s">
        <v>16</v>
      </c>
      <c r="D1" s="21"/>
      <c r="E1" s="22"/>
      <c r="F1" s="22"/>
      <c r="G1" s="14" t="s">
        <v>44</v>
      </c>
      <c r="H1"/>
      <c r="J1" s="14" t="s">
        <v>45</v>
      </c>
      <c r="Q1" s="311" t="str">
        <f>'INFOS-PARAM'!B3&amp;"-"&amp;'INFOS-PARAM'!B5</f>
        <v>GGS-EXE</v>
      </c>
      <c r="R1" s="312"/>
      <c r="S1" s="312"/>
      <c r="T1" s="312"/>
      <c r="U1" s="312"/>
      <c r="V1" s="313"/>
    </row>
    <row r="2" spans="1:22" ht="39.950000000000003" customHeight="1" thickTop="1" thickBot="1" x14ac:dyDescent="0.25">
      <c r="A2" s="61" t="s">
        <v>2</v>
      </c>
      <c r="B2" s="62" t="s">
        <v>19</v>
      </c>
      <c r="C2" s="59" t="s">
        <v>46</v>
      </c>
      <c r="D2" s="58" t="s">
        <v>47</v>
      </c>
      <c r="E2" s="58" t="s">
        <v>48</v>
      </c>
      <c r="F2" s="57" t="s">
        <v>172</v>
      </c>
      <c r="G2" s="14" t="s">
        <v>49</v>
      </c>
      <c r="H2"/>
      <c r="J2" s="14" t="s">
        <v>50</v>
      </c>
    </row>
    <row r="3" spans="1:22" ht="80.099999999999994" customHeight="1" thickTop="1" x14ac:dyDescent="0.2">
      <c r="A3" s="10"/>
      <c r="B3"/>
      <c r="C3" s="8"/>
      <c r="D3" s="4"/>
      <c r="E3" s="4"/>
      <c r="F3" s="9"/>
      <c r="G3" s="14" t="s">
        <v>51</v>
      </c>
      <c r="H3"/>
      <c r="J3" s="14" t="s">
        <v>52</v>
      </c>
    </row>
    <row r="4" spans="1:22" ht="39.950000000000003" customHeight="1" x14ac:dyDescent="0.2">
      <c r="A4" s="71">
        <f>PMdonné</f>
        <v>100</v>
      </c>
      <c r="B4" s="72">
        <f>EcartHdonné</f>
        <v>0</v>
      </c>
      <c r="C4" s="23">
        <f>C56</f>
        <v>0</v>
      </c>
      <c r="D4" s="24">
        <f>D56</f>
        <v>0</v>
      </c>
      <c r="E4" s="213">
        <f>E56</f>
        <v>0</v>
      </c>
      <c r="F4" s="212">
        <f>F56</f>
        <v>0</v>
      </c>
      <c r="G4" s="14" t="s">
        <v>53</v>
      </c>
      <c r="H4"/>
      <c r="J4" s="14" t="s">
        <v>54</v>
      </c>
    </row>
    <row r="5" spans="1:22" ht="80.099999999999994" customHeight="1" thickBot="1" x14ac:dyDescent="0.25">
      <c r="A5" s="25"/>
      <c r="B5" s="26"/>
      <c r="C5" s="27"/>
      <c r="D5" s="28"/>
      <c r="E5" s="28"/>
      <c r="F5" s="29"/>
    </row>
    <row r="6" spans="1:22" ht="15.75" thickTop="1" x14ac:dyDescent="0.2"/>
    <row r="7" spans="1:22" x14ac:dyDescent="0.2">
      <c r="P7" s="102" t="s">
        <v>27</v>
      </c>
    </row>
    <row r="8" spans="1:22" x14ac:dyDescent="0.2">
      <c r="N8"/>
      <c r="O8"/>
      <c r="P8"/>
    </row>
    <row r="9" spans="1:22" ht="20.25" x14ac:dyDescent="0.2">
      <c r="C9" s="35" t="s">
        <v>55</v>
      </c>
      <c r="D9" s="15" t="s">
        <v>20</v>
      </c>
      <c r="E9" s="15" t="s">
        <v>2</v>
      </c>
      <c r="F9" s="15" t="s">
        <v>21</v>
      </c>
      <c r="G9" s="15" t="s">
        <v>22</v>
      </c>
      <c r="H9" s="16" t="s">
        <v>23</v>
      </c>
      <c r="I9" s="15" t="s">
        <v>24</v>
      </c>
      <c r="J9" s="15" t="s">
        <v>25</v>
      </c>
      <c r="K9" s="17" t="s">
        <v>26</v>
      </c>
      <c r="L9" s="17" t="s">
        <v>145</v>
      </c>
      <c r="M9" s="17" t="s">
        <v>147</v>
      </c>
      <c r="N9"/>
      <c r="O9"/>
      <c r="P9" s="35" t="s">
        <v>55</v>
      </c>
    </row>
    <row r="10" spans="1:22" x14ac:dyDescent="0.2">
      <c r="C10" s="36"/>
      <c r="D10" s="36"/>
      <c r="E10" s="36"/>
      <c r="F10" s="36"/>
      <c r="G10" s="36"/>
      <c r="H10" s="36"/>
      <c r="I10" s="36"/>
      <c r="J10" s="36"/>
      <c r="K10" s="36"/>
      <c r="N10"/>
      <c r="O10"/>
      <c r="P10"/>
    </row>
    <row r="11" spans="1:22" x14ac:dyDescent="0.2">
      <c r="A11" s="14"/>
      <c r="B11" s="119" t="s">
        <v>130</v>
      </c>
      <c r="C11" s="43" t="str">
        <f>IF(PMdonné&lt;_PM2,"oui","non")</f>
        <v>non</v>
      </c>
      <c r="D11" s="43" t="str">
        <f>IF(test="oui",'définition axe en plan'!D11,"")</f>
        <v/>
      </c>
      <c r="E11" s="44" t="str">
        <f>IF(test="oui",IF(AND(Type="Clothoïde",'définition axe en plan'!D12="Alignement Droit"),'définition axe en plan'!E12,'définition axe en plan'!E11),"")</f>
        <v/>
      </c>
      <c r="F11" s="44" t="str">
        <f>IF(test="oui",IF(AND(Type="Clothoïde",'définition axe en plan'!$D12="Alignement Droit"),'définition axe en plan'!F12,'définition axe en plan'!F11),"")</f>
        <v/>
      </c>
      <c r="G11" s="44" t="str">
        <f>IF(test="oui",IF(AND(Type="Clothoïde",'définition axe en plan'!$D12="Alignement Droit"),'définition axe en plan'!G12,'définition axe en plan'!G11),"")</f>
        <v/>
      </c>
      <c r="H11" s="44" t="str">
        <f>IF(test="oui",IF(AND(Type="Clothoïde",'définition axe en plan'!$D12="Alignement Droit"),'définition axe en plan'!H12,'définition axe en plan'!H11),"")</f>
        <v/>
      </c>
      <c r="I11" s="43" t="str">
        <f>IF(test="oui",'définition axe en plan'!I11,"")</f>
        <v/>
      </c>
      <c r="J11" s="43" t="str">
        <f>IF(test="oui",'définition axe en plan'!J11,"")</f>
        <v/>
      </c>
      <c r="K11" s="46" t="str">
        <f>IF(test="oui",'définition axe en plan'!K11,"")</f>
        <v/>
      </c>
      <c r="L11" s="185" t="str">
        <f>IF(test="oui",SUM('définition axe en plan'!L10:L12),"")</f>
        <v/>
      </c>
      <c r="M11" s="43" t="str">
        <f>IF(test="oui",'définition axe en plan'!E12-'définition axe en plan'!E11,"")</f>
        <v/>
      </c>
      <c r="N11"/>
      <c r="O11"/>
      <c r="P11"/>
    </row>
    <row r="12" spans="1:22" x14ac:dyDescent="0.2">
      <c r="A12" s="14"/>
      <c r="B12" s="119" t="s">
        <v>131</v>
      </c>
      <c r="C12" s="43" t="str">
        <f>IF(AND(PMdonné&gt;=_PM2,PMdonné&lt;_PM3),"oui","non")</f>
        <v>non</v>
      </c>
      <c r="D12" s="43" t="str">
        <f>IF(test="oui",'définition axe en plan'!D12,"")</f>
        <v/>
      </c>
      <c r="E12" s="44" t="str">
        <f>IF(test="oui",IF(AND(Type="Clothoïde",'définition axe en plan'!D13="Alignement Droit"),'définition axe en plan'!E13,'définition axe en plan'!E12),"")</f>
        <v/>
      </c>
      <c r="F12" s="44" t="str">
        <f>IF(test="oui",IF(AND(Type="Clothoïde",'définition axe en plan'!$D13="Alignement Droit"),'définition axe en plan'!F13,'définition axe en plan'!F12),"")</f>
        <v/>
      </c>
      <c r="G12" s="44" t="str">
        <f>IF(test="oui",IF(AND(Type="Clothoïde",'définition axe en plan'!$D13="Alignement Droit"),'définition axe en plan'!G13,'définition axe en plan'!G12),"")</f>
        <v/>
      </c>
      <c r="H12" s="44" t="str">
        <f>IF(test="oui",IF(AND(Type="Clothoïde",'définition axe en plan'!$D13="Alignement Droit"),'définition axe en plan'!H13,'définition axe en plan'!H12),"")</f>
        <v/>
      </c>
      <c r="I12" s="43" t="str">
        <f>IF(test="oui",'définition axe en plan'!I12,"")</f>
        <v/>
      </c>
      <c r="J12" s="43" t="str">
        <f>IF(test="oui",'définition axe en plan'!J12,"")</f>
        <v/>
      </c>
      <c r="K12" s="46" t="str">
        <f>IF(test="oui",'définition axe en plan'!K12,"")</f>
        <v/>
      </c>
      <c r="L12" s="185" t="str">
        <f>IF(test="oui",SUM('définition axe en plan'!L11:L13),"")</f>
        <v/>
      </c>
      <c r="M12" s="43" t="str">
        <f>IF(test="oui",'définition axe en plan'!E13-'définition axe en plan'!E12,"")</f>
        <v/>
      </c>
      <c r="N12"/>
      <c r="O12"/>
      <c r="P12" s="43" t="str">
        <f>IF(AND(PMdonné&gt;=_PM2,PMdonné&lt;_PM3),"oui","non")</f>
        <v>non</v>
      </c>
      <c r="R12" s="13" t="str">
        <f t="shared" ref="R12:R36" si="0">IF(AND(PMdonné&gt;="PM"&amp;(ROW(Q12)-10),PMdonné&lt;"PM"&amp;(ROW(Q13)-10)),"oui","non")</f>
        <v>non</v>
      </c>
      <c r="T12" s="13" t="str">
        <f>"PM"&amp;(ROW(Q12)-10)</f>
        <v>PM2</v>
      </c>
    </row>
    <row r="13" spans="1:22" x14ac:dyDescent="0.2">
      <c r="A13" s="14"/>
      <c r="B13" s="119" t="s">
        <v>115</v>
      </c>
      <c r="C13" s="43" t="str">
        <f>IF(AND(PMdonné&gt;=_PM3,PMdonné&lt;_PM4),"oui","non")</f>
        <v>non</v>
      </c>
      <c r="D13" s="43" t="str">
        <f>IF(test="oui",'définition axe en plan'!D13,"")</f>
        <v/>
      </c>
      <c r="E13" s="44" t="str">
        <f>IF(test="oui",IF(AND(Type="Clothoïde",'définition axe en plan'!D14="Alignement Droit"),'définition axe en plan'!E14,'définition axe en plan'!E13),"")</f>
        <v/>
      </c>
      <c r="F13" s="44" t="str">
        <f>IF(test="oui",IF(AND(Type="Clothoïde",'définition axe en plan'!$D14="Alignement Droit"),'définition axe en plan'!F14,'définition axe en plan'!F13),"")</f>
        <v/>
      </c>
      <c r="G13" s="44" t="str">
        <f>IF(test="oui",IF(AND(Type="Clothoïde",'définition axe en plan'!$D14="Alignement Droit"),'définition axe en plan'!G14,'définition axe en plan'!G13),"")</f>
        <v/>
      </c>
      <c r="H13" s="44" t="str">
        <f>IF(test="oui",IF(AND(Type="Clothoïde",'définition axe en plan'!$D14="Alignement Droit"),'définition axe en plan'!H14,'définition axe en plan'!H13),"")</f>
        <v/>
      </c>
      <c r="I13" s="43" t="str">
        <f>IF(test="oui",'définition axe en plan'!I13,"")</f>
        <v/>
      </c>
      <c r="J13" s="43" t="str">
        <f>IF(test="oui",'définition axe en plan'!J13,"")</f>
        <v/>
      </c>
      <c r="K13" s="46" t="str">
        <f>IF(test="oui",'définition axe en plan'!K13,"")</f>
        <v/>
      </c>
      <c r="L13" s="185" t="str">
        <f>IF(test="oui",SUM('définition axe en plan'!L12:L14),"")</f>
        <v/>
      </c>
      <c r="M13" s="43" t="str">
        <f>IF(test="oui",'définition axe en plan'!E14-'définition axe en plan'!E13,"")</f>
        <v/>
      </c>
      <c r="N13"/>
      <c r="O13"/>
      <c r="P13" s="43" t="str">
        <f>IF(AND(PMdonné&gt;=_PM3,PMdonné&lt;_PM4),"oui","non")</f>
        <v>non</v>
      </c>
      <c r="R13" s="13" t="str">
        <f t="shared" si="0"/>
        <v>non</v>
      </c>
      <c r="T13" s="13" t="str">
        <f>"PM"&amp;(ROW(Q13)-10)</f>
        <v>PM3</v>
      </c>
    </row>
    <row r="14" spans="1:22" x14ac:dyDescent="0.2">
      <c r="A14" s="14"/>
      <c r="B14" s="119" t="s">
        <v>116</v>
      </c>
      <c r="C14" s="43" t="str">
        <f>IF(AND(PMdonné&gt;=_PM4,PMdonné&lt;_PM5),"oui","non")</f>
        <v>non</v>
      </c>
      <c r="D14" s="43" t="str">
        <f>IF(test="oui",'définition axe en plan'!D14,"")</f>
        <v/>
      </c>
      <c r="E14" s="44" t="str">
        <f>IF(test="oui",IF(AND(Type="Clothoïde",'définition axe en plan'!D15="Alignement Droit"),'définition axe en plan'!E15,'définition axe en plan'!E14),"")</f>
        <v/>
      </c>
      <c r="F14" s="44" t="str">
        <f>IF(test="oui",IF(AND(Type="Clothoïde",'définition axe en plan'!$D15="Alignement Droit"),'définition axe en plan'!F15,'définition axe en plan'!F14),"")</f>
        <v/>
      </c>
      <c r="G14" s="44" t="str">
        <f>IF(test="oui",IF(AND(Type="Clothoïde",'définition axe en plan'!$D15="Alignement Droit"),'définition axe en plan'!G15,'définition axe en plan'!G14),"")</f>
        <v/>
      </c>
      <c r="H14" s="44" t="str">
        <f>IF(test="oui",IF(AND(Type="Clothoïde",'définition axe en plan'!$D15="Alignement Droit"),'définition axe en plan'!H15,'définition axe en plan'!H14),"")</f>
        <v/>
      </c>
      <c r="I14" s="43" t="str">
        <f>IF(test="oui",'définition axe en plan'!I14,"")</f>
        <v/>
      </c>
      <c r="J14" s="43" t="str">
        <f>IF(test="oui",'définition axe en plan'!J14,"")</f>
        <v/>
      </c>
      <c r="K14" s="46" t="str">
        <f>IF(test="oui",'définition axe en plan'!K14,"")</f>
        <v/>
      </c>
      <c r="L14" s="185" t="str">
        <f>IF(test="oui",SUM('définition axe en plan'!L13:L15),"")</f>
        <v/>
      </c>
      <c r="M14" s="43" t="str">
        <f>IF(test="oui",'définition axe en plan'!E15-'définition axe en plan'!E14,"")</f>
        <v/>
      </c>
      <c r="N14"/>
      <c r="O14"/>
      <c r="P14" s="251" t="str">
        <f>IF(PMdonné&gt;=_PM4,"oui","non")</f>
        <v>oui</v>
      </c>
      <c r="R14" s="13" t="str">
        <f t="shared" si="0"/>
        <v>non</v>
      </c>
      <c r="T14" s="13" t="str">
        <f>"PM"&amp;(ROW(Q14)-10)</f>
        <v>PM4</v>
      </c>
    </row>
    <row r="15" spans="1:22" x14ac:dyDescent="0.2">
      <c r="A15" s="14"/>
      <c r="B15" s="119" t="s">
        <v>117</v>
      </c>
      <c r="C15" s="43" t="str">
        <f>IF(AND(PMdonné&gt;=_PM5,PMdonné&lt;_PM6),"oui","non")</f>
        <v>non</v>
      </c>
      <c r="D15" s="43" t="str">
        <f>IF(test="oui",'définition axe en plan'!D15,"")</f>
        <v/>
      </c>
      <c r="E15" s="44" t="str">
        <f>IF(test="oui",IF(AND(Type="Clothoïde",'définition axe en plan'!D16="Alignement Droit"),'définition axe en plan'!E16,'définition axe en plan'!E15),"")</f>
        <v/>
      </c>
      <c r="F15" s="44" t="str">
        <f>IF(test="oui",IF(AND(Type="Clothoïde",'définition axe en plan'!$D16="Alignement Droit"),'définition axe en plan'!F16,'définition axe en plan'!F15),"")</f>
        <v/>
      </c>
      <c r="G15" s="44" t="str">
        <f>IF(test="oui",IF(AND(Type="Clothoïde",'définition axe en plan'!$D16="Alignement Droit"),'définition axe en plan'!G16,'définition axe en plan'!G15),"")</f>
        <v/>
      </c>
      <c r="H15" s="44" t="str">
        <f>IF(test="oui",IF(AND(Type="Clothoïde",'définition axe en plan'!$D16="Alignement Droit"),'définition axe en plan'!H16,'définition axe en plan'!H15),"")</f>
        <v/>
      </c>
      <c r="I15" s="43" t="str">
        <f>IF(test="oui",'définition axe en plan'!I15,"")</f>
        <v/>
      </c>
      <c r="J15" s="43" t="str">
        <f>IF(test="oui",'définition axe en plan'!J15,"")</f>
        <v/>
      </c>
      <c r="K15" s="46" t="str">
        <f>IF(test="oui",'définition axe en plan'!K15,"")</f>
        <v/>
      </c>
      <c r="L15" s="185" t="str">
        <f>IF(test="oui",SUM('définition axe en plan'!L14:L16),"")</f>
        <v/>
      </c>
      <c r="M15" s="43" t="str">
        <f>IF(test="oui",'définition axe en plan'!E16-'définition axe en plan'!E15,"")</f>
        <v/>
      </c>
      <c r="N15"/>
      <c r="O15"/>
      <c r="P15"/>
      <c r="R15" s="13" t="str">
        <f t="shared" si="0"/>
        <v>non</v>
      </c>
    </row>
    <row r="16" spans="1:22" x14ac:dyDescent="0.2">
      <c r="A16" s="14"/>
      <c r="B16" s="119" t="s">
        <v>118</v>
      </c>
      <c r="C16" s="43" t="str">
        <f>IF(AND(PMdonné&gt;=_PM6,PMdonné&lt;_PM7),"oui","non")</f>
        <v>non</v>
      </c>
      <c r="D16" s="43" t="str">
        <f>IF(test="oui",'définition axe en plan'!D16,"")</f>
        <v/>
      </c>
      <c r="E16" s="44" t="str">
        <f>IF(test="oui",IF(AND(Type="Clothoïde",'définition axe en plan'!D17="Alignement Droit"),'définition axe en plan'!E17,'définition axe en plan'!E16),"")</f>
        <v/>
      </c>
      <c r="F16" s="44" t="str">
        <f>IF(test="oui",IF(AND(Type="Clothoïde",'définition axe en plan'!$D17="Alignement Droit"),'définition axe en plan'!F17,'définition axe en plan'!F16),"")</f>
        <v/>
      </c>
      <c r="G16" s="44" t="str">
        <f>IF(test="oui",IF(AND(Type="Clothoïde",'définition axe en plan'!$D17="Alignement Droit"),'définition axe en plan'!G17,'définition axe en plan'!G16),"")</f>
        <v/>
      </c>
      <c r="H16" s="44" t="str">
        <f>IF(test="oui",IF(AND(Type="Clothoïde",'définition axe en plan'!$D17="Alignement Droit"),'définition axe en plan'!H17,'définition axe en plan'!H16),"")</f>
        <v/>
      </c>
      <c r="I16" s="43" t="str">
        <f>IF(test="oui",'définition axe en plan'!I16,"")</f>
        <v/>
      </c>
      <c r="J16" s="43" t="str">
        <f>IF(test="oui",'définition axe en plan'!J16,"")</f>
        <v/>
      </c>
      <c r="K16" s="46" t="str">
        <f>IF(test="oui",'définition axe en plan'!K16,"")</f>
        <v/>
      </c>
      <c r="L16" s="185" t="str">
        <f>IF(test="oui",SUM('définition axe en plan'!L15:L17),"")</f>
        <v/>
      </c>
      <c r="M16" s="43" t="str">
        <f>IF(test="oui",'définition axe en plan'!E17-'définition axe en plan'!E16,"")</f>
        <v/>
      </c>
      <c r="N16"/>
      <c r="O16"/>
      <c r="P16"/>
      <c r="R16" s="13" t="str">
        <f t="shared" si="0"/>
        <v>non</v>
      </c>
    </row>
    <row r="17" spans="1:18" x14ac:dyDescent="0.2">
      <c r="A17" s="14"/>
      <c r="B17" s="119" t="s">
        <v>119</v>
      </c>
      <c r="C17" s="43" t="str">
        <f>IF(AND(PMdonné&gt;=_PM7,PMdonné&lt;_PM8),"oui","non")</f>
        <v>non</v>
      </c>
      <c r="D17" s="43" t="str">
        <f>IF(test="oui",'définition axe en plan'!D17,"")</f>
        <v/>
      </c>
      <c r="E17" s="44" t="str">
        <f>IF(test="oui",IF(AND(Type="Clothoïde",'définition axe en plan'!D18="Alignement Droit"),'définition axe en plan'!E18,'définition axe en plan'!E17),"")</f>
        <v/>
      </c>
      <c r="F17" s="44" t="str">
        <f>IF(test="oui",IF(AND(Type="Clothoïde",'définition axe en plan'!$D18="Alignement Droit"),'définition axe en plan'!F18,'définition axe en plan'!F17),"")</f>
        <v/>
      </c>
      <c r="G17" s="44" t="str">
        <f>IF(test="oui",IF(AND(Type="Clothoïde",'définition axe en plan'!$D18="Alignement Droit"),'définition axe en plan'!G18,'définition axe en plan'!G17),"")</f>
        <v/>
      </c>
      <c r="H17" s="44" t="str">
        <f>IF(test="oui",IF(AND(Type="Clothoïde",'définition axe en plan'!$D18="Alignement Droit"),'définition axe en plan'!H18,'définition axe en plan'!H17),"")</f>
        <v/>
      </c>
      <c r="I17" s="43" t="str">
        <f>IF(test="oui",'définition axe en plan'!I17,"")</f>
        <v/>
      </c>
      <c r="J17" s="43" t="str">
        <f>IF(test="oui",'définition axe en plan'!J17,"")</f>
        <v/>
      </c>
      <c r="K17" s="46" t="str">
        <f>IF(test="oui",'définition axe en plan'!K17,"")</f>
        <v/>
      </c>
      <c r="L17" s="185" t="str">
        <f>IF(test="oui",SUM('définition axe en plan'!L16:L18),"")</f>
        <v/>
      </c>
      <c r="M17" s="43" t="str">
        <f>IF(test="oui",'définition axe en plan'!E18-'définition axe en plan'!E17,"")</f>
        <v/>
      </c>
      <c r="N17"/>
      <c r="O17"/>
      <c r="P17"/>
      <c r="R17" s="13" t="str">
        <f t="shared" si="0"/>
        <v>non</v>
      </c>
    </row>
    <row r="18" spans="1:18" x14ac:dyDescent="0.2">
      <c r="A18" s="14"/>
      <c r="B18" s="119" t="s">
        <v>120</v>
      </c>
      <c r="C18" s="43" t="str">
        <f>IF(AND(PMdonné&gt;=_PM8,PMdonné&lt;_PM9),"oui","non")</f>
        <v>non</v>
      </c>
      <c r="D18" s="43" t="str">
        <f>IF(test="oui",'définition axe en plan'!D18,"")</f>
        <v/>
      </c>
      <c r="E18" s="44" t="str">
        <f>IF(test="oui",IF(AND(Type="Clothoïde",'définition axe en plan'!D19="Alignement Droit"),'définition axe en plan'!E19,'définition axe en plan'!E18),"")</f>
        <v/>
      </c>
      <c r="F18" s="44" t="str">
        <f>IF(test="oui",IF(AND(Type="Clothoïde",'définition axe en plan'!$D19="Alignement Droit"),'définition axe en plan'!F19,'définition axe en plan'!F18),"")</f>
        <v/>
      </c>
      <c r="G18" s="44" t="str">
        <f>IF(test="oui",IF(AND(Type="Clothoïde",'définition axe en plan'!$D19="Alignement Droit"),'définition axe en plan'!G19,'définition axe en plan'!G18),"")</f>
        <v/>
      </c>
      <c r="H18" s="44" t="str">
        <f>IF(test="oui",IF(AND(Type="Clothoïde",'définition axe en plan'!$D19="Alignement Droit"),'définition axe en plan'!H19,'définition axe en plan'!H18),"")</f>
        <v/>
      </c>
      <c r="I18" s="43" t="str">
        <f>IF(test="oui",'définition axe en plan'!I18,"")</f>
        <v/>
      </c>
      <c r="J18" s="43" t="str">
        <f>IF(test="oui",'définition axe en plan'!J18,"")</f>
        <v/>
      </c>
      <c r="K18" s="46" t="str">
        <f>IF(test="oui",'définition axe en plan'!K18,"")</f>
        <v/>
      </c>
      <c r="L18" s="185" t="str">
        <f>IF(test="oui",SUM('définition axe en plan'!L17:L19),"")</f>
        <v/>
      </c>
      <c r="M18" s="43" t="str">
        <f>IF(test="oui",'définition axe en plan'!E19-'définition axe en plan'!E18,"")</f>
        <v/>
      </c>
      <c r="N18"/>
      <c r="O18"/>
      <c r="P18"/>
      <c r="R18" s="13" t="str">
        <f t="shared" si="0"/>
        <v>non</v>
      </c>
    </row>
    <row r="19" spans="1:18" x14ac:dyDescent="0.2">
      <c r="A19" s="14"/>
      <c r="B19" s="119" t="s">
        <v>121</v>
      </c>
      <c r="C19" s="43" t="str">
        <f>IF(AND(PMdonné&gt;=_PM9,PMdonné&lt;_PM10),"oui","non")</f>
        <v>non</v>
      </c>
      <c r="D19" s="43" t="str">
        <f>IF(test="oui",'définition axe en plan'!D19,"")</f>
        <v/>
      </c>
      <c r="E19" s="44" t="str">
        <f>IF(test="oui",IF(AND(Type="Clothoïde",'définition axe en plan'!D20="Alignement Droit"),'définition axe en plan'!E20,'définition axe en plan'!E19),"")</f>
        <v/>
      </c>
      <c r="F19" s="44" t="str">
        <f>IF(test="oui",IF(AND(Type="Clothoïde",'définition axe en plan'!$D20="Alignement Droit"),'définition axe en plan'!F20,'définition axe en plan'!F19),"")</f>
        <v/>
      </c>
      <c r="G19" s="44" t="str">
        <f>IF(test="oui",IF(AND(Type="Clothoïde",'définition axe en plan'!$D20="Alignement Droit"),'définition axe en plan'!G20,'définition axe en plan'!G19),"")</f>
        <v/>
      </c>
      <c r="H19" s="44" t="str">
        <f>IF(test="oui",IF(AND(Type="Clothoïde",'définition axe en plan'!$D20="Alignement Droit"),'définition axe en plan'!H20,'définition axe en plan'!H19),"")</f>
        <v/>
      </c>
      <c r="I19" s="43" t="str">
        <f>IF(test="oui",'définition axe en plan'!I19,"")</f>
        <v/>
      </c>
      <c r="J19" s="43" t="str">
        <f>IF(test="oui",'définition axe en plan'!J19,"")</f>
        <v/>
      </c>
      <c r="K19" s="46" t="str">
        <f>IF(test="oui",'définition axe en plan'!K19,"")</f>
        <v/>
      </c>
      <c r="L19" s="185" t="str">
        <f>IF(test="oui",SUM('définition axe en plan'!L18:L20),"")</f>
        <v/>
      </c>
      <c r="M19" s="43" t="str">
        <f>IF(test="oui",'définition axe en plan'!E20-'définition axe en plan'!E19,"")</f>
        <v/>
      </c>
      <c r="N19"/>
      <c r="O19"/>
      <c r="P19"/>
      <c r="R19" s="13" t="str">
        <f t="shared" si="0"/>
        <v>non</v>
      </c>
    </row>
    <row r="20" spans="1:18" x14ac:dyDescent="0.2">
      <c r="A20" s="14"/>
      <c r="B20" s="119" t="s">
        <v>122</v>
      </c>
      <c r="C20" s="43" t="str">
        <f>IF(AND(PMdonné&gt;=_PM10,PMdonné&lt;_PM11),"oui","non")</f>
        <v>non</v>
      </c>
      <c r="D20" s="43" t="str">
        <f>IF(test="oui",'définition axe en plan'!D20,"")</f>
        <v/>
      </c>
      <c r="E20" s="44" t="str">
        <f>IF(test="oui",IF(AND(Type="Clothoïde",'définition axe en plan'!D21="Alignement Droit"),'définition axe en plan'!E21,'définition axe en plan'!E20),"")</f>
        <v/>
      </c>
      <c r="F20" s="44" t="str">
        <f>IF(test="oui",IF(AND(Type="Clothoïde",'définition axe en plan'!$D21="Alignement Droit"),'définition axe en plan'!F21,'définition axe en plan'!F20),"")</f>
        <v/>
      </c>
      <c r="G20" s="44" t="str">
        <f>IF(test="oui",IF(AND(Type="Clothoïde",'définition axe en plan'!$D21="Alignement Droit"),'définition axe en plan'!G21,'définition axe en plan'!G20),"")</f>
        <v/>
      </c>
      <c r="H20" s="44" t="str">
        <f>IF(test="oui",IF(AND(Type="Clothoïde",'définition axe en plan'!$D21="Alignement Droit"),'définition axe en plan'!H21,'définition axe en plan'!H20),"")</f>
        <v/>
      </c>
      <c r="I20" s="43" t="str">
        <f>IF(test="oui",'définition axe en plan'!I20,"")</f>
        <v/>
      </c>
      <c r="J20" s="43" t="str">
        <f>IF(test="oui",'définition axe en plan'!J20,"")</f>
        <v/>
      </c>
      <c r="K20" s="46" t="str">
        <f>IF(test="oui",'définition axe en plan'!K20,"")</f>
        <v/>
      </c>
      <c r="L20" s="185" t="str">
        <f>IF(test="oui",SUM('définition axe en plan'!L19:L21),"")</f>
        <v/>
      </c>
      <c r="M20" s="43" t="str">
        <f>IF(test="oui",'définition axe en plan'!E21-'définition axe en plan'!E20,"")</f>
        <v/>
      </c>
      <c r="N20"/>
      <c r="O20"/>
      <c r="P20"/>
      <c r="R20" s="13" t="str">
        <f t="shared" si="0"/>
        <v>non</v>
      </c>
    </row>
    <row r="21" spans="1:18" x14ac:dyDescent="0.2">
      <c r="A21" s="14"/>
      <c r="B21" s="119" t="s">
        <v>123</v>
      </c>
      <c r="C21" s="43" t="str">
        <f>IF(AND(PMdonné&gt;=_PM11,PMdonné&lt;_PM12),"oui","non")</f>
        <v>non</v>
      </c>
      <c r="D21" s="43" t="str">
        <f>IF(test="oui",'définition axe en plan'!D21,"")</f>
        <v/>
      </c>
      <c r="E21" s="44" t="str">
        <f>IF(test="oui",IF(AND(Type="Clothoïde",'définition axe en plan'!D22="Alignement Droit"),'définition axe en plan'!E22,'définition axe en plan'!E21),"")</f>
        <v/>
      </c>
      <c r="F21" s="44" t="str">
        <f>IF(test="oui",IF(AND(Type="Clothoïde",'définition axe en plan'!$D22="Alignement Droit"),'définition axe en plan'!F22,'définition axe en plan'!F21),"")</f>
        <v/>
      </c>
      <c r="G21" s="44" t="str">
        <f>IF(test="oui",IF(AND(Type="Clothoïde",'définition axe en plan'!$D22="Alignement Droit"),'définition axe en plan'!G22,'définition axe en plan'!G21),"")</f>
        <v/>
      </c>
      <c r="H21" s="44" t="str">
        <f>IF(test="oui",IF(AND(Type="Clothoïde",'définition axe en plan'!$D22="Alignement Droit"),'définition axe en plan'!H22,'définition axe en plan'!H21),"")</f>
        <v/>
      </c>
      <c r="I21" s="43" t="str">
        <f>IF(test="oui",'définition axe en plan'!I21,"")</f>
        <v/>
      </c>
      <c r="J21" s="43" t="str">
        <f>IF(test="oui",'définition axe en plan'!J21,"")</f>
        <v/>
      </c>
      <c r="K21" s="46" t="str">
        <f>IF(test="oui",'définition axe en plan'!K21,"")</f>
        <v/>
      </c>
      <c r="L21" s="185" t="str">
        <f>IF(test="oui",SUM('définition axe en plan'!L20:L22),"")</f>
        <v/>
      </c>
      <c r="M21" s="43" t="str">
        <f>IF(test="oui",'définition axe en plan'!E22-'définition axe en plan'!E21,"")</f>
        <v/>
      </c>
      <c r="N21"/>
      <c r="O21"/>
      <c r="P21"/>
      <c r="R21" s="13" t="str">
        <f t="shared" si="0"/>
        <v>non</v>
      </c>
    </row>
    <row r="22" spans="1:18" x14ac:dyDescent="0.2">
      <c r="A22" s="14"/>
      <c r="B22" s="119" t="s">
        <v>124</v>
      </c>
      <c r="C22" s="43" t="str">
        <f>IF(AND(PMdonné&gt;=_PM12,PMdonné&lt;_PM13),"oui","non")</f>
        <v>non</v>
      </c>
      <c r="D22" s="43" t="str">
        <f>IF(test="oui",'définition axe en plan'!D22,"")</f>
        <v/>
      </c>
      <c r="E22" s="44" t="str">
        <f>IF(test="oui",IF(AND(Type="Clothoïde",'définition axe en plan'!D23="Alignement Droit"),'définition axe en plan'!E23,'définition axe en plan'!E22),"")</f>
        <v/>
      </c>
      <c r="F22" s="44" t="str">
        <f>IF(test="oui",IF(AND(Type="Clothoïde",'définition axe en plan'!$D23="Alignement Droit"),'définition axe en plan'!F23,'définition axe en plan'!F22),"")</f>
        <v/>
      </c>
      <c r="G22" s="44" t="str">
        <f>IF(test="oui",IF(AND(Type="Clothoïde",'définition axe en plan'!$D23="Alignement Droit"),'définition axe en plan'!G23,'définition axe en plan'!G22),"")</f>
        <v/>
      </c>
      <c r="H22" s="44" t="str">
        <f>IF(test="oui",IF(AND(Type="Clothoïde",'définition axe en plan'!$D23="Alignement Droit"),'définition axe en plan'!H23,'définition axe en plan'!H22),"")</f>
        <v/>
      </c>
      <c r="I22" s="43" t="str">
        <f>IF(test="oui",'définition axe en plan'!I22,"")</f>
        <v/>
      </c>
      <c r="J22" s="43" t="str">
        <f>IF(test="oui",'définition axe en plan'!J22,"")</f>
        <v/>
      </c>
      <c r="K22" s="46" t="str">
        <f>IF(test="oui",'définition axe en plan'!K22,"")</f>
        <v/>
      </c>
      <c r="L22" s="185" t="str">
        <f>IF(test="oui",SUM('définition axe en plan'!L21:L23),"")</f>
        <v/>
      </c>
      <c r="M22" s="43" t="str">
        <f>IF(test="oui",'définition axe en plan'!E23-'définition axe en plan'!E22,"")</f>
        <v/>
      </c>
      <c r="N22"/>
      <c r="O22"/>
      <c r="P22"/>
      <c r="R22" s="13" t="str">
        <f t="shared" si="0"/>
        <v>non</v>
      </c>
    </row>
    <row r="23" spans="1:18" x14ac:dyDescent="0.2">
      <c r="A23" s="14"/>
      <c r="B23" s="119" t="s">
        <v>125</v>
      </c>
      <c r="C23" s="43" t="str">
        <f>IF(AND(PMdonné&gt;=_PM13,PMdonné&lt;_PM14),"oui","non")</f>
        <v>non</v>
      </c>
      <c r="D23" s="43" t="str">
        <f>IF(test="oui",'définition axe en plan'!D23,"")</f>
        <v/>
      </c>
      <c r="E23" s="44" t="str">
        <f>IF(test="oui",IF(AND(Type="Clothoïde",'définition axe en plan'!D24="Alignement Droit"),'définition axe en plan'!E24,'définition axe en plan'!E23),"")</f>
        <v/>
      </c>
      <c r="F23" s="44" t="str">
        <f>IF(test="oui",IF(AND(Type="Clothoïde",'définition axe en plan'!$D24="Alignement Droit"),'définition axe en plan'!F24,'définition axe en plan'!F23),"")</f>
        <v/>
      </c>
      <c r="G23" s="44" t="str">
        <f>IF(test="oui",IF(AND(Type="Clothoïde",'définition axe en plan'!$D24="Alignement Droit"),'définition axe en plan'!G24,'définition axe en plan'!G23),"")</f>
        <v/>
      </c>
      <c r="H23" s="44" t="str">
        <f>IF(test="oui",IF(AND(Type="Clothoïde",'définition axe en plan'!$D24="Alignement Droit"),'définition axe en plan'!H24,'définition axe en plan'!H23),"")</f>
        <v/>
      </c>
      <c r="I23" s="43" t="str">
        <f>IF(test="oui",'définition axe en plan'!I23,"")</f>
        <v/>
      </c>
      <c r="J23" s="43" t="str">
        <f>IF(test="oui",'définition axe en plan'!J23,"")</f>
        <v/>
      </c>
      <c r="K23" s="46" t="str">
        <f>IF(test="oui",'définition axe en plan'!K23,"")</f>
        <v/>
      </c>
      <c r="L23" s="185" t="str">
        <f>IF(test="oui",SUM('définition axe en plan'!L22:L24),"")</f>
        <v/>
      </c>
      <c r="M23" s="43" t="str">
        <f>IF(test="oui",'définition axe en plan'!E24-'définition axe en plan'!E23,"")</f>
        <v/>
      </c>
      <c r="N23"/>
      <c r="O23"/>
      <c r="P23"/>
      <c r="R23" s="13" t="str">
        <f t="shared" si="0"/>
        <v>non</v>
      </c>
    </row>
    <row r="24" spans="1:18" x14ac:dyDescent="0.2">
      <c r="A24" s="14"/>
      <c r="B24" s="119" t="s">
        <v>126</v>
      </c>
      <c r="C24" s="43" t="str">
        <f>IF(AND(PMdonné&gt;=_PM14,PMdonné&lt;_PM15),"oui","non")</f>
        <v>non</v>
      </c>
      <c r="D24" s="43" t="str">
        <f>IF(test="oui",'définition axe en plan'!D24,"")</f>
        <v/>
      </c>
      <c r="E24" s="44" t="str">
        <f>IF(test="oui",IF(AND(Type="Clothoïde",'définition axe en plan'!D25="Alignement Droit"),'définition axe en plan'!E25,'définition axe en plan'!E24),"")</f>
        <v/>
      </c>
      <c r="F24" s="44" t="str">
        <f>IF(test="oui",IF(AND(Type="Clothoïde",'définition axe en plan'!$D25="Alignement Droit"),'définition axe en plan'!F25,'définition axe en plan'!F24),"")</f>
        <v/>
      </c>
      <c r="G24" s="44" t="str">
        <f>IF(test="oui",IF(AND(Type="Clothoïde",'définition axe en plan'!$D25="Alignement Droit"),'définition axe en plan'!G25,'définition axe en plan'!G24),"")</f>
        <v/>
      </c>
      <c r="H24" s="44" t="str">
        <f>IF(test="oui",IF(AND(Type="Clothoïde",'définition axe en plan'!$D25="Alignement Droit"),'définition axe en plan'!H25,'définition axe en plan'!H24),"")</f>
        <v/>
      </c>
      <c r="I24" s="43" t="str">
        <f>IF(test="oui",'définition axe en plan'!I24,"")</f>
        <v/>
      </c>
      <c r="J24" s="43" t="str">
        <f>IF(test="oui",'définition axe en plan'!J24,"")</f>
        <v/>
      </c>
      <c r="K24" s="46" t="str">
        <f>IF(test="oui",'définition axe en plan'!K24,"")</f>
        <v/>
      </c>
      <c r="L24" s="185" t="str">
        <f>IF(test="oui",SUM('définition axe en plan'!L23:L25),"")</f>
        <v/>
      </c>
      <c r="M24" s="43" t="str">
        <f>IF(test="oui",'définition axe en plan'!E25-'définition axe en plan'!E24,"")</f>
        <v/>
      </c>
      <c r="N24"/>
      <c r="O24"/>
      <c r="P24"/>
      <c r="R24" s="13" t="str">
        <f t="shared" si="0"/>
        <v>non</v>
      </c>
    </row>
    <row r="25" spans="1:18" x14ac:dyDescent="0.2">
      <c r="A25" s="14"/>
      <c r="B25" s="119" t="s">
        <v>127</v>
      </c>
      <c r="C25" s="43" t="str">
        <f>IF(AND(PMdonné&gt;=_PM15,PMdonné&lt;_PM16),"oui","non")</f>
        <v>non</v>
      </c>
      <c r="D25" s="43" t="str">
        <f>IF(test="oui",'définition axe en plan'!D25,"")</f>
        <v/>
      </c>
      <c r="E25" s="44" t="str">
        <f>IF(test="oui",IF(AND(Type="Clothoïde",'définition axe en plan'!D26="Alignement Droit"),'définition axe en plan'!E26,'définition axe en plan'!E25),"")</f>
        <v/>
      </c>
      <c r="F25" s="44" t="str">
        <f>IF(test="oui",IF(AND(Type="Clothoïde",'définition axe en plan'!$D26="Alignement Droit"),'définition axe en plan'!F26,'définition axe en plan'!F25),"")</f>
        <v/>
      </c>
      <c r="G25" s="44" t="str">
        <f>IF(test="oui",IF(AND(Type="Clothoïde",'définition axe en plan'!$D26="Alignement Droit"),'définition axe en plan'!G26,'définition axe en plan'!G25),"")</f>
        <v/>
      </c>
      <c r="H25" s="44" t="str">
        <f>IF(test="oui",IF(AND(Type="Clothoïde",'définition axe en plan'!$D26="Alignement Droit"),'définition axe en plan'!H26,'définition axe en plan'!H25),"")</f>
        <v/>
      </c>
      <c r="I25" s="43" t="str">
        <f>IF(test="oui",'définition axe en plan'!I25,"")</f>
        <v/>
      </c>
      <c r="J25" s="43" t="str">
        <f>IF(test="oui",'définition axe en plan'!J25,"")</f>
        <v/>
      </c>
      <c r="K25" s="46" t="str">
        <f>IF(test="oui",'définition axe en plan'!K25,"")</f>
        <v/>
      </c>
      <c r="L25" s="185" t="str">
        <f>IF(test="oui",SUM('définition axe en plan'!L24:L26),"")</f>
        <v/>
      </c>
      <c r="M25" s="43" t="str">
        <f>IF(test="oui",'définition axe en plan'!E26-'définition axe en plan'!E25,"")</f>
        <v/>
      </c>
      <c r="N25"/>
      <c r="O25"/>
      <c r="P25"/>
      <c r="R25" s="13" t="str">
        <f t="shared" si="0"/>
        <v>non</v>
      </c>
    </row>
    <row r="26" spans="1:18" x14ac:dyDescent="0.2">
      <c r="A26" s="14"/>
      <c r="B26" s="119" t="s">
        <v>128</v>
      </c>
      <c r="C26" s="43" t="str">
        <f>IF(AND(PMdonné&gt;=_PM16,PMdonné&lt;_PM17),"oui","non")</f>
        <v>non</v>
      </c>
      <c r="D26" s="43" t="str">
        <f>IF(test="oui",'définition axe en plan'!D26,"")</f>
        <v/>
      </c>
      <c r="E26" s="44" t="str">
        <f>IF(test="oui",IF(AND(Type="Clothoïde",'définition axe en plan'!D27="Alignement Droit"),'définition axe en plan'!E27,'définition axe en plan'!E26),"")</f>
        <v/>
      </c>
      <c r="F26" s="44" t="str">
        <f>IF(test="oui",IF(AND(Type="Clothoïde",'définition axe en plan'!$D27="Alignement Droit"),'définition axe en plan'!F27,'définition axe en plan'!F26),"")</f>
        <v/>
      </c>
      <c r="G26" s="44" t="str">
        <f>IF(test="oui",IF(AND(Type="Clothoïde",'définition axe en plan'!$D27="Alignement Droit"),'définition axe en plan'!G27,'définition axe en plan'!G26),"")</f>
        <v/>
      </c>
      <c r="H26" s="44" t="str">
        <f>IF(test="oui",IF(AND(Type="Clothoïde",'définition axe en plan'!$D27="Alignement Droit"),'définition axe en plan'!H27,'définition axe en plan'!H26),"")</f>
        <v/>
      </c>
      <c r="I26" s="43" t="str">
        <f>IF(test="oui",'définition axe en plan'!I26,"")</f>
        <v/>
      </c>
      <c r="J26" s="43" t="str">
        <f>IF(test="oui",'définition axe en plan'!J26,"")</f>
        <v/>
      </c>
      <c r="K26" s="46" t="str">
        <f>IF(test="oui",'définition axe en plan'!K26,"")</f>
        <v/>
      </c>
      <c r="L26" s="185" t="str">
        <f>IF(test="oui",SUM('définition axe en plan'!L25:L27),"")</f>
        <v/>
      </c>
      <c r="M26" s="43" t="str">
        <f>IF(test="oui",'définition axe en plan'!E27-'définition axe en plan'!E26,"")</f>
        <v/>
      </c>
      <c r="N26"/>
      <c r="O26"/>
      <c r="P26"/>
      <c r="R26" s="13" t="str">
        <f t="shared" si="0"/>
        <v>non</v>
      </c>
    </row>
    <row r="27" spans="1:18" x14ac:dyDescent="0.2">
      <c r="A27" s="14"/>
      <c r="B27" s="119" t="s">
        <v>129</v>
      </c>
      <c r="C27" s="43" t="str">
        <f>IF(AND(PMdonné&gt;=_PM17,PMdonné&lt;_PM18),"oui","non")</f>
        <v>non</v>
      </c>
      <c r="D27" s="43" t="str">
        <f>IF(test="oui",'définition axe en plan'!D27,"")</f>
        <v/>
      </c>
      <c r="E27" s="44" t="str">
        <f>IF(test="oui",IF(AND(Type="Clothoïde",'définition axe en plan'!D28="Alignement Droit"),'définition axe en plan'!E28,'définition axe en plan'!E27),"")</f>
        <v/>
      </c>
      <c r="F27" s="44" t="str">
        <f>IF(test="oui",IF(AND(Type="Clothoïde",'définition axe en plan'!$D28="Alignement Droit"),'définition axe en plan'!F28,'définition axe en plan'!F27),"")</f>
        <v/>
      </c>
      <c r="G27" s="44" t="str">
        <f>IF(test="oui",IF(AND(Type="Clothoïde",'définition axe en plan'!$D28="Alignement Droit"),'définition axe en plan'!G28,'définition axe en plan'!G27),"")</f>
        <v/>
      </c>
      <c r="H27" s="44" t="str">
        <f>IF(test="oui",IF(AND(Type="Clothoïde",'définition axe en plan'!$D28="Alignement Droit"),'définition axe en plan'!H28,'définition axe en plan'!H27),"")</f>
        <v/>
      </c>
      <c r="I27" s="43" t="str">
        <f>IF(test="oui",'définition axe en plan'!I27,"")</f>
        <v/>
      </c>
      <c r="J27" s="43" t="str">
        <f>IF(test="oui",'définition axe en plan'!J27,"")</f>
        <v/>
      </c>
      <c r="K27" s="46" t="str">
        <f>IF(test="oui",'définition axe en plan'!K27,"")</f>
        <v/>
      </c>
      <c r="L27" s="185" t="str">
        <f>IF(test="oui",SUM('définition axe en plan'!L26:L28),"")</f>
        <v/>
      </c>
      <c r="M27" s="43" t="str">
        <f>IF(test="oui",'définition axe en plan'!E28-'définition axe en plan'!E27,"")</f>
        <v/>
      </c>
      <c r="N27"/>
      <c r="O27"/>
      <c r="P27"/>
      <c r="R27" s="13" t="str">
        <f t="shared" si="0"/>
        <v>non</v>
      </c>
    </row>
    <row r="28" spans="1:18" x14ac:dyDescent="0.2">
      <c r="A28" s="14"/>
      <c r="B28" s="119" t="s">
        <v>136</v>
      </c>
      <c r="C28" s="43" t="str">
        <f>IF(AND(PMdonné&gt;=_PM18,PMdonné&lt;_PM19),"oui","non")</f>
        <v>non</v>
      </c>
      <c r="D28" s="43" t="str">
        <f>IF(test="oui",'définition axe en plan'!D28,"")</f>
        <v/>
      </c>
      <c r="E28" s="44" t="str">
        <f>IF(test="oui",IF(AND(Type="Clothoïde",'définition axe en plan'!D29="Alignement Droit"),'définition axe en plan'!E29,'définition axe en plan'!E28),"")</f>
        <v/>
      </c>
      <c r="F28" s="44" t="str">
        <f>IF(test="oui",IF(AND(Type="Clothoïde",'définition axe en plan'!$D29="Alignement Droit"),'définition axe en plan'!F29,'définition axe en plan'!F28),"")</f>
        <v/>
      </c>
      <c r="G28" s="44" t="str">
        <f>IF(test="oui",IF(AND(Type="Clothoïde",'définition axe en plan'!$D29="Alignement Droit"),'définition axe en plan'!G29,'définition axe en plan'!G28),"")</f>
        <v/>
      </c>
      <c r="H28" s="44" t="str">
        <f>IF(test="oui",IF(AND(Type="Clothoïde",'définition axe en plan'!$D29="Alignement Droit"),'définition axe en plan'!H29,'définition axe en plan'!H28),"")</f>
        <v/>
      </c>
      <c r="I28" s="43" t="str">
        <f>IF(test="oui",'définition axe en plan'!I28,"")</f>
        <v/>
      </c>
      <c r="J28" s="43" t="str">
        <f>IF(test="oui",'définition axe en plan'!J28,"")</f>
        <v/>
      </c>
      <c r="K28" s="46" t="str">
        <f>IF(test="oui",'définition axe en plan'!K28,"")</f>
        <v/>
      </c>
      <c r="L28" s="185" t="str">
        <f>IF(test="oui",SUM('définition axe en plan'!L27:L29),"")</f>
        <v/>
      </c>
      <c r="M28" s="43" t="str">
        <f>IF(test="oui",'définition axe en plan'!E29-'définition axe en plan'!E28,"")</f>
        <v/>
      </c>
      <c r="N28"/>
      <c r="O28"/>
      <c r="P28"/>
      <c r="R28" s="13" t="str">
        <f t="shared" si="0"/>
        <v>non</v>
      </c>
    </row>
    <row r="29" spans="1:18" x14ac:dyDescent="0.2">
      <c r="A29" s="14"/>
      <c r="B29" s="119" t="s">
        <v>137</v>
      </c>
      <c r="C29" s="43" t="str">
        <f>IF(AND(PMdonné&gt;=_PM19,PMdonné&lt;_PM20),"oui","non")</f>
        <v>non</v>
      </c>
      <c r="D29" s="43" t="str">
        <f>IF(test="oui",'définition axe en plan'!D29,"")</f>
        <v/>
      </c>
      <c r="E29" s="44" t="str">
        <f>IF(test="oui",IF(AND(Type="Clothoïde",'définition axe en plan'!D30="Alignement Droit"),'définition axe en plan'!E30,'définition axe en plan'!E29),"")</f>
        <v/>
      </c>
      <c r="F29" s="44" t="str">
        <f>IF(test="oui",IF(AND(Type="Clothoïde",'définition axe en plan'!$D30="Alignement Droit"),'définition axe en plan'!F30,'définition axe en plan'!F29),"")</f>
        <v/>
      </c>
      <c r="G29" s="44" t="str">
        <f>IF(test="oui",IF(AND(Type="Clothoïde",'définition axe en plan'!$D30="Alignement Droit"),'définition axe en plan'!G30,'définition axe en plan'!G29),"")</f>
        <v/>
      </c>
      <c r="H29" s="44" t="str">
        <f>IF(test="oui",IF(AND(Type="Clothoïde",'définition axe en plan'!$D30="Alignement Droit"),'définition axe en plan'!H30,'définition axe en plan'!H29),"")</f>
        <v/>
      </c>
      <c r="I29" s="43" t="str">
        <f>IF(test="oui",'définition axe en plan'!I29,"")</f>
        <v/>
      </c>
      <c r="J29" s="43" t="str">
        <f>IF(test="oui",'définition axe en plan'!J29,"")</f>
        <v/>
      </c>
      <c r="K29" s="46" t="str">
        <f>IF(test="oui",'définition axe en plan'!K29,"")</f>
        <v/>
      </c>
      <c r="L29" s="185" t="str">
        <f>IF(test="oui",SUM('définition axe en plan'!L28:L30),"")</f>
        <v/>
      </c>
      <c r="M29" s="43" t="str">
        <f>IF(test="oui",'définition axe en plan'!E30-'définition axe en plan'!E29,"")</f>
        <v/>
      </c>
      <c r="N29"/>
      <c r="O29"/>
      <c r="P29"/>
      <c r="R29" s="13" t="str">
        <f t="shared" si="0"/>
        <v>non</v>
      </c>
    </row>
    <row r="30" spans="1:18" x14ac:dyDescent="0.2">
      <c r="A30" s="14"/>
      <c r="B30" s="119" t="s">
        <v>138</v>
      </c>
      <c r="C30" s="43" t="str">
        <f>IF(AND(PMdonné&gt;=_PM20,PMdonné&lt;_PM21),"oui","non")</f>
        <v>non</v>
      </c>
      <c r="D30" s="43" t="str">
        <f>IF(test="oui",'définition axe en plan'!D30,"")</f>
        <v/>
      </c>
      <c r="E30" s="44" t="str">
        <f>IF(test="oui",IF(AND(Type="Clothoïde",'définition axe en plan'!D31="Alignement Droit"),'définition axe en plan'!E31,'définition axe en plan'!E30),"")</f>
        <v/>
      </c>
      <c r="F30" s="44" t="str">
        <f>IF(test="oui",IF(AND(Type="Clothoïde",'définition axe en plan'!$D31="Alignement Droit"),'définition axe en plan'!F31,'définition axe en plan'!F30),"")</f>
        <v/>
      </c>
      <c r="G30" s="44" t="str">
        <f>IF(test="oui",IF(AND(Type="Clothoïde",'définition axe en plan'!$D31="Alignement Droit"),'définition axe en plan'!G31,'définition axe en plan'!G30),"")</f>
        <v/>
      </c>
      <c r="H30" s="44" t="str">
        <f>IF(test="oui",IF(AND(Type="Clothoïde",'définition axe en plan'!$D31="Alignement Droit"),'définition axe en plan'!H31,'définition axe en plan'!H30),"")</f>
        <v/>
      </c>
      <c r="I30" s="43" t="str">
        <f>IF(test="oui",'définition axe en plan'!I30,"")</f>
        <v/>
      </c>
      <c r="J30" s="43" t="str">
        <f>IF(test="oui",'définition axe en plan'!J30,"")</f>
        <v/>
      </c>
      <c r="K30" s="46" t="str">
        <f>IF(test="oui",'définition axe en plan'!K30,"")</f>
        <v/>
      </c>
      <c r="L30" s="185" t="str">
        <f>IF(test="oui",SUM('définition axe en plan'!L29:L31),"")</f>
        <v/>
      </c>
      <c r="M30" s="43" t="str">
        <f>IF(test="oui",'définition axe en plan'!E31-'définition axe en plan'!E30,"")</f>
        <v/>
      </c>
      <c r="N30"/>
      <c r="O30"/>
      <c r="P30"/>
      <c r="R30" s="13" t="str">
        <f t="shared" si="0"/>
        <v>non</v>
      </c>
    </row>
    <row r="31" spans="1:18" x14ac:dyDescent="0.2">
      <c r="A31" s="14"/>
      <c r="B31" s="119" t="s">
        <v>139</v>
      </c>
      <c r="C31" s="43" t="str">
        <f>IF(AND(PMdonné&gt;=_PM21,PMdonné&lt;_PM22),"oui","non")</f>
        <v>non</v>
      </c>
      <c r="D31" s="43" t="str">
        <f>IF(test="oui",'définition axe en plan'!D31,"")</f>
        <v/>
      </c>
      <c r="E31" s="44" t="str">
        <f>IF(test="oui",IF(AND(Type="Clothoïde",'définition axe en plan'!D32="Alignement Droit"),'définition axe en plan'!E32,'définition axe en plan'!E31),"")</f>
        <v/>
      </c>
      <c r="F31" s="44" t="str">
        <f>IF(test="oui",IF(AND(Type="Clothoïde",'définition axe en plan'!$D32="Alignement Droit"),'définition axe en plan'!F32,'définition axe en plan'!F31),"")</f>
        <v/>
      </c>
      <c r="G31" s="44" t="str">
        <f>IF(test="oui",IF(AND(Type="Clothoïde",'définition axe en plan'!$D32="Alignement Droit"),'définition axe en plan'!G32,'définition axe en plan'!G31),"")</f>
        <v/>
      </c>
      <c r="H31" s="44" t="str">
        <f>IF(test="oui",IF(AND(Type="Clothoïde",'définition axe en plan'!$D32="Alignement Droit"),'définition axe en plan'!H32,'définition axe en plan'!H31),"")</f>
        <v/>
      </c>
      <c r="I31" s="43" t="str">
        <f>IF(test="oui",'définition axe en plan'!I31,"")</f>
        <v/>
      </c>
      <c r="J31" s="43" t="str">
        <f>IF(test="oui",'définition axe en plan'!J31,"")</f>
        <v/>
      </c>
      <c r="K31" s="46" t="str">
        <f>IF(test="oui",'définition axe en plan'!K31,"")</f>
        <v/>
      </c>
      <c r="L31" s="185" t="str">
        <f>IF(test="oui",SUM('définition axe en plan'!L30:L32),"")</f>
        <v/>
      </c>
      <c r="M31" s="43" t="str">
        <f>IF(test="oui",'définition axe en plan'!E32-'définition axe en plan'!E31,"")</f>
        <v/>
      </c>
      <c r="N31"/>
      <c r="O31"/>
      <c r="P31"/>
      <c r="R31" s="13" t="str">
        <f t="shared" si="0"/>
        <v>non</v>
      </c>
    </row>
    <row r="32" spans="1:18" x14ac:dyDescent="0.2">
      <c r="A32" s="14"/>
      <c r="B32" s="119" t="s">
        <v>140</v>
      </c>
      <c r="C32" s="43" t="str">
        <f>IF(AND(PMdonné&gt;=_PM22,PMdonné&lt;_PM23),"oui","non")</f>
        <v>non</v>
      </c>
      <c r="D32" s="43" t="str">
        <f>IF(test="oui",'définition axe en plan'!D32,"")</f>
        <v/>
      </c>
      <c r="E32" s="44" t="str">
        <f>IF(test="oui",IF(AND(Type="Clothoïde",'définition axe en plan'!D33="Alignement Droit"),'définition axe en plan'!E33,'définition axe en plan'!E32),"")</f>
        <v/>
      </c>
      <c r="F32" s="44" t="str">
        <f>IF(test="oui",IF(AND(Type="Clothoïde",'définition axe en plan'!$D33="Alignement Droit"),'définition axe en plan'!F33,'définition axe en plan'!F32),"")</f>
        <v/>
      </c>
      <c r="G32" s="44" t="str">
        <f>IF(test="oui",IF(AND(Type="Clothoïde",'définition axe en plan'!$D33="Alignement Droit"),'définition axe en plan'!G33,'définition axe en plan'!G32),"")</f>
        <v/>
      </c>
      <c r="H32" s="44" t="str">
        <f>IF(test="oui",IF(AND(Type="Clothoïde",'définition axe en plan'!$D33="Alignement Droit"),'définition axe en plan'!H33,'définition axe en plan'!H32),"")</f>
        <v/>
      </c>
      <c r="I32" s="43" t="str">
        <f>IF(test="oui",'définition axe en plan'!I32,"")</f>
        <v/>
      </c>
      <c r="J32" s="43" t="str">
        <f>IF(test="oui",'définition axe en plan'!J32,"")</f>
        <v/>
      </c>
      <c r="K32" s="46" t="str">
        <f>IF(test="oui",'définition axe en plan'!K32,"")</f>
        <v/>
      </c>
      <c r="L32" s="185" t="str">
        <f>IF(test="oui",SUM('définition axe en plan'!L31:L33),"")</f>
        <v/>
      </c>
      <c r="M32" s="43" t="str">
        <f>IF(test="oui",'définition axe en plan'!E33-'définition axe en plan'!E32,"")</f>
        <v/>
      </c>
      <c r="N32"/>
      <c r="O32"/>
      <c r="P32"/>
      <c r="R32" s="13" t="str">
        <f t="shared" si="0"/>
        <v>non</v>
      </c>
    </row>
    <row r="33" spans="1:18" x14ac:dyDescent="0.2">
      <c r="A33" s="14"/>
      <c r="B33" s="119" t="s">
        <v>141</v>
      </c>
      <c r="C33" s="43" t="str">
        <f>IF(AND(PMdonné&gt;=_PM23,PMdonné&lt;_PM14),"oui","non")</f>
        <v>non</v>
      </c>
      <c r="D33" s="43" t="str">
        <f>IF(test="oui",'définition axe en plan'!D33,"")</f>
        <v/>
      </c>
      <c r="E33" s="44" t="str">
        <f>IF(test="oui",IF(AND(Type="Clothoïde",'définition axe en plan'!D34="Alignement Droit"),'définition axe en plan'!E34,'définition axe en plan'!E33),"")</f>
        <v/>
      </c>
      <c r="F33" s="44" t="str">
        <f>IF(test="oui",IF(AND(Type="Clothoïde",'définition axe en plan'!$D34="Alignement Droit"),'définition axe en plan'!F34,'définition axe en plan'!F33),"")</f>
        <v/>
      </c>
      <c r="G33" s="44" t="str">
        <f>IF(test="oui",IF(AND(Type="Clothoïde",'définition axe en plan'!$D34="Alignement Droit"),'définition axe en plan'!G34,'définition axe en plan'!G33),"")</f>
        <v/>
      </c>
      <c r="H33" s="44" t="str">
        <f>IF(test="oui",IF(AND(Type="Clothoïde",'définition axe en plan'!$D34="Alignement Droit"),'définition axe en plan'!H34,'définition axe en plan'!H33),"")</f>
        <v/>
      </c>
      <c r="I33" s="43" t="str">
        <f>IF(test="oui",'définition axe en plan'!I33,"")</f>
        <v/>
      </c>
      <c r="J33" s="43" t="str">
        <f>IF(test="oui",'définition axe en plan'!J33,"")</f>
        <v/>
      </c>
      <c r="K33" s="46" t="str">
        <f>IF(test="oui",'définition axe en plan'!K33,"")</f>
        <v/>
      </c>
      <c r="L33" s="185" t="str">
        <f>IF(test="oui",SUM('définition axe en plan'!L32:L34),"")</f>
        <v/>
      </c>
      <c r="M33" s="43" t="str">
        <f>IF(test="oui",'définition axe en plan'!E34-'définition axe en plan'!E33,"")</f>
        <v/>
      </c>
      <c r="N33"/>
      <c r="O33"/>
      <c r="P33"/>
      <c r="R33" s="13" t="str">
        <f t="shared" si="0"/>
        <v>non</v>
      </c>
    </row>
    <row r="34" spans="1:18" x14ac:dyDescent="0.2">
      <c r="A34" s="14"/>
      <c r="B34" s="119" t="s">
        <v>161</v>
      </c>
      <c r="C34" s="43" t="str">
        <f>IF(AND(PMdonné&gt;=_PM14,PMdonné&lt;_PM25),"oui","non")</f>
        <v>non</v>
      </c>
      <c r="D34" s="43" t="str">
        <f>IF(test="oui",'définition axe en plan'!D34,"")</f>
        <v/>
      </c>
      <c r="E34" s="44" t="str">
        <f>IF(test="oui",IF(AND(Type="Clothoïde",'définition axe en plan'!D35="Alignement Droit"),'définition axe en plan'!E35,'définition axe en plan'!E34),"")</f>
        <v/>
      </c>
      <c r="F34" s="44" t="str">
        <f>IF(test="oui",IF(AND(Type="Clothoïde",'définition axe en plan'!$D35="Alignement Droit"),'définition axe en plan'!F35,'définition axe en plan'!F34),"")</f>
        <v/>
      </c>
      <c r="G34" s="44" t="str">
        <f>IF(test="oui",IF(AND(Type="Clothoïde",'définition axe en plan'!$D35="Alignement Droit"),'définition axe en plan'!G35,'définition axe en plan'!G34),"")</f>
        <v/>
      </c>
      <c r="H34" s="44" t="str">
        <f>IF(test="oui",IF(AND(Type="Clothoïde",'définition axe en plan'!$D35="Alignement Droit"),'définition axe en plan'!H35,'définition axe en plan'!H34),"")</f>
        <v/>
      </c>
      <c r="I34" s="43" t="str">
        <f>IF(test="oui",'définition axe en plan'!I34,"")</f>
        <v/>
      </c>
      <c r="J34" s="43" t="str">
        <f>IF(test="oui",'définition axe en plan'!J34,"")</f>
        <v/>
      </c>
      <c r="K34" s="46" t="str">
        <f>IF(test="oui",'définition axe en plan'!K34,"")</f>
        <v/>
      </c>
      <c r="L34" s="185" t="str">
        <f>IF(test="oui",SUM('définition axe en plan'!L33:L35),"")</f>
        <v/>
      </c>
      <c r="M34" s="43" t="str">
        <f>IF(test="oui",'définition axe en plan'!E35-'définition axe en plan'!E34,"")</f>
        <v/>
      </c>
      <c r="N34"/>
      <c r="O34"/>
      <c r="P34"/>
      <c r="R34" s="13" t="str">
        <f t="shared" si="0"/>
        <v>non</v>
      </c>
    </row>
    <row r="35" spans="1:18" x14ac:dyDescent="0.2">
      <c r="A35" s="14"/>
      <c r="B35" s="119" t="s">
        <v>162</v>
      </c>
      <c r="C35" s="43" t="str">
        <f>IF(AND(PMdonné&gt;=_PM25,PMdonné&lt;_PM26),"oui","non")</f>
        <v>non</v>
      </c>
      <c r="D35" s="43" t="str">
        <f>IF(test="oui",'définition axe en plan'!D35,"")</f>
        <v/>
      </c>
      <c r="E35" s="44" t="str">
        <f>IF(test="oui",IF(AND(Type="Clothoïde",'définition axe en plan'!D36="Alignement Droit"),'définition axe en plan'!E36,'définition axe en plan'!E35),"")</f>
        <v/>
      </c>
      <c r="F35" s="44" t="str">
        <f>IF(test="oui",IF(AND(Type="Clothoïde",'définition axe en plan'!$D36="Alignement Droit"),'définition axe en plan'!F36,'définition axe en plan'!F35),"")</f>
        <v/>
      </c>
      <c r="G35" s="44" t="str">
        <f>IF(test="oui",IF(AND(Type="Clothoïde",'définition axe en plan'!$D36="Alignement Droit"),'définition axe en plan'!G36,'définition axe en plan'!G35),"")</f>
        <v/>
      </c>
      <c r="H35" s="44" t="str">
        <f>IF(test="oui",IF(AND(Type="Clothoïde",'définition axe en plan'!$D36="Alignement Droit"),'définition axe en plan'!H36,'définition axe en plan'!H35),"")</f>
        <v/>
      </c>
      <c r="I35" s="43" t="str">
        <f>IF(test="oui",'définition axe en plan'!I35,"")</f>
        <v/>
      </c>
      <c r="J35" s="43" t="str">
        <f>IF(test="oui",'définition axe en plan'!J35,"")</f>
        <v/>
      </c>
      <c r="K35" s="46" t="str">
        <f>IF(test="oui",'définition axe en plan'!K35,"")</f>
        <v/>
      </c>
      <c r="L35" s="185" t="str">
        <f>IF(test="oui",SUM('définition axe en plan'!L34:L36),"")</f>
        <v/>
      </c>
      <c r="M35" s="43" t="str">
        <f>IF(test="oui",'définition axe en plan'!E36-'définition axe en plan'!E35,"")</f>
        <v/>
      </c>
      <c r="N35"/>
      <c r="O35"/>
      <c r="P35"/>
      <c r="R35" s="13" t="str">
        <f t="shared" si="0"/>
        <v>non</v>
      </c>
    </row>
    <row r="36" spans="1:18" x14ac:dyDescent="0.2">
      <c r="A36" s="14"/>
      <c r="B36" s="119" t="s">
        <v>163</v>
      </c>
      <c r="C36" s="43" t="str">
        <f>IF(AND(PMdonné&gt;=_PM26,PMdonné&lt;_PM27),"oui","non")</f>
        <v>non</v>
      </c>
      <c r="D36" s="43" t="str">
        <f>IF(test="oui",'définition axe en plan'!D36,"")</f>
        <v/>
      </c>
      <c r="E36" s="44" t="str">
        <f>IF(test="oui",IF(AND(Type="Clothoïde",'définition axe en plan'!D37="Alignement Droit"),'définition axe en plan'!E37,'définition axe en plan'!E36),"")</f>
        <v/>
      </c>
      <c r="F36" s="44" t="str">
        <f>IF(test="oui",IF(AND(Type="Clothoïde",'définition axe en plan'!$D37="Alignement Droit"),'définition axe en plan'!F37,'définition axe en plan'!F36),"")</f>
        <v/>
      </c>
      <c r="G36" s="44" t="str">
        <f>IF(test="oui",IF(AND(Type="Clothoïde",'définition axe en plan'!$D37="Alignement Droit"),'définition axe en plan'!G37,'définition axe en plan'!G36),"")</f>
        <v/>
      </c>
      <c r="H36" s="44" t="str">
        <f>IF(test="oui",IF(AND(Type="Clothoïde",'définition axe en plan'!$D37="Alignement Droit"),'définition axe en plan'!H37,'définition axe en plan'!H36),"")</f>
        <v/>
      </c>
      <c r="I36" s="43" t="str">
        <f>IF(test="oui",'définition axe en plan'!I36,"")</f>
        <v/>
      </c>
      <c r="J36" s="43" t="str">
        <f>IF(test="oui",'définition axe en plan'!J36,"")</f>
        <v/>
      </c>
      <c r="K36" s="46" t="str">
        <f>IF(test="oui",'définition axe en plan'!K36,"")</f>
        <v/>
      </c>
      <c r="L36" s="185" t="str">
        <f>IF(test="oui",SUM('définition axe en plan'!L35:L37),"")</f>
        <v/>
      </c>
      <c r="M36" s="43" t="str">
        <f>IF(test="oui",'définition axe en plan'!E37-'définition axe en plan'!E36,"")</f>
        <v/>
      </c>
      <c r="N36"/>
      <c r="O36"/>
      <c r="P36"/>
      <c r="R36" s="13" t="str">
        <f t="shared" si="0"/>
        <v>non</v>
      </c>
    </row>
    <row r="37" spans="1:18" x14ac:dyDescent="0.2">
      <c r="A37" s="14"/>
      <c r="B37" s="119" t="s">
        <v>170</v>
      </c>
      <c r="C37" s="43"/>
      <c r="D37" s="43" t="str">
        <f>IF(test="oui",'définition axe en plan'!D37,"")</f>
        <v/>
      </c>
      <c r="E37" s="44" t="str">
        <f>IF(test="oui",IF(AND(Type="Clothoïde",'définition axe en plan'!D38="Alignement Droit"),'définition axe en plan'!E38,'définition axe en plan'!E37),"")</f>
        <v/>
      </c>
      <c r="F37" s="44" t="str">
        <f>IF(test="oui",IF(AND(Type="Clothoïde",'définition axe en plan'!$D38="Alignement Droit"),'définition axe en plan'!F38,'définition axe en plan'!F37),"")</f>
        <v/>
      </c>
      <c r="G37" s="44" t="str">
        <f>IF(test="oui",IF(AND(Type="Clothoïde",'définition axe en plan'!$D38="Alignement Droit"),'définition axe en plan'!G38,'définition axe en plan'!G37),"")</f>
        <v/>
      </c>
      <c r="H37" s="44" t="str">
        <f>IF(test="oui",IF(AND(Type="Clothoïde",'définition axe en plan'!$D38="Alignement Droit"),'définition axe en plan'!H38,'définition axe en plan'!H37),"")</f>
        <v/>
      </c>
      <c r="I37" s="43" t="str">
        <f>IF(test="oui",'définition axe en plan'!I37,"")</f>
        <v/>
      </c>
      <c r="J37" s="43" t="str">
        <f>IF(test="oui",'définition axe en plan'!J37,"")</f>
        <v/>
      </c>
      <c r="K37" s="46" t="str">
        <f>IF(test="oui",'définition axe en plan'!K37,"")</f>
        <v/>
      </c>
      <c r="L37" s="185" t="str">
        <f>IF(test="oui",SUM('définition axe en plan'!L36:L38),"")</f>
        <v/>
      </c>
      <c r="M37" s="43" t="str">
        <f>IF(test="oui",'définition axe en plan'!E38-'définition axe en plan'!E37,"")</f>
        <v/>
      </c>
      <c r="N37"/>
      <c r="O37"/>
      <c r="P37"/>
      <c r="R37" s="13" t="str">
        <f>IF(AND(PMdonné&gt;="PM"&amp;(ROW(Q37)-10)),"oui","non")</f>
        <v>non</v>
      </c>
    </row>
    <row r="38" spans="1:18" x14ac:dyDescent="0.2">
      <c r="A38" s="14"/>
      <c r="B38" s="119"/>
      <c r="C38" s="43"/>
      <c r="D38" s="43"/>
      <c r="E38" s="44"/>
      <c r="F38" s="44"/>
      <c r="G38" s="44"/>
      <c r="H38" s="44"/>
      <c r="I38" s="43"/>
      <c r="J38" s="43"/>
      <c r="K38" s="46"/>
      <c r="L38" s="185"/>
      <c r="M38" s="43"/>
      <c r="N38"/>
      <c r="O38"/>
      <c r="P38"/>
    </row>
    <row r="39" spans="1:18" x14ac:dyDescent="0.2">
      <c r="A39" s="14"/>
      <c r="B39" s="119"/>
      <c r="C39" s="43"/>
      <c r="D39" s="43"/>
      <c r="E39" s="44"/>
      <c r="F39" s="44"/>
      <c r="G39" s="44"/>
      <c r="H39" s="44"/>
      <c r="I39" s="43"/>
      <c r="J39" s="43"/>
      <c r="K39" s="46"/>
      <c r="L39" s="185"/>
      <c r="M39" s="43"/>
      <c r="N39"/>
      <c r="O39"/>
      <c r="P39"/>
    </row>
    <row r="40" spans="1:18" x14ac:dyDescent="0.2">
      <c r="A40" s="14"/>
      <c r="B40" s="119"/>
      <c r="C40" s="43"/>
      <c r="D40" s="43"/>
      <c r="E40" s="44"/>
      <c r="F40" s="44"/>
      <c r="G40" s="44"/>
      <c r="H40" s="44"/>
      <c r="I40" s="43"/>
      <c r="J40" s="43"/>
      <c r="K40" s="46"/>
      <c r="L40" s="185"/>
      <c r="M40" s="43"/>
      <c r="N40"/>
      <c r="O40"/>
      <c r="P40"/>
    </row>
    <row r="41" spans="1:18" x14ac:dyDescent="0.2">
      <c r="A41" s="14"/>
      <c r="B41" s="119"/>
      <c r="C41" s="36"/>
      <c r="D41" s="36"/>
      <c r="E41" s="37"/>
      <c r="F41" s="37"/>
      <c r="G41" s="37"/>
      <c r="H41" s="38"/>
      <c r="I41" s="36"/>
      <c r="J41" s="36"/>
      <c r="K41" s="39"/>
      <c r="N41"/>
      <c r="O41"/>
      <c r="P41"/>
    </row>
    <row r="42" spans="1:18" x14ac:dyDescent="0.2">
      <c r="A42" s="14"/>
      <c r="C42" s="36"/>
      <c r="D42" s="36"/>
      <c r="E42" s="37"/>
      <c r="F42" s="37"/>
      <c r="G42" s="37"/>
      <c r="H42" s="38"/>
      <c r="I42" s="36"/>
      <c r="J42" s="36"/>
      <c r="K42" s="39"/>
      <c r="N42"/>
      <c r="O42"/>
      <c r="P42"/>
    </row>
    <row r="43" spans="1:18" x14ac:dyDescent="0.2">
      <c r="D43" s="36"/>
      <c r="E43" s="37"/>
      <c r="F43" s="37"/>
      <c r="G43" s="37"/>
      <c r="H43" s="38"/>
      <c r="I43" s="36"/>
      <c r="J43" s="36"/>
      <c r="K43" s="39"/>
      <c r="N43"/>
      <c r="O43"/>
      <c r="P43"/>
    </row>
    <row r="44" spans="1:18" ht="15.75" x14ac:dyDescent="0.2">
      <c r="B44" s="32"/>
      <c r="C44" s="33" t="s">
        <v>28</v>
      </c>
      <c r="D44" s="47" t="str">
        <f>D11&amp;D12&amp;D13&amp;D14&amp;D15&amp;D16&amp;D17&amp;D18&amp;D19&amp;D20&amp;D21&amp;D22&amp;D23&amp;D24&amp;D25&amp;D26&amp;D27&amp;D28&amp;D29&amp;D30&amp;D31&amp;D32&amp;D33&amp;D34&amp;D35&amp;D36&amp;D37&amp;D38</f>
        <v/>
      </c>
      <c r="E44" s="48">
        <f>SUM(E11:E38)</f>
        <v>0</v>
      </c>
      <c r="F44" s="48">
        <f t="shared" ref="F44:M44" si="1">SUM(F11:F38)</f>
        <v>0</v>
      </c>
      <c r="G44" s="48">
        <f t="shared" si="1"/>
        <v>0</v>
      </c>
      <c r="H44" s="48">
        <f t="shared" si="1"/>
        <v>0</v>
      </c>
      <c r="I44" s="48">
        <f t="shared" si="1"/>
        <v>0</v>
      </c>
      <c r="J44" s="48">
        <f t="shared" si="1"/>
        <v>0</v>
      </c>
      <c r="K44" s="48">
        <f t="shared" si="1"/>
        <v>0</v>
      </c>
      <c r="L44" s="48">
        <f>SUM(L11:L38)</f>
        <v>0</v>
      </c>
      <c r="M44" s="48">
        <f t="shared" si="1"/>
        <v>0</v>
      </c>
      <c r="N44"/>
      <c r="O44"/>
      <c r="P44"/>
    </row>
    <row r="45" spans="1:18" x14ac:dyDescent="0.2">
      <c r="D45" s="36"/>
      <c r="E45" s="37"/>
      <c r="F45" s="37"/>
      <c r="G45" s="37"/>
      <c r="H45" s="38"/>
      <c r="I45" s="36"/>
      <c r="J45" s="36"/>
      <c r="K45" s="39"/>
      <c r="N45"/>
      <c r="O45"/>
      <c r="P45"/>
    </row>
    <row r="46" spans="1:18" ht="27.75" customHeight="1" x14ac:dyDescent="0.2">
      <c r="B46" s="103" t="s">
        <v>56</v>
      </c>
      <c r="C46" s="104"/>
      <c r="D46" s="42">
        <f>PMdonné-PM</f>
        <v>100</v>
      </c>
      <c r="H46" s="30"/>
      <c r="K46" s="31"/>
      <c r="L46"/>
      <c r="M46"/>
      <c r="N46"/>
      <c r="O46"/>
      <c r="P46"/>
    </row>
    <row r="48" spans="1:18" ht="69" customHeight="1" x14ac:dyDescent="0.2">
      <c r="A48" s="52" t="s">
        <v>57</v>
      </c>
      <c r="B48" s="53" t="s">
        <v>58</v>
      </c>
      <c r="C48" s="53" t="s">
        <v>59</v>
      </c>
      <c r="D48" s="53" t="s">
        <v>60</v>
      </c>
      <c r="E48" s="91" t="s">
        <v>61</v>
      </c>
      <c r="F48" s="234" t="s">
        <v>146</v>
      </c>
      <c r="G48" s="34" t="s">
        <v>34</v>
      </c>
      <c r="H48" s="52" t="s">
        <v>35</v>
      </c>
      <c r="I48" s="53" t="s">
        <v>36</v>
      </c>
      <c r="J48" s="99"/>
      <c r="K48" s="40" t="s">
        <v>62</v>
      </c>
      <c r="L48" s="40" t="s">
        <v>63</v>
      </c>
      <c r="M48" s="40" t="s">
        <v>64</v>
      </c>
    </row>
    <row r="49" spans="1:15" x14ac:dyDescent="0.2">
      <c r="A49"/>
      <c r="F49"/>
    </row>
    <row r="50" spans="1:15" ht="27.75" customHeight="1" x14ac:dyDescent="0.2">
      <c r="A50" s="117" t="str">
        <f>IF(Type="Alignement Droit",coordX(Xe,Gise,D),"")</f>
        <v/>
      </c>
      <c r="B50" s="41" t="str">
        <f>IF(Type="Alignement Droit",coordY(Ye,Gise,D),"")</f>
        <v/>
      </c>
      <c r="C50" s="41" t="str">
        <f>IF(Type="Alignement Droit",coordX(A50,Gise+100,EcartHdonné),"")</f>
        <v/>
      </c>
      <c r="D50" s="41" t="str">
        <f>IF(Type="Alignement Droit",coordY(B50,Gise+100,EcartHdonné),"")</f>
        <v/>
      </c>
      <c r="E50" s="41" t="str">
        <f>IF(Type="Alignement Droit",Gise,"")</f>
        <v/>
      </c>
      <c r="F50"/>
      <c r="J50"/>
      <c r="K50" s="14" t="s">
        <v>41</v>
      </c>
      <c r="N50"/>
      <c r="O50" s="106" t="s">
        <v>65</v>
      </c>
    </row>
    <row r="51" spans="1:15" x14ac:dyDescent="0.2">
      <c r="F51"/>
      <c r="J51"/>
      <c r="N51"/>
      <c r="O51" s="106" t="s">
        <v>66</v>
      </c>
    </row>
    <row r="52" spans="1:15" ht="30.75" customHeight="1" x14ac:dyDescent="0.2">
      <c r="A52" s="54" t="str">
        <f>IF(Type="Cercle",coordX(Xc,G52,Ray),"")</f>
        <v/>
      </c>
      <c r="B52" s="41" t="str">
        <f>IF(Type="Cercle",coordY(Yc,G52,Ray),"")</f>
        <v/>
      </c>
      <c r="C52" s="54" t="str">
        <f>IF(Type="Cercle",coordX(Xc,G52,Ray-Sens*(EcartHdonné)),"")</f>
        <v/>
      </c>
      <c r="D52" s="41" t="str">
        <f>IF(Type="Cercle",coordY(Yc,G52,Ray-Sens*(EcartHdonné)),"")</f>
        <v/>
      </c>
      <c r="E52" s="41" t="str">
        <f>IF(Type="Cercle",G52+Sens*100,"")</f>
        <v/>
      </c>
      <c r="F52" s="235" t="str">
        <f>IF(Type="Cercle",Dévers,"")</f>
        <v/>
      </c>
      <c r="G52" s="41" t="str">
        <f>IF(Type="Cercle",Gise-100*Sens+Sens*D/Ray*200/PI(),"")</f>
        <v/>
      </c>
      <c r="H52" s="54" t="str">
        <f>IF(Type="Cercle",coordX(Xe,Gise+100*Sens,Ray),"")</f>
        <v/>
      </c>
      <c r="I52" s="41" t="str">
        <f>IF(Type="Cercle",coordY(Ye,Gise+100*Sens,Ray),"")</f>
        <v/>
      </c>
      <c r="J52"/>
      <c r="K52" s="14" t="s">
        <v>42</v>
      </c>
      <c r="N52"/>
      <c r="O52" s="106" t="s">
        <v>67</v>
      </c>
    </row>
    <row r="53" spans="1:15" x14ac:dyDescent="0.2">
      <c r="A53"/>
      <c r="F53"/>
      <c r="J53"/>
    </row>
    <row r="54" spans="1:15" ht="30" customHeight="1" x14ac:dyDescent="0.2">
      <c r="A54" s="41" t="str">
        <f>IF(Type="Clothoïde",Xe+Dx*singr(Gise)+Sens*Dy*cosgr(Gise),"")</f>
        <v/>
      </c>
      <c r="B54" s="41" t="str">
        <f>IF(Type="Clothoïde",Ye+Dx*cosgr(Gise)-Sens*Dy*singr(Gise),"")</f>
        <v/>
      </c>
      <c r="C54" s="41" t="str">
        <f>IF(Type="Clothoïde",coordX(A54,E54+100,EcartHdonné),"")</f>
        <v/>
      </c>
      <c r="D54" s="41" t="str">
        <f>IF(Type="Clothoïde",coordY(B54,E54+100,EcartHdonné),"")</f>
        <v/>
      </c>
      <c r="E54" s="41" t="str">
        <f>IF(Type="Clothoïde",Gise+Sens*M*200/PI(),"")</f>
        <v/>
      </c>
      <c r="F54" s="236" t="str">
        <f>IF(Type="Clothoïde",Dévers*ABS(D)/M44,"")</f>
        <v/>
      </c>
      <c r="H54" s="14" t="s">
        <v>43</v>
      </c>
      <c r="J54"/>
      <c r="K54" s="41" t="str">
        <f>IF(Type="Clothoïde",(D/param)^2/2,"")</f>
        <v/>
      </c>
      <c r="L54" s="41" t="str">
        <f>IF(Type="Clothoïde",D*(1-M^2/10+M^4/216-M^6/9360),"")</f>
        <v/>
      </c>
      <c r="M54" s="41" t="str">
        <f>IF(Type="Clothoïde",M*D*(1/3-M^2/42+M^4/1320-M^6/75600),"")</f>
        <v/>
      </c>
      <c r="N54"/>
      <c r="O54" s="106" t="s">
        <v>68</v>
      </c>
    </row>
    <row r="55" spans="1:15" ht="15.75" thickBot="1" x14ac:dyDescent="0.25">
      <c r="F55"/>
    </row>
    <row r="56" spans="1:15" ht="30.75" customHeight="1" thickBot="1" x14ac:dyDescent="0.25">
      <c r="A56" s="55">
        <f t="shared" ref="A56:F56" si="2">ROUND(SUM(A50:A54),5)</f>
        <v>0</v>
      </c>
      <c r="B56" s="42">
        <f t="shared" si="2"/>
        <v>0</v>
      </c>
      <c r="C56" s="56">
        <f t="shared" si="2"/>
        <v>0</v>
      </c>
      <c r="D56" s="50">
        <f t="shared" si="2"/>
        <v>0</v>
      </c>
      <c r="E56" s="49">
        <f t="shared" si="2"/>
        <v>0</v>
      </c>
      <c r="F56" s="237">
        <f t="shared" si="2"/>
        <v>0</v>
      </c>
      <c r="G56"/>
      <c r="H56" s="105"/>
      <c r="I56" s="105"/>
      <c r="J56"/>
      <c r="K56"/>
      <c r="L56"/>
      <c r="M56"/>
      <c r="O56" s="106" t="s">
        <v>69</v>
      </c>
    </row>
    <row r="60" spans="1:15" x14ac:dyDescent="0.2">
      <c r="A60"/>
      <c r="B60"/>
      <c r="C60"/>
    </row>
    <row r="61" spans="1:15" x14ac:dyDescent="0.2">
      <c r="A61"/>
      <c r="B61"/>
      <c r="C61"/>
      <c r="D61"/>
      <c r="E61"/>
      <c r="F61"/>
      <c r="G61"/>
    </row>
    <row r="62" spans="1:15" x14ac:dyDescent="0.2">
      <c r="A62"/>
      <c r="B62"/>
      <c r="C62"/>
      <c r="D62"/>
      <c r="E62"/>
      <c r="F62"/>
      <c r="G62"/>
    </row>
    <row r="63" spans="1:15" x14ac:dyDescent="0.2">
      <c r="A63"/>
      <c r="B63"/>
      <c r="C63"/>
      <c r="D63"/>
      <c r="E63"/>
      <c r="F63"/>
      <c r="G63"/>
    </row>
    <row r="64" spans="1:15" x14ac:dyDescent="0.2">
      <c r="A64"/>
      <c r="B64"/>
      <c r="C64"/>
      <c r="D64"/>
      <c r="E64"/>
      <c r="F64"/>
      <c r="G64"/>
    </row>
    <row r="65" spans="1:9" x14ac:dyDescent="0.2">
      <c r="A65"/>
      <c r="B65"/>
      <c r="C65"/>
      <c r="D65"/>
      <c r="E65"/>
      <c r="F65"/>
      <c r="G65"/>
    </row>
    <row r="66" spans="1:9" x14ac:dyDescent="0.2">
      <c r="A66"/>
      <c r="B66"/>
      <c r="C66"/>
      <c r="D66"/>
      <c r="E66"/>
      <c r="F66"/>
      <c r="G66"/>
    </row>
    <row r="67" spans="1:9" x14ac:dyDescent="0.2">
      <c r="A67"/>
      <c r="B67"/>
      <c r="C67"/>
      <c r="D67"/>
      <c r="E67"/>
      <c r="F67"/>
      <c r="G67"/>
    </row>
    <row r="68" spans="1:9" x14ac:dyDescent="0.2">
      <c r="A68"/>
      <c r="B68"/>
      <c r="C68"/>
      <c r="D68"/>
      <c r="E68"/>
      <c r="F68"/>
      <c r="G68"/>
    </row>
    <row r="69" spans="1:9" x14ac:dyDescent="0.2">
      <c r="A69"/>
      <c r="B69"/>
      <c r="C69"/>
      <c r="D69"/>
      <c r="E69"/>
      <c r="F69"/>
      <c r="G69"/>
    </row>
    <row r="73" spans="1:9" x14ac:dyDescent="0.2">
      <c r="A73"/>
      <c r="B73"/>
      <c r="C73"/>
      <c r="D73"/>
      <c r="E73"/>
      <c r="F73"/>
      <c r="G73"/>
    </row>
    <row r="74" spans="1:9" x14ac:dyDescent="0.2">
      <c r="A74"/>
      <c r="B74"/>
      <c r="C74"/>
      <c r="D74"/>
      <c r="E74"/>
      <c r="F74"/>
      <c r="G74"/>
    </row>
    <row r="75" spans="1:9" x14ac:dyDescent="0.2">
      <c r="A75"/>
      <c r="B75"/>
      <c r="C75"/>
      <c r="D75"/>
      <c r="E75"/>
      <c r="F75"/>
      <c r="G75"/>
    </row>
    <row r="76" spans="1:9" x14ac:dyDescent="0.2">
      <c r="A76"/>
      <c r="B76"/>
      <c r="D76"/>
      <c r="E76"/>
      <c r="F76"/>
      <c r="G76" s="14"/>
      <c r="H76"/>
    </row>
    <row r="77" spans="1:9" x14ac:dyDescent="0.2">
      <c r="A77"/>
      <c r="B77"/>
      <c r="D77"/>
      <c r="E77"/>
      <c r="F77"/>
      <c r="G77" s="14"/>
      <c r="H77" s="14"/>
    </row>
    <row r="78" spans="1:9" x14ac:dyDescent="0.2">
      <c r="A78"/>
      <c r="B78"/>
      <c r="D78"/>
      <c r="E78"/>
      <c r="F78"/>
      <c r="G78" s="14"/>
      <c r="H78" s="14"/>
    </row>
    <row r="79" spans="1:9" x14ac:dyDescent="0.2">
      <c r="A79"/>
      <c r="B79"/>
      <c r="D79"/>
      <c r="E79"/>
      <c r="F79"/>
      <c r="G79" s="14"/>
      <c r="H79" s="14"/>
      <c r="I79"/>
    </row>
    <row r="80" spans="1:9" x14ac:dyDescent="0.2">
      <c r="A80"/>
      <c r="B80"/>
      <c r="D80"/>
      <c r="F80"/>
      <c r="G80" s="14"/>
      <c r="H80" s="14"/>
      <c r="I80"/>
    </row>
    <row r="81" spans="1:9" x14ac:dyDescent="0.2">
      <c r="A81"/>
      <c r="B81"/>
      <c r="F81" s="14"/>
      <c r="G81" s="14"/>
      <c r="H81" s="14"/>
      <c r="I81"/>
    </row>
    <row r="82" spans="1:9" x14ac:dyDescent="0.2">
      <c r="A82"/>
      <c r="B82"/>
      <c r="F82"/>
      <c r="G82" s="14"/>
      <c r="H82" s="14"/>
    </row>
    <row r="83" spans="1:9" x14ac:dyDescent="0.2">
      <c r="A83"/>
      <c r="B83"/>
    </row>
    <row r="84" spans="1:9" x14ac:dyDescent="0.2">
      <c r="A84"/>
      <c r="B84"/>
    </row>
    <row r="85" spans="1:9" x14ac:dyDescent="0.2">
      <c r="A85"/>
      <c r="B85"/>
      <c r="C85"/>
      <c r="D85"/>
      <c r="E85"/>
      <c r="F85"/>
      <c r="G85"/>
    </row>
    <row r="86" spans="1:9" x14ac:dyDescent="0.2">
      <c r="A86"/>
      <c r="B86"/>
      <c r="C86"/>
      <c r="D86"/>
      <c r="E86"/>
      <c r="F86"/>
      <c r="G86"/>
    </row>
    <row r="87" spans="1:9" x14ac:dyDescent="0.2">
      <c r="A87"/>
      <c r="B87"/>
      <c r="C87"/>
      <c r="D87"/>
      <c r="E87"/>
      <c r="F87"/>
      <c r="G87"/>
    </row>
    <row r="88" spans="1:9" x14ac:dyDescent="0.2">
      <c r="A88"/>
      <c r="B88"/>
      <c r="C88"/>
      <c r="D88"/>
      <c r="E88"/>
      <c r="F88"/>
      <c r="G88"/>
    </row>
    <row r="89" spans="1:9" x14ac:dyDescent="0.2">
      <c r="A89"/>
      <c r="B89"/>
      <c r="C89"/>
      <c r="D89"/>
      <c r="E89"/>
      <c r="F89"/>
      <c r="G89"/>
    </row>
    <row r="90" spans="1:9" x14ac:dyDescent="0.2">
      <c r="A90"/>
      <c r="B90"/>
      <c r="C90"/>
      <c r="D90"/>
      <c r="E90"/>
      <c r="F90"/>
      <c r="G90"/>
    </row>
    <row r="91" spans="1:9" x14ac:dyDescent="0.2">
      <c r="A91"/>
      <c r="B91"/>
      <c r="C91"/>
      <c r="D91"/>
      <c r="E91"/>
      <c r="F91"/>
      <c r="G91"/>
    </row>
    <row r="92" spans="1:9" x14ac:dyDescent="0.2">
      <c r="A92"/>
      <c r="B92"/>
      <c r="C92"/>
      <c r="D92"/>
      <c r="E92"/>
      <c r="F92"/>
      <c r="G92"/>
    </row>
    <row r="93" spans="1:9" x14ac:dyDescent="0.2">
      <c r="A93"/>
      <c r="B93"/>
      <c r="C93"/>
      <c r="D93"/>
      <c r="E93"/>
      <c r="F93"/>
      <c r="G93"/>
    </row>
    <row r="94" spans="1:9" x14ac:dyDescent="0.2">
      <c r="A94"/>
      <c r="B94"/>
      <c r="C94"/>
      <c r="D94"/>
      <c r="E94"/>
      <c r="F94"/>
      <c r="G94"/>
    </row>
    <row r="95" spans="1:9" x14ac:dyDescent="0.2">
      <c r="A95"/>
      <c r="B95"/>
      <c r="C95"/>
      <c r="D95"/>
      <c r="E95"/>
      <c r="F95"/>
      <c r="G95"/>
    </row>
    <row r="96" spans="1:9" x14ac:dyDescent="0.2">
      <c r="A96"/>
      <c r="B96"/>
      <c r="C96"/>
      <c r="D96"/>
      <c r="E96"/>
      <c r="F96"/>
      <c r="G96"/>
    </row>
    <row r="97" spans="1:7" x14ac:dyDescent="0.2">
      <c r="A97"/>
      <c r="B97"/>
      <c r="C97"/>
      <c r="D97"/>
      <c r="E97"/>
      <c r="F97"/>
      <c r="G97"/>
    </row>
    <row r="98" spans="1:7" x14ac:dyDescent="0.2">
      <c r="A98"/>
      <c r="B98"/>
      <c r="C98"/>
      <c r="D98"/>
      <c r="E98"/>
      <c r="F98"/>
      <c r="G98"/>
    </row>
    <row r="99" spans="1:7" x14ac:dyDescent="0.2">
      <c r="A99"/>
      <c r="B99"/>
      <c r="C99"/>
      <c r="D99"/>
      <c r="E99"/>
      <c r="F99"/>
      <c r="G99"/>
    </row>
    <row r="100" spans="1:7" x14ac:dyDescent="0.2">
      <c r="A100"/>
      <c r="B100"/>
      <c r="C100"/>
      <c r="D100"/>
      <c r="E100"/>
      <c r="F100"/>
      <c r="G100"/>
    </row>
    <row r="101" spans="1:7" x14ac:dyDescent="0.2">
      <c r="A101"/>
      <c r="B101"/>
      <c r="C101"/>
      <c r="D101"/>
      <c r="E101"/>
      <c r="F101"/>
      <c r="G101"/>
    </row>
    <row r="102" spans="1:7" x14ac:dyDescent="0.2">
      <c r="A102"/>
      <c r="B102"/>
      <c r="C102"/>
      <c r="D102"/>
      <c r="E102"/>
      <c r="F102"/>
      <c r="G102"/>
    </row>
    <row r="103" spans="1:7" x14ac:dyDescent="0.2">
      <c r="A103"/>
      <c r="B103"/>
      <c r="C103"/>
      <c r="D103"/>
      <c r="E103"/>
      <c r="F103"/>
      <c r="G103"/>
    </row>
    <row r="104" spans="1:7" x14ac:dyDescent="0.2">
      <c r="A104"/>
      <c r="B104"/>
      <c r="C104"/>
      <c r="D104"/>
      <c r="E104"/>
      <c r="F104"/>
      <c r="G104"/>
    </row>
    <row r="105" spans="1:7" x14ac:dyDescent="0.2">
      <c r="A105"/>
      <c r="B105"/>
      <c r="C105"/>
      <c r="D105"/>
      <c r="E105"/>
      <c r="F105"/>
      <c r="G105"/>
    </row>
    <row r="106" spans="1:7" x14ac:dyDescent="0.2">
      <c r="A106"/>
      <c r="B106"/>
      <c r="C106"/>
      <c r="D106"/>
      <c r="E106"/>
      <c r="F106"/>
      <c r="G106"/>
    </row>
    <row r="107" spans="1:7" x14ac:dyDescent="0.2">
      <c r="A107"/>
      <c r="B107"/>
      <c r="C107"/>
      <c r="D107"/>
      <c r="E107"/>
      <c r="F107"/>
      <c r="G107"/>
    </row>
    <row r="108" spans="1:7" x14ac:dyDescent="0.2">
      <c r="A108"/>
      <c r="B108"/>
      <c r="C108"/>
      <c r="D108"/>
      <c r="E108"/>
      <c r="F108"/>
      <c r="G108"/>
    </row>
    <row r="109" spans="1:7" x14ac:dyDescent="0.2">
      <c r="A109"/>
      <c r="B109"/>
      <c r="C109"/>
      <c r="D109"/>
      <c r="E109"/>
      <c r="F109"/>
      <c r="G109"/>
    </row>
    <row r="110" spans="1:7" x14ac:dyDescent="0.2">
      <c r="A110"/>
      <c r="B110"/>
      <c r="C110"/>
      <c r="D110"/>
      <c r="E110"/>
      <c r="F110"/>
      <c r="G110"/>
    </row>
    <row r="111" spans="1:7" x14ac:dyDescent="0.2">
      <c r="A111"/>
      <c r="B111"/>
      <c r="C111"/>
      <c r="D111"/>
      <c r="E111"/>
      <c r="F111"/>
      <c r="G111"/>
    </row>
    <row r="112" spans="1:7" x14ac:dyDescent="0.2">
      <c r="A112"/>
      <c r="B112"/>
      <c r="C112"/>
      <c r="D112"/>
      <c r="E112"/>
      <c r="F112"/>
      <c r="G112"/>
    </row>
    <row r="113" spans="1:7" x14ac:dyDescent="0.2">
      <c r="A113"/>
      <c r="B113"/>
      <c r="C113"/>
      <c r="D113"/>
      <c r="E113"/>
      <c r="F113"/>
      <c r="G113"/>
    </row>
    <row r="114" spans="1:7" x14ac:dyDescent="0.2">
      <c r="A114"/>
      <c r="B114"/>
      <c r="C114"/>
      <c r="D114"/>
      <c r="E114"/>
      <c r="F114"/>
      <c r="G114"/>
    </row>
    <row r="115" spans="1:7" x14ac:dyDescent="0.2">
      <c r="A115"/>
      <c r="B115"/>
      <c r="C115"/>
      <c r="D115"/>
      <c r="E115"/>
      <c r="F115"/>
      <c r="G115"/>
    </row>
    <row r="116" spans="1:7" x14ac:dyDescent="0.2">
      <c r="A116"/>
      <c r="B116"/>
      <c r="C116"/>
      <c r="D116"/>
      <c r="E116"/>
      <c r="F116"/>
      <c r="G116"/>
    </row>
    <row r="117" spans="1:7" x14ac:dyDescent="0.2">
      <c r="A117"/>
      <c r="B117"/>
      <c r="C117"/>
      <c r="D117"/>
      <c r="E117"/>
      <c r="F117"/>
      <c r="G117"/>
    </row>
    <row r="118" spans="1:7" x14ac:dyDescent="0.2">
      <c r="A118"/>
      <c r="B118"/>
      <c r="C118"/>
      <c r="D118"/>
      <c r="E118"/>
      <c r="F118"/>
      <c r="G118"/>
    </row>
    <row r="119" spans="1:7" x14ac:dyDescent="0.2">
      <c r="A119"/>
      <c r="B119"/>
      <c r="C119"/>
      <c r="D119"/>
      <c r="E119"/>
      <c r="F119"/>
      <c r="G119"/>
    </row>
    <row r="120" spans="1:7" x14ac:dyDescent="0.2">
      <c r="A120"/>
      <c r="B120"/>
      <c r="C120"/>
      <c r="D120"/>
      <c r="E120"/>
      <c r="F120"/>
      <c r="G120"/>
    </row>
    <row r="121" spans="1:7" x14ac:dyDescent="0.2">
      <c r="A121"/>
      <c r="B121"/>
      <c r="C121"/>
      <c r="D121"/>
      <c r="E121"/>
      <c r="F121"/>
      <c r="G121"/>
    </row>
    <row r="122" spans="1:7" x14ac:dyDescent="0.2">
      <c r="A122"/>
      <c r="B122"/>
      <c r="C122"/>
      <c r="D122"/>
      <c r="E122"/>
      <c r="F122"/>
      <c r="G122"/>
    </row>
    <row r="123" spans="1:7" x14ac:dyDescent="0.2">
      <c r="A123"/>
      <c r="B123"/>
      <c r="C123"/>
      <c r="D123"/>
      <c r="E123"/>
      <c r="F123"/>
      <c r="G123"/>
    </row>
    <row r="124" spans="1:7" x14ac:dyDescent="0.2">
      <c r="A124"/>
      <c r="B124"/>
      <c r="C124"/>
      <c r="D124"/>
      <c r="E124"/>
      <c r="F124"/>
      <c r="G124"/>
    </row>
    <row r="125" spans="1:7" x14ac:dyDescent="0.2">
      <c r="A125"/>
      <c r="B125"/>
      <c r="C125"/>
      <c r="D125"/>
      <c r="E125"/>
      <c r="F125"/>
      <c r="G125"/>
    </row>
    <row r="126" spans="1:7" x14ac:dyDescent="0.2">
      <c r="A126"/>
      <c r="B126"/>
      <c r="C126"/>
      <c r="D126"/>
      <c r="E126"/>
      <c r="F126"/>
      <c r="G126"/>
    </row>
    <row r="127" spans="1:7" x14ac:dyDescent="0.2">
      <c r="A127"/>
      <c r="B127"/>
      <c r="C127"/>
      <c r="D127"/>
      <c r="E127"/>
      <c r="F127"/>
      <c r="G127"/>
    </row>
    <row r="128" spans="1:7" x14ac:dyDescent="0.2">
      <c r="A128"/>
      <c r="B128"/>
      <c r="C128"/>
      <c r="D128"/>
      <c r="E128"/>
      <c r="F128"/>
      <c r="G128"/>
    </row>
    <row r="129" spans="1:7" x14ac:dyDescent="0.2">
      <c r="A129"/>
      <c r="B129"/>
      <c r="C129"/>
      <c r="D129"/>
      <c r="E129"/>
      <c r="F129"/>
      <c r="G129"/>
    </row>
    <row r="130" spans="1:7" x14ac:dyDescent="0.2">
      <c r="A130"/>
      <c r="B130"/>
      <c r="C130"/>
      <c r="D130"/>
      <c r="E130"/>
      <c r="F130"/>
      <c r="G130"/>
    </row>
    <row r="131" spans="1:7" x14ac:dyDescent="0.2">
      <c r="A131"/>
      <c r="B131"/>
      <c r="C131"/>
      <c r="D131"/>
      <c r="E131"/>
      <c r="F131"/>
      <c r="G131"/>
    </row>
    <row r="132" spans="1:7" x14ac:dyDescent="0.2">
      <c r="A132"/>
      <c r="B132"/>
      <c r="C132"/>
      <c r="D132"/>
      <c r="E132"/>
      <c r="F132"/>
      <c r="G132"/>
    </row>
    <row r="133" spans="1:7" x14ac:dyDescent="0.2">
      <c r="A133"/>
      <c r="B133"/>
      <c r="C133"/>
      <c r="D133"/>
      <c r="E133"/>
      <c r="F133"/>
      <c r="G133"/>
    </row>
    <row r="134" spans="1:7" x14ac:dyDescent="0.2">
      <c r="A134"/>
      <c r="B134"/>
      <c r="C134"/>
      <c r="D134"/>
      <c r="E134"/>
      <c r="F134"/>
      <c r="G134"/>
    </row>
    <row r="135" spans="1:7" x14ac:dyDescent="0.2">
      <c r="A135"/>
      <c r="B135"/>
      <c r="C135"/>
      <c r="D135"/>
      <c r="E135"/>
      <c r="F135"/>
      <c r="G135"/>
    </row>
    <row r="136" spans="1:7" x14ac:dyDescent="0.2">
      <c r="A136"/>
      <c r="B136"/>
      <c r="C136"/>
      <c r="D136"/>
      <c r="E136"/>
      <c r="F136"/>
      <c r="G136"/>
    </row>
    <row r="137" spans="1:7" x14ac:dyDescent="0.2">
      <c r="A137"/>
      <c r="B137"/>
      <c r="C137"/>
      <c r="D137"/>
      <c r="E137"/>
      <c r="F137"/>
      <c r="G137"/>
    </row>
    <row r="138" spans="1:7" x14ac:dyDescent="0.2">
      <c r="A138"/>
      <c r="B138"/>
      <c r="C138"/>
      <c r="D138"/>
      <c r="E138"/>
      <c r="F138"/>
      <c r="G138"/>
    </row>
    <row r="139" spans="1:7" x14ac:dyDescent="0.2">
      <c r="A139"/>
      <c r="B139"/>
      <c r="C139"/>
      <c r="D139"/>
      <c r="E139"/>
      <c r="F139"/>
      <c r="G139"/>
    </row>
    <row r="140" spans="1:7" x14ac:dyDescent="0.2">
      <c r="A140"/>
      <c r="B140"/>
      <c r="C140"/>
      <c r="D140"/>
      <c r="E140"/>
      <c r="F140"/>
      <c r="G140"/>
    </row>
    <row r="141" spans="1:7" x14ac:dyDescent="0.2">
      <c r="A141"/>
      <c r="B141"/>
      <c r="C141"/>
      <c r="D141"/>
      <c r="E141"/>
      <c r="F141"/>
      <c r="G141"/>
    </row>
    <row r="142" spans="1:7" x14ac:dyDescent="0.2">
      <c r="A142"/>
      <c r="B142"/>
      <c r="C142"/>
      <c r="D142"/>
      <c r="E142"/>
      <c r="F142"/>
      <c r="G142"/>
    </row>
    <row r="143" spans="1:7" x14ac:dyDescent="0.2">
      <c r="A143"/>
      <c r="B143"/>
      <c r="C143"/>
      <c r="D143"/>
      <c r="E143"/>
      <c r="F143"/>
      <c r="G143"/>
    </row>
    <row r="144" spans="1:7" x14ac:dyDescent="0.2">
      <c r="A144"/>
      <c r="B144"/>
      <c r="C144"/>
      <c r="D144"/>
      <c r="E144"/>
      <c r="F144"/>
      <c r="G144"/>
    </row>
    <row r="145" spans="1:7" x14ac:dyDescent="0.2">
      <c r="A145"/>
      <c r="B145"/>
      <c r="C145"/>
      <c r="D145"/>
      <c r="E145"/>
      <c r="F145"/>
      <c r="G145"/>
    </row>
    <row r="146" spans="1:7" x14ac:dyDescent="0.2">
      <c r="A146"/>
      <c r="B146"/>
      <c r="C146"/>
      <c r="D146"/>
      <c r="E146"/>
      <c r="F146"/>
      <c r="G146"/>
    </row>
    <row r="147" spans="1:7" x14ac:dyDescent="0.2">
      <c r="A147"/>
      <c r="B147"/>
      <c r="C147"/>
      <c r="D147"/>
      <c r="E147"/>
      <c r="F147"/>
      <c r="G147"/>
    </row>
    <row r="148" spans="1:7" x14ac:dyDescent="0.2">
      <c r="A148"/>
      <c r="B148"/>
      <c r="C148"/>
      <c r="D148"/>
      <c r="E148"/>
      <c r="F148"/>
      <c r="G148"/>
    </row>
    <row r="149" spans="1:7" x14ac:dyDescent="0.2">
      <c r="A149"/>
      <c r="B149"/>
      <c r="C149"/>
      <c r="D149"/>
      <c r="E149"/>
      <c r="F149"/>
      <c r="G149"/>
    </row>
    <row r="150" spans="1:7" x14ac:dyDescent="0.2">
      <c r="A150"/>
      <c r="B150"/>
      <c r="C150"/>
      <c r="D150"/>
      <c r="E150"/>
      <c r="F150"/>
      <c r="G150"/>
    </row>
    <row r="151" spans="1:7" x14ac:dyDescent="0.2">
      <c r="A151"/>
      <c r="B151"/>
      <c r="C151"/>
      <c r="D151"/>
      <c r="E151"/>
      <c r="F151"/>
      <c r="G151"/>
    </row>
    <row r="152" spans="1:7" x14ac:dyDescent="0.2">
      <c r="A152"/>
      <c r="B152"/>
      <c r="C152"/>
      <c r="D152"/>
      <c r="E152"/>
      <c r="F152"/>
      <c r="G152"/>
    </row>
    <row r="153" spans="1:7" x14ac:dyDescent="0.2">
      <c r="A153"/>
      <c r="B153"/>
      <c r="C153"/>
      <c r="D153"/>
      <c r="E153"/>
      <c r="F153"/>
      <c r="G153"/>
    </row>
    <row r="154" spans="1:7" x14ac:dyDescent="0.2">
      <c r="A154"/>
      <c r="B154"/>
      <c r="C154"/>
      <c r="D154"/>
      <c r="E154"/>
      <c r="F154"/>
      <c r="G154"/>
    </row>
    <row r="155" spans="1:7" x14ac:dyDescent="0.2">
      <c r="A155"/>
      <c r="B155"/>
      <c r="C155"/>
      <c r="D155"/>
      <c r="E155"/>
      <c r="F155"/>
      <c r="G155"/>
    </row>
    <row r="156" spans="1:7" x14ac:dyDescent="0.2">
      <c r="A156"/>
      <c r="B156"/>
      <c r="C156"/>
      <c r="D156"/>
      <c r="E156"/>
      <c r="F156"/>
      <c r="G156"/>
    </row>
    <row r="157" spans="1:7" x14ac:dyDescent="0.2">
      <c r="A157"/>
      <c r="B157"/>
      <c r="C157"/>
    </row>
    <row r="158" spans="1:7" x14ac:dyDescent="0.2">
      <c r="A158"/>
      <c r="B158"/>
      <c r="C158"/>
    </row>
    <row r="159" spans="1:7" x14ac:dyDescent="0.2">
      <c r="A159"/>
      <c r="B159"/>
      <c r="C159"/>
    </row>
    <row r="160" spans="1:7" x14ac:dyDescent="0.2">
      <c r="A160"/>
      <c r="B160"/>
      <c r="C160"/>
    </row>
    <row r="161" spans="1:3" x14ac:dyDescent="0.2">
      <c r="A161"/>
      <c r="B161"/>
      <c r="C161"/>
    </row>
  </sheetData>
  <customSheetViews>
    <customSheetView guid="{7E34E800-94BB-11D6-B2C6-0002A57730F5}" scale="50" showPageBreaks="1" printArea="1" showRuler="0" topLeftCell="G20">
      <selection activeCell="P41" sqref="P41:Q42"/>
      <pageMargins left="0" right="0" top="0.39370078740157483" bottom="0.39370078740157483" header="0.11811023622047245" footer="0.11811023622047245"/>
      <pageSetup paperSize="9" orientation="landscape" horizontalDpi="300" verticalDpi="300" r:id="rId1"/>
      <headerFooter alignWithMargins="0">
        <oddHeader>&amp;C&amp;F&amp;    &amp;"     ,Normal"&amp;A</oddHeader>
      </headerFooter>
    </customSheetView>
  </customSheetViews>
  <mergeCells count="1">
    <mergeCell ref="Q1:V1"/>
  </mergeCells>
  <phoneticPr fontId="0" type="noConversion"/>
  <pageMargins left="0" right="0" top="0.39370078740157483" bottom="0.39370078740157483" header="0.11811023622047245" footer="0.11811023622047245"/>
  <pageSetup paperSize="9" orientation="landscape" horizontalDpi="300" verticalDpi="300" r:id="rId2"/>
  <headerFooter alignWithMargins="0">
    <oddHeader>&amp;C&amp;F&amp;    &amp;"     ,Normal"&amp;A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0181A-CFF7-4FF5-BF4D-5C0711423C0C}">
  <sheetPr codeName="Feuil8"/>
  <dimension ref="A1:V52"/>
  <sheetViews>
    <sheetView zoomScale="50" workbookViewId="0">
      <selection activeCell="C33" sqref="C33"/>
    </sheetView>
  </sheetViews>
  <sheetFormatPr baseColWidth="10" defaultColWidth="14" defaultRowHeight="15" x14ac:dyDescent="0.2"/>
  <cols>
    <col min="1" max="1" width="25.7109375" style="13" customWidth="1"/>
    <col min="2" max="2" width="34.5703125" style="13" customWidth="1"/>
    <col min="3" max="5" width="25.7109375" style="13" customWidth="1"/>
    <col min="6" max="16384" width="14" style="13"/>
  </cols>
  <sheetData>
    <row r="1" spans="1:22" ht="80.099999999999994" customHeight="1" thickTop="1" thickBot="1" x14ac:dyDescent="0.25">
      <c r="A1" s="18" t="s">
        <v>0</v>
      </c>
      <c r="B1" s="19"/>
      <c r="C1" s="20" t="s">
        <v>16</v>
      </c>
      <c r="D1" s="21"/>
      <c r="E1" s="22"/>
      <c r="Q1" s="311" t="str">
        <f>'INFOS-PARAM'!B3&amp;"-"&amp;'INFOS-PARAM'!B5</f>
        <v>GGS-EXE</v>
      </c>
      <c r="R1" s="312"/>
      <c r="S1" s="312"/>
      <c r="T1" s="312"/>
      <c r="U1" s="312"/>
      <c r="V1" s="313"/>
    </row>
    <row r="2" spans="1:22" ht="39.950000000000003" customHeight="1" thickTop="1" thickBot="1" x14ac:dyDescent="0.25">
      <c r="A2" s="61" t="s">
        <v>2</v>
      </c>
      <c r="B2" s="62" t="s">
        <v>70</v>
      </c>
      <c r="C2" s="59" t="s">
        <v>71</v>
      </c>
      <c r="D2" s="58" t="s">
        <v>72</v>
      </c>
      <c r="E2" s="57" t="s">
        <v>73</v>
      </c>
    </row>
    <row r="3" spans="1:22" ht="80.099999999999994" customHeight="1" thickTop="1" x14ac:dyDescent="0.2">
      <c r="A3" s="10"/>
      <c r="B3"/>
      <c r="C3" s="8"/>
      <c r="D3" s="4"/>
      <c r="E3" s="9"/>
      <c r="I3" s="13" t="s">
        <v>74</v>
      </c>
    </row>
    <row r="4" spans="1:22" ht="39.950000000000003" customHeight="1" x14ac:dyDescent="0.2">
      <c r="A4" s="71">
        <f>PMdonné</f>
        <v>100</v>
      </c>
      <c r="B4" s="72">
        <f>EcartVdonné</f>
        <v>0</v>
      </c>
      <c r="C4" s="63">
        <f>C49</f>
        <v>0</v>
      </c>
      <c r="D4" s="95">
        <f>D49</f>
        <v>0</v>
      </c>
      <c r="E4" s="64">
        <f>E49</f>
        <v>0</v>
      </c>
    </row>
    <row r="5" spans="1:22" ht="80.099999999999994" customHeight="1" thickBot="1" x14ac:dyDescent="0.25">
      <c r="A5" s="25"/>
      <c r="B5" s="26"/>
      <c r="C5" s="27"/>
      <c r="D5" s="28"/>
      <c r="E5" s="29"/>
    </row>
    <row r="6" spans="1:22" ht="15.75" thickTop="1" x14ac:dyDescent="0.2"/>
    <row r="9" spans="1:22" ht="20.25" x14ac:dyDescent="0.2">
      <c r="C9" s="35" t="s">
        <v>55</v>
      </c>
      <c r="D9" s="15" t="s">
        <v>20</v>
      </c>
      <c r="E9" s="15" t="s">
        <v>2</v>
      </c>
      <c r="F9" s="15" t="s">
        <v>75</v>
      </c>
      <c r="G9" s="15" t="s">
        <v>76</v>
      </c>
      <c r="H9" s="16" t="s">
        <v>24</v>
      </c>
      <c r="I9" s="15" t="s">
        <v>77</v>
      </c>
      <c r="J9"/>
      <c r="K9"/>
    </row>
    <row r="10" spans="1:22" x14ac:dyDescent="0.2">
      <c r="C10" s="36"/>
      <c r="D10" s="36"/>
      <c r="E10" s="36"/>
      <c r="F10" s="36"/>
      <c r="G10" s="36"/>
      <c r="H10" s="36"/>
      <c r="I10" s="36"/>
      <c r="J10"/>
      <c r="K10"/>
    </row>
    <row r="11" spans="1:22" x14ac:dyDescent="0.2">
      <c r="B11" s="119" t="s">
        <v>130</v>
      </c>
      <c r="C11" s="43" t="str">
        <f>IF(PMdonné&lt;_PL2,"oui","non")</f>
        <v>non</v>
      </c>
      <c r="D11" s="43" t="str">
        <f>IF(testZ="oui",'définition profil en long'!D11,"")</f>
        <v/>
      </c>
      <c r="E11" s="44" t="str">
        <f>IF(testZ="oui",'définition profil en long'!E11,"")</f>
        <v/>
      </c>
      <c r="F11" s="44" t="str">
        <f>IF(testZ="oui",'définition profil en long'!F11,"")</f>
        <v/>
      </c>
      <c r="G11" s="44" t="str">
        <f>IF(testZ="oui",'définition profil en long'!G11,"")</f>
        <v/>
      </c>
      <c r="H11" s="45" t="str">
        <f>IF(testZ="oui",'définition profil en long'!H11,"")</f>
        <v/>
      </c>
      <c r="I11" s="43" t="str">
        <f>IF(testZ="oui",'définition profil en long'!I11,"")</f>
        <v/>
      </c>
      <c r="J11"/>
      <c r="K11"/>
    </row>
    <row r="12" spans="1:22" x14ac:dyDescent="0.2">
      <c r="B12" s="119" t="s">
        <v>131</v>
      </c>
      <c r="C12" s="43" t="str">
        <f>IF(AND(PMdonné&gt;=_PL2,PMdonné&lt;_PL3),"oui","non")</f>
        <v>non</v>
      </c>
      <c r="D12" s="43" t="str">
        <f>IF(testZ="oui",'définition profil en long'!D12,"")</f>
        <v/>
      </c>
      <c r="E12" s="44" t="str">
        <f>IF(testZ="oui",'définition profil en long'!E12,"")</f>
        <v/>
      </c>
      <c r="F12" s="44" t="str">
        <f>IF(testZ="oui",'définition profil en long'!F12,"")</f>
        <v/>
      </c>
      <c r="G12" s="44" t="str">
        <f>IF(testZ="oui",'définition profil en long'!G12,"")</f>
        <v/>
      </c>
      <c r="H12" s="45" t="str">
        <f>IF(testZ="oui",'définition profil en long'!H12,"")</f>
        <v/>
      </c>
      <c r="I12" s="43" t="str">
        <f>IF(testZ="oui",'définition profil en long'!I12,"")</f>
        <v/>
      </c>
      <c r="J12"/>
      <c r="K12"/>
    </row>
    <row r="13" spans="1:22" x14ac:dyDescent="0.2">
      <c r="B13" s="119" t="s">
        <v>115</v>
      </c>
      <c r="C13" s="43" t="str">
        <f>IF(AND(PMdonné&gt;=_PL3,PMdonné&lt;_PL4),"oui","non")</f>
        <v>non</v>
      </c>
      <c r="D13" s="43" t="str">
        <f>IF(testZ="oui",'définition profil en long'!D13,"")</f>
        <v/>
      </c>
      <c r="E13" s="44" t="str">
        <f>IF(testZ="oui",'définition profil en long'!E13,"")</f>
        <v/>
      </c>
      <c r="F13" s="44" t="str">
        <f>IF(testZ="oui",'définition profil en long'!F13,"")</f>
        <v/>
      </c>
      <c r="G13" s="44" t="str">
        <f>IF(testZ="oui",'définition profil en long'!G13,"")</f>
        <v/>
      </c>
      <c r="H13" s="45" t="str">
        <f>IF(testZ="oui",'définition profil en long'!H13,"")</f>
        <v/>
      </c>
      <c r="I13" s="43" t="str">
        <f>IF(testZ="oui",'définition profil en long'!I13,"")</f>
        <v/>
      </c>
      <c r="J13"/>
      <c r="K13" t="s">
        <v>78</v>
      </c>
    </row>
    <row r="14" spans="1:22" x14ac:dyDescent="0.2">
      <c r="B14" s="119" t="s">
        <v>116</v>
      </c>
      <c r="C14" s="43" t="str">
        <f>IF(AND(PMdonné&gt;=_PL4,PMdonné&lt;_PL5),"oui","non")</f>
        <v>non</v>
      </c>
      <c r="D14" s="43" t="str">
        <f>IF(testZ="oui",'définition profil en long'!D14,"")</f>
        <v/>
      </c>
      <c r="E14" s="44" t="str">
        <f>IF(testZ="oui",'définition profil en long'!E14,"")</f>
        <v/>
      </c>
      <c r="F14" s="44" t="str">
        <f>IF(testZ="oui",'définition profil en long'!F14,"")</f>
        <v/>
      </c>
      <c r="G14" s="44" t="str">
        <f>IF(testZ="oui",'définition profil en long'!G14,"")</f>
        <v/>
      </c>
      <c r="H14" s="45" t="str">
        <f>IF(testZ="oui",'définition profil en long'!H14,"")</f>
        <v/>
      </c>
      <c r="I14" s="43" t="str">
        <f>IF(testZ="oui",'définition profil en long'!I14,"")</f>
        <v/>
      </c>
      <c r="J14"/>
      <c r="K14" t="s">
        <v>79</v>
      </c>
    </row>
    <row r="15" spans="1:22" x14ac:dyDescent="0.2">
      <c r="B15" s="119" t="s">
        <v>117</v>
      </c>
      <c r="C15" s="43" t="str">
        <f>IF(AND(PMdonné&gt;=_PL5,PMdonné&lt;_PL6),"oui","non")</f>
        <v>non</v>
      </c>
      <c r="D15" s="43" t="str">
        <f>IF(testZ="oui",'définition profil en long'!D15,"")</f>
        <v/>
      </c>
      <c r="E15" s="44" t="str">
        <f>IF(testZ="oui",'définition profil en long'!E15,"")</f>
        <v/>
      </c>
      <c r="F15" s="44" t="str">
        <f>IF(testZ="oui",'définition profil en long'!F15,"")</f>
        <v/>
      </c>
      <c r="G15" s="44" t="str">
        <f>IF(testZ="oui",'définition profil en long'!G15,"")</f>
        <v/>
      </c>
      <c r="H15" s="45" t="str">
        <f>IF(testZ="oui",'définition profil en long'!H15,"")</f>
        <v/>
      </c>
      <c r="I15" s="43" t="str">
        <f>IF(testZ="oui",'définition profil en long'!I15,"")</f>
        <v/>
      </c>
      <c r="J15"/>
      <c r="K15"/>
    </row>
    <row r="16" spans="1:22" x14ac:dyDescent="0.2">
      <c r="B16" s="119" t="s">
        <v>118</v>
      </c>
      <c r="C16" s="43" t="str">
        <f>IF(AND(PMdonné&gt;=_PL6,PMdonné&lt;_PL7),"oui","non")</f>
        <v>non</v>
      </c>
      <c r="D16" s="43" t="str">
        <f>IF(testZ="oui",'définition profil en long'!D16,"")</f>
        <v/>
      </c>
      <c r="E16" s="44" t="str">
        <f>IF(testZ="oui",'définition profil en long'!E16,"")</f>
        <v/>
      </c>
      <c r="F16" s="44" t="str">
        <f>IF(testZ="oui",'définition profil en long'!F16,"")</f>
        <v/>
      </c>
      <c r="G16" s="44" t="str">
        <f>IF(testZ="oui",'définition profil en long'!G16,"")</f>
        <v/>
      </c>
      <c r="H16" s="45" t="str">
        <f>IF(testZ="oui",'définition profil en long'!H16,"")</f>
        <v/>
      </c>
      <c r="I16" s="43" t="str">
        <f>IF(testZ="oui",'définition profil en long'!I16,"")</f>
        <v/>
      </c>
      <c r="J16"/>
      <c r="K16"/>
    </row>
    <row r="17" spans="2:11" x14ac:dyDescent="0.2">
      <c r="B17" s="119" t="s">
        <v>119</v>
      </c>
      <c r="C17" s="43" t="str">
        <f>IF(AND(PMdonné&gt;=_PL7,PMdonné&lt;_PL8),"oui","non")</f>
        <v>non</v>
      </c>
      <c r="D17" s="43" t="str">
        <f>IF(testZ="oui",'définition profil en long'!D17,"")</f>
        <v/>
      </c>
      <c r="E17" s="44" t="str">
        <f>IF(testZ="oui",'définition profil en long'!E17,"")</f>
        <v/>
      </c>
      <c r="F17" s="44" t="str">
        <f>IF(testZ="oui",'définition profil en long'!F17,"")</f>
        <v/>
      </c>
      <c r="G17" s="44" t="str">
        <f>IF(testZ="oui",'définition profil en long'!G17,"")</f>
        <v/>
      </c>
      <c r="H17" s="45" t="str">
        <f>IF(testZ="oui",'définition profil en long'!H17,"")</f>
        <v/>
      </c>
      <c r="I17" s="43" t="str">
        <f>IF(testZ="oui",'définition profil en long'!I17,"")</f>
        <v/>
      </c>
      <c r="J17"/>
      <c r="K17"/>
    </row>
    <row r="18" spans="2:11" x14ac:dyDescent="0.2">
      <c r="B18" s="119" t="s">
        <v>120</v>
      </c>
      <c r="C18" s="43" t="str">
        <f>IF(AND(PMdonné&gt;=_PL8,PMdonné&lt;_PL9),"oui","non")</f>
        <v>non</v>
      </c>
      <c r="D18" s="43" t="str">
        <f>IF(testZ="oui",'définition profil en long'!D18,"")</f>
        <v/>
      </c>
      <c r="E18" s="44" t="str">
        <f>IF(testZ="oui",'définition profil en long'!E18,"")</f>
        <v/>
      </c>
      <c r="F18" s="44" t="str">
        <f>IF(testZ="oui",'définition profil en long'!F18,"")</f>
        <v/>
      </c>
      <c r="G18" s="44" t="str">
        <f>IF(testZ="oui",'définition profil en long'!G18,"")</f>
        <v/>
      </c>
      <c r="H18" s="45" t="str">
        <f>IF(testZ="oui",'définition profil en long'!H18,"")</f>
        <v/>
      </c>
      <c r="I18" s="43" t="str">
        <f>IF(testZ="oui",'définition profil en long'!I18,"")</f>
        <v/>
      </c>
      <c r="J18"/>
      <c r="K18"/>
    </row>
    <row r="19" spans="2:11" x14ac:dyDescent="0.2">
      <c r="B19" s="119" t="s">
        <v>121</v>
      </c>
      <c r="C19" s="43" t="str">
        <f>IF(AND(PMdonné&gt;=_PL9,PMdonné&lt;_PL10),"oui","non")</f>
        <v>non</v>
      </c>
      <c r="D19" s="43" t="str">
        <f>IF(testZ="oui",'définition profil en long'!D19,"")</f>
        <v/>
      </c>
      <c r="E19" s="44" t="str">
        <f>IF(testZ="oui",'définition profil en long'!E19,"")</f>
        <v/>
      </c>
      <c r="F19" s="44" t="str">
        <f>IF(testZ="oui",'définition profil en long'!F19,"")</f>
        <v/>
      </c>
      <c r="G19" s="44" t="str">
        <f>IF(testZ="oui",'définition profil en long'!G19,"")</f>
        <v/>
      </c>
      <c r="H19" s="45" t="str">
        <f>IF(testZ="oui",'définition profil en long'!H19,"")</f>
        <v/>
      </c>
      <c r="I19" s="43" t="str">
        <f>IF(testZ="oui",'définition profil en long'!I19,"")</f>
        <v/>
      </c>
      <c r="J19"/>
      <c r="K19"/>
    </row>
    <row r="20" spans="2:11" x14ac:dyDescent="0.2">
      <c r="B20" s="119" t="s">
        <v>122</v>
      </c>
      <c r="C20" s="43" t="str">
        <f>IF(AND(PMdonné&gt;=_PL10,PMdonné&lt;_PL11),"oui","non")</f>
        <v>non</v>
      </c>
      <c r="D20" s="43" t="str">
        <f>IF(testZ="oui",'définition profil en long'!D20,"")</f>
        <v/>
      </c>
      <c r="E20" s="44" t="str">
        <f>IF(testZ="oui",'définition profil en long'!E20,"")</f>
        <v/>
      </c>
      <c r="F20" s="44" t="str">
        <f>IF(testZ="oui",'définition profil en long'!F20,"")</f>
        <v/>
      </c>
      <c r="G20" s="44" t="str">
        <f>IF(testZ="oui",'définition profil en long'!G20,"")</f>
        <v/>
      </c>
      <c r="H20" s="45" t="str">
        <f>IF(testZ="oui",'définition profil en long'!H20,"")</f>
        <v/>
      </c>
      <c r="I20" s="43" t="str">
        <f>IF(testZ="oui",'définition profil en long'!I20,"")</f>
        <v/>
      </c>
      <c r="J20"/>
      <c r="K20"/>
    </row>
    <row r="21" spans="2:11" x14ac:dyDescent="0.2">
      <c r="B21" s="119" t="s">
        <v>123</v>
      </c>
      <c r="C21" s="43" t="str">
        <f>IF(AND(PMdonné&gt;=_PL11,PMdonné&lt;_PL12),"oui","non")</f>
        <v>non</v>
      </c>
      <c r="D21" s="43" t="str">
        <f>IF(testZ="oui",'définition profil en long'!D21,"")</f>
        <v/>
      </c>
      <c r="E21" s="44" t="str">
        <f>IF(testZ="oui",'définition profil en long'!E21,"")</f>
        <v/>
      </c>
      <c r="F21" s="44" t="str">
        <f>IF(testZ="oui",'définition profil en long'!F21,"")</f>
        <v/>
      </c>
      <c r="G21" s="44" t="str">
        <f>IF(testZ="oui",'définition profil en long'!G21,"")</f>
        <v/>
      </c>
      <c r="H21" s="45" t="str">
        <f>IF(testZ="oui",'définition profil en long'!H21,"")</f>
        <v/>
      </c>
      <c r="I21" s="43" t="str">
        <f>IF(testZ="oui",'définition profil en long'!I21,"")</f>
        <v/>
      </c>
      <c r="J21"/>
      <c r="K21"/>
    </row>
    <row r="22" spans="2:11" x14ac:dyDescent="0.2">
      <c r="B22" s="119" t="s">
        <v>124</v>
      </c>
      <c r="C22" s="43" t="str">
        <f>IF(AND(PMdonné&gt;=_PL12,PMdonné&lt;_PL13),"oui","non")</f>
        <v>non</v>
      </c>
      <c r="D22" s="43" t="str">
        <f>IF(testZ="oui",'définition profil en long'!D22,"")</f>
        <v/>
      </c>
      <c r="E22" s="44" t="str">
        <f>IF(testZ="oui",'définition profil en long'!E22,"")</f>
        <v/>
      </c>
      <c r="F22" s="44" t="str">
        <f>IF(testZ="oui",'définition profil en long'!F22,"")</f>
        <v/>
      </c>
      <c r="G22" s="44" t="str">
        <f>IF(testZ="oui",'définition profil en long'!G22,"")</f>
        <v/>
      </c>
      <c r="H22" s="45" t="str">
        <f>IF(testZ="oui",'définition profil en long'!H22,"")</f>
        <v/>
      </c>
      <c r="I22" s="43" t="str">
        <f>IF(testZ="oui",'définition profil en long'!I22,"")</f>
        <v/>
      </c>
      <c r="J22"/>
      <c r="K22"/>
    </row>
    <row r="23" spans="2:11" x14ac:dyDescent="0.2">
      <c r="B23" s="119" t="s">
        <v>125</v>
      </c>
      <c r="C23" s="43" t="str">
        <f>IF(AND(PMdonné&gt;=_PL13,PMdonné&lt;_PL14),"oui","non")</f>
        <v>non</v>
      </c>
      <c r="D23" s="43" t="str">
        <f>IF(testZ="oui",'définition profil en long'!D23,"")</f>
        <v/>
      </c>
      <c r="E23" s="44" t="str">
        <f>IF(testZ="oui",'définition profil en long'!E23,"")</f>
        <v/>
      </c>
      <c r="F23" s="44" t="str">
        <f>IF(testZ="oui",'définition profil en long'!F23,"")</f>
        <v/>
      </c>
      <c r="G23" s="44" t="str">
        <f>IF(testZ="oui",'définition profil en long'!G23,"")</f>
        <v/>
      </c>
      <c r="H23" s="45" t="str">
        <f>IF(testZ="oui",'définition profil en long'!H23,"")</f>
        <v/>
      </c>
      <c r="I23" s="43" t="str">
        <f>IF(testZ="oui",'définition profil en long'!I23,"")</f>
        <v/>
      </c>
      <c r="J23"/>
      <c r="K23"/>
    </row>
    <row r="24" spans="2:11" x14ac:dyDescent="0.2">
      <c r="B24" s="119" t="s">
        <v>126</v>
      </c>
      <c r="C24" s="43" t="str">
        <f>IF(AND(PMdonné&gt;=_PL14,PMdonné&lt;_PL15),"oui","non")</f>
        <v>non</v>
      </c>
      <c r="D24" s="43" t="str">
        <f>IF(testZ="oui",'définition profil en long'!D24,"")</f>
        <v/>
      </c>
      <c r="E24" s="44" t="str">
        <f>IF(testZ="oui",'définition profil en long'!E24,"")</f>
        <v/>
      </c>
      <c r="F24" s="44" t="str">
        <f>IF(testZ="oui",'définition profil en long'!F24,"")</f>
        <v/>
      </c>
      <c r="G24" s="44" t="str">
        <f>IF(testZ="oui",'définition profil en long'!G24,"")</f>
        <v/>
      </c>
      <c r="H24" s="45" t="str">
        <f>IF(testZ="oui",'définition profil en long'!H24,"")</f>
        <v/>
      </c>
      <c r="I24" s="43" t="str">
        <f>IF(testZ="oui",'définition profil en long'!I24,"")</f>
        <v/>
      </c>
      <c r="J24"/>
      <c r="K24"/>
    </row>
    <row r="25" spans="2:11" x14ac:dyDescent="0.2">
      <c r="B25" s="119" t="s">
        <v>127</v>
      </c>
      <c r="C25" s="43" t="str">
        <f>IF(AND(PMdonné&gt;=_PL15,PMdonné&lt;_PL16),"oui","non")</f>
        <v>non</v>
      </c>
      <c r="D25" s="43" t="str">
        <f>IF(testZ="oui",'définition profil en long'!D25,"")</f>
        <v/>
      </c>
      <c r="E25" s="44" t="str">
        <f>IF(testZ="oui",'définition profil en long'!E25,"")</f>
        <v/>
      </c>
      <c r="F25" s="44" t="str">
        <f>IF(testZ="oui",'définition profil en long'!F25,"")</f>
        <v/>
      </c>
      <c r="G25" s="44" t="str">
        <f>IF(testZ="oui",'définition profil en long'!G25,"")</f>
        <v/>
      </c>
      <c r="H25" s="45" t="str">
        <f>IF(testZ="oui",'définition profil en long'!H25,"")</f>
        <v/>
      </c>
      <c r="I25" s="43" t="str">
        <f>IF(testZ="oui",'définition profil en long'!I25,"")</f>
        <v/>
      </c>
      <c r="J25"/>
      <c r="K25"/>
    </row>
    <row r="26" spans="2:11" x14ac:dyDescent="0.2">
      <c r="B26" s="119" t="s">
        <v>128</v>
      </c>
      <c r="C26" s="43" t="str">
        <f>IF(AND(PMdonné&gt;=_PL16,PMdonné&lt;_PL17),"oui","non")</f>
        <v>non</v>
      </c>
      <c r="D26" s="43" t="str">
        <f>IF(testZ="oui",'définition profil en long'!D26,"")</f>
        <v/>
      </c>
      <c r="E26" s="44" t="str">
        <f>IF(testZ="oui",'définition profil en long'!E26,"")</f>
        <v/>
      </c>
      <c r="F26" s="44" t="str">
        <f>IF(testZ="oui",'définition profil en long'!F26,"")</f>
        <v/>
      </c>
      <c r="G26" s="44" t="str">
        <f>IF(testZ="oui",'définition profil en long'!G26,"")</f>
        <v/>
      </c>
      <c r="H26" s="45" t="str">
        <f>IF(testZ="oui",'définition profil en long'!H26,"")</f>
        <v/>
      </c>
      <c r="I26" s="43" t="str">
        <f>IF(testZ="oui",'définition profil en long'!I26,"")</f>
        <v/>
      </c>
      <c r="J26"/>
      <c r="K26"/>
    </row>
    <row r="27" spans="2:11" x14ac:dyDescent="0.2">
      <c r="B27" s="119" t="s">
        <v>129</v>
      </c>
      <c r="C27" s="43" t="str">
        <f>IF(AND(PMdonné&gt;=_PL17,PMdonné&lt;_PL18),"oui","non")</f>
        <v>non</v>
      </c>
      <c r="D27" s="43" t="str">
        <f>IF(testZ="oui",'définition profil en long'!D27,"")</f>
        <v/>
      </c>
      <c r="E27" s="44" t="str">
        <f>IF(testZ="oui",'définition profil en long'!E27,"")</f>
        <v/>
      </c>
      <c r="F27" s="44" t="str">
        <f>IF(testZ="oui",'définition profil en long'!F27,"")</f>
        <v/>
      </c>
      <c r="G27" s="44" t="str">
        <f>IF(testZ="oui",'définition profil en long'!G27,"")</f>
        <v/>
      </c>
      <c r="H27" s="45" t="str">
        <f>IF(testZ="oui",'définition profil en long'!H27,"")</f>
        <v/>
      </c>
      <c r="I27" s="43" t="str">
        <f>IF(testZ="oui",'définition profil en long'!I27,"")</f>
        <v/>
      </c>
      <c r="J27"/>
      <c r="K27"/>
    </row>
    <row r="28" spans="2:11" x14ac:dyDescent="0.2">
      <c r="B28" s="119" t="s">
        <v>136</v>
      </c>
      <c r="C28" s="43" t="str">
        <f>IF(AND(PMdonné&gt;=_PL18,PMdonné&lt;_PL19),"oui","non")</f>
        <v>non</v>
      </c>
      <c r="D28" s="43" t="str">
        <f>IF(testZ="oui",'définition profil en long'!D28,"")</f>
        <v/>
      </c>
      <c r="E28" s="44" t="str">
        <f>IF(testZ="oui",'définition profil en long'!E28,"")</f>
        <v/>
      </c>
      <c r="F28" s="44" t="str">
        <f>IF(testZ="oui",'définition profil en long'!F28,"")</f>
        <v/>
      </c>
      <c r="G28" s="44" t="str">
        <f>IF(testZ="oui",'définition profil en long'!G28,"")</f>
        <v/>
      </c>
      <c r="H28" s="45" t="str">
        <f>IF(testZ="oui",'définition profil en long'!H28,"")</f>
        <v/>
      </c>
      <c r="I28" s="43" t="str">
        <f>IF(testZ="oui",'définition profil en long'!I28,"")</f>
        <v/>
      </c>
      <c r="J28"/>
      <c r="K28"/>
    </row>
    <row r="29" spans="2:11" x14ac:dyDescent="0.2">
      <c r="B29" s="119" t="s">
        <v>137</v>
      </c>
      <c r="C29" s="43" t="str">
        <f>IF(AND(PMdonné&gt;=_PL19,PMdonné&lt;_PL20),"oui","non")</f>
        <v>non</v>
      </c>
      <c r="D29" s="43" t="str">
        <f>IF(testZ="oui",'définition profil en long'!D29,"")</f>
        <v/>
      </c>
      <c r="E29" s="44" t="str">
        <f>IF(testZ="oui",'définition profil en long'!E29,"")</f>
        <v/>
      </c>
      <c r="F29" s="44" t="str">
        <f>IF(testZ="oui",'définition profil en long'!F29,"")</f>
        <v/>
      </c>
      <c r="G29" s="44" t="str">
        <f>IF(testZ="oui",'définition profil en long'!G29,"")</f>
        <v/>
      </c>
      <c r="H29" s="45" t="str">
        <f>IF(testZ="oui",'définition profil en long'!H29,"")</f>
        <v/>
      </c>
      <c r="I29" s="43" t="str">
        <f>IF(testZ="oui",'définition profil en long'!I29,"")</f>
        <v/>
      </c>
      <c r="J29"/>
      <c r="K29"/>
    </row>
    <row r="30" spans="2:11" x14ac:dyDescent="0.2">
      <c r="B30" s="119" t="s">
        <v>138</v>
      </c>
      <c r="C30" s="43" t="str">
        <f>IF(AND(PMdonné&gt;=_PL20,PMdonné&lt;_PL21),"oui","non")</f>
        <v>non</v>
      </c>
      <c r="D30" s="43" t="str">
        <f>IF(testZ="oui",'définition profil en long'!D30,"")</f>
        <v/>
      </c>
      <c r="E30" s="44" t="str">
        <f>IF(testZ="oui",'définition profil en long'!E30,"")</f>
        <v/>
      </c>
      <c r="F30" s="44" t="str">
        <f>IF(testZ="oui",'définition profil en long'!F30,"")</f>
        <v/>
      </c>
      <c r="G30" s="44" t="str">
        <f>IF(testZ="oui",'définition profil en long'!G30,"")</f>
        <v/>
      </c>
      <c r="H30" s="45" t="str">
        <f>IF(testZ="oui",'définition profil en long'!H30,"")</f>
        <v/>
      </c>
      <c r="I30" s="43" t="str">
        <f>IF(testZ="oui",'définition profil en long'!I30,"")</f>
        <v/>
      </c>
      <c r="J30"/>
      <c r="K30"/>
    </row>
    <row r="31" spans="2:11" x14ac:dyDescent="0.2">
      <c r="B31" s="119" t="s">
        <v>139</v>
      </c>
      <c r="C31" s="43" t="str">
        <f>IF(AND(PMdonné&gt;=_PL21,PMdonné&lt;_PL22),"oui","non")</f>
        <v>non</v>
      </c>
      <c r="D31" s="43" t="str">
        <f>IF(testZ="oui",'définition profil en long'!D31,"")</f>
        <v/>
      </c>
      <c r="E31" s="44" t="str">
        <f>IF(testZ="oui",'définition profil en long'!E31,"")</f>
        <v/>
      </c>
      <c r="F31" s="44" t="str">
        <f>IF(testZ="oui",'définition profil en long'!F31,"")</f>
        <v/>
      </c>
      <c r="G31" s="44" t="str">
        <f>IF(testZ="oui",'définition profil en long'!G31,"")</f>
        <v/>
      </c>
      <c r="H31" s="45" t="str">
        <f>IF(testZ="oui",'définition profil en long'!H31,"")</f>
        <v/>
      </c>
      <c r="I31" s="43" t="str">
        <f>IF(testZ="oui",'définition profil en long'!I31,"")</f>
        <v/>
      </c>
      <c r="J31"/>
      <c r="K31"/>
    </row>
    <row r="32" spans="2:11" x14ac:dyDescent="0.2">
      <c r="B32" s="119" t="s">
        <v>140</v>
      </c>
      <c r="C32" s="43" t="str">
        <f>IF(AND(PMdonné&gt;=_PL22,PMdonné&lt;_PL23),"oui","non")</f>
        <v>non</v>
      </c>
      <c r="D32" s="43" t="str">
        <f>IF(testZ="oui",'définition profil en long'!D32,"")</f>
        <v/>
      </c>
      <c r="E32" s="44" t="str">
        <f>IF(testZ="oui",'définition profil en long'!E32,"")</f>
        <v/>
      </c>
      <c r="F32" s="44" t="str">
        <f>IF(testZ="oui",'définition profil en long'!F32,"")</f>
        <v/>
      </c>
      <c r="G32" s="44" t="str">
        <f>IF(testZ="oui",'définition profil en long'!G32,"")</f>
        <v/>
      </c>
      <c r="H32" s="45" t="str">
        <f>IF(testZ="oui",'définition profil en long'!H32,"")</f>
        <v/>
      </c>
      <c r="I32" s="43" t="str">
        <f>IF(testZ="oui",'définition profil en long'!I32,"")</f>
        <v/>
      </c>
      <c r="J32"/>
      <c r="K32"/>
    </row>
    <row r="33" spans="1:12" x14ac:dyDescent="0.2">
      <c r="B33" s="119" t="s">
        <v>141</v>
      </c>
      <c r="C33" s="43" t="str">
        <f>IF(AND(PMdonné&gt;=_PL23,PMdonné&lt;_PL24),"oui","non")</f>
        <v>non</v>
      </c>
      <c r="D33" s="43" t="str">
        <f>IF(testZ="oui",'définition profil en long'!D33,"")</f>
        <v/>
      </c>
      <c r="E33" s="44" t="str">
        <f>IF(testZ="oui",'définition profil en long'!E33,"")</f>
        <v/>
      </c>
      <c r="F33" s="44" t="str">
        <f>IF(testZ="oui",'définition profil en long'!F33,"")</f>
        <v/>
      </c>
      <c r="G33" s="44" t="str">
        <f>IF(testZ="oui",'définition profil en long'!G33,"")</f>
        <v/>
      </c>
      <c r="H33" s="45" t="str">
        <f>IF(testZ="oui",'définition profil en long'!H33,"")</f>
        <v/>
      </c>
      <c r="I33" s="43" t="str">
        <f>IF(testZ="oui",'définition profil en long'!I33,"")</f>
        <v/>
      </c>
      <c r="J33"/>
      <c r="K33"/>
    </row>
    <row r="34" spans="1:12" x14ac:dyDescent="0.2">
      <c r="B34" s="119"/>
      <c r="C34" s="32"/>
      <c r="D34" s="32"/>
      <c r="E34" s="32"/>
      <c r="F34" s="32"/>
      <c r="G34" s="32"/>
      <c r="H34" s="32"/>
      <c r="I34" s="32"/>
      <c r="J34"/>
      <c r="K34"/>
    </row>
    <row r="35" spans="1:12" x14ac:dyDescent="0.2">
      <c r="J35"/>
      <c r="K35"/>
    </row>
    <row r="36" spans="1:12" x14ac:dyDescent="0.2">
      <c r="J36"/>
      <c r="K36"/>
    </row>
    <row r="37" spans="1:12" ht="15.75" x14ac:dyDescent="0.2">
      <c r="B37" s="32"/>
      <c r="C37" s="33" t="s">
        <v>28</v>
      </c>
      <c r="D37" s="47" t="str">
        <f>D11&amp;D12&amp;D13&amp;D14&amp;D15&amp;D16&amp;D17&amp;D18&amp;D19&amp;D20&amp;D21&amp;D22&amp;D23&amp;D24&amp;D25&amp;D26&amp;D27&amp;D28&amp;D29&amp;D30&amp;D31&amp;D32&amp;D33</f>
        <v/>
      </c>
      <c r="E37" s="48">
        <f>SUM(E11:E33)</f>
        <v>0</v>
      </c>
      <c r="F37" s="48">
        <f>SUM(F11:F33)</f>
        <v>0</v>
      </c>
      <c r="G37" s="48">
        <f>SUM(G11:G33)</f>
        <v>0</v>
      </c>
      <c r="H37" s="47" t="str">
        <f>IF(SUM(H11:H33)=0,"",SUM(H11:H33))</f>
        <v/>
      </c>
      <c r="I37" s="47" t="str">
        <f>IF(SUM(I11:I33)=0,"",SUM(I11:I33))</f>
        <v/>
      </c>
      <c r="J37"/>
      <c r="K37" t="s">
        <v>80</v>
      </c>
    </row>
    <row r="38" spans="1:12" x14ac:dyDescent="0.2">
      <c r="D38" s="36"/>
      <c r="E38" s="37"/>
      <c r="F38" s="37"/>
      <c r="G38" s="37"/>
      <c r="H38" s="38"/>
      <c r="I38" s="36"/>
      <c r="J38"/>
      <c r="K38"/>
    </row>
    <row r="39" spans="1:12" x14ac:dyDescent="0.2">
      <c r="J39"/>
      <c r="K39"/>
    </row>
    <row r="41" spans="1:12" ht="69" customHeight="1" x14ac:dyDescent="0.2">
      <c r="A41" s="90" t="s">
        <v>81</v>
      </c>
      <c r="B41" s="91"/>
      <c r="C41" s="91" t="s">
        <v>82</v>
      </c>
      <c r="D41" s="91" t="s">
        <v>76</v>
      </c>
      <c r="E41"/>
      <c r="F41" s="34"/>
      <c r="G41" s="40"/>
      <c r="H41" s="40"/>
      <c r="I41" s="101" t="s">
        <v>83</v>
      </c>
      <c r="J41" s="101" t="s">
        <v>84</v>
      </c>
      <c r="K41" s="100" t="s">
        <v>85</v>
      </c>
      <c r="L41"/>
    </row>
    <row r="42" spans="1:12" x14ac:dyDescent="0.2">
      <c r="A42"/>
      <c r="E42"/>
      <c r="L42"/>
    </row>
    <row r="43" spans="1:12" ht="27.75" customHeight="1" x14ac:dyDescent="0.2">
      <c r="A43" s="41" t="str">
        <f>IF(typeZ="Pente constante",PMdonné-PMz,"")</f>
        <v/>
      </c>
      <c r="B43" s="92"/>
      <c r="C43" s="92" t="str">
        <f>IF(typeZ="Pente constante",Ze+pente*A43,"")</f>
        <v/>
      </c>
      <c r="D43" s="41" t="str">
        <f>IF(typeZ="Pente constante",pente,"")</f>
        <v/>
      </c>
      <c r="E43"/>
      <c r="F43" s="14" t="s">
        <v>87</v>
      </c>
      <c r="G43"/>
      <c r="H43"/>
      <c r="I43"/>
      <c r="J43"/>
      <c r="L43"/>
    </row>
    <row r="44" spans="1:12" x14ac:dyDescent="0.2">
      <c r="C44" s="94"/>
      <c r="E44"/>
      <c r="G44"/>
      <c r="H44"/>
      <c r="I44"/>
      <c r="J44"/>
      <c r="L44"/>
    </row>
    <row r="45" spans="1:12" ht="30.75" customHeight="1" x14ac:dyDescent="0.2">
      <c r="A45" s="41" t="str">
        <f>IF(typeZ="cercle",PMdonné-PMz,"")</f>
        <v/>
      </c>
      <c r="B45" s="41" t="s">
        <v>86</v>
      </c>
      <c r="C45" s="92" t="str">
        <f>IF(typeZ="Cercle",J45-SensZ*_R*COS(K45),"")</f>
        <v/>
      </c>
      <c r="D45" s="41" t="str">
        <f>IF(typeZ="Cercle",TAN(SensZ*K45),"")</f>
        <v/>
      </c>
      <c r="E45"/>
      <c r="F45" s="14" t="s">
        <v>42</v>
      </c>
      <c r="G45"/>
      <c r="H45"/>
      <c r="I45" s="107" t="str">
        <f>IF(typeZ="Cercle",PMz-_R*SensZ*SIN(ATAN(pente)),"")</f>
        <v/>
      </c>
      <c r="J45" s="107" t="str">
        <f>IF(typeZ="Cercle",Ze+_R*SensZ*COS(ATAN(pente)),"")</f>
        <v/>
      </c>
      <c r="K45" s="41" t="str">
        <f>IF(typeZ="Cercle",ASIN((PMdonné-I45)/_R),"")</f>
        <v/>
      </c>
      <c r="L45"/>
    </row>
    <row r="46" spans="1:12" x14ac:dyDescent="0.2">
      <c r="A46"/>
      <c r="C46" s="94"/>
      <c r="E46"/>
      <c r="G46"/>
      <c r="H46"/>
      <c r="I46"/>
      <c r="J46"/>
      <c r="K46"/>
    </row>
    <row r="47" spans="1:12" ht="30" customHeight="1" x14ac:dyDescent="0.2">
      <c r="A47" s="41" t="str">
        <f>IF(typeZ="Parabole",PMdonné-PMz,"")</f>
        <v/>
      </c>
      <c r="B47" s="41"/>
      <c r="C47" s="41" t="str">
        <f>IF(typeZ="Parabole",Ze+A47*pente+A47^2/(2*_R*SensZ),"")</f>
        <v/>
      </c>
      <c r="D47" s="41" t="str">
        <f>IF(typeZ="Parabole",pente+A47/(_R*SensZ),"")</f>
        <v/>
      </c>
      <c r="E47"/>
      <c r="F47" s="14" t="s">
        <v>88</v>
      </c>
      <c r="G47"/>
      <c r="H47"/>
      <c r="I47"/>
      <c r="J47"/>
      <c r="K47"/>
    </row>
    <row r="48" spans="1:12" ht="15.75" thickBot="1" x14ac:dyDescent="0.25">
      <c r="E48"/>
      <c r="F48"/>
      <c r="G48"/>
      <c r="H48"/>
      <c r="I48"/>
      <c r="J48"/>
    </row>
    <row r="49" spans="1:10" ht="30.75" customHeight="1" thickBot="1" x14ac:dyDescent="0.25">
      <c r="A49" s="93">
        <f>ROUND(SUM(A43:A47),5)</f>
        <v>0</v>
      </c>
      <c r="B49" s="93">
        <f>SUM(B43:B47)</f>
        <v>0</v>
      </c>
      <c r="C49" s="56">
        <f>SUM(C43:C47)</f>
        <v>0</v>
      </c>
      <c r="D49" s="113">
        <f>SUM(D43:D47)</f>
        <v>0</v>
      </c>
      <c r="E49"/>
      <c r="F49"/>
      <c r="G49"/>
      <c r="H49"/>
      <c r="I49"/>
      <c r="J49"/>
    </row>
    <row r="50" spans="1:10" x14ac:dyDescent="0.2">
      <c r="E50"/>
      <c r="F50"/>
      <c r="G50"/>
      <c r="H50"/>
      <c r="I50"/>
      <c r="J50"/>
    </row>
    <row r="51" spans="1:10" x14ac:dyDescent="0.2">
      <c r="E51"/>
      <c r="F51"/>
      <c r="G51"/>
      <c r="H51"/>
      <c r="I51"/>
      <c r="J51"/>
    </row>
    <row r="52" spans="1:10" x14ac:dyDescent="0.2">
      <c r="E52"/>
    </row>
  </sheetData>
  <customSheetViews>
    <customSheetView guid="{7E34E800-94BB-11D6-B2C6-0002A57730F5}" scale="50" showRuler="0" topLeftCell="A7">
      <selection activeCell="I37" sqref="I37"/>
      <pageMargins left="0.39370078740157483" right="0.19685039370078741" top="0.39370078740157483" bottom="0.39370078740157483" header="0.11811023622047245" footer="0.11811023622047245"/>
      <printOptions horizontalCentered="1"/>
      <pageSetup paperSize="9" orientation="portrait" horizontalDpi="300" verticalDpi="300" r:id="rId1"/>
      <headerFooter alignWithMargins="0">
        <oddHeader>&amp;C&amp;F&amp;A</oddHeader>
      </headerFooter>
    </customSheetView>
  </customSheetViews>
  <mergeCells count="1">
    <mergeCell ref="Q1:V1"/>
  </mergeCells>
  <phoneticPr fontId="0" type="noConversion"/>
  <printOptions horizontalCentered="1"/>
  <pageMargins left="0.39370078740157483" right="0.19685039370078741" top="0.39370078740157483" bottom="0.39370078740157483" header="0.11811023622047245" footer="0.11811023622047245"/>
  <pageSetup paperSize="9" orientation="portrait" horizontalDpi="300" verticalDpi="300" r:id="rId2"/>
  <headerFooter alignWithMargins="0">
    <oddHeader>&amp;C&amp;F&amp;A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157</vt:i4>
      </vt:variant>
    </vt:vector>
  </HeadingPairs>
  <TitlesOfParts>
    <vt:vector size="170" baseType="lpstr">
      <vt:lpstr>INFOS-PARAM</vt:lpstr>
      <vt:lpstr>Entrée</vt:lpstr>
      <vt:lpstr>Projet vers Absolues</vt:lpstr>
      <vt:lpstr>Tabulation</vt:lpstr>
      <vt:lpstr>Ecarts</vt:lpstr>
      <vt:lpstr>Rabattement</vt:lpstr>
      <vt:lpstr>Calcul XY du rabattement</vt:lpstr>
      <vt:lpstr>Calcul Z du rabattement</vt:lpstr>
      <vt:lpstr>définition axe en plan</vt:lpstr>
      <vt:lpstr>axe_en_plan</vt:lpstr>
      <vt:lpstr>définition profil en long</vt:lpstr>
      <vt:lpstr>Calcul XY</vt:lpstr>
      <vt:lpstr>Calcul Z</vt:lpstr>
      <vt:lpstr>_PL1</vt:lpstr>
      <vt:lpstr>_PL10</vt:lpstr>
      <vt:lpstr>_PL11</vt:lpstr>
      <vt:lpstr>_PL12</vt:lpstr>
      <vt:lpstr>_PL13</vt:lpstr>
      <vt:lpstr>_PL14</vt:lpstr>
      <vt:lpstr>_PL15</vt:lpstr>
      <vt:lpstr>_PL16</vt:lpstr>
      <vt:lpstr>_PL17</vt:lpstr>
      <vt:lpstr>_PL18</vt:lpstr>
      <vt:lpstr>_PL19</vt:lpstr>
      <vt:lpstr>_PL2</vt:lpstr>
      <vt:lpstr>_PL20</vt:lpstr>
      <vt:lpstr>_PL21</vt:lpstr>
      <vt:lpstr>_PL22</vt:lpstr>
      <vt:lpstr>_PL23</vt:lpstr>
      <vt:lpstr>_PL24</vt:lpstr>
      <vt:lpstr>_PL25</vt:lpstr>
      <vt:lpstr>_PL26</vt:lpstr>
      <vt:lpstr>_PL3</vt:lpstr>
      <vt:lpstr>_PL4</vt:lpstr>
      <vt:lpstr>_PL5</vt:lpstr>
      <vt:lpstr>_PL6</vt:lpstr>
      <vt:lpstr>_PL7</vt:lpstr>
      <vt:lpstr>_PL8</vt:lpstr>
      <vt:lpstr>_PL9</vt:lpstr>
      <vt:lpstr>_PM1</vt:lpstr>
      <vt:lpstr>_PM10</vt:lpstr>
      <vt:lpstr>_PM11</vt:lpstr>
      <vt:lpstr>_PM12</vt:lpstr>
      <vt:lpstr>_PM13</vt:lpstr>
      <vt:lpstr>_PM14</vt:lpstr>
      <vt:lpstr>_PM15</vt:lpstr>
      <vt:lpstr>_PM16</vt:lpstr>
      <vt:lpstr>_PM17</vt:lpstr>
      <vt:lpstr>_PM18</vt:lpstr>
      <vt:lpstr>_PM19</vt:lpstr>
      <vt:lpstr>_PM2</vt:lpstr>
      <vt:lpstr>_PM20</vt:lpstr>
      <vt:lpstr>_PM21</vt:lpstr>
      <vt:lpstr>_PM22</vt:lpstr>
      <vt:lpstr>_PM23</vt:lpstr>
      <vt:lpstr>_PM24</vt:lpstr>
      <vt:lpstr>_PM25</vt:lpstr>
      <vt:lpstr>_PM26</vt:lpstr>
      <vt:lpstr>_PM27</vt:lpstr>
      <vt:lpstr>_PM28</vt:lpstr>
      <vt:lpstr>_PM3</vt:lpstr>
      <vt:lpstr>_PM4</vt:lpstr>
      <vt:lpstr>_PM5</vt:lpstr>
      <vt:lpstr>_PM6</vt:lpstr>
      <vt:lpstr>_PM7</vt:lpstr>
      <vt:lpstr>_PM8</vt:lpstr>
      <vt:lpstr>_PM9</vt:lpstr>
      <vt:lpstr>'Calcul Z du rabattement'!_R</vt:lpstr>
      <vt:lpstr>_R</vt:lpstr>
      <vt:lpstr>'définition profil en long'!_Za1</vt:lpstr>
      <vt:lpstr>_Za10</vt:lpstr>
      <vt:lpstr>_Za11</vt:lpstr>
      <vt:lpstr>_Za12</vt:lpstr>
      <vt:lpstr>_Za13</vt:lpstr>
      <vt:lpstr>_Za14</vt:lpstr>
      <vt:lpstr>_Za15</vt:lpstr>
      <vt:lpstr>_Za16</vt:lpstr>
      <vt:lpstr>_Za17</vt:lpstr>
      <vt:lpstr>_Za18</vt:lpstr>
      <vt:lpstr>_Za19</vt:lpstr>
      <vt:lpstr>'définition profil en long'!_Za2</vt:lpstr>
      <vt:lpstr>_Za20</vt:lpstr>
      <vt:lpstr>_Za21</vt:lpstr>
      <vt:lpstr>'définition profil en long'!_Za3</vt:lpstr>
      <vt:lpstr>'définition profil en long'!_Za4</vt:lpstr>
      <vt:lpstr>'définition profil en long'!_Za5</vt:lpstr>
      <vt:lpstr>_Za6</vt:lpstr>
      <vt:lpstr>_Za7</vt:lpstr>
      <vt:lpstr>_Za8</vt:lpstr>
      <vt:lpstr>_Za9</vt:lpstr>
      <vt:lpstr>'Calcul XY du rabattement'!D</vt:lpstr>
      <vt:lpstr>D</vt:lpstr>
      <vt:lpstr>Dévers</vt:lpstr>
      <vt:lpstr>Déversrabat</vt:lpstr>
      <vt:lpstr>Dr</vt:lpstr>
      <vt:lpstr>'Calcul XY du rabattement'!Dx</vt:lpstr>
      <vt:lpstr>Dx</vt:lpstr>
      <vt:lpstr>'Calcul XY du rabattement'!Dy</vt:lpstr>
      <vt:lpstr>Dy</vt:lpstr>
      <vt:lpstr>EcartHdonné</vt:lpstr>
      <vt:lpstr>EcartVdonné</vt:lpstr>
      <vt:lpstr>entrevoie</vt:lpstr>
      <vt:lpstr>'Calcul XY du rabattement'!Gise</vt:lpstr>
      <vt:lpstr>Gise</vt:lpstr>
      <vt:lpstr>Gisr</vt:lpstr>
      <vt:lpstr>Hormigon</vt:lpstr>
      <vt:lpstr>'définition axe en plan'!Impression_des_titres</vt:lpstr>
      <vt:lpstr>Ecarts!Impression_des_titres</vt:lpstr>
      <vt:lpstr>'Projet vers Absolues'!Impression_des_titres</vt:lpstr>
      <vt:lpstr>Tabulation!Impression_des_titres</vt:lpstr>
      <vt:lpstr>'Calcul XY du rabattement'!M</vt:lpstr>
      <vt:lpstr>M</vt:lpstr>
      <vt:lpstr>non</vt:lpstr>
      <vt:lpstr>'Calcul XY du rabattement'!param</vt:lpstr>
      <vt:lpstr>param</vt:lpstr>
      <vt:lpstr>paramr</vt:lpstr>
      <vt:lpstr>'Calcul Z du rabattement'!pente</vt:lpstr>
      <vt:lpstr>pente</vt:lpstr>
      <vt:lpstr>'Calcul XY du rabattement'!PM</vt:lpstr>
      <vt:lpstr>PM</vt:lpstr>
      <vt:lpstr>PMdonné</vt:lpstr>
      <vt:lpstr>PMdonnér</vt:lpstr>
      <vt:lpstr>pmr</vt:lpstr>
      <vt:lpstr>PMrabat</vt:lpstr>
      <vt:lpstr>'Calcul Z du rabattement'!PMz</vt:lpstr>
      <vt:lpstr>PMz</vt:lpstr>
      <vt:lpstr>Rail</vt:lpstr>
      <vt:lpstr>'Calcul XY du rabattement'!Ray</vt:lpstr>
      <vt:lpstr>Ray</vt:lpstr>
      <vt:lpstr>Rayr</vt:lpstr>
      <vt:lpstr>Ecarts!resultats</vt:lpstr>
      <vt:lpstr>'Calcul XY du rabattement'!Sens</vt:lpstr>
      <vt:lpstr>Sens</vt:lpstr>
      <vt:lpstr>sensr</vt:lpstr>
      <vt:lpstr>'Calcul Z du rabattement'!SensZ</vt:lpstr>
      <vt:lpstr>SensZ</vt:lpstr>
      <vt:lpstr>'Calcul XY du rabattement'!test</vt:lpstr>
      <vt:lpstr>test</vt:lpstr>
      <vt:lpstr>test_dist</vt:lpstr>
      <vt:lpstr>test_gis</vt:lpstr>
      <vt:lpstr>'Calcul Z du rabattement'!testZ</vt:lpstr>
      <vt:lpstr>testZ</vt:lpstr>
      <vt:lpstr>'Calcul XY du rabattement'!Type</vt:lpstr>
      <vt:lpstr>Type</vt:lpstr>
      <vt:lpstr>typer</vt:lpstr>
      <vt:lpstr>'Calcul Z du rabattement'!typeZ</vt:lpstr>
      <vt:lpstr>typeZ</vt:lpstr>
      <vt:lpstr>'Calcul XY du rabattement'!Xc</vt:lpstr>
      <vt:lpstr>Xc</vt:lpstr>
      <vt:lpstr>Xdonné</vt:lpstr>
      <vt:lpstr>'Calcul XY du rabattement'!Xe</vt:lpstr>
      <vt:lpstr>Xe</vt:lpstr>
      <vt:lpstr>Xr</vt:lpstr>
      <vt:lpstr>'Calcul XY du rabattement'!Yc</vt:lpstr>
      <vt:lpstr>Yc</vt:lpstr>
      <vt:lpstr>Ydonné</vt:lpstr>
      <vt:lpstr>'Calcul XY du rabattement'!Ye</vt:lpstr>
      <vt:lpstr>Ye</vt:lpstr>
      <vt:lpstr>Yr</vt:lpstr>
      <vt:lpstr>Zdonné</vt:lpstr>
      <vt:lpstr>'Calcul Z du rabattement'!Ze</vt:lpstr>
      <vt:lpstr>Ze</vt:lpstr>
      <vt:lpstr>'Calcul XY'!Zone_d_impression</vt:lpstr>
      <vt:lpstr>'Calcul XY du rabattement'!Zone_d_impression</vt:lpstr>
      <vt:lpstr>'définition axe en plan'!Zone_d_impression</vt:lpstr>
      <vt:lpstr>'définition profil en long'!Zone_d_impression</vt:lpstr>
      <vt:lpstr>Ecarts!Zone_d_impression</vt:lpstr>
      <vt:lpstr>Entrée!Zone_d_impression</vt:lpstr>
      <vt:lpstr>'Projet vers Absolues'!Zone_d_impression</vt:lpstr>
      <vt:lpstr>Tabulation!Zone_d_impression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J.leleu</dc:creator>
  <cp:lastModifiedBy>olivier boissard</cp:lastModifiedBy>
  <cp:lastPrinted>2008-10-03T16:46:01Z</cp:lastPrinted>
  <dcterms:created xsi:type="dcterms:W3CDTF">1999-02-11T10:51:38Z</dcterms:created>
  <dcterms:modified xsi:type="dcterms:W3CDTF">2025-04-17T19:04:47Z</dcterms:modified>
</cp:coreProperties>
</file>