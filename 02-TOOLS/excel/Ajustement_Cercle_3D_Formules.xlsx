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 3D" sheetId="1" state="visible" r:id="rId1"/>
    <sheet xmlns:r="http://schemas.openxmlformats.org/officeDocument/2006/relationships" name="1_PlanMoyen" sheetId="2" state="visible" r:id="rId2"/>
    <sheet xmlns:r="http://schemas.openxmlformats.org/officeDocument/2006/relationships" name="2_Projection" sheetId="3" state="visible" r:id="rId3"/>
    <sheet xmlns:r="http://schemas.openxmlformats.org/officeDocument/2006/relationships" name="3_Cercle_2D" sheetId="4" state="visible" r:id="rId4"/>
    <sheet xmlns:r="http://schemas.openxmlformats.org/officeDocument/2006/relationships" name="4_Resul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Collez ici vos points 3D relevés dans les colonnes X, Y, Z.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</row>
    <row r="3">
      <c r="A3" t="n">
        <v>100</v>
      </c>
      <c r="B3" t="n">
        <v>200</v>
      </c>
      <c r="C3" t="n">
        <v>10</v>
      </c>
    </row>
    <row r="4">
      <c r="A4" t="n">
        <v>101</v>
      </c>
      <c r="B4" t="n">
        <v>200.5</v>
      </c>
      <c r="C4" t="n">
        <v>10.2</v>
      </c>
    </row>
    <row r="5">
      <c r="A5" t="n">
        <v>100.5</v>
      </c>
      <c r="B5" t="n">
        <v>201</v>
      </c>
      <c r="C5" t="n">
        <v>10.1</v>
      </c>
    </row>
    <row r="6">
      <c r="A6" t="n">
        <v>99.5</v>
      </c>
      <c r="B6" t="n">
        <v>199.5</v>
      </c>
      <c r="C6" t="n">
        <v>9.9</v>
      </c>
    </row>
    <row r="7">
      <c r="A7" t="n">
        <v>100</v>
      </c>
      <c r="B7" t="n">
        <v>199</v>
      </c>
      <c r="C7" t="n">
        <v>9.800000000000001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 du centre de gravité (moyenne)</t>
        </is>
      </c>
    </row>
    <row r="3">
      <c r="A3" t="inlineStr">
        <is>
          <t>Moyenne X</t>
        </is>
      </c>
      <c r="B3" t="inlineStr">
        <is>
          <t>Moyenne Y</t>
        </is>
      </c>
      <c r="C3" t="inlineStr">
        <is>
          <t>Moyenne Z</t>
        </is>
      </c>
    </row>
    <row r="4">
      <c r="A4">
        <f>AVERAGE('Points 3D'!A3:A1002)</f>
        <v/>
      </c>
      <c r="B4">
        <f>AVERAGE('Points 3D'!B3:B1002)</f>
        <v/>
      </c>
      <c r="C4">
        <f>AVERAGE('Points 3D'!C3:C1002)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X'</t>
        </is>
      </c>
      <c r="B2" s="2" t="inlineStr">
        <is>
          <t>Y'</t>
        </is>
      </c>
    </row>
    <row r="3">
      <c r="A3" t="n">
        <v>-0.1052301827820388</v>
      </c>
      <c r="B3" t="n">
        <v>0.168640551098557</v>
      </c>
    </row>
    <row r="4">
      <c r="A4" t="n">
        <v>0.8708164351632632</v>
      </c>
      <c r="B4" t="n">
        <v>-0.4116039512102062</v>
      </c>
    </row>
    <row r="5">
      <c r="A5" t="n">
        <v>1.008783541999698</v>
      </c>
      <c r="B5" t="n">
        <v>0.2811892875654031</v>
      </c>
    </row>
    <row r="6">
      <c r="A6" t="n">
        <v>-0.8019169636910517</v>
      </c>
      <c r="B6" t="n">
        <v>0.3245391397125292</v>
      </c>
    </row>
    <row r="7">
      <c r="A7" t="n">
        <v>-0.9724528306898782</v>
      </c>
      <c r="B7" t="n">
        <v>-0.3627650271662712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Collez ici les coordonnées projetées (X' et Y') des points (à remplir depuis '2_Projection')</t>
        </is>
      </c>
    </row>
    <row r="2">
      <c r="D2" t="inlineStr">
        <is>
          <t>Formules LSQ sur X' et Y' :</t>
        </is>
      </c>
    </row>
    <row r="3">
      <c r="A3" t="inlineStr">
        <is>
          <t>X'</t>
        </is>
      </c>
      <c r="B3" t="inlineStr">
        <is>
          <t>Y'</t>
        </is>
      </c>
    </row>
    <row r="4">
      <c r="D4" t="inlineStr">
        <is>
          <t>Somme(2X)</t>
        </is>
      </c>
      <c r="E4" t="inlineStr">
        <is>
          <t>Somme(2Y)</t>
        </is>
      </c>
      <c r="F4" t="inlineStr">
        <is>
          <t>Somme(1)</t>
        </is>
      </c>
    </row>
    <row r="5">
      <c r="D5">
        <f>2*SUM(A4:A1003)</f>
        <v/>
      </c>
      <c r="E5">
        <f>2*SUM(B4:B1003)</f>
        <v/>
      </c>
      <c r="F5">
        <f>COUNTA(A4:A1003)</f>
        <v/>
      </c>
    </row>
    <row r="6">
      <c r="D6" t="inlineStr">
        <is>
          <t>Somme(X^2 + Y^2)</t>
        </is>
      </c>
    </row>
    <row r="7">
      <c r="D7">
        <f>SUMPRODUCT(A4:A1003,A4:A1003)+SUMPRODUCT(B4:B1003,B4:B1003)</f>
        <v/>
      </c>
    </row>
    <row r="9">
      <c r="D9" t="inlineStr">
        <is>
          <t>Centre X</t>
        </is>
      </c>
      <c r="E9" t="inlineStr">
        <is>
          <t>Centre Y</t>
        </is>
      </c>
      <c r="F9" t="inlineStr">
        <is>
          <t>Rayon</t>
        </is>
      </c>
    </row>
    <row r="10">
      <c r="D10">
        <f>AVERAGE(A4:A1003)</f>
        <v/>
      </c>
      <c r="E10">
        <f>AVERAGE(B4:B1003)</f>
        <v/>
      </c>
      <c r="F10">
        <f>SQRT(AVERAGE((A4:A1003-D10)^2+(B4:B1003-E10)^2))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3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Centre_X</t>
        </is>
      </c>
      <c r="B2" s="2" t="inlineStr">
        <is>
          <t>Centre_Y</t>
        </is>
      </c>
      <c r="C2" s="2" t="inlineStr">
        <is>
          <t>Centre_Z</t>
        </is>
      </c>
      <c r="D2" s="2" t="inlineStr">
        <is>
          <t>Rayon</t>
        </is>
      </c>
      <c r="E2" s="2" t="inlineStr">
        <is>
          <t>Plan_Norm_X</t>
        </is>
      </c>
      <c r="F2" s="2" t="inlineStr">
        <is>
          <t>Plan_Norm_Y</t>
        </is>
      </c>
      <c r="G2" s="2" t="inlineStr">
        <is>
          <t>Plan_Norm_Z</t>
        </is>
      </c>
    </row>
    <row r="3">
      <c r="A3" t="n">
        <v>100.3966197441213</v>
      </c>
      <c r="B3" t="n">
        <v>199.9202545060504</v>
      </c>
      <c r="C3" t="n">
        <v>10.01206178319416</v>
      </c>
      <c r="D3" t="n">
        <v>0.9072424115963816</v>
      </c>
      <c r="E3" t="n">
        <v>-0.1103373414618573</v>
      </c>
      <c r="F3" t="n">
        <v>-0.1228699405844384</v>
      </c>
      <c r="G3" t="n">
        <v>0.9862700688857521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2025-04-23T08:36:22Z</dcterms:created>
  <dcterms:modified xmlns:dcterms="http://purl.org/dc/terms/" xmlns:xsi="http://www.w3.org/2001/XMLSchema-instance" xsi:type="dcterms:W3CDTF">2025-04-23T08:36:22Z</dcterms:modified>
</cp:coreProperties>
</file>