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7F477ECE-4DB3-45AC-8ADF-A157FD317C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YSE TRI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5" l="1"/>
  <c r="Z4" i="5"/>
  <c r="AA4" i="5"/>
  <c r="AB4" i="5"/>
  <c r="Y5" i="5"/>
  <c r="Z5" i="5"/>
  <c r="AA5" i="5"/>
  <c r="AB5" i="5"/>
  <c r="Y6" i="5"/>
  <c r="Z6" i="5"/>
  <c r="AA6" i="5"/>
  <c r="AB6" i="5"/>
  <c r="Y7" i="5"/>
  <c r="Z7" i="5"/>
  <c r="AA7" i="5"/>
  <c r="AB7" i="5"/>
  <c r="Y8" i="5"/>
  <c r="Z8" i="5"/>
  <c r="AA8" i="5"/>
  <c r="AB8" i="5"/>
  <c r="Y9" i="5"/>
  <c r="Z9" i="5"/>
  <c r="AA9" i="5"/>
  <c r="AB9" i="5"/>
  <c r="Y10" i="5"/>
  <c r="Z10" i="5"/>
  <c r="AA10" i="5"/>
  <c r="AB10" i="5"/>
  <c r="Y11" i="5"/>
  <c r="Z11" i="5"/>
  <c r="AA11" i="5"/>
  <c r="AB11" i="5"/>
  <c r="Y12" i="5"/>
  <c r="Z12" i="5"/>
  <c r="AA12" i="5"/>
  <c r="AB12" i="5"/>
  <c r="Y13" i="5"/>
  <c r="Z13" i="5"/>
  <c r="AA13" i="5"/>
  <c r="AB13" i="5"/>
  <c r="Y14" i="5"/>
  <c r="Z14" i="5"/>
  <c r="AA14" i="5"/>
  <c r="AB14" i="5"/>
  <c r="Y15" i="5"/>
  <c r="Z15" i="5"/>
  <c r="AA15" i="5"/>
  <c r="AB15" i="5"/>
  <c r="Y16" i="5"/>
  <c r="Z16" i="5"/>
  <c r="AA16" i="5"/>
  <c r="AB16" i="5"/>
  <c r="Y17" i="5"/>
  <c r="Z17" i="5"/>
  <c r="AA17" i="5"/>
  <c r="AB17" i="5"/>
  <c r="Y18" i="5"/>
  <c r="Z18" i="5"/>
  <c r="AA18" i="5"/>
  <c r="AB18" i="5"/>
  <c r="Y19" i="5"/>
  <c r="Z19" i="5"/>
  <c r="AA19" i="5"/>
  <c r="AB19" i="5"/>
  <c r="Y20" i="5"/>
  <c r="Z20" i="5"/>
  <c r="AA20" i="5"/>
  <c r="AB20" i="5"/>
  <c r="Y21" i="5"/>
  <c r="Z21" i="5"/>
  <c r="AA21" i="5"/>
  <c r="AB21" i="5"/>
  <c r="Y22" i="5"/>
  <c r="Z22" i="5"/>
  <c r="AA22" i="5"/>
  <c r="AB22" i="5"/>
  <c r="Y23" i="5"/>
  <c r="Z23" i="5"/>
  <c r="AA23" i="5"/>
  <c r="AB23" i="5"/>
  <c r="Y24" i="5"/>
  <c r="Z24" i="5"/>
  <c r="AA24" i="5"/>
  <c r="AB24" i="5"/>
  <c r="Y25" i="5"/>
  <c r="Z25" i="5"/>
  <c r="AA25" i="5"/>
  <c r="AB25" i="5"/>
  <c r="Y26" i="5"/>
  <c r="Z26" i="5"/>
  <c r="AA26" i="5"/>
  <c r="AB26" i="5"/>
  <c r="Y27" i="5"/>
  <c r="Z27" i="5"/>
  <c r="AA27" i="5"/>
  <c r="AB27" i="5"/>
  <c r="Y28" i="5"/>
  <c r="Z28" i="5"/>
  <c r="AA28" i="5"/>
  <c r="AB28" i="5"/>
  <c r="Y29" i="5"/>
  <c r="Z29" i="5"/>
  <c r="AA29" i="5"/>
  <c r="AB29" i="5"/>
  <c r="Y30" i="5"/>
  <c r="Z30" i="5"/>
  <c r="AA30" i="5"/>
  <c r="AB30" i="5"/>
  <c r="Y31" i="5"/>
  <c r="Z31" i="5"/>
  <c r="AA31" i="5"/>
  <c r="AB31" i="5"/>
  <c r="Y32" i="5"/>
  <c r="Z32" i="5"/>
  <c r="AA32" i="5"/>
  <c r="AB32" i="5"/>
  <c r="Y33" i="5"/>
  <c r="Z33" i="5"/>
  <c r="AA33" i="5"/>
  <c r="AB33" i="5"/>
  <c r="Y34" i="5"/>
  <c r="Z34" i="5"/>
  <c r="AA34" i="5"/>
  <c r="AB34" i="5"/>
  <c r="Y35" i="5"/>
  <c r="Z35" i="5"/>
  <c r="AA35" i="5"/>
  <c r="AB35" i="5"/>
  <c r="Y36" i="5"/>
  <c r="Z36" i="5"/>
  <c r="AA36" i="5"/>
  <c r="AB36" i="5"/>
  <c r="Y37" i="5"/>
  <c r="Z37" i="5"/>
  <c r="AA37" i="5"/>
  <c r="AB37" i="5"/>
  <c r="Y38" i="5"/>
  <c r="Z38" i="5"/>
  <c r="AA38" i="5"/>
  <c r="AB38" i="5"/>
  <c r="Y39" i="5"/>
  <c r="Z39" i="5"/>
  <c r="AA39" i="5"/>
  <c r="AB39" i="5"/>
  <c r="Y40" i="5"/>
  <c r="Z40" i="5"/>
  <c r="AA40" i="5"/>
  <c r="AB40" i="5"/>
  <c r="Y41" i="5"/>
  <c r="Z41" i="5"/>
  <c r="AA41" i="5"/>
  <c r="AB41" i="5"/>
  <c r="Y42" i="5"/>
  <c r="Z42" i="5"/>
  <c r="AA42" i="5"/>
  <c r="AB42" i="5"/>
  <c r="Y43" i="5"/>
  <c r="Z43" i="5"/>
  <c r="AA43" i="5"/>
  <c r="AB43" i="5"/>
  <c r="Y44" i="5"/>
  <c r="Z44" i="5"/>
  <c r="AA44" i="5"/>
  <c r="AB44" i="5"/>
  <c r="Y45" i="5"/>
  <c r="Z45" i="5"/>
  <c r="AA45" i="5"/>
  <c r="AB45" i="5"/>
  <c r="Y46" i="5"/>
  <c r="Z46" i="5"/>
  <c r="AA46" i="5"/>
  <c r="AB46" i="5"/>
  <c r="Y47" i="5"/>
  <c r="Z47" i="5"/>
  <c r="AA47" i="5"/>
  <c r="AB47" i="5"/>
  <c r="Y48" i="5"/>
  <c r="Z48" i="5"/>
  <c r="AA48" i="5"/>
  <c r="AB48" i="5"/>
  <c r="Y49" i="5"/>
  <c r="Z49" i="5"/>
  <c r="AA49" i="5"/>
  <c r="AB49" i="5"/>
  <c r="Y50" i="5"/>
  <c r="Z50" i="5"/>
  <c r="AA50" i="5"/>
  <c r="AB50" i="5"/>
  <c r="Y51" i="5"/>
  <c r="Z51" i="5"/>
  <c r="AA51" i="5"/>
  <c r="AB51" i="5"/>
  <c r="Y52" i="5"/>
  <c r="Z52" i="5"/>
  <c r="AA52" i="5"/>
  <c r="AB52" i="5"/>
  <c r="Y53" i="5"/>
  <c r="Z53" i="5"/>
  <c r="AA53" i="5"/>
  <c r="AB53" i="5"/>
  <c r="Y54" i="5"/>
  <c r="Z54" i="5"/>
  <c r="AA54" i="5"/>
  <c r="AB54" i="5"/>
  <c r="Y55" i="5"/>
  <c r="Z55" i="5"/>
  <c r="AA55" i="5"/>
  <c r="AB55" i="5"/>
  <c r="Y56" i="5"/>
  <c r="Z56" i="5"/>
  <c r="AA56" i="5"/>
  <c r="AB56" i="5"/>
  <c r="Y57" i="5"/>
  <c r="Z57" i="5"/>
  <c r="AA57" i="5"/>
  <c r="AB57" i="5"/>
  <c r="Y58" i="5"/>
  <c r="Z58" i="5"/>
  <c r="AA58" i="5"/>
  <c r="AB58" i="5"/>
  <c r="Y59" i="5"/>
  <c r="Z59" i="5"/>
  <c r="AA59" i="5"/>
  <c r="AB59" i="5"/>
  <c r="Y60" i="5"/>
  <c r="Z60" i="5"/>
  <c r="AA60" i="5"/>
  <c r="AB60" i="5"/>
  <c r="Y61" i="5"/>
  <c r="Z61" i="5"/>
  <c r="AA61" i="5"/>
  <c r="AB61" i="5"/>
  <c r="Y62" i="5"/>
  <c r="Z62" i="5"/>
  <c r="AA62" i="5"/>
  <c r="AB62" i="5"/>
  <c r="Y63" i="5"/>
  <c r="Z63" i="5"/>
  <c r="AA63" i="5"/>
  <c r="AB63" i="5"/>
  <c r="Y64" i="5"/>
  <c r="Z64" i="5"/>
  <c r="AA64" i="5"/>
  <c r="AB64" i="5"/>
  <c r="Y65" i="5"/>
  <c r="Z65" i="5"/>
  <c r="AA65" i="5"/>
  <c r="AB65" i="5"/>
  <c r="Y66" i="5"/>
  <c r="Z66" i="5"/>
  <c r="AA66" i="5"/>
  <c r="AB66" i="5"/>
  <c r="Y67" i="5"/>
  <c r="Z67" i="5"/>
  <c r="AA67" i="5"/>
  <c r="AB67" i="5"/>
  <c r="Y68" i="5"/>
  <c r="Z68" i="5"/>
  <c r="AA68" i="5"/>
  <c r="AB68" i="5"/>
  <c r="Y69" i="5"/>
  <c r="Z69" i="5"/>
  <c r="AA69" i="5"/>
  <c r="AB69" i="5"/>
  <c r="Y70" i="5"/>
  <c r="Z70" i="5"/>
  <c r="AA70" i="5"/>
  <c r="AB70" i="5"/>
  <c r="Y71" i="5"/>
  <c r="Z71" i="5"/>
  <c r="AA71" i="5"/>
  <c r="AB71" i="5"/>
  <c r="Y72" i="5"/>
  <c r="Z72" i="5"/>
  <c r="AA72" i="5"/>
  <c r="AB72" i="5"/>
  <c r="Y73" i="5"/>
  <c r="Z73" i="5"/>
  <c r="AA73" i="5"/>
  <c r="AB73" i="5"/>
  <c r="Y74" i="5"/>
  <c r="Z74" i="5"/>
  <c r="AA74" i="5"/>
  <c r="AB74" i="5"/>
  <c r="Y75" i="5"/>
  <c r="Z75" i="5"/>
  <c r="AA75" i="5"/>
  <c r="AB75" i="5"/>
  <c r="Y76" i="5"/>
  <c r="Z76" i="5"/>
  <c r="AA76" i="5"/>
  <c r="AB76" i="5"/>
  <c r="Y77" i="5"/>
  <c r="Z77" i="5"/>
  <c r="AA77" i="5"/>
  <c r="AB77" i="5"/>
  <c r="Y78" i="5"/>
  <c r="Z78" i="5"/>
  <c r="AA78" i="5"/>
  <c r="AB78" i="5"/>
  <c r="Y79" i="5"/>
  <c r="Z79" i="5"/>
  <c r="AA79" i="5"/>
  <c r="AB79" i="5"/>
  <c r="Y80" i="5"/>
  <c r="Z80" i="5"/>
  <c r="AA80" i="5"/>
  <c r="AB80" i="5"/>
  <c r="Y81" i="5"/>
  <c r="Z81" i="5"/>
  <c r="AA81" i="5"/>
  <c r="AB81" i="5"/>
  <c r="Y82" i="5"/>
  <c r="Z82" i="5"/>
  <c r="AA82" i="5"/>
  <c r="AB82" i="5"/>
  <c r="Y83" i="5"/>
  <c r="Z83" i="5"/>
  <c r="AA83" i="5"/>
  <c r="AB83" i="5"/>
  <c r="Y84" i="5"/>
  <c r="Z84" i="5"/>
  <c r="AA84" i="5"/>
  <c r="AB84" i="5"/>
  <c r="Y85" i="5"/>
  <c r="Z85" i="5"/>
  <c r="AA85" i="5"/>
  <c r="AB85" i="5"/>
  <c r="Y86" i="5"/>
  <c r="Z86" i="5"/>
  <c r="AA86" i="5"/>
  <c r="AB86" i="5"/>
  <c r="Y87" i="5"/>
  <c r="Z87" i="5"/>
  <c r="AA87" i="5"/>
  <c r="AB87" i="5"/>
  <c r="Y88" i="5"/>
  <c r="Z88" i="5"/>
  <c r="AA88" i="5"/>
  <c r="AB88" i="5"/>
  <c r="Y89" i="5"/>
  <c r="Z89" i="5"/>
  <c r="AA89" i="5"/>
  <c r="AB89" i="5"/>
  <c r="Y90" i="5"/>
  <c r="Z90" i="5"/>
  <c r="AA90" i="5"/>
  <c r="AB90" i="5"/>
  <c r="Y91" i="5"/>
  <c r="Z91" i="5"/>
  <c r="AA91" i="5"/>
  <c r="AB91" i="5"/>
  <c r="Y92" i="5"/>
  <c r="Z92" i="5"/>
  <c r="AA92" i="5"/>
  <c r="AB92" i="5"/>
  <c r="Y93" i="5"/>
  <c r="Z93" i="5"/>
  <c r="AA93" i="5"/>
  <c r="AB93" i="5"/>
  <c r="Y94" i="5"/>
  <c r="Z94" i="5"/>
  <c r="AA94" i="5"/>
  <c r="AB94" i="5"/>
  <c r="Y95" i="5"/>
  <c r="Z95" i="5"/>
  <c r="AA95" i="5"/>
  <c r="AB95" i="5"/>
  <c r="Y96" i="5"/>
  <c r="Z96" i="5"/>
  <c r="AA96" i="5"/>
  <c r="AB96" i="5"/>
  <c r="Y97" i="5"/>
  <c r="Z97" i="5"/>
  <c r="AA97" i="5"/>
  <c r="AB97" i="5"/>
  <c r="Y98" i="5"/>
  <c r="Z98" i="5"/>
  <c r="AA98" i="5"/>
  <c r="AB98" i="5"/>
  <c r="Y99" i="5"/>
  <c r="Z99" i="5"/>
  <c r="AA99" i="5"/>
  <c r="AB99" i="5"/>
  <c r="Y100" i="5"/>
  <c r="Z100" i="5"/>
  <c r="AA100" i="5"/>
  <c r="AB100" i="5"/>
  <c r="Y101" i="5"/>
  <c r="Z101" i="5"/>
  <c r="AA101" i="5"/>
  <c r="AB101" i="5"/>
  <c r="Y102" i="5"/>
  <c r="Z102" i="5"/>
  <c r="AA102" i="5"/>
  <c r="AB102" i="5"/>
  <c r="Y103" i="5"/>
  <c r="Z103" i="5"/>
  <c r="AA103" i="5"/>
  <c r="AB103" i="5"/>
  <c r="Y104" i="5"/>
  <c r="Z104" i="5"/>
  <c r="AA104" i="5"/>
  <c r="AB104" i="5"/>
  <c r="AA3" i="5"/>
  <c r="AB3" i="5"/>
  <c r="Z3" i="5"/>
  <c r="Y3" i="5"/>
  <c r="Y150" i="5" l="1"/>
  <c r="Z150" i="5"/>
  <c r="AA150" i="5"/>
  <c r="AB150" i="5"/>
  <c r="Y151" i="5"/>
  <c r="Z151" i="5"/>
  <c r="AA151" i="5"/>
  <c r="AB151" i="5"/>
  <c r="Y152" i="5"/>
  <c r="Z152" i="5"/>
  <c r="AA152" i="5"/>
  <c r="AB152" i="5"/>
  <c r="Y153" i="5"/>
  <c r="Z153" i="5"/>
  <c r="AA153" i="5"/>
  <c r="AB153" i="5"/>
  <c r="Y154" i="5"/>
  <c r="Z154" i="5"/>
  <c r="AA154" i="5"/>
  <c r="AB154" i="5"/>
  <c r="Y155" i="5"/>
  <c r="Z155" i="5"/>
  <c r="AA155" i="5"/>
  <c r="AB155" i="5"/>
  <c r="Y156" i="5"/>
  <c r="Z156" i="5"/>
  <c r="AA156" i="5"/>
  <c r="AB156" i="5"/>
  <c r="Y157" i="5"/>
  <c r="Z157" i="5"/>
  <c r="AA157" i="5"/>
  <c r="AB157" i="5"/>
  <c r="Y158" i="5"/>
  <c r="Z158" i="5"/>
  <c r="AA158" i="5"/>
  <c r="AB158" i="5"/>
  <c r="Y159" i="5"/>
  <c r="Z159" i="5"/>
  <c r="AA159" i="5"/>
  <c r="AB159" i="5"/>
  <c r="Y160" i="5"/>
  <c r="Z160" i="5"/>
  <c r="AA160" i="5"/>
  <c r="AB160" i="5"/>
  <c r="Y161" i="5"/>
  <c r="Z161" i="5"/>
  <c r="AA161" i="5"/>
  <c r="AB161" i="5"/>
  <c r="Y162" i="5"/>
  <c r="Z162" i="5"/>
  <c r="AA162" i="5"/>
  <c r="AB162" i="5"/>
  <c r="Y163" i="5"/>
  <c r="Z163" i="5"/>
  <c r="AA163" i="5"/>
  <c r="AB163" i="5"/>
  <c r="Y164" i="5"/>
  <c r="Z164" i="5"/>
  <c r="AA164" i="5"/>
  <c r="AB164" i="5"/>
  <c r="Y165" i="5"/>
  <c r="Z165" i="5"/>
  <c r="AA165" i="5"/>
  <c r="AB165" i="5"/>
  <c r="Y166" i="5"/>
  <c r="Z166" i="5"/>
  <c r="AA166" i="5"/>
  <c r="AB166" i="5"/>
  <c r="Y167" i="5"/>
  <c r="Z167" i="5"/>
  <c r="AA167" i="5"/>
  <c r="AB167" i="5"/>
  <c r="Y168" i="5"/>
  <c r="Z168" i="5"/>
  <c r="AA168" i="5"/>
  <c r="AB168" i="5"/>
  <c r="Y169" i="5"/>
  <c r="Z169" i="5"/>
  <c r="AA169" i="5"/>
  <c r="AB169" i="5"/>
  <c r="Y170" i="5"/>
  <c r="Z170" i="5"/>
  <c r="AA170" i="5"/>
  <c r="AB170" i="5"/>
  <c r="Y171" i="5"/>
  <c r="Z171" i="5"/>
  <c r="AA171" i="5"/>
  <c r="AB171" i="5"/>
  <c r="Y172" i="5"/>
  <c r="Z172" i="5"/>
  <c r="AA172" i="5"/>
  <c r="AB172" i="5"/>
  <c r="Y173" i="5"/>
  <c r="Z173" i="5"/>
  <c r="AA173" i="5"/>
  <c r="AB173" i="5"/>
  <c r="Y174" i="5"/>
  <c r="Z174" i="5"/>
  <c r="AA174" i="5"/>
  <c r="AB174" i="5"/>
  <c r="Y175" i="5"/>
  <c r="Z175" i="5"/>
  <c r="AA175" i="5"/>
  <c r="AB175" i="5"/>
  <c r="Y176" i="5"/>
  <c r="Z176" i="5"/>
  <c r="AA176" i="5"/>
  <c r="AB176" i="5"/>
  <c r="Y177" i="5"/>
  <c r="Z177" i="5"/>
  <c r="AA177" i="5"/>
  <c r="AB177" i="5"/>
  <c r="Y178" i="5"/>
  <c r="Z178" i="5"/>
  <c r="AA178" i="5"/>
  <c r="AB178" i="5"/>
  <c r="Y179" i="5"/>
  <c r="Z179" i="5"/>
  <c r="AA179" i="5"/>
  <c r="AB179" i="5"/>
  <c r="Y180" i="5"/>
  <c r="Z180" i="5"/>
  <c r="AA180" i="5"/>
  <c r="AB180" i="5"/>
  <c r="Y181" i="5"/>
  <c r="Z181" i="5"/>
  <c r="AA181" i="5"/>
  <c r="AB181" i="5"/>
  <c r="Y182" i="5"/>
  <c r="Z182" i="5"/>
  <c r="AA182" i="5"/>
  <c r="AB182" i="5"/>
  <c r="Y183" i="5"/>
  <c r="Z183" i="5"/>
  <c r="AA183" i="5"/>
  <c r="AB183" i="5"/>
  <c r="Y184" i="5"/>
  <c r="Z184" i="5"/>
  <c r="AA184" i="5"/>
  <c r="AB184" i="5"/>
  <c r="Y185" i="5"/>
  <c r="Z185" i="5"/>
  <c r="AA185" i="5"/>
  <c r="AB185" i="5"/>
  <c r="Y186" i="5"/>
  <c r="Z186" i="5"/>
  <c r="AA186" i="5"/>
  <c r="AB186" i="5"/>
  <c r="Y187" i="5"/>
  <c r="Z187" i="5"/>
  <c r="AA187" i="5"/>
  <c r="AB187" i="5"/>
  <c r="Y188" i="5"/>
  <c r="Z188" i="5"/>
  <c r="AA188" i="5"/>
  <c r="AB188" i="5"/>
  <c r="Y189" i="5"/>
  <c r="Z189" i="5"/>
  <c r="AA189" i="5"/>
  <c r="AB189" i="5"/>
  <c r="Y190" i="5"/>
  <c r="Z190" i="5"/>
  <c r="AA190" i="5"/>
  <c r="AB190" i="5"/>
  <c r="Y191" i="5"/>
  <c r="Z191" i="5"/>
  <c r="AA191" i="5"/>
  <c r="AB191" i="5"/>
  <c r="Y192" i="5"/>
  <c r="Z192" i="5"/>
  <c r="AA192" i="5"/>
  <c r="AB192" i="5"/>
  <c r="Y193" i="5"/>
  <c r="Z193" i="5"/>
  <c r="AA193" i="5"/>
  <c r="AB193" i="5"/>
  <c r="Y194" i="5"/>
  <c r="Z194" i="5"/>
  <c r="AA194" i="5"/>
  <c r="AB194" i="5"/>
  <c r="Y195" i="5"/>
  <c r="Z195" i="5"/>
  <c r="AA195" i="5"/>
  <c r="AB195" i="5"/>
  <c r="Y196" i="5"/>
  <c r="Z196" i="5"/>
  <c r="AA196" i="5"/>
  <c r="AB196" i="5"/>
  <c r="Y197" i="5"/>
  <c r="Z197" i="5"/>
  <c r="AA197" i="5"/>
  <c r="AB197" i="5"/>
  <c r="Y198" i="5"/>
  <c r="Z198" i="5"/>
  <c r="AA198" i="5"/>
  <c r="AB198" i="5"/>
  <c r="Y199" i="5"/>
  <c r="Z199" i="5"/>
  <c r="AA199" i="5"/>
  <c r="AB199" i="5"/>
  <c r="Y200" i="5"/>
  <c r="Z200" i="5"/>
  <c r="AA200" i="5"/>
  <c r="AB200" i="5"/>
  <c r="Y201" i="5"/>
  <c r="Z201" i="5"/>
  <c r="AA201" i="5"/>
  <c r="AB201" i="5"/>
  <c r="Y202" i="5"/>
  <c r="Z202" i="5"/>
  <c r="AA202" i="5"/>
  <c r="AB202" i="5"/>
  <c r="Y203" i="5"/>
  <c r="Z203" i="5"/>
  <c r="AA203" i="5"/>
  <c r="AB203" i="5"/>
  <c r="Y204" i="5"/>
  <c r="Z204" i="5"/>
  <c r="AA204" i="5"/>
  <c r="AB204" i="5"/>
  <c r="Y205" i="5"/>
  <c r="Z205" i="5"/>
  <c r="AA205" i="5"/>
  <c r="AB205" i="5"/>
  <c r="Y206" i="5"/>
  <c r="Z206" i="5"/>
  <c r="AA206" i="5"/>
  <c r="AB206" i="5"/>
  <c r="Y207" i="5"/>
  <c r="Z207" i="5"/>
  <c r="AA207" i="5"/>
  <c r="AB207" i="5"/>
  <c r="Y208" i="5"/>
  <c r="Z208" i="5"/>
  <c r="AA208" i="5"/>
  <c r="AB208" i="5"/>
  <c r="Y209" i="5"/>
  <c r="Z209" i="5"/>
  <c r="AA209" i="5"/>
  <c r="AB209" i="5"/>
  <c r="Y210" i="5"/>
  <c r="Z210" i="5"/>
  <c r="AA210" i="5"/>
  <c r="AB210" i="5"/>
  <c r="Y211" i="5"/>
  <c r="Z211" i="5"/>
  <c r="AA211" i="5"/>
  <c r="AB211" i="5"/>
  <c r="Y212" i="5"/>
  <c r="Z212" i="5"/>
  <c r="AA212" i="5"/>
  <c r="AB212" i="5"/>
  <c r="Y213" i="5"/>
  <c r="Z213" i="5"/>
  <c r="AA213" i="5"/>
  <c r="AB213" i="5"/>
  <c r="Y214" i="5"/>
  <c r="Z214" i="5"/>
  <c r="AA214" i="5"/>
  <c r="AB214" i="5"/>
  <c r="Y215" i="5"/>
  <c r="Z215" i="5"/>
  <c r="AA215" i="5"/>
  <c r="AB215" i="5"/>
  <c r="Y216" i="5"/>
  <c r="Z216" i="5"/>
  <c r="AA216" i="5"/>
  <c r="AB216" i="5"/>
  <c r="Y217" i="5"/>
  <c r="Z217" i="5"/>
  <c r="AA217" i="5"/>
  <c r="AB217" i="5"/>
  <c r="Y218" i="5"/>
  <c r="Z218" i="5"/>
  <c r="AA218" i="5"/>
  <c r="AB218" i="5"/>
  <c r="Y219" i="5"/>
  <c r="Z219" i="5"/>
  <c r="AA219" i="5"/>
  <c r="AB219" i="5"/>
  <c r="Y220" i="5"/>
  <c r="Z220" i="5"/>
  <c r="AA220" i="5"/>
  <c r="AB220" i="5"/>
  <c r="Y221" i="5"/>
  <c r="Z221" i="5"/>
  <c r="AA221" i="5"/>
  <c r="AB221" i="5"/>
  <c r="Y222" i="5"/>
  <c r="Z222" i="5"/>
  <c r="AA222" i="5"/>
  <c r="AB222" i="5"/>
  <c r="Y223" i="5"/>
  <c r="Z223" i="5"/>
  <c r="AA223" i="5"/>
  <c r="AB223" i="5"/>
  <c r="Y224" i="5"/>
  <c r="Z224" i="5"/>
  <c r="AA224" i="5"/>
  <c r="AB224" i="5"/>
  <c r="Y225" i="5"/>
  <c r="Z225" i="5"/>
  <c r="AA225" i="5"/>
  <c r="AB225" i="5"/>
  <c r="Y226" i="5"/>
  <c r="Z226" i="5"/>
  <c r="AA226" i="5"/>
  <c r="AB226" i="5"/>
  <c r="Y227" i="5"/>
  <c r="Z227" i="5"/>
  <c r="AA227" i="5"/>
  <c r="AB227" i="5"/>
  <c r="Y228" i="5"/>
  <c r="Z228" i="5"/>
  <c r="AA228" i="5"/>
  <c r="AB228" i="5"/>
  <c r="Y229" i="5"/>
  <c r="Z229" i="5"/>
  <c r="AA229" i="5"/>
  <c r="AB229" i="5"/>
  <c r="Y230" i="5"/>
  <c r="Z230" i="5"/>
  <c r="AA230" i="5"/>
  <c r="AB230" i="5"/>
  <c r="Y231" i="5"/>
  <c r="Z231" i="5"/>
  <c r="AA231" i="5"/>
  <c r="AB231" i="5"/>
  <c r="Y232" i="5"/>
  <c r="Z232" i="5"/>
  <c r="AA232" i="5"/>
  <c r="AB232" i="5"/>
  <c r="Y233" i="5"/>
  <c r="Z233" i="5"/>
  <c r="AA233" i="5"/>
  <c r="AB233" i="5"/>
  <c r="Y234" i="5"/>
  <c r="Z234" i="5"/>
  <c r="AA234" i="5"/>
  <c r="AB234" i="5"/>
  <c r="Y235" i="5"/>
  <c r="Z235" i="5"/>
  <c r="AA235" i="5"/>
  <c r="AB235" i="5"/>
  <c r="Y236" i="5"/>
  <c r="Z236" i="5"/>
  <c r="AA236" i="5"/>
  <c r="AB236" i="5"/>
  <c r="Y237" i="5"/>
  <c r="Z237" i="5"/>
  <c r="AA237" i="5"/>
  <c r="AB237" i="5"/>
  <c r="Y238" i="5"/>
  <c r="Z238" i="5"/>
  <c r="AA238" i="5"/>
  <c r="AB238" i="5"/>
  <c r="Y239" i="5"/>
  <c r="Z239" i="5"/>
  <c r="AA239" i="5"/>
  <c r="AB239" i="5"/>
  <c r="Y240" i="5"/>
  <c r="Z240" i="5"/>
  <c r="AA240" i="5"/>
  <c r="AB240" i="5"/>
  <c r="Y241" i="5"/>
  <c r="Z241" i="5"/>
  <c r="AA241" i="5"/>
  <c r="AB241" i="5"/>
  <c r="Y242" i="5"/>
  <c r="Z242" i="5"/>
  <c r="AA242" i="5"/>
  <c r="AB242" i="5"/>
  <c r="Y243" i="5"/>
  <c r="Z243" i="5"/>
  <c r="AA243" i="5"/>
  <c r="AB243" i="5"/>
  <c r="Y244" i="5"/>
  <c r="Z244" i="5"/>
  <c r="AA244" i="5"/>
  <c r="AB244" i="5"/>
  <c r="Y245" i="5"/>
  <c r="Z245" i="5"/>
  <c r="AA245" i="5"/>
  <c r="AB245" i="5"/>
  <c r="Y246" i="5"/>
  <c r="Z246" i="5"/>
  <c r="AA246" i="5"/>
  <c r="AB246" i="5"/>
  <c r="Y247" i="5"/>
  <c r="Z247" i="5"/>
  <c r="AA247" i="5"/>
  <c r="AB247" i="5"/>
  <c r="Y248" i="5"/>
  <c r="Z248" i="5"/>
  <c r="AA248" i="5"/>
  <c r="AB248" i="5"/>
  <c r="Y249" i="5"/>
  <c r="Z249" i="5"/>
  <c r="AA249" i="5"/>
  <c r="AB249" i="5"/>
  <c r="Y250" i="5"/>
  <c r="Z250" i="5"/>
  <c r="AA250" i="5"/>
  <c r="AB250" i="5"/>
  <c r="Y251" i="5"/>
  <c r="Z251" i="5"/>
  <c r="AA251" i="5"/>
  <c r="AB251" i="5"/>
  <c r="Y252" i="5"/>
  <c r="Z252" i="5"/>
  <c r="AA252" i="5"/>
  <c r="AB252" i="5"/>
  <c r="Y253" i="5"/>
  <c r="Z253" i="5"/>
  <c r="AA253" i="5"/>
  <c r="AB253" i="5"/>
  <c r="Y254" i="5"/>
  <c r="Z254" i="5"/>
  <c r="AA254" i="5"/>
  <c r="AB254" i="5"/>
  <c r="Y255" i="5"/>
  <c r="Z255" i="5"/>
  <c r="AA255" i="5"/>
  <c r="AB255" i="5"/>
  <c r="Y256" i="5"/>
  <c r="Z256" i="5"/>
  <c r="AA256" i="5"/>
  <c r="AB256" i="5"/>
  <c r="Y257" i="5"/>
  <c r="Z257" i="5"/>
  <c r="AA257" i="5"/>
  <c r="AB257" i="5"/>
  <c r="Y258" i="5"/>
  <c r="Z258" i="5"/>
  <c r="AA258" i="5"/>
  <c r="AB258" i="5"/>
  <c r="Y259" i="5"/>
  <c r="Z259" i="5"/>
  <c r="AA259" i="5"/>
  <c r="AB259" i="5"/>
  <c r="Y260" i="5"/>
  <c r="Z260" i="5"/>
  <c r="AA260" i="5"/>
  <c r="AB260" i="5"/>
  <c r="Y261" i="5"/>
  <c r="Z261" i="5"/>
  <c r="AA261" i="5"/>
  <c r="AB261" i="5"/>
  <c r="Y262" i="5"/>
  <c r="Z262" i="5"/>
  <c r="AA262" i="5"/>
  <c r="AB262" i="5"/>
  <c r="Y263" i="5"/>
  <c r="Z263" i="5"/>
  <c r="AA263" i="5"/>
  <c r="AB263" i="5"/>
  <c r="Y264" i="5"/>
  <c r="Z264" i="5"/>
  <c r="AA264" i="5"/>
  <c r="AB264" i="5"/>
  <c r="Y265" i="5"/>
  <c r="Z265" i="5"/>
  <c r="AA265" i="5"/>
  <c r="AB265" i="5"/>
  <c r="Y266" i="5"/>
  <c r="Z266" i="5"/>
  <c r="AA266" i="5"/>
  <c r="AB266" i="5"/>
  <c r="Y267" i="5"/>
  <c r="Z267" i="5"/>
  <c r="AA267" i="5"/>
  <c r="AB267" i="5"/>
  <c r="Y268" i="5"/>
  <c r="Z268" i="5"/>
  <c r="AA268" i="5"/>
  <c r="AB268" i="5"/>
  <c r="Y269" i="5"/>
  <c r="Z269" i="5"/>
  <c r="AA269" i="5"/>
  <c r="AB269" i="5"/>
  <c r="Y270" i="5"/>
  <c r="Z270" i="5"/>
  <c r="AA270" i="5"/>
  <c r="AB270" i="5"/>
  <c r="Y271" i="5"/>
  <c r="Z271" i="5"/>
  <c r="AA271" i="5"/>
  <c r="AB271" i="5"/>
  <c r="Y272" i="5"/>
  <c r="Z272" i="5"/>
  <c r="AA272" i="5"/>
  <c r="AB272" i="5"/>
  <c r="Y273" i="5"/>
  <c r="Z273" i="5"/>
  <c r="AA273" i="5"/>
  <c r="AB273" i="5"/>
  <c r="Y274" i="5"/>
  <c r="Z274" i="5"/>
  <c r="AA274" i="5"/>
  <c r="AB274" i="5"/>
  <c r="Y275" i="5"/>
  <c r="Z275" i="5"/>
  <c r="AA275" i="5"/>
  <c r="AB275" i="5"/>
  <c r="Y276" i="5"/>
  <c r="Z276" i="5"/>
  <c r="AA276" i="5"/>
  <c r="AB276" i="5"/>
  <c r="Y277" i="5"/>
  <c r="Z277" i="5"/>
  <c r="AA277" i="5"/>
  <c r="AB277" i="5"/>
  <c r="Y278" i="5"/>
  <c r="Z278" i="5"/>
  <c r="AA278" i="5"/>
  <c r="AB278" i="5"/>
  <c r="Y279" i="5"/>
  <c r="Z279" i="5"/>
  <c r="AA279" i="5"/>
  <c r="AB279" i="5"/>
  <c r="Y280" i="5"/>
  <c r="Z280" i="5"/>
  <c r="AA280" i="5"/>
  <c r="AB280" i="5"/>
  <c r="Y281" i="5"/>
  <c r="Z281" i="5"/>
  <c r="AA281" i="5"/>
  <c r="AB281" i="5"/>
  <c r="Y282" i="5"/>
  <c r="Z282" i="5"/>
  <c r="AA282" i="5"/>
  <c r="AB282" i="5"/>
  <c r="Y283" i="5"/>
  <c r="Z283" i="5"/>
  <c r="AA283" i="5"/>
  <c r="AB283" i="5"/>
  <c r="Y284" i="5"/>
  <c r="Z284" i="5"/>
  <c r="AA284" i="5"/>
  <c r="AB284" i="5"/>
  <c r="Y285" i="5"/>
  <c r="Z285" i="5"/>
  <c r="AA285" i="5"/>
  <c r="AB285" i="5"/>
  <c r="Y286" i="5"/>
  <c r="Z286" i="5"/>
  <c r="AA286" i="5"/>
  <c r="AB286" i="5"/>
  <c r="Y287" i="5"/>
  <c r="Z287" i="5"/>
  <c r="AA287" i="5"/>
  <c r="AB287" i="5"/>
  <c r="Y288" i="5"/>
  <c r="Z288" i="5"/>
  <c r="AA288" i="5"/>
  <c r="AB288" i="5"/>
  <c r="Y289" i="5"/>
  <c r="Z289" i="5"/>
  <c r="AA289" i="5"/>
  <c r="AB289" i="5"/>
  <c r="Y290" i="5"/>
  <c r="Z290" i="5"/>
  <c r="AA290" i="5"/>
  <c r="AB290" i="5"/>
  <c r="Y291" i="5"/>
  <c r="Z291" i="5"/>
  <c r="AA291" i="5"/>
  <c r="AB291" i="5"/>
  <c r="Y292" i="5"/>
  <c r="Z292" i="5"/>
  <c r="AA292" i="5"/>
  <c r="AB292" i="5"/>
  <c r="Y293" i="5"/>
  <c r="Z293" i="5"/>
  <c r="AA293" i="5"/>
  <c r="AB293" i="5"/>
  <c r="Y294" i="5"/>
  <c r="Z294" i="5"/>
  <c r="AA294" i="5"/>
  <c r="AB294" i="5"/>
  <c r="Y295" i="5"/>
  <c r="Z295" i="5"/>
  <c r="AA295" i="5"/>
  <c r="AB295" i="5"/>
  <c r="Y296" i="5"/>
  <c r="Z296" i="5"/>
  <c r="AA296" i="5"/>
  <c r="AB296" i="5"/>
  <c r="Y297" i="5"/>
  <c r="Z297" i="5"/>
  <c r="AA297" i="5"/>
  <c r="AB297" i="5"/>
  <c r="Y298" i="5"/>
  <c r="Z298" i="5"/>
  <c r="AA298" i="5"/>
  <c r="AB298" i="5"/>
  <c r="Y299" i="5"/>
  <c r="Z299" i="5"/>
  <c r="AA299" i="5"/>
  <c r="AB299" i="5"/>
  <c r="Y300" i="5"/>
  <c r="Z300" i="5"/>
  <c r="AA300" i="5"/>
  <c r="AB300" i="5"/>
  <c r="Y301" i="5"/>
  <c r="Z301" i="5"/>
  <c r="AA301" i="5"/>
  <c r="AB301" i="5"/>
  <c r="Y302" i="5"/>
  <c r="Z302" i="5"/>
  <c r="AA302" i="5"/>
  <c r="AB302" i="5"/>
  <c r="Y303" i="5"/>
  <c r="Z303" i="5"/>
  <c r="AA303" i="5"/>
  <c r="AB303" i="5"/>
  <c r="Y304" i="5"/>
  <c r="Z304" i="5"/>
  <c r="AA304" i="5"/>
  <c r="AB304" i="5"/>
  <c r="Y305" i="5"/>
  <c r="Z305" i="5"/>
  <c r="AA305" i="5"/>
  <c r="AB305" i="5"/>
  <c r="Y306" i="5"/>
  <c r="Z306" i="5"/>
  <c r="AA306" i="5"/>
  <c r="AB306" i="5"/>
  <c r="Y307" i="5"/>
  <c r="Z307" i="5"/>
  <c r="AA307" i="5"/>
  <c r="AB307" i="5"/>
  <c r="Y308" i="5"/>
  <c r="Z308" i="5"/>
  <c r="AA308" i="5"/>
  <c r="AB308" i="5"/>
  <c r="Y309" i="5"/>
  <c r="Z309" i="5"/>
  <c r="AA309" i="5"/>
  <c r="AB309" i="5"/>
  <c r="Y310" i="5"/>
  <c r="Z310" i="5"/>
  <c r="AA310" i="5"/>
  <c r="AB310" i="5"/>
  <c r="Y311" i="5"/>
  <c r="Z311" i="5"/>
  <c r="AA311" i="5"/>
  <c r="AB311" i="5"/>
  <c r="Y312" i="5"/>
  <c r="Z312" i="5"/>
  <c r="AA312" i="5"/>
  <c r="AB312" i="5"/>
  <c r="Y313" i="5"/>
  <c r="Z313" i="5"/>
  <c r="AA313" i="5"/>
  <c r="AB313" i="5"/>
  <c r="Y314" i="5"/>
  <c r="Z314" i="5"/>
  <c r="AA314" i="5"/>
  <c r="AB314" i="5"/>
  <c r="Y315" i="5"/>
  <c r="Z315" i="5"/>
  <c r="AA315" i="5"/>
  <c r="AB315" i="5"/>
  <c r="Y316" i="5"/>
  <c r="Z316" i="5"/>
  <c r="AA316" i="5"/>
  <c r="AB316" i="5"/>
  <c r="Y317" i="5"/>
  <c r="Z317" i="5"/>
  <c r="AA317" i="5"/>
  <c r="AB317" i="5"/>
  <c r="Y318" i="5"/>
  <c r="Z318" i="5"/>
  <c r="AA318" i="5"/>
  <c r="AB318" i="5"/>
  <c r="Y319" i="5"/>
  <c r="Z319" i="5"/>
  <c r="AA319" i="5"/>
  <c r="AB319" i="5"/>
  <c r="Y320" i="5"/>
  <c r="Z320" i="5"/>
  <c r="AA320" i="5"/>
  <c r="AB320" i="5"/>
  <c r="Y321" i="5"/>
  <c r="Z321" i="5"/>
  <c r="AA321" i="5"/>
  <c r="AB321" i="5"/>
  <c r="Y322" i="5"/>
  <c r="Z322" i="5"/>
  <c r="AA322" i="5"/>
  <c r="AB322" i="5"/>
  <c r="Y323" i="5"/>
  <c r="Z323" i="5"/>
  <c r="AA323" i="5"/>
  <c r="AB323" i="5"/>
  <c r="Y324" i="5"/>
  <c r="Z324" i="5"/>
  <c r="AA324" i="5"/>
  <c r="AB324" i="5"/>
  <c r="Y325" i="5"/>
  <c r="Z325" i="5"/>
  <c r="AA325" i="5"/>
  <c r="AB325" i="5"/>
  <c r="Y326" i="5"/>
  <c r="Z326" i="5"/>
  <c r="AA326" i="5"/>
  <c r="AB326" i="5"/>
  <c r="Y327" i="5"/>
  <c r="Z327" i="5"/>
  <c r="AA327" i="5"/>
  <c r="AB327" i="5"/>
  <c r="Y328" i="5"/>
  <c r="Z328" i="5"/>
  <c r="AA328" i="5"/>
  <c r="AB328" i="5"/>
  <c r="Y329" i="5"/>
  <c r="Z329" i="5"/>
  <c r="AA329" i="5"/>
  <c r="AB329" i="5"/>
  <c r="Y330" i="5"/>
  <c r="Z330" i="5"/>
  <c r="AA330" i="5"/>
  <c r="AB330" i="5"/>
  <c r="Y331" i="5"/>
  <c r="Z331" i="5"/>
  <c r="AA331" i="5"/>
  <c r="AB331" i="5"/>
  <c r="Y332" i="5"/>
  <c r="Z332" i="5"/>
  <c r="AA332" i="5"/>
  <c r="AB332" i="5"/>
  <c r="Y333" i="5"/>
  <c r="Z333" i="5"/>
  <c r="AA333" i="5"/>
  <c r="AB333" i="5"/>
  <c r="Y334" i="5"/>
  <c r="Z334" i="5"/>
  <c r="AA334" i="5"/>
  <c r="AB334" i="5"/>
  <c r="Y335" i="5"/>
  <c r="Z335" i="5"/>
  <c r="AA335" i="5"/>
  <c r="AB335" i="5"/>
  <c r="Y336" i="5"/>
  <c r="Z336" i="5"/>
  <c r="AA336" i="5"/>
  <c r="AB336" i="5"/>
  <c r="Y337" i="5"/>
  <c r="Z337" i="5"/>
  <c r="AA337" i="5"/>
  <c r="AB337" i="5"/>
  <c r="Y338" i="5"/>
  <c r="Z338" i="5"/>
  <c r="AA338" i="5"/>
  <c r="AB338" i="5"/>
  <c r="Y339" i="5"/>
  <c r="Z339" i="5"/>
  <c r="AA339" i="5"/>
  <c r="AB339" i="5"/>
  <c r="Y340" i="5"/>
  <c r="Z340" i="5"/>
  <c r="AA340" i="5"/>
  <c r="AB340" i="5"/>
  <c r="Y341" i="5"/>
  <c r="Z341" i="5"/>
  <c r="AA341" i="5"/>
  <c r="AB341" i="5"/>
  <c r="Y342" i="5"/>
  <c r="Z342" i="5"/>
  <c r="AA342" i="5"/>
  <c r="AB342" i="5"/>
  <c r="Y343" i="5"/>
  <c r="Z343" i="5"/>
  <c r="AA343" i="5"/>
  <c r="AB343" i="5"/>
  <c r="Y344" i="5"/>
  <c r="Z344" i="5"/>
  <c r="AA344" i="5"/>
  <c r="AB344" i="5"/>
  <c r="Y345" i="5"/>
  <c r="Z345" i="5"/>
  <c r="AA345" i="5"/>
  <c r="AB345" i="5"/>
  <c r="Y346" i="5"/>
  <c r="Z346" i="5"/>
  <c r="AA346" i="5"/>
  <c r="AB346" i="5"/>
  <c r="Y347" i="5"/>
  <c r="Z347" i="5"/>
  <c r="AA347" i="5"/>
  <c r="AB347" i="5"/>
  <c r="Y348" i="5"/>
  <c r="Z348" i="5"/>
  <c r="AA348" i="5"/>
  <c r="AB348" i="5"/>
  <c r="Y349" i="5"/>
  <c r="Z349" i="5"/>
  <c r="AA349" i="5"/>
  <c r="AB349" i="5"/>
  <c r="Y350" i="5"/>
  <c r="Z350" i="5"/>
  <c r="AA350" i="5"/>
  <c r="AB350" i="5"/>
  <c r="Y351" i="5"/>
  <c r="Z351" i="5"/>
  <c r="AA351" i="5"/>
  <c r="AB351" i="5"/>
  <c r="Y352" i="5"/>
  <c r="Z352" i="5"/>
  <c r="AA352" i="5"/>
  <c r="AB352" i="5"/>
  <c r="Y353" i="5"/>
  <c r="Z353" i="5"/>
  <c r="AA353" i="5"/>
  <c r="AB353" i="5"/>
  <c r="Y354" i="5"/>
  <c r="Z354" i="5"/>
  <c r="AA354" i="5"/>
  <c r="AB354" i="5"/>
  <c r="Y355" i="5"/>
  <c r="Z355" i="5"/>
  <c r="AA355" i="5"/>
  <c r="AB355" i="5"/>
  <c r="Y356" i="5"/>
  <c r="Z356" i="5"/>
  <c r="AA356" i="5"/>
  <c r="AB356" i="5"/>
  <c r="Y357" i="5"/>
  <c r="Z357" i="5"/>
  <c r="AA357" i="5"/>
  <c r="AB357" i="5"/>
  <c r="Y358" i="5"/>
  <c r="Z358" i="5"/>
  <c r="AA358" i="5"/>
  <c r="AB358" i="5"/>
  <c r="Y359" i="5"/>
  <c r="Z359" i="5"/>
  <c r="AA359" i="5"/>
  <c r="AB359" i="5"/>
  <c r="Y360" i="5"/>
  <c r="Z360" i="5"/>
  <c r="AA360" i="5"/>
  <c r="AB360" i="5"/>
  <c r="Y361" i="5"/>
  <c r="Z361" i="5"/>
  <c r="AA361" i="5"/>
  <c r="AB361" i="5"/>
  <c r="Y362" i="5"/>
  <c r="Z362" i="5"/>
  <c r="AA362" i="5"/>
  <c r="AB362" i="5"/>
  <c r="Y363" i="5"/>
  <c r="Z363" i="5"/>
  <c r="AA363" i="5"/>
  <c r="AB363" i="5"/>
  <c r="Y364" i="5"/>
  <c r="Z364" i="5"/>
  <c r="AA364" i="5"/>
  <c r="AB364" i="5"/>
  <c r="Y365" i="5"/>
  <c r="Z365" i="5"/>
  <c r="AA365" i="5"/>
  <c r="AB365" i="5"/>
  <c r="Y366" i="5"/>
  <c r="Z366" i="5"/>
  <c r="AA366" i="5"/>
  <c r="AB366" i="5"/>
  <c r="Y367" i="5"/>
  <c r="Z367" i="5"/>
  <c r="AA367" i="5"/>
  <c r="AB367" i="5"/>
  <c r="Y368" i="5"/>
  <c r="Z368" i="5"/>
  <c r="AA368" i="5"/>
  <c r="AB368" i="5"/>
  <c r="Y369" i="5"/>
  <c r="Z369" i="5"/>
  <c r="AA369" i="5"/>
  <c r="AB369" i="5"/>
  <c r="Y370" i="5"/>
  <c r="Z370" i="5"/>
  <c r="AA370" i="5"/>
  <c r="AB370" i="5"/>
  <c r="Y371" i="5"/>
  <c r="Z371" i="5"/>
  <c r="AA371" i="5"/>
  <c r="AB371" i="5"/>
  <c r="Y372" i="5"/>
  <c r="Z372" i="5"/>
  <c r="AA372" i="5"/>
  <c r="AB372" i="5"/>
  <c r="Y373" i="5"/>
  <c r="Z373" i="5"/>
  <c r="AA373" i="5"/>
  <c r="AB373" i="5"/>
  <c r="Y374" i="5"/>
  <c r="Z374" i="5"/>
  <c r="AA374" i="5"/>
  <c r="AB374" i="5"/>
  <c r="Y375" i="5"/>
  <c r="Z375" i="5"/>
  <c r="AA375" i="5"/>
  <c r="AB375" i="5"/>
  <c r="Y376" i="5"/>
  <c r="Z376" i="5"/>
  <c r="AA376" i="5"/>
  <c r="AB376" i="5"/>
  <c r="Y377" i="5"/>
  <c r="Z377" i="5"/>
  <c r="AA377" i="5"/>
  <c r="AB377" i="5"/>
  <c r="Y378" i="5"/>
  <c r="Z378" i="5"/>
  <c r="AA378" i="5"/>
  <c r="AB378" i="5"/>
  <c r="Y379" i="5"/>
  <c r="Z379" i="5"/>
  <c r="AA379" i="5"/>
  <c r="AB379" i="5"/>
  <c r="Y380" i="5"/>
  <c r="Z380" i="5"/>
  <c r="AA380" i="5"/>
  <c r="AB380" i="5"/>
  <c r="Y381" i="5"/>
  <c r="Z381" i="5"/>
  <c r="AA381" i="5"/>
  <c r="AB381" i="5"/>
  <c r="Y382" i="5"/>
  <c r="Z382" i="5"/>
  <c r="AA382" i="5"/>
  <c r="AB382" i="5"/>
  <c r="Y383" i="5"/>
  <c r="Z383" i="5"/>
  <c r="AA383" i="5"/>
  <c r="AB383" i="5"/>
  <c r="Y384" i="5"/>
  <c r="Z384" i="5"/>
  <c r="AA384" i="5"/>
  <c r="AB384" i="5"/>
  <c r="Y385" i="5"/>
  <c r="Z385" i="5"/>
  <c r="AA385" i="5"/>
  <c r="AB385" i="5"/>
  <c r="Y386" i="5"/>
  <c r="Z386" i="5"/>
  <c r="AA386" i="5"/>
  <c r="AB386" i="5"/>
  <c r="Y387" i="5"/>
  <c r="Z387" i="5"/>
  <c r="AA387" i="5"/>
  <c r="AB387" i="5"/>
  <c r="Y388" i="5"/>
  <c r="Z388" i="5"/>
  <c r="AA388" i="5"/>
  <c r="AB388" i="5"/>
  <c r="Y389" i="5"/>
  <c r="Z389" i="5"/>
  <c r="AA389" i="5"/>
  <c r="AB389" i="5"/>
  <c r="Y390" i="5"/>
  <c r="Z390" i="5"/>
  <c r="AA390" i="5"/>
  <c r="AB390" i="5"/>
  <c r="Y391" i="5"/>
  <c r="Z391" i="5"/>
  <c r="AA391" i="5"/>
  <c r="AB391" i="5"/>
  <c r="Y392" i="5"/>
  <c r="Z392" i="5"/>
  <c r="AA392" i="5"/>
  <c r="AB392" i="5"/>
  <c r="Y393" i="5"/>
  <c r="Z393" i="5"/>
  <c r="AA393" i="5"/>
  <c r="AB393" i="5"/>
  <c r="Y394" i="5"/>
  <c r="Z394" i="5"/>
  <c r="AA394" i="5"/>
  <c r="AB394" i="5"/>
  <c r="Y395" i="5"/>
  <c r="Z395" i="5"/>
  <c r="AA395" i="5"/>
  <c r="AB395" i="5"/>
  <c r="Y396" i="5"/>
  <c r="Z396" i="5"/>
  <c r="AA396" i="5"/>
  <c r="AB396" i="5"/>
  <c r="Y397" i="5"/>
  <c r="Z397" i="5"/>
  <c r="AA397" i="5"/>
  <c r="AB397" i="5"/>
  <c r="Y398" i="5"/>
  <c r="Z398" i="5"/>
  <c r="AA398" i="5"/>
  <c r="AB398" i="5"/>
  <c r="Y399" i="5"/>
  <c r="Z399" i="5"/>
  <c r="AA399" i="5"/>
  <c r="AB399" i="5"/>
  <c r="Y400" i="5"/>
  <c r="Z400" i="5"/>
  <c r="AA400" i="5"/>
  <c r="AB400" i="5"/>
  <c r="Y401" i="5"/>
  <c r="Z401" i="5"/>
  <c r="AA401" i="5"/>
  <c r="AB401" i="5"/>
  <c r="Y402" i="5"/>
  <c r="Z402" i="5"/>
  <c r="AA402" i="5"/>
  <c r="AB402" i="5"/>
  <c r="Y403" i="5"/>
  <c r="Z403" i="5"/>
  <c r="AA403" i="5"/>
  <c r="AB403" i="5"/>
  <c r="Y404" i="5"/>
  <c r="Z404" i="5"/>
  <c r="AA404" i="5"/>
  <c r="AB404" i="5"/>
  <c r="Y405" i="5"/>
  <c r="Z405" i="5"/>
  <c r="AA405" i="5"/>
  <c r="AB405" i="5"/>
  <c r="Y406" i="5"/>
  <c r="Z406" i="5"/>
  <c r="AA406" i="5"/>
  <c r="AB406" i="5"/>
  <c r="Y407" i="5"/>
  <c r="Z407" i="5"/>
  <c r="AA407" i="5"/>
  <c r="AB407" i="5"/>
  <c r="Y408" i="5"/>
  <c r="Z408" i="5"/>
  <c r="AA408" i="5"/>
  <c r="AB408" i="5"/>
  <c r="Y409" i="5"/>
  <c r="Z409" i="5"/>
  <c r="AA409" i="5"/>
  <c r="AB409" i="5"/>
  <c r="Y410" i="5"/>
  <c r="Z410" i="5"/>
  <c r="AA410" i="5"/>
  <c r="AB410" i="5"/>
  <c r="Y411" i="5"/>
  <c r="Z411" i="5"/>
  <c r="AA411" i="5"/>
  <c r="AB411" i="5"/>
  <c r="Y412" i="5"/>
  <c r="Z412" i="5"/>
  <c r="AA412" i="5"/>
  <c r="AB412" i="5"/>
  <c r="Y413" i="5"/>
  <c r="Z413" i="5"/>
  <c r="AA413" i="5"/>
  <c r="AB413" i="5"/>
  <c r="Y414" i="5"/>
  <c r="Z414" i="5"/>
  <c r="AA414" i="5"/>
  <c r="AB414" i="5"/>
  <c r="Y415" i="5"/>
  <c r="Z415" i="5"/>
  <c r="AA415" i="5"/>
  <c r="AB415" i="5"/>
  <c r="Y416" i="5"/>
  <c r="Z416" i="5"/>
  <c r="AA416" i="5"/>
  <c r="AB416" i="5"/>
  <c r="Y417" i="5"/>
  <c r="Z417" i="5"/>
  <c r="AA417" i="5"/>
  <c r="AB417" i="5"/>
  <c r="Y418" i="5"/>
  <c r="Z418" i="5"/>
  <c r="AA418" i="5"/>
  <c r="AB418" i="5"/>
  <c r="Y419" i="5"/>
  <c r="Z419" i="5"/>
  <c r="AA419" i="5"/>
  <c r="AB419" i="5"/>
  <c r="Y420" i="5"/>
  <c r="Z420" i="5"/>
  <c r="AA420" i="5"/>
  <c r="AB420" i="5"/>
  <c r="Y421" i="5"/>
  <c r="Z421" i="5"/>
  <c r="AA421" i="5"/>
  <c r="AB421" i="5"/>
  <c r="Y422" i="5"/>
  <c r="Z422" i="5"/>
  <c r="AA422" i="5"/>
  <c r="AB422" i="5"/>
  <c r="Y423" i="5"/>
  <c r="Z423" i="5"/>
  <c r="AA423" i="5"/>
  <c r="AB423" i="5"/>
  <c r="Y424" i="5"/>
  <c r="Z424" i="5"/>
  <c r="AA424" i="5"/>
  <c r="AB424" i="5"/>
  <c r="Y425" i="5"/>
  <c r="Z425" i="5"/>
  <c r="AA425" i="5"/>
  <c r="AB425" i="5"/>
  <c r="Y426" i="5"/>
  <c r="Z426" i="5"/>
  <c r="AA426" i="5"/>
  <c r="AB426" i="5"/>
  <c r="Y427" i="5"/>
  <c r="Z427" i="5"/>
  <c r="AA427" i="5"/>
  <c r="AB427" i="5"/>
  <c r="Y428" i="5"/>
  <c r="Z428" i="5"/>
  <c r="AA428" i="5"/>
  <c r="AB428" i="5"/>
  <c r="Y429" i="5"/>
  <c r="Z429" i="5"/>
  <c r="AA429" i="5"/>
  <c r="AB429" i="5"/>
  <c r="Y430" i="5"/>
  <c r="Z430" i="5"/>
  <c r="AA430" i="5"/>
  <c r="AB430" i="5"/>
  <c r="Y431" i="5"/>
  <c r="Z431" i="5"/>
  <c r="AA431" i="5"/>
  <c r="AB431" i="5"/>
  <c r="Y432" i="5"/>
  <c r="Z432" i="5"/>
  <c r="AA432" i="5"/>
  <c r="AB432" i="5"/>
  <c r="Y433" i="5"/>
  <c r="Z433" i="5"/>
  <c r="AA433" i="5"/>
  <c r="AB433" i="5"/>
  <c r="Y434" i="5"/>
  <c r="Z434" i="5"/>
  <c r="AA434" i="5"/>
  <c r="AB434" i="5"/>
  <c r="Y435" i="5"/>
  <c r="Z435" i="5"/>
  <c r="AA435" i="5"/>
  <c r="AB435" i="5"/>
  <c r="Y436" i="5"/>
  <c r="Z436" i="5"/>
  <c r="AA436" i="5"/>
  <c r="AB436" i="5"/>
  <c r="Y437" i="5"/>
  <c r="Z437" i="5"/>
  <c r="AA437" i="5"/>
  <c r="AB437" i="5"/>
  <c r="Y438" i="5"/>
  <c r="Z438" i="5"/>
  <c r="AA438" i="5"/>
  <c r="AB438" i="5"/>
  <c r="Y439" i="5"/>
  <c r="Z439" i="5"/>
  <c r="AA439" i="5"/>
  <c r="AB439" i="5"/>
  <c r="Y440" i="5"/>
  <c r="Z440" i="5"/>
  <c r="AA440" i="5"/>
  <c r="AB440" i="5"/>
  <c r="Y441" i="5"/>
  <c r="Z441" i="5"/>
  <c r="AA441" i="5"/>
  <c r="AB441" i="5"/>
  <c r="Y442" i="5"/>
  <c r="Z442" i="5"/>
  <c r="AA442" i="5"/>
  <c r="AB442" i="5"/>
  <c r="Y443" i="5"/>
  <c r="Z443" i="5"/>
  <c r="AA443" i="5"/>
  <c r="AB443" i="5"/>
  <c r="Y444" i="5"/>
  <c r="Z444" i="5"/>
  <c r="AA444" i="5"/>
  <c r="AB444" i="5"/>
  <c r="Y445" i="5"/>
  <c r="Z445" i="5"/>
  <c r="AA445" i="5"/>
  <c r="AB445" i="5"/>
  <c r="Y446" i="5"/>
  <c r="Z446" i="5"/>
  <c r="AA446" i="5"/>
  <c r="AB446" i="5"/>
  <c r="Y447" i="5"/>
  <c r="Z447" i="5"/>
  <c r="AA447" i="5"/>
  <c r="AB447" i="5"/>
  <c r="Y448" i="5"/>
  <c r="Z448" i="5"/>
  <c r="AA448" i="5"/>
  <c r="AB448" i="5"/>
  <c r="Y449" i="5"/>
  <c r="Z449" i="5"/>
  <c r="AA449" i="5"/>
  <c r="AB449" i="5"/>
  <c r="Y450" i="5"/>
  <c r="Z450" i="5"/>
  <c r="AA450" i="5"/>
  <c r="AB450" i="5"/>
  <c r="Y451" i="5"/>
  <c r="Z451" i="5"/>
  <c r="AA451" i="5"/>
  <c r="AB451" i="5"/>
  <c r="Y452" i="5"/>
  <c r="Z452" i="5"/>
  <c r="AA452" i="5"/>
  <c r="AB452" i="5"/>
  <c r="Y453" i="5"/>
  <c r="Z453" i="5"/>
  <c r="AA453" i="5"/>
  <c r="AB453" i="5"/>
  <c r="Y454" i="5"/>
  <c r="Z454" i="5"/>
  <c r="AA454" i="5"/>
  <c r="AB454" i="5"/>
  <c r="Y455" i="5"/>
  <c r="Z455" i="5"/>
  <c r="AA455" i="5"/>
  <c r="AB455" i="5"/>
  <c r="Y456" i="5"/>
  <c r="Z456" i="5"/>
  <c r="AA456" i="5"/>
  <c r="AB456" i="5"/>
  <c r="Y457" i="5"/>
  <c r="Z457" i="5"/>
  <c r="AA457" i="5"/>
  <c r="AB457" i="5"/>
  <c r="Y458" i="5"/>
  <c r="Z458" i="5"/>
  <c r="AA458" i="5"/>
  <c r="AB458" i="5"/>
  <c r="Y459" i="5"/>
  <c r="Z459" i="5"/>
  <c r="AA459" i="5"/>
  <c r="AB459" i="5"/>
  <c r="Y460" i="5"/>
  <c r="Z460" i="5"/>
  <c r="AA460" i="5"/>
  <c r="AB460" i="5"/>
  <c r="Y461" i="5"/>
  <c r="Z461" i="5"/>
  <c r="AA461" i="5"/>
  <c r="AB461" i="5"/>
  <c r="Y462" i="5"/>
  <c r="Z462" i="5"/>
  <c r="AA462" i="5"/>
  <c r="AB462" i="5"/>
  <c r="Y463" i="5"/>
  <c r="Z463" i="5"/>
  <c r="AA463" i="5"/>
  <c r="AB463" i="5"/>
  <c r="Y464" i="5"/>
  <c r="Z464" i="5"/>
  <c r="AA464" i="5"/>
  <c r="AB464" i="5"/>
  <c r="Y465" i="5"/>
  <c r="Z465" i="5"/>
  <c r="AA465" i="5"/>
  <c r="AB465" i="5"/>
  <c r="Y466" i="5"/>
  <c r="Z466" i="5"/>
  <c r="AA466" i="5"/>
  <c r="AB466" i="5"/>
  <c r="Y467" i="5"/>
  <c r="Z467" i="5"/>
  <c r="AA467" i="5"/>
  <c r="AB467" i="5"/>
  <c r="Y468" i="5"/>
  <c r="Z468" i="5"/>
  <c r="AA468" i="5"/>
  <c r="AB468" i="5"/>
  <c r="Y469" i="5"/>
  <c r="Z469" i="5"/>
  <c r="AA469" i="5"/>
  <c r="AB469" i="5"/>
  <c r="Y470" i="5"/>
  <c r="Z470" i="5"/>
  <c r="AA470" i="5"/>
  <c r="AB470" i="5"/>
  <c r="Y471" i="5"/>
  <c r="Z471" i="5"/>
  <c r="AA471" i="5"/>
  <c r="AB471" i="5"/>
  <c r="Y472" i="5"/>
  <c r="Z472" i="5"/>
  <c r="AA472" i="5"/>
  <c r="AB472" i="5"/>
  <c r="Y473" i="5"/>
  <c r="Z473" i="5"/>
  <c r="AA473" i="5"/>
  <c r="AB473" i="5"/>
  <c r="Y474" i="5"/>
  <c r="Z474" i="5"/>
  <c r="AA474" i="5"/>
  <c r="AB474" i="5"/>
  <c r="Y475" i="5"/>
  <c r="Z475" i="5"/>
  <c r="AA475" i="5"/>
  <c r="AB475" i="5"/>
  <c r="Y476" i="5"/>
  <c r="Z476" i="5"/>
  <c r="AA476" i="5"/>
  <c r="AB476" i="5"/>
  <c r="Y477" i="5"/>
  <c r="Z477" i="5"/>
  <c r="AA477" i="5"/>
  <c r="AB477" i="5"/>
  <c r="Y478" i="5"/>
  <c r="Z478" i="5"/>
  <c r="AA478" i="5"/>
  <c r="AB478" i="5"/>
  <c r="Y479" i="5"/>
  <c r="Z479" i="5"/>
  <c r="AA479" i="5"/>
  <c r="AB479" i="5"/>
  <c r="Y480" i="5"/>
  <c r="Z480" i="5"/>
  <c r="AA480" i="5"/>
  <c r="AB480" i="5"/>
  <c r="Y481" i="5"/>
  <c r="Z481" i="5"/>
  <c r="AA481" i="5"/>
  <c r="AB481" i="5"/>
  <c r="Y482" i="5"/>
  <c r="Z482" i="5"/>
  <c r="AA482" i="5"/>
  <c r="AB482" i="5"/>
  <c r="Y483" i="5"/>
  <c r="Z483" i="5"/>
  <c r="AA483" i="5"/>
  <c r="AB483" i="5"/>
  <c r="Y484" i="5"/>
  <c r="Z484" i="5"/>
  <c r="AA484" i="5"/>
  <c r="AB484" i="5"/>
  <c r="Y485" i="5"/>
  <c r="Z485" i="5"/>
  <c r="AA485" i="5"/>
  <c r="AB485" i="5"/>
  <c r="Y486" i="5"/>
  <c r="Z486" i="5"/>
  <c r="AA486" i="5"/>
  <c r="AB486" i="5"/>
  <c r="Y487" i="5"/>
  <c r="Z487" i="5"/>
  <c r="AA487" i="5"/>
  <c r="AB487" i="5"/>
  <c r="Y488" i="5"/>
  <c r="Z488" i="5"/>
  <c r="AA488" i="5"/>
  <c r="AB488" i="5"/>
  <c r="Y489" i="5"/>
  <c r="Z489" i="5"/>
  <c r="AA489" i="5"/>
  <c r="AB489" i="5"/>
  <c r="Y490" i="5"/>
  <c r="Z490" i="5"/>
  <c r="AA490" i="5"/>
  <c r="AB490" i="5"/>
  <c r="Y491" i="5"/>
  <c r="Z491" i="5"/>
  <c r="AA491" i="5"/>
  <c r="AB491" i="5"/>
  <c r="Y492" i="5"/>
  <c r="Z492" i="5"/>
  <c r="AA492" i="5"/>
  <c r="AB492" i="5"/>
  <c r="Y493" i="5"/>
  <c r="Z493" i="5"/>
  <c r="AA493" i="5"/>
  <c r="AB493" i="5"/>
  <c r="Y494" i="5"/>
  <c r="Z494" i="5"/>
  <c r="AA494" i="5"/>
  <c r="AB494" i="5"/>
  <c r="Y495" i="5"/>
  <c r="Z495" i="5"/>
  <c r="AA495" i="5"/>
  <c r="AB495" i="5"/>
  <c r="Y496" i="5"/>
  <c r="Z496" i="5"/>
  <c r="AA496" i="5"/>
  <c r="AB496" i="5"/>
  <c r="Y497" i="5"/>
  <c r="Z497" i="5"/>
  <c r="AA497" i="5"/>
  <c r="AB497" i="5"/>
  <c r="Y498" i="5"/>
  <c r="Z498" i="5"/>
  <c r="AA498" i="5"/>
  <c r="AB498" i="5"/>
  <c r="Y499" i="5"/>
  <c r="Z499" i="5"/>
  <c r="AA499" i="5"/>
  <c r="AB499" i="5"/>
  <c r="Y500" i="5"/>
  <c r="Z500" i="5"/>
  <c r="AA500" i="5"/>
  <c r="AB500" i="5"/>
  <c r="Y501" i="5"/>
  <c r="Z501" i="5"/>
  <c r="AA501" i="5"/>
  <c r="AB501" i="5"/>
  <c r="Y502" i="5"/>
  <c r="Z502" i="5"/>
  <c r="AA502" i="5"/>
  <c r="AB502" i="5"/>
  <c r="Y503" i="5"/>
  <c r="Z503" i="5"/>
  <c r="AA503" i="5"/>
  <c r="AB503" i="5"/>
  <c r="Y504" i="5"/>
  <c r="Z504" i="5"/>
  <c r="AA504" i="5"/>
  <c r="AB504" i="5"/>
  <c r="Y505" i="5"/>
  <c r="Z505" i="5"/>
  <c r="AA505" i="5"/>
  <c r="AB505" i="5"/>
  <c r="Y506" i="5"/>
  <c r="Z506" i="5"/>
  <c r="AA506" i="5"/>
  <c r="AB506" i="5"/>
  <c r="Y507" i="5"/>
  <c r="Z507" i="5"/>
  <c r="AA507" i="5"/>
  <c r="AB507" i="5"/>
  <c r="Y508" i="5"/>
  <c r="Z508" i="5"/>
  <c r="AA508" i="5"/>
  <c r="AB508" i="5"/>
  <c r="Y509" i="5"/>
  <c r="Z509" i="5"/>
  <c r="AA509" i="5"/>
  <c r="AB509" i="5"/>
  <c r="Y510" i="5"/>
  <c r="Z510" i="5"/>
  <c r="AA510" i="5"/>
  <c r="AB510" i="5"/>
  <c r="Y511" i="5"/>
  <c r="Z511" i="5"/>
  <c r="AA511" i="5"/>
  <c r="AB511" i="5"/>
  <c r="Y512" i="5"/>
  <c r="Z512" i="5"/>
  <c r="AA512" i="5"/>
  <c r="AB512" i="5"/>
  <c r="C512" i="5" l="1"/>
  <c r="C513" i="5"/>
</calcChain>
</file>

<file path=xl/sharedStrings.xml><?xml version="1.0" encoding="utf-8"?>
<sst xmlns="http://schemas.openxmlformats.org/spreadsheetml/2006/main" count="481" uniqueCount="466">
  <si>
    <t>X</t>
  </si>
  <si>
    <t>Y</t>
  </si>
  <si>
    <t>Z</t>
  </si>
  <si>
    <t>REFERENCE</t>
  </si>
  <si>
    <t>MESURES</t>
  </si>
  <si>
    <t>galerie</t>
  </si>
  <si>
    <t>auscultation</t>
  </si>
  <si>
    <t>cible_nom1</t>
  </si>
  <si>
    <t>cible_nom2</t>
  </si>
  <si>
    <t>P</t>
  </si>
  <si>
    <t>dY</t>
  </si>
  <si>
    <t>dX</t>
  </si>
  <si>
    <t>ECARTS</t>
  </si>
  <si>
    <t>p</t>
  </si>
  <si>
    <t>Dz</t>
  </si>
  <si>
    <t>POINTS NOUVEAUX</t>
  </si>
  <si>
    <t>C.107</t>
  </si>
  <si>
    <t>S.882</t>
  </si>
  <si>
    <t>S.884</t>
  </si>
  <si>
    <t>C.203</t>
  </si>
  <si>
    <t>C.158</t>
  </si>
  <si>
    <t>Z161</t>
  </si>
  <si>
    <t>C.90G</t>
  </si>
  <si>
    <t>C.87G</t>
  </si>
  <si>
    <t>S1-Z161</t>
  </si>
  <si>
    <t>S1-C.90G</t>
  </si>
  <si>
    <t>S1-C.87G</t>
  </si>
  <si>
    <t>S1-C.107</t>
  </si>
  <si>
    <t>A83.AV.100</t>
  </si>
  <si>
    <t>A83.AV.101</t>
  </si>
  <si>
    <t>A83.AV.102</t>
  </si>
  <si>
    <t>A83.AV.103</t>
  </si>
  <si>
    <t>A83.AV.104</t>
  </si>
  <si>
    <t>A83.AV.105</t>
  </si>
  <si>
    <t>A83.AV.106</t>
  </si>
  <si>
    <t>A83.AV.107</t>
  </si>
  <si>
    <t>A83.AV.108</t>
  </si>
  <si>
    <t>A83.AV.109</t>
  </si>
  <si>
    <t>A83.AV.110</t>
  </si>
  <si>
    <t>A83.AV.111</t>
  </si>
  <si>
    <t>A83.AV.112</t>
  </si>
  <si>
    <t>A83.AV.113</t>
  </si>
  <si>
    <t>A83.AV.114</t>
  </si>
  <si>
    <t>A83.AV.115</t>
  </si>
  <si>
    <t>A83.AV.116</t>
  </si>
  <si>
    <t>A83.AV.117</t>
  </si>
  <si>
    <t>A83.AV.118</t>
  </si>
  <si>
    <t>A83.AV.119</t>
  </si>
  <si>
    <t>A83.AV.120</t>
  </si>
  <si>
    <t>A83.AV.121</t>
  </si>
  <si>
    <t>A83.AV.122</t>
  </si>
  <si>
    <t>A83.AV.123</t>
  </si>
  <si>
    <t>A83.AV.124</t>
  </si>
  <si>
    <t>A83.AV.125</t>
  </si>
  <si>
    <t>A83.AV.126</t>
  </si>
  <si>
    <t>A83.AV.127</t>
  </si>
  <si>
    <t>A83.AV.128</t>
  </si>
  <si>
    <t>A83.AV.129</t>
  </si>
  <si>
    <t>A83.AV.130</t>
  </si>
  <si>
    <t>A83.AV.131</t>
  </si>
  <si>
    <t>A83.AV.132</t>
  </si>
  <si>
    <t>A83.AV.133</t>
  </si>
  <si>
    <t>A83.AV.134</t>
  </si>
  <si>
    <t>A83.AV.135</t>
  </si>
  <si>
    <t>A83.AV.136</t>
  </si>
  <si>
    <t>A83.AV.137</t>
  </si>
  <si>
    <t>A83.AV.138</t>
  </si>
  <si>
    <t>A83.AV.139</t>
  </si>
  <si>
    <t>A83.AV.140</t>
  </si>
  <si>
    <t>A83.AV.141</t>
  </si>
  <si>
    <t>A83.AV.142</t>
  </si>
  <si>
    <t>A83.FV.143</t>
  </si>
  <si>
    <t>A83.FV.144</t>
  </si>
  <si>
    <t>A83.FV.145</t>
  </si>
  <si>
    <t>A83.FV.146</t>
  </si>
  <si>
    <t>A83.FV.147</t>
  </si>
  <si>
    <t>A83.FV.148</t>
  </si>
  <si>
    <t>A83.FV.149</t>
  </si>
  <si>
    <t>A83.FV.150</t>
  </si>
  <si>
    <t>A83.FV.151</t>
  </si>
  <si>
    <t>A83.FV.152</t>
  </si>
  <si>
    <t>A83.FV.153</t>
  </si>
  <si>
    <t>A83.FV.154</t>
  </si>
  <si>
    <t>A83.FV.155</t>
  </si>
  <si>
    <t>A83.FV.156</t>
  </si>
  <si>
    <t>A83.FV.157</t>
  </si>
  <si>
    <t>A83.FV.158</t>
  </si>
  <si>
    <t>A83.FV.159</t>
  </si>
  <si>
    <t>A83.FV.160</t>
  </si>
  <si>
    <t>A83.FV.161</t>
  </si>
  <si>
    <t>A83.FV.162</t>
  </si>
  <si>
    <t>A83.FV.163</t>
  </si>
  <si>
    <t>A83.FV.164</t>
  </si>
  <si>
    <t>A83.FV.165</t>
  </si>
  <si>
    <t>A83.FV.166</t>
  </si>
  <si>
    <t>A83.FV.167</t>
  </si>
  <si>
    <t>A83.FV.168</t>
  </si>
  <si>
    <t>A83.FV.169</t>
  </si>
  <si>
    <t>A83.FV.170</t>
  </si>
  <si>
    <t>A83.FV.171</t>
  </si>
  <si>
    <t>A83.FV.172</t>
  </si>
  <si>
    <t>A83.FV.173</t>
  </si>
  <si>
    <t>A83.FV.174</t>
  </si>
  <si>
    <t>A83.FV.175</t>
  </si>
  <si>
    <t>A83.FV.176</t>
  </si>
  <si>
    <t>A83.FV.177</t>
  </si>
  <si>
    <t>A83.FV.178</t>
  </si>
  <si>
    <t>A83.FV.179</t>
  </si>
  <si>
    <t>A83.FV.180</t>
  </si>
  <si>
    <t>A83.FV.181</t>
  </si>
  <si>
    <t>A83.FV.182</t>
  </si>
  <si>
    <t>C.159</t>
  </si>
  <si>
    <t>S.962</t>
  </si>
  <si>
    <t>S.964</t>
  </si>
  <si>
    <t>Cx.81G</t>
  </si>
  <si>
    <t>S2-C.159</t>
  </si>
  <si>
    <t>S2-S.962</t>
  </si>
  <si>
    <t>S2-S.964</t>
  </si>
  <si>
    <t>S2-S.882</t>
  </si>
  <si>
    <t>S2-S.884</t>
  </si>
  <si>
    <t>S2-C.107</t>
  </si>
  <si>
    <t>S2-C.203</t>
  </si>
  <si>
    <t>S2-Cx.81G</t>
  </si>
  <si>
    <t>S2-C.158</t>
  </si>
  <si>
    <t>A86.AR.200</t>
  </si>
  <si>
    <t>A86.AR.201</t>
  </si>
  <si>
    <t>A86.AR.202</t>
  </si>
  <si>
    <t>A86.AR.203</t>
  </si>
  <si>
    <t>A86.AR.204</t>
  </si>
  <si>
    <t>A86.AR.205</t>
  </si>
  <si>
    <t>A86.AR.206</t>
  </si>
  <si>
    <t>A86.AR.207</t>
  </si>
  <si>
    <t>A86.AR.208</t>
  </si>
  <si>
    <t>A86.AR.209</t>
  </si>
  <si>
    <t>A86.AR.210</t>
  </si>
  <si>
    <t>A86.AR.211</t>
  </si>
  <si>
    <t>A86.AR.212</t>
  </si>
  <si>
    <t>A86.AR.250</t>
  </si>
  <si>
    <t>A86.AR.251</t>
  </si>
  <si>
    <t>A86.AR.252</t>
  </si>
  <si>
    <t>A86.AR.253</t>
  </si>
  <si>
    <t>A86.AR.254</t>
  </si>
  <si>
    <t>A86.AR.255</t>
  </si>
  <si>
    <t>A86.AR.256</t>
  </si>
  <si>
    <t>A86.AR.257</t>
  </si>
  <si>
    <t>A86.AR.258</t>
  </si>
  <si>
    <t>A86.AR.259</t>
  </si>
  <si>
    <t>A86.AR.260</t>
  </si>
  <si>
    <t>A86.AR.261</t>
  </si>
  <si>
    <t>A86.AR.262</t>
  </si>
  <si>
    <t>A86.AR.263</t>
  </si>
  <si>
    <t>A86.AR.264</t>
  </si>
  <si>
    <t>A86.AR.265</t>
  </si>
  <si>
    <t>A86.AR.266</t>
  </si>
  <si>
    <t>A86.AR.267</t>
  </si>
  <si>
    <t>A86.AR.268</t>
  </si>
  <si>
    <t>A86.AR.269</t>
  </si>
  <si>
    <t>A86.AR.270</t>
  </si>
  <si>
    <t>A86.AR.271</t>
  </si>
  <si>
    <t>A86.AR.272</t>
  </si>
  <si>
    <t>A86.AR.273</t>
  </si>
  <si>
    <t>A86.AR.274</t>
  </si>
  <si>
    <t>A86.AR.275</t>
  </si>
  <si>
    <t>A86.AR.276</t>
  </si>
  <si>
    <t>A86.AR.277</t>
  </si>
  <si>
    <t>A86.AR.278</t>
  </si>
  <si>
    <t>A86.AR.279</t>
  </si>
  <si>
    <t>A86.AR.280</t>
  </si>
  <si>
    <t>A86.AR.281</t>
  </si>
  <si>
    <t>A86.AR.282</t>
  </si>
  <si>
    <t>A86.AR.283</t>
  </si>
  <si>
    <t>A86.AR.284</t>
  </si>
  <si>
    <t>A86.AR.285</t>
  </si>
  <si>
    <t>A86.AR.286</t>
  </si>
  <si>
    <t>A86.AR.287</t>
  </si>
  <si>
    <t>A86.AR.288</t>
  </si>
  <si>
    <t>A86.AR.289</t>
  </si>
  <si>
    <t>A86.AR.290</t>
  </si>
  <si>
    <t>A86.AR.291</t>
  </si>
  <si>
    <t>A86.AR.292</t>
  </si>
  <si>
    <t>A86.AR.293</t>
  </si>
  <si>
    <t>A86.AR.294</t>
  </si>
  <si>
    <t>A86.FR.295</t>
  </si>
  <si>
    <t>A86.FR.296</t>
  </si>
  <si>
    <t>A86.FR.297</t>
  </si>
  <si>
    <t>A86.FR.298</t>
  </si>
  <si>
    <t>A86.FR.299</t>
  </si>
  <si>
    <t>A86.FR.300</t>
  </si>
  <si>
    <t>A86.FR.301</t>
  </si>
  <si>
    <t>A86.FR.302</t>
  </si>
  <si>
    <t>A86.FR.303</t>
  </si>
  <si>
    <t>A86.FR.304</t>
  </si>
  <si>
    <t>A86.FR.305</t>
  </si>
  <si>
    <t>A86.FR.306</t>
  </si>
  <si>
    <t>A86.FR.307</t>
  </si>
  <si>
    <t>A86.FR.308</t>
  </si>
  <si>
    <t>A86.FR.309</t>
  </si>
  <si>
    <t>A86.FR.310</t>
  </si>
  <si>
    <t>A86.FR.311</t>
  </si>
  <si>
    <t>A86.FR.312</t>
  </si>
  <si>
    <t>A86.FR.313</t>
  </si>
  <si>
    <t>A86.FR.314</t>
  </si>
  <si>
    <t>A86.FR.315</t>
  </si>
  <si>
    <t>A86.FR.316</t>
  </si>
  <si>
    <t>A86.FR.317</t>
  </si>
  <si>
    <t>A86.FR.318</t>
  </si>
  <si>
    <t>A86.FR.319</t>
  </si>
  <si>
    <t>A86.FR.320</t>
  </si>
  <si>
    <t>A86.FR.321</t>
  </si>
  <si>
    <t>A86.FR.322</t>
  </si>
  <si>
    <t>A86.FR.323</t>
  </si>
  <si>
    <t>A86.FR.324</t>
  </si>
  <si>
    <t>A86.FR.325</t>
  </si>
  <si>
    <t>A86.FR.326</t>
  </si>
  <si>
    <t>A86.FR.327</t>
  </si>
  <si>
    <t>A86.FR.328</t>
  </si>
  <si>
    <t>A78.AV.329</t>
  </si>
  <si>
    <t>A78.AV.330</t>
  </si>
  <si>
    <t>A78.AV.331</t>
  </si>
  <si>
    <t>A78.AV.332</t>
  </si>
  <si>
    <t>A78.AV.333</t>
  </si>
  <si>
    <t>A78.AV.334</t>
  </si>
  <si>
    <t>A78.AV.335</t>
  </si>
  <si>
    <t>A78.AV.336</t>
  </si>
  <si>
    <t>A78.AV.337</t>
  </si>
  <si>
    <t>A78.AV.338</t>
  </si>
  <si>
    <t>A78.AV.339</t>
  </si>
  <si>
    <t>A78.AV.340</t>
  </si>
  <si>
    <t>A78.AV.341</t>
  </si>
  <si>
    <t>A78.AV.342</t>
  </si>
  <si>
    <t>A78.AV.343</t>
  </si>
  <si>
    <t>A78.AV.344</t>
  </si>
  <si>
    <t>A78.AV.345</t>
  </si>
  <si>
    <t>A78.AV.346</t>
  </si>
  <si>
    <t>A78.AV.347</t>
  </si>
  <si>
    <t>A78.AV.348</t>
  </si>
  <si>
    <t>A78.AV.349</t>
  </si>
  <si>
    <t>A78.AV.350</t>
  </si>
  <si>
    <t>A78.AV.351</t>
  </si>
  <si>
    <t>A78.AV.352</t>
  </si>
  <si>
    <t>A78.AV.353</t>
  </si>
  <si>
    <t>A78.AV.354</t>
  </si>
  <si>
    <t>A78.AV.355</t>
  </si>
  <si>
    <t>A78.AV.356</t>
  </si>
  <si>
    <t>A78.AV.357</t>
  </si>
  <si>
    <t>A78.AV.358</t>
  </si>
  <si>
    <t>A78.AV.359</t>
  </si>
  <si>
    <t>A78.AV.360</t>
  </si>
  <si>
    <t>A78.FV.361</t>
  </si>
  <si>
    <t>A78.FV.362</t>
  </si>
  <si>
    <t>A78.FV.363</t>
  </si>
  <si>
    <t>A78.FV.364</t>
  </si>
  <si>
    <t>A78.FV.365</t>
  </si>
  <si>
    <t>A78.FV.366</t>
  </si>
  <si>
    <t>A78.FV.367</t>
  </si>
  <si>
    <t>A78.FV.368</t>
  </si>
  <si>
    <t>A78.FV.369</t>
  </si>
  <si>
    <t>A78.FV.370</t>
  </si>
  <si>
    <t>A78.FV.371</t>
  </si>
  <si>
    <t>A78.FV.372</t>
  </si>
  <si>
    <t>A78.FV.373</t>
  </si>
  <si>
    <t>A78.FV.374</t>
  </si>
  <si>
    <t>A78.FV.375</t>
  </si>
  <si>
    <t>A78.FV.376</t>
  </si>
  <si>
    <t>A78.FV.377</t>
  </si>
  <si>
    <t>A78.FV.378</t>
  </si>
  <si>
    <t>A78.FV.379</t>
  </si>
  <si>
    <t>A78.FV.380</t>
  </si>
  <si>
    <t>A78.FV.381</t>
  </si>
  <si>
    <t>A78.FV.382</t>
  </si>
  <si>
    <t>A78.FV.383</t>
  </si>
  <si>
    <t>A78.FV.384</t>
  </si>
  <si>
    <t>A78.FV.385</t>
  </si>
  <si>
    <t>A78.FV.386</t>
  </si>
  <si>
    <t>A78.FV.387</t>
  </si>
  <si>
    <t>A78.FV.388</t>
  </si>
  <si>
    <t>A78.FV.389</t>
  </si>
  <si>
    <t>A78.FV.390</t>
  </si>
  <si>
    <t>A78.FV.391</t>
  </si>
  <si>
    <t>A78.FV.392</t>
  </si>
  <si>
    <t>A78.FV.393</t>
  </si>
  <si>
    <t>A78.FV.394</t>
  </si>
  <si>
    <t>A78.FV.395</t>
  </si>
  <si>
    <t>A78.FV.396</t>
  </si>
  <si>
    <t>A78.FV.397</t>
  </si>
  <si>
    <t>A78.FV.398</t>
  </si>
  <si>
    <t>A78.FV.399</t>
  </si>
  <si>
    <t>S3-S.882</t>
  </si>
  <si>
    <t>S3-S.884</t>
  </si>
  <si>
    <t>S3-C.158</t>
  </si>
  <si>
    <t>S3-C.107</t>
  </si>
  <si>
    <t>S3-C.203</t>
  </si>
  <si>
    <t>A81.AR.300</t>
  </si>
  <si>
    <t>A81.AR.301</t>
  </si>
  <si>
    <t>A81.AR.302</t>
  </si>
  <si>
    <t>A81.AR.303</t>
  </si>
  <si>
    <t>A81.AR.304</t>
  </si>
  <si>
    <t>A81.AR.305</t>
  </si>
  <si>
    <t>A81.AR.306</t>
  </si>
  <si>
    <t>A81.AR.307</t>
  </si>
  <si>
    <t>A81.AR.308</t>
  </si>
  <si>
    <t>A81.AR.309</t>
  </si>
  <si>
    <t>A81.AR.310</t>
  </si>
  <si>
    <t>A81.AR.311</t>
  </si>
  <si>
    <t>A81.AR.312</t>
  </si>
  <si>
    <t>A81.AR.313</t>
  </si>
  <si>
    <t>A81.AR.314</t>
  </si>
  <si>
    <t>A81.AR.315</t>
  </si>
  <si>
    <t>A81.AR.316</t>
  </si>
  <si>
    <t>A81.AR.317</t>
  </si>
  <si>
    <t>A81.AR.318</t>
  </si>
  <si>
    <t>A81.AR.319</t>
  </si>
  <si>
    <t>A81.AR.320</t>
  </si>
  <si>
    <t>A81.AR.321</t>
  </si>
  <si>
    <t>A81.AR.322</t>
  </si>
  <si>
    <t>A81.AR.323</t>
  </si>
  <si>
    <t>A81.AR.324</t>
  </si>
  <si>
    <t>A81.AR.325</t>
  </si>
  <si>
    <t>A81.AR.326</t>
  </si>
  <si>
    <t>A81.AR.327</t>
  </si>
  <si>
    <t>A81.AR.328</t>
  </si>
  <si>
    <t>A81.AR.329</t>
  </si>
  <si>
    <t>A81.AR.330</t>
  </si>
  <si>
    <t>A81.AR.331</t>
  </si>
  <si>
    <t>A81.AR.332</t>
  </si>
  <si>
    <t>A81.AR.333</t>
  </si>
  <si>
    <t>A81.AR.334</t>
  </si>
  <si>
    <t>A81.AR.335</t>
  </si>
  <si>
    <t>A81.AR.336</t>
  </si>
  <si>
    <t>A81.AR.337</t>
  </si>
  <si>
    <t>A81.AR.338</t>
  </si>
  <si>
    <t>A81.FR.339</t>
  </si>
  <si>
    <t>A81.FR.340</t>
  </si>
  <si>
    <t>A81.FR.341</t>
  </si>
  <si>
    <t>A81.FR.342</t>
  </si>
  <si>
    <t>A81.FR.343</t>
  </si>
  <si>
    <t>A81.FR.344</t>
  </si>
  <si>
    <t>A81.FR.345</t>
  </si>
  <si>
    <t>A81.FR.346</t>
  </si>
  <si>
    <t>A81.FR.347</t>
  </si>
  <si>
    <t>A81.FR.348</t>
  </si>
  <si>
    <t>A81.FR.349</t>
  </si>
  <si>
    <t>A81.FR.350</t>
  </si>
  <si>
    <t>A81.FR.351</t>
  </si>
  <si>
    <t>A81.FR.352</t>
  </si>
  <si>
    <t>A81.FR.353</t>
  </si>
  <si>
    <t>A81.FR.354</t>
  </si>
  <si>
    <t>A81.FR.355</t>
  </si>
  <si>
    <t>A81.FR.356</t>
  </si>
  <si>
    <t>A81.FR.357</t>
  </si>
  <si>
    <t>A81.FR.358</t>
  </si>
  <si>
    <t>A81.FR.359</t>
  </si>
  <si>
    <t>A81.FR.360</t>
  </si>
  <si>
    <t>A81.FR.361</t>
  </si>
  <si>
    <t>A81.FR.362</t>
  </si>
  <si>
    <t>A81.FR.363</t>
  </si>
  <si>
    <t>A81.FR.364</t>
  </si>
  <si>
    <t>A81.FR.365</t>
  </si>
  <si>
    <t>A81.FR.366</t>
  </si>
  <si>
    <t>A81.FR.367</t>
  </si>
  <si>
    <t>A81.FR.368</t>
  </si>
  <si>
    <t>A81.FR.369</t>
  </si>
  <si>
    <t>A81.FR.370</t>
  </si>
  <si>
    <t>A81.FR.371</t>
  </si>
  <si>
    <t>A81.FR.372</t>
  </si>
  <si>
    <t>A81.FR.373</t>
  </si>
  <si>
    <t>A81.FR.374</t>
  </si>
  <si>
    <t>A81.FR.375</t>
  </si>
  <si>
    <t>A81.FR.376</t>
  </si>
  <si>
    <t>A81.FR.377</t>
  </si>
  <si>
    <t>A81.FR.378</t>
  </si>
  <si>
    <t>A81.FR.379</t>
  </si>
  <si>
    <t>A74.AV.380</t>
  </si>
  <si>
    <t>A74.AV.381</t>
  </si>
  <si>
    <t>A74.AV.382</t>
  </si>
  <si>
    <t>A74.AV.383</t>
  </si>
  <si>
    <t>A74.AV.384</t>
  </si>
  <si>
    <t>A74.AV.385</t>
  </si>
  <si>
    <t>A74.AV.386</t>
  </si>
  <si>
    <t>A74.AV.387</t>
  </si>
  <si>
    <t>A74.AV.388</t>
  </si>
  <si>
    <t>A74.AV.389</t>
  </si>
  <si>
    <t>A74.AV.390</t>
  </si>
  <si>
    <t>A74.AV.391</t>
  </si>
  <si>
    <t>A74.AV.392</t>
  </si>
  <si>
    <t>A74.AV.393</t>
  </si>
  <si>
    <t>A74.AV.394</t>
  </si>
  <si>
    <t>A74.AV.395</t>
  </si>
  <si>
    <t>A74.AV.396</t>
  </si>
  <si>
    <t>A74.AV.397</t>
  </si>
  <si>
    <t>A74.AV.398</t>
  </si>
  <si>
    <t>A74.AV.399</t>
  </si>
  <si>
    <t>A74.AV.400</t>
  </si>
  <si>
    <t>A74.AV.401</t>
  </si>
  <si>
    <t>A74.AV.402</t>
  </si>
  <si>
    <t>A74.AV.403</t>
  </si>
  <si>
    <t>A74.AV.404</t>
  </si>
  <si>
    <t>A74.AV.405</t>
  </si>
  <si>
    <t>A74.AV.406</t>
  </si>
  <si>
    <t>A74.AV.407</t>
  </si>
  <si>
    <t>A74.AV.408</t>
  </si>
  <si>
    <t>A74.AV.409</t>
  </si>
  <si>
    <t>A74.AV.410</t>
  </si>
  <si>
    <t>A74.AV.411</t>
  </si>
  <si>
    <t>A74.AV.412</t>
  </si>
  <si>
    <t>A74.AV.413</t>
  </si>
  <si>
    <t>A74.AV.414</t>
  </si>
  <si>
    <t>A74.FV.415</t>
  </si>
  <si>
    <t>A74.FV.416</t>
  </si>
  <si>
    <t>A74.FV.417</t>
  </si>
  <si>
    <t>A74.FV.418</t>
  </si>
  <si>
    <t>A74.FV.419</t>
  </si>
  <si>
    <t>A74.FV.420</t>
  </si>
  <si>
    <t>A74.FV.421</t>
  </si>
  <si>
    <t>A74.FV.422</t>
  </si>
  <si>
    <t>A74.FV.423</t>
  </si>
  <si>
    <t>A74.FV.424</t>
  </si>
  <si>
    <t>A74.FV.425</t>
  </si>
  <si>
    <t>A74.FV.426</t>
  </si>
  <si>
    <t>A74.FV.427</t>
  </si>
  <si>
    <t>A74.FV.428</t>
  </si>
  <si>
    <t>A74.FV.429</t>
  </si>
  <si>
    <t>A74.FV.430</t>
  </si>
  <si>
    <t>A74.FV.431</t>
  </si>
  <si>
    <t>A74.FV.432</t>
  </si>
  <si>
    <t>A74.FV.433</t>
  </si>
  <si>
    <t>A74.FV.434</t>
  </si>
  <si>
    <t>A74.FV.435</t>
  </si>
  <si>
    <t>A74.FV.436</t>
  </si>
  <si>
    <t>A74.FV.437</t>
  </si>
  <si>
    <t>A74.FV.438</t>
  </si>
  <si>
    <t>A74.FV.439</t>
  </si>
  <si>
    <t>A74.FV.440</t>
  </si>
  <si>
    <t>A74.FV.441</t>
  </si>
  <si>
    <t>A74.FV.442</t>
  </si>
  <si>
    <t>A74.FV.443</t>
  </si>
  <si>
    <t>A74.FV.444</t>
  </si>
  <si>
    <t>A74.FV.445</t>
  </si>
  <si>
    <t>A74.FV.446</t>
  </si>
  <si>
    <t>A74.FV.447</t>
  </si>
  <si>
    <t>A74.FV.448</t>
  </si>
  <si>
    <t>A74.FV.449</t>
  </si>
  <si>
    <t>A74.FV.450</t>
  </si>
  <si>
    <t>S5-S.882</t>
  </si>
  <si>
    <t>S5-S.884</t>
  </si>
  <si>
    <t>S5-C.203</t>
  </si>
  <si>
    <t>A76.AR.500</t>
  </si>
  <si>
    <t>A76.AR.501</t>
  </si>
  <si>
    <t>A76.AR.502</t>
  </si>
  <si>
    <t>A76.AR.503</t>
  </si>
  <si>
    <t>A76.AR.504</t>
  </si>
  <si>
    <t>A76.AR.505</t>
  </si>
  <si>
    <t>A76.AR.506</t>
  </si>
  <si>
    <t>A76.AR.507</t>
  </si>
  <si>
    <t>A76.AR.508</t>
  </si>
  <si>
    <t>A76.AR.509</t>
  </si>
  <si>
    <t>A76.AR.510</t>
  </si>
  <si>
    <t>A76.AR.511</t>
  </si>
  <si>
    <t>A76.AR.512</t>
  </si>
  <si>
    <t>A76.AR.513</t>
  </si>
  <si>
    <t>A76.AR.514</t>
  </si>
  <si>
    <t>A76.AR.515</t>
  </si>
  <si>
    <t>A76.AR.516</t>
  </si>
  <si>
    <t>A76.AR.517</t>
  </si>
  <si>
    <t>A76.AR.518</t>
  </si>
  <si>
    <t>MESURES A COMPARER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</si>
</sst>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0"/>
      <color theme="5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10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165" fontId="6" fillId="5" borderId="0" xfId="1" applyNumberFormat="1" applyFont="1" applyFill="1" applyAlignment="1">
      <alignment horizontal="center" vertical="center"/>
    </xf>
    <xf numFmtId="165" fontId="0" fillId="5" borderId="0" xfId="0" applyNumberForma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165" fontId="1" fillId="4" borderId="1" xfId="0" applyNumberFormat="1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165" fontId="1" fillId="4" borderId="10" xfId="0" applyNumberFormat="1" applyFont="1" applyFill="1" applyBorder="1" applyAlignment="1">
      <alignment horizontal="center"/>
    </xf>
    <xf numFmtId="165" fontId="1" fillId="4" borderId="11" xfId="0" applyNumberFormat="1" applyFont="1" applyFill="1" applyBorder="1" applyAlignment="1">
      <alignment horizontal="center"/>
    </xf>
    <xf numFmtId="165" fontId="1" fillId="4" borderId="0" xfId="0" applyNumberFormat="1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0" xfId="0" applyFill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0" fillId="6" borderId="1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2" fillId="2" borderId="12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164" fontId="2" fillId="6" borderId="11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4" fontId="0" fillId="7" borderId="12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6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165" fontId="0" fillId="0" borderId="1" xfId="0" applyNumberForma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64" fontId="10" fillId="3" borderId="1" xfId="0" applyNumberFormat="1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164" fontId="11" fillId="3" borderId="1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164" fontId="8" fillId="3" borderId="13" xfId="0" applyNumberFormat="1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164" fontId="11" fillId="3" borderId="13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164" fontId="10" fillId="2" borderId="1" xfId="0" applyNumberFormat="1" applyFont="1" applyFill="1" applyBorder="1" applyAlignment="1">
      <alignment horizontal="center"/>
    </xf>
    <xf numFmtId="164" fontId="10" fillId="2" borderId="12" xfId="0" applyNumberFormat="1" applyFont="1" applyFill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164" fontId="10" fillId="6" borderId="1" xfId="0" applyNumberFormat="1" applyFont="1" applyFill="1" applyBorder="1" applyAlignment="1">
      <alignment horizontal="center"/>
    </xf>
    <xf numFmtId="164" fontId="10" fillId="6" borderId="11" xfId="0" applyNumberFormat="1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164" fontId="10" fillId="3" borderId="12" xfId="0" applyNumberFormat="1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164" fontId="11" fillId="6" borderId="1" xfId="0" applyNumberFormat="1" applyFont="1" applyFill="1" applyBorder="1" applyAlignment="1">
      <alignment horizontal="center"/>
    </xf>
    <xf numFmtId="164" fontId="11" fillId="6" borderId="11" xfId="0" applyNumberFormat="1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164" fontId="12" fillId="7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7" fillId="3" borderId="7" xfId="0" applyNumberFormat="1" applyFont="1" applyFill="1" applyBorder="1" applyAlignment="1">
      <alignment horizontal="center"/>
    </xf>
    <xf numFmtId="165" fontId="7" fillId="3" borderId="8" xfId="0" applyNumberFormat="1" applyFont="1" applyFill="1" applyBorder="1" applyAlignment="1">
      <alignment horizontal="center"/>
    </xf>
    <xf numFmtId="165" fontId="7" fillId="3" borderId="9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165" fontId="7" fillId="3" borderId="2" xfId="0" applyNumberFormat="1" applyFont="1" applyFill="1" applyBorder="1" applyAlignment="1">
      <alignment horizontal="center"/>
    </xf>
    <xf numFmtId="165" fontId="7" fillId="3" borderId="3" xfId="0" applyNumberFormat="1" applyFont="1" applyFill="1" applyBorder="1" applyAlignment="1">
      <alignment horizontal="center"/>
    </xf>
    <xf numFmtId="165" fontId="7" fillId="3" borderId="4" xfId="0" applyNumberFormat="1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3" fillId="3" borderId="1" xfId="0" applyFont="1" applyFill="1" applyBorder="1"/>
    <xf numFmtId="165" fontId="13" fillId="3" borderId="1" xfId="0" applyNumberFormat="1" applyFont="1" applyFill="1" applyBorder="1"/>
    <xf numFmtId="0" fontId="10" fillId="3" borderId="13" xfId="0" applyFont="1" applyFill="1" applyBorder="1" applyAlignment="1">
      <alignment horizontal="center"/>
    </xf>
    <xf numFmtId="164" fontId="10" fillId="3" borderId="1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6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9"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</xdr:row>
      <xdr:rowOff>76200</xdr:rowOff>
    </xdr:from>
    <xdr:to>
      <xdr:col>7</xdr:col>
      <xdr:colOff>704850</xdr:colOff>
      <xdr:row>3</xdr:row>
      <xdr:rowOff>47625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39025" y="457200"/>
          <a:ext cx="5619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123825</xdr:colOff>
      <xdr:row>2</xdr:row>
      <xdr:rowOff>76200</xdr:rowOff>
    </xdr:from>
    <xdr:to>
      <xdr:col>12</xdr:col>
      <xdr:colOff>685800</xdr:colOff>
      <xdr:row>3</xdr:row>
      <xdr:rowOff>47625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344400" y="457200"/>
          <a:ext cx="5619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4</xdr:row>
          <xdr:rowOff>66675</xdr:rowOff>
        </xdr:from>
        <xdr:to>
          <xdr:col>12</xdr:col>
          <xdr:colOff>657225</xdr:colOff>
          <xdr:row>7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33" displayName="Tableau33" ref="A2:G513" totalsRowShown="0" headerRowDxfId="38" dataDxfId="37">
  <autoFilter ref="A2:G513" xr:uid="{00000000-0009-0000-0100-000001000000}"/>
  <tableColumns count="7">
    <tableColumn id="1" xr3:uid="{00000000-0010-0000-0000-000001000000}" name="galerie" dataDxfId="36"/>
    <tableColumn id="2" xr3:uid="{00000000-0010-0000-0000-000002000000}" name="auscultation" dataDxfId="35"/>
    <tableColumn id="3" xr3:uid="{00000000-0010-0000-0000-000003000000}" name="cible_nom1" dataDxfId="34">
      <calculatedColumnFormula>Tableau33[[#This Row],[cible_nom2]]</calculatedColumnFormula>
    </tableColumn>
    <tableColumn id="4" xr3:uid="{00000000-0010-0000-0000-000004000000}" name="cible_nom2" dataDxfId="33"/>
    <tableColumn id="5" xr3:uid="{00000000-0010-0000-0000-000005000000}" name="X" dataDxfId="32"/>
    <tableColumn id="6" xr3:uid="{00000000-0010-0000-0000-000006000000}" name="Y" dataDxfId="31"/>
    <tableColumn id="7" xr3:uid="{00000000-0010-0000-0000-000007000000}" name="Z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35" displayName="Tableau35" ref="I2:L1325" totalsRowShown="0" headerRowDxfId="29" dataDxfId="28">
  <autoFilter ref="I2:L1325" xr:uid="{00000000-0009-0000-0100-000002000000}"/>
  <sortState xmlns:xlrd2="http://schemas.microsoft.com/office/spreadsheetml/2017/richdata2" ref="I3:L513">
    <sortCondition ref="I2:I1325"/>
  </sortState>
  <tableColumns count="4">
    <tableColumn id="1" xr3:uid="{00000000-0010-0000-0100-000001000000}" name="P" dataDxfId="27"/>
    <tableColumn id="2" xr3:uid="{00000000-0010-0000-0100-000002000000}" name="X" dataDxfId="26"/>
    <tableColumn id="3" xr3:uid="{00000000-0010-0000-0100-000003000000}" name="Y" dataDxfId="25"/>
    <tableColumn id="4" xr3:uid="{00000000-0010-0000-0100-000004000000}" name="Z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G513"/>
  <sheetViews>
    <sheetView tabSelected="1" topLeftCell="D1" zoomScale="70" zoomScaleNormal="70" workbookViewId="0">
      <selection activeCell="I2" sqref="I2"/>
    </sheetView>
  </sheetViews>
  <sheetFormatPr baseColWidth="10" defaultRowHeight="15" outlineLevelCol="1" x14ac:dyDescent="0.25"/>
  <cols>
    <col min="1" max="1" width="0" style="3" hidden="1" customWidth="1"/>
    <col min="2" max="2" width="14" style="2" hidden="1" customWidth="1"/>
    <col min="3" max="3" width="28.42578125" style="2" hidden="1" customWidth="1"/>
    <col min="4" max="4" width="24" style="2" bestFit="1" customWidth="1"/>
    <col min="5" max="5" width="17.7109375" style="2" customWidth="1"/>
    <col min="6" max="6" width="17.5703125" style="2" customWidth="1"/>
    <col min="7" max="7" width="16.7109375" style="4" customWidth="1"/>
    <col min="8" max="8" width="11.42578125" style="22"/>
    <col min="9" max="9" width="22.140625" style="5" customWidth="1" outlineLevel="1"/>
    <col min="10" max="10" width="15" style="6" bestFit="1" customWidth="1" outlineLevel="1"/>
    <col min="11" max="11" width="16.28515625" style="6" customWidth="1" outlineLevel="1"/>
    <col min="12" max="12" width="11.42578125" style="4" outlineLevel="1"/>
    <col min="13" max="13" width="11.42578125" style="22"/>
    <col min="14" max="14" width="17.85546875" style="39" customWidth="1"/>
    <col min="15" max="15" width="13" style="20" bestFit="1" customWidth="1"/>
    <col min="16" max="16" width="13.42578125" style="20" bestFit="1" customWidth="1"/>
    <col min="17" max="17" width="11.42578125" style="49"/>
    <col min="18" max="18" width="11.42578125" style="39" hidden="1" customWidth="1" outlineLevel="1"/>
    <col min="19" max="19" width="16.5703125" style="20" hidden="1" customWidth="1" outlineLevel="1"/>
    <col min="20" max="20" width="15.140625" style="20" hidden="1" customWidth="1" outlineLevel="1"/>
    <col min="21" max="21" width="15.7109375" style="20" customWidth="1" outlineLevel="1"/>
    <col min="22" max="23" width="16.42578125" style="20" customWidth="1" outlineLevel="1"/>
    <col min="24" max="24" width="11.5703125" style="49" customWidth="1" outlineLevel="1"/>
    <col min="25" max="25" width="20.28515625" style="2" customWidth="1"/>
    <col min="26" max="28" width="20.28515625" style="18" customWidth="1"/>
    <col min="29" max="29" width="20.7109375" style="20" hidden="1" customWidth="1" outlineLevel="1"/>
    <col min="30" max="30" width="13.85546875" style="53" hidden="1" customWidth="1" outlineLevel="1"/>
    <col min="31" max="31" width="14.5703125" style="53" hidden="1" customWidth="1" outlineLevel="1"/>
    <col min="32" max="32" width="11.140625" style="53" hidden="1" customWidth="1" outlineLevel="1"/>
    <col min="33" max="33" width="11.42578125" style="2" collapsed="1"/>
    <col min="34" max="16384" width="11.42578125" style="2"/>
  </cols>
  <sheetData>
    <row r="1" spans="1:32" ht="18.75" x14ac:dyDescent="0.3">
      <c r="A1" s="82" t="s">
        <v>3</v>
      </c>
      <c r="B1" s="83"/>
      <c r="C1" s="83"/>
      <c r="D1" s="83"/>
      <c r="E1" s="83"/>
      <c r="F1" s="83"/>
      <c r="G1" s="84"/>
      <c r="I1" s="85" t="s">
        <v>465</v>
      </c>
      <c r="J1" s="86"/>
      <c r="K1" s="86"/>
      <c r="L1" s="87"/>
      <c r="N1" s="79" t="s">
        <v>4</v>
      </c>
      <c r="O1" s="80"/>
      <c r="P1" s="80"/>
      <c r="Q1" s="81"/>
      <c r="R1" s="89" t="s">
        <v>3</v>
      </c>
      <c r="S1" s="90"/>
      <c r="T1" s="90"/>
      <c r="U1" s="90"/>
      <c r="V1" s="90"/>
      <c r="W1" s="90"/>
      <c r="X1" s="91"/>
      <c r="Y1" s="79" t="s">
        <v>12</v>
      </c>
      <c r="Z1" s="80"/>
      <c r="AA1" s="80"/>
      <c r="AB1" s="81"/>
      <c r="AC1" s="88" t="s">
        <v>15</v>
      </c>
      <c r="AD1" s="88"/>
      <c r="AE1" s="88"/>
      <c r="AF1" s="88"/>
    </row>
    <row r="2" spans="1:32" x14ac:dyDescent="0.25">
      <c r="A2" s="3" t="s">
        <v>5</v>
      </c>
      <c r="B2" s="2" t="s">
        <v>6</v>
      </c>
      <c r="C2" s="2" t="s">
        <v>7</v>
      </c>
      <c r="D2" s="2" t="s">
        <v>8</v>
      </c>
      <c r="E2" s="2" t="s">
        <v>0</v>
      </c>
      <c r="F2" s="2" t="s">
        <v>1</v>
      </c>
      <c r="G2" s="4" t="s">
        <v>2</v>
      </c>
      <c r="I2" s="5" t="s">
        <v>9</v>
      </c>
      <c r="J2" s="6" t="s">
        <v>0</v>
      </c>
      <c r="K2" s="6" t="s">
        <v>1</v>
      </c>
      <c r="L2" s="7" t="s">
        <v>2</v>
      </c>
      <c r="N2" s="14" t="s">
        <v>9</v>
      </c>
      <c r="O2" s="11" t="s">
        <v>0</v>
      </c>
      <c r="P2" s="11" t="s">
        <v>1</v>
      </c>
      <c r="Q2" s="15" t="s">
        <v>2</v>
      </c>
      <c r="R2" s="12" t="s">
        <v>5</v>
      </c>
      <c r="S2" s="10" t="s">
        <v>6</v>
      </c>
      <c r="T2" s="10" t="s">
        <v>7</v>
      </c>
      <c r="U2" s="10" t="s">
        <v>8</v>
      </c>
      <c r="V2" s="10" t="s">
        <v>0</v>
      </c>
      <c r="W2" s="10" t="s">
        <v>1</v>
      </c>
      <c r="X2" s="13" t="s">
        <v>2</v>
      </c>
      <c r="Y2" s="16" t="s">
        <v>13</v>
      </c>
      <c r="Z2" s="17" t="s">
        <v>11</v>
      </c>
      <c r="AA2" s="17" t="s">
        <v>10</v>
      </c>
      <c r="AB2" s="17" t="s">
        <v>14</v>
      </c>
    </row>
    <row r="3" spans="1:32" x14ac:dyDescent="0.25">
      <c r="C3" s="1"/>
      <c r="D3" s="54"/>
      <c r="E3" s="55"/>
      <c r="F3" s="55"/>
      <c r="G3" s="55"/>
      <c r="I3" s="98"/>
      <c r="J3" s="98"/>
      <c r="K3" s="98"/>
      <c r="L3" s="98"/>
      <c r="N3" s="33"/>
      <c r="O3" s="34"/>
      <c r="P3" s="34"/>
      <c r="Q3" s="35"/>
      <c r="R3" s="75"/>
      <c r="S3" s="36"/>
      <c r="T3" s="36"/>
      <c r="U3" s="36"/>
      <c r="V3" s="37"/>
      <c r="W3" s="37"/>
      <c r="X3" s="38"/>
      <c r="Y3" s="76">
        <f>U3</f>
        <v>0</v>
      </c>
      <c r="Z3" s="77">
        <f>O3-V3:V4</f>
        <v>0</v>
      </c>
      <c r="AA3" s="77">
        <f t="shared" ref="AA3:AB3" si="0">P3-W3:W4</f>
        <v>0</v>
      </c>
      <c r="AB3" s="77">
        <f t="shared" si="0"/>
        <v>0</v>
      </c>
      <c r="AC3" s="20">
        <v>9001</v>
      </c>
      <c r="AD3" s="53">
        <v>823055.397</v>
      </c>
      <c r="AE3" s="53">
        <v>1091452.7916999999</v>
      </c>
      <c r="AF3" s="53">
        <v>-122.6982</v>
      </c>
    </row>
    <row r="4" spans="1:32" x14ac:dyDescent="0.25">
      <c r="C4" s="1"/>
      <c r="D4" s="54"/>
      <c r="E4" s="55"/>
      <c r="F4" s="55"/>
      <c r="G4" s="55"/>
      <c r="I4" s="98"/>
      <c r="J4" s="98"/>
      <c r="K4" s="98"/>
      <c r="L4" s="98"/>
      <c r="N4" s="33"/>
      <c r="O4" s="34"/>
      <c r="P4" s="34"/>
      <c r="Q4" s="35"/>
      <c r="R4" s="75"/>
      <c r="S4" s="36"/>
      <c r="T4" s="36"/>
      <c r="U4" s="36"/>
      <c r="V4" s="37"/>
      <c r="W4" s="37"/>
      <c r="X4" s="38"/>
      <c r="Y4" s="76">
        <f t="shared" ref="Y4:Y67" si="1">U4</f>
        <v>0</v>
      </c>
      <c r="Z4" s="77">
        <f t="shared" ref="Z4:Z67" si="2">O4-V4:V5</f>
        <v>0</v>
      </c>
      <c r="AA4" s="77">
        <f t="shared" ref="AA4:AA67" si="3">P4-W4:W5</f>
        <v>0</v>
      </c>
      <c r="AB4" s="77">
        <f t="shared" ref="AB4:AB67" si="4">Q4-X4:X5</f>
        <v>0</v>
      </c>
      <c r="AC4" s="20" t="s">
        <v>16</v>
      </c>
      <c r="AD4" s="53">
        <v>823059.647</v>
      </c>
      <c r="AE4" s="53">
        <v>1091437.8810000001</v>
      </c>
      <c r="AF4" s="53">
        <v>-122.0963</v>
      </c>
    </row>
    <row r="5" spans="1:32" x14ac:dyDescent="0.25">
      <c r="C5" s="1"/>
      <c r="D5" s="54"/>
      <c r="E5" s="55"/>
      <c r="F5" s="55"/>
      <c r="G5" s="55"/>
      <c r="I5" s="98"/>
      <c r="J5" s="98"/>
      <c r="K5" s="98"/>
      <c r="L5" s="98"/>
      <c r="N5" s="33"/>
      <c r="O5" s="34"/>
      <c r="P5" s="34"/>
      <c r="Q5" s="35"/>
      <c r="R5" s="75"/>
      <c r="S5" s="36"/>
      <c r="T5" s="36"/>
      <c r="U5" s="36"/>
      <c r="V5" s="37"/>
      <c r="W5" s="37"/>
      <c r="X5" s="38"/>
      <c r="Y5" s="76">
        <f t="shared" si="1"/>
        <v>0</v>
      </c>
      <c r="Z5" s="77">
        <f t="shared" si="2"/>
        <v>0</v>
      </c>
      <c r="AA5" s="77">
        <f t="shared" si="3"/>
        <v>0</v>
      </c>
      <c r="AB5" s="77">
        <f t="shared" si="4"/>
        <v>0</v>
      </c>
      <c r="AC5" s="20">
        <v>9002</v>
      </c>
      <c r="AD5" s="53">
        <v>823053.72450000001</v>
      </c>
      <c r="AE5" s="53">
        <v>1091456.6144999999</v>
      </c>
      <c r="AF5" s="53">
        <v>-122.6982</v>
      </c>
    </row>
    <row r="6" spans="1:32" x14ac:dyDescent="0.25">
      <c r="C6" s="1"/>
      <c r="D6" s="54"/>
      <c r="E6" s="55"/>
      <c r="F6" s="55"/>
      <c r="G6" s="55"/>
      <c r="I6" s="98"/>
      <c r="J6" s="98"/>
      <c r="K6" s="98"/>
      <c r="L6" s="98"/>
      <c r="N6" s="33"/>
      <c r="O6" s="34"/>
      <c r="P6" s="34"/>
      <c r="Q6" s="35"/>
      <c r="R6" s="75"/>
      <c r="S6" s="36"/>
      <c r="T6" s="36"/>
      <c r="U6" s="36"/>
      <c r="V6" s="37"/>
      <c r="W6" s="37"/>
      <c r="X6" s="38"/>
      <c r="Y6" s="76">
        <f t="shared" si="1"/>
        <v>0</v>
      </c>
      <c r="Z6" s="77">
        <f t="shared" si="2"/>
        <v>0</v>
      </c>
      <c r="AA6" s="77">
        <f t="shared" si="3"/>
        <v>0</v>
      </c>
      <c r="AB6" s="77">
        <f t="shared" si="4"/>
        <v>0</v>
      </c>
      <c r="AC6" s="20" t="s">
        <v>17</v>
      </c>
      <c r="AD6" s="53">
        <v>823057.57090000005</v>
      </c>
      <c r="AE6" s="53">
        <v>1091452.9410999999</v>
      </c>
      <c r="AF6" s="53">
        <v>-121.012</v>
      </c>
    </row>
    <row r="7" spans="1:32" x14ac:dyDescent="0.25">
      <c r="C7" s="1"/>
      <c r="D7" s="54"/>
      <c r="E7" s="55"/>
      <c r="F7" s="55"/>
      <c r="G7" s="55"/>
      <c r="I7" s="98"/>
      <c r="J7" s="98"/>
      <c r="K7" s="98"/>
      <c r="L7" s="98"/>
      <c r="N7" s="62"/>
      <c r="O7" s="63"/>
      <c r="P7" s="63"/>
      <c r="Q7" s="64"/>
      <c r="R7" s="65"/>
      <c r="S7" s="66"/>
      <c r="T7" s="66"/>
      <c r="U7" s="66"/>
      <c r="V7" s="67"/>
      <c r="W7" s="67"/>
      <c r="X7" s="68"/>
      <c r="Y7" s="76">
        <f t="shared" si="1"/>
        <v>0</v>
      </c>
      <c r="Z7" s="77">
        <f t="shared" si="2"/>
        <v>0</v>
      </c>
      <c r="AA7" s="77">
        <f t="shared" si="3"/>
        <v>0</v>
      </c>
      <c r="AB7" s="77">
        <f t="shared" si="4"/>
        <v>0</v>
      </c>
      <c r="AC7" s="20" t="s">
        <v>18</v>
      </c>
      <c r="AD7" s="53">
        <v>823054.26260000002</v>
      </c>
      <c r="AE7" s="53">
        <v>1091451.3779</v>
      </c>
      <c r="AF7" s="53">
        <v>-121.00620000000001</v>
      </c>
    </row>
    <row r="8" spans="1:32" x14ac:dyDescent="0.25">
      <c r="C8" s="1"/>
      <c r="D8" s="54"/>
      <c r="E8" s="55"/>
      <c r="F8" s="55"/>
      <c r="G8" s="55"/>
      <c r="I8" s="98"/>
      <c r="J8" s="98"/>
      <c r="K8" s="98"/>
      <c r="L8" s="98"/>
      <c r="N8" s="69"/>
      <c r="O8" s="55"/>
      <c r="P8" s="55"/>
      <c r="Q8" s="70"/>
      <c r="R8" s="65"/>
      <c r="S8" s="66"/>
      <c r="T8" s="66"/>
      <c r="U8" s="66"/>
      <c r="V8" s="67"/>
      <c r="W8" s="67"/>
      <c r="X8" s="68"/>
      <c r="Y8" s="76">
        <f t="shared" si="1"/>
        <v>0</v>
      </c>
      <c r="Z8" s="77">
        <f t="shared" si="2"/>
        <v>0</v>
      </c>
      <c r="AA8" s="77">
        <f t="shared" si="3"/>
        <v>0</v>
      </c>
      <c r="AB8" s="77">
        <f t="shared" si="4"/>
        <v>0</v>
      </c>
      <c r="AC8" s="20" t="s">
        <v>19</v>
      </c>
      <c r="AD8" s="53">
        <v>823041.88540000003</v>
      </c>
      <c r="AE8" s="53">
        <v>1091476.3907999999</v>
      </c>
      <c r="AF8" s="53">
        <v>-122.7816</v>
      </c>
    </row>
    <row r="9" spans="1:32" x14ac:dyDescent="0.25">
      <c r="C9" s="1"/>
      <c r="D9" s="54"/>
      <c r="E9" s="55"/>
      <c r="F9" s="55"/>
      <c r="G9" s="55"/>
      <c r="I9" s="98"/>
      <c r="J9" s="99"/>
      <c r="K9" s="99"/>
      <c r="L9" s="99"/>
      <c r="N9" s="62"/>
      <c r="O9" s="63"/>
      <c r="P9" s="63"/>
      <c r="Q9" s="64"/>
      <c r="R9" s="65"/>
      <c r="S9" s="66"/>
      <c r="T9" s="66"/>
      <c r="U9" s="66"/>
      <c r="V9" s="67"/>
      <c r="W9" s="67"/>
      <c r="X9" s="68"/>
      <c r="Y9" s="76">
        <f t="shared" si="1"/>
        <v>0</v>
      </c>
      <c r="Z9" s="77">
        <f t="shared" si="2"/>
        <v>0</v>
      </c>
      <c r="AA9" s="77">
        <f t="shared" si="3"/>
        <v>0</v>
      </c>
      <c r="AB9" s="77">
        <f t="shared" si="4"/>
        <v>0</v>
      </c>
      <c r="AC9" s="20" t="s">
        <v>20</v>
      </c>
      <c r="AD9" s="53">
        <v>823051.23089999997</v>
      </c>
      <c r="AE9" s="53">
        <v>1091456.4909999999</v>
      </c>
      <c r="AF9" s="53">
        <v>-122.13809999999999</v>
      </c>
    </row>
    <row r="10" spans="1:32" x14ac:dyDescent="0.25">
      <c r="C10" s="1"/>
      <c r="D10" s="54"/>
      <c r="E10" s="55"/>
      <c r="F10" s="55"/>
      <c r="G10" s="55"/>
      <c r="I10" s="98"/>
      <c r="J10" s="99"/>
      <c r="K10" s="99"/>
      <c r="L10" s="99"/>
      <c r="M10" s="8"/>
      <c r="N10" s="62"/>
      <c r="O10" s="63"/>
      <c r="P10" s="63"/>
      <c r="Q10" s="64"/>
      <c r="R10" s="65"/>
      <c r="S10" s="66"/>
      <c r="T10" s="66"/>
      <c r="U10" s="66"/>
      <c r="V10" s="67"/>
      <c r="W10" s="67"/>
      <c r="X10" s="68"/>
      <c r="Y10" s="76">
        <f t="shared" si="1"/>
        <v>0</v>
      </c>
      <c r="Z10" s="77">
        <f t="shared" si="2"/>
        <v>0</v>
      </c>
      <c r="AA10" s="77">
        <f t="shared" si="3"/>
        <v>0</v>
      </c>
      <c r="AB10" s="77">
        <f t="shared" si="4"/>
        <v>0</v>
      </c>
      <c r="AC10" s="20">
        <v>9003</v>
      </c>
      <c r="AD10" s="53">
        <v>823052.34129999997</v>
      </c>
      <c r="AE10" s="53">
        <v>1091460.1904</v>
      </c>
      <c r="AF10" s="53">
        <v>-122.7659</v>
      </c>
    </row>
    <row r="11" spans="1:32" x14ac:dyDescent="0.25">
      <c r="C11" s="1"/>
      <c r="D11" s="54"/>
      <c r="E11" s="55"/>
      <c r="F11" s="55"/>
      <c r="G11" s="55"/>
      <c r="I11" s="98"/>
      <c r="J11" s="99"/>
      <c r="K11" s="99"/>
      <c r="L11" s="99"/>
      <c r="M11" s="9"/>
      <c r="N11" s="62"/>
      <c r="O11" s="63"/>
      <c r="P11" s="63"/>
      <c r="Q11" s="64"/>
      <c r="R11" s="65"/>
      <c r="S11" s="66"/>
      <c r="T11" s="66"/>
      <c r="U11" s="66"/>
      <c r="V11" s="67"/>
      <c r="W11" s="67"/>
      <c r="X11" s="68"/>
      <c r="Y11" s="76">
        <f t="shared" si="1"/>
        <v>0</v>
      </c>
      <c r="Z11" s="77">
        <f t="shared" si="2"/>
        <v>0</v>
      </c>
      <c r="AA11" s="77">
        <f t="shared" si="3"/>
        <v>0</v>
      </c>
      <c r="AB11" s="77">
        <f t="shared" si="4"/>
        <v>0</v>
      </c>
      <c r="AC11" s="20">
        <v>9005</v>
      </c>
      <c r="AD11" s="53">
        <v>823050.68779999996</v>
      </c>
      <c r="AE11" s="53">
        <v>1091463.5404000001</v>
      </c>
      <c r="AF11" s="53">
        <v>-122.82080000000001</v>
      </c>
    </row>
    <row r="12" spans="1:32" x14ac:dyDescent="0.25">
      <c r="C12" s="1"/>
      <c r="D12" s="54"/>
      <c r="E12" s="55"/>
      <c r="F12" s="55"/>
      <c r="G12" s="55"/>
      <c r="I12" s="98"/>
      <c r="J12" s="98"/>
      <c r="K12" s="98"/>
      <c r="L12" s="98"/>
      <c r="N12" s="62"/>
      <c r="O12" s="63"/>
      <c r="P12" s="63"/>
      <c r="Q12" s="64"/>
      <c r="R12" s="65"/>
      <c r="S12" s="66"/>
      <c r="T12" s="66"/>
      <c r="U12" s="66"/>
      <c r="V12" s="67"/>
      <c r="W12" s="67"/>
      <c r="X12" s="68"/>
      <c r="Y12" s="76">
        <f t="shared" si="1"/>
        <v>0</v>
      </c>
      <c r="Z12" s="77">
        <f t="shared" si="2"/>
        <v>0</v>
      </c>
      <c r="AA12" s="77">
        <f t="shared" si="3"/>
        <v>0</v>
      </c>
      <c r="AB12" s="77">
        <f t="shared" si="4"/>
        <v>0</v>
      </c>
      <c r="AC12" s="20" t="s">
        <v>21</v>
      </c>
      <c r="AD12" s="53">
        <v>823055.06209999998</v>
      </c>
      <c r="AE12" s="53">
        <v>1091447.9343000001</v>
      </c>
      <c r="AF12" s="53">
        <v>-122.8668</v>
      </c>
    </row>
    <row r="13" spans="1:32" x14ac:dyDescent="0.25">
      <c r="C13" s="1"/>
      <c r="D13" s="54"/>
      <c r="E13" s="55"/>
      <c r="F13" s="55"/>
      <c r="G13" s="55"/>
      <c r="I13" s="98"/>
      <c r="J13" s="98"/>
      <c r="K13" s="98"/>
      <c r="L13" s="98"/>
      <c r="N13" s="62"/>
      <c r="O13" s="63"/>
      <c r="P13" s="63"/>
      <c r="Q13" s="64"/>
      <c r="R13" s="65"/>
      <c r="S13" s="66"/>
      <c r="T13" s="66"/>
      <c r="U13" s="66"/>
      <c r="V13" s="67"/>
      <c r="W13" s="67"/>
      <c r="X13" s="68"/>
      <c r="Y13" s="76">
        <f t="shared" si="1"/>
        <v>0</v>
      </c>
      <c r="Z13" s="77">
        <f t="shared" si="2"/>
        <v>0</v>
      </c>
      <c r="AA13" s="77">
        <f t="shared" si="3"/>
        <v>0</v>
      </c>
      <c r="AB13" s="77">
        <f t="shared" si="4"/>
        <v>0</v>
      </c>
      <c r="AC13" s="20" t="s">
        <v>22</v>
      </c>
      <c r="AD13" s="53">
        <v>823058.95629999996</v>
      </c>
      <c r="AE13" s="53">
        <v>1091451.6384999999</v>
      </c>
      <c r="AF13" s="53">
        <v>-122.9781</v>
      </c>
    </row>
    <row r="14" spans="1:32" x14ac:dyDescent="0.25">
      <c r="C14" s="1"/>
      <c r="D14" s="54"/>
      <c r="E14" s="55"/>
      <c r="F14" s="55"/>
      <c r="G14" s="55"/>
      <c r="I14" s="98"/>
      <c r="J14" s="98"/>
      <c r="K14" s="98"/>
      <c r="L14" s="98"/>
      <c r="N14" s="62"/>
      <c r="O14" s="63"/>
      <c r="P14" s="63"/>
      <c r="Q14" s="64"/>
      <c r="R14" s="65"/>
      <c r="S14" s="66"/>
      <c r="T14" s="66"/>
      <c r="U14" s="66"/>
      <c r="V14" s="67"/>
      <c r="W14" s="67"/>
      <c r="X14" s="68"/>
      <c r="Y14" s="76">
        <f t="shared" si="1"/>
        <v>0</v>
      </c>
      <c r="Z14" s="77">
        <f t="shared" si="2"/>
        <v>0</v>
      </c>
      <c r="AA14" s="77">
        <f t="shared" si="3"/>
        <v>0</v>
      </c>
      <c r="AB14" s="77">
        <f t="shared" si="4"/>
        <v>0</v>
      </c>
      <c r="AC14" s="20" t="s">
        <v>23</v>
      </c>
      <c r="AD14" s="53">
        <v>823057.85919999995</v>
      </c>
      <c r="AE14" s="53">
        <v>1091454.0355</v>
      </c>
      <c r="AF14" s="53">
        <v>-122.8058</v>
      </c>
    </row>
    <row r="15" spans="1:32" x14ac:dyDescent="0.25">
      <c r="C15" s="1"/>
      <c r="D15" s="54"/>
      <c r="E15" s="55"/>
      <c r="F15" s="55"/>
      <c r="G15" s="55"/>
      <c r="I15" s="98"/>
      <c r="J15" s="98"/>
      <c r="K15" s="98"/>
      <c r="L15" s="98"/>
      <c r="N15" s="62"/>
      <c r="O15" s="63"/>
      <c r="P15" s="63"/>
      <c r="Q15" s="64"/>
      <c r="R15" s="65"/>
      <c r="S15" s="66"/>
      <c r="T15" s="66"/>
      <c r="U15" s="66"/>
      <c r="V15" s="67"/>
      <c r="W15" s="67"/>
      <c r="X15" s="68"/>
      <c r="Y15" s="76">
        <f t="shared" si="1"/>
        <v>0</v>
      </c>
      <c r="Z15" s="77">
        <f t="shared" si="2"/>
        <v>0</v>
      </c>
      <c r="AA15" s="77">
        <f t="shared" si="3"/>
        <v>0</v>
      </c>
      <c r="AB15" s="77">
        <f t="shared" si="4"/>
        <v>0</v>
      </c>
      <c r="AC15" s="20" t="s">
        <v>24</v>
      </c>
      <c r="AD15" s="53">
        <v>823055.06129999994</v>
      </c>
      <c r="AE15" s="53">
        <v>1091447.9341</v>
      </c>
      <c r="AF15" s="53">
        <v>-122.8668</v>
      </c>
    </row>
    <row r="16" spans="1:32" x14ac:dyDescent="0.25">
      <c r="C16" s="1"/>
      <c r="D16" s="54"/>
      <c r="E16" s="55"/>
      <c r="F16" s="55"/>
      <c r="G16" s="55"/>
      <c r="I16" s="98"/>
      <c r="J16" s="98"/>
      <c r="K16" s="98"/>
      <c r="L16" s="98"/>
      <c r="N16" s="62"/>
      <c r="O16" s="63"/>
      <c r="P16" s="63"/>
      <c r="Q16" s="64"/>
      <c r="R16" s="65"/>
      <c r="S16" s="66"/>
      <c r="T16" s="66"/>
      <c r="U16" s="66"/>
      <c r="V16" s="67"/>
      <c r="W16" s="67"/>
      <c r="X16" s="68"/>
      <c r="Y16" s="76">
        <f t="shared" si="1"/>
        <v>0</v>
      </c>
      <c r="Z16" s="77">
        <f t="shared" si="2"/>
        <v>0</v>
      </c>
      <c r="AA16" s="77">
        <f t="shared" si="3"/>
        <v>0</v>
      </c>
      <c r="AB16" s="77">
        <f t="shared" si="4"/>
        <v>0</v>
      </c>
      <c r="AC16" s="20" t="s">
        <v>25</v>
      </c>
      <c r="AD16" s="53">
        <v>823058.95550000004</v>
      </c>
      <c r="AE16" s="53">
        <v>1091451.6384000001</v>
      </c>
      <c r="AF16" s="53">
        <v>-122.97799999999999</v>
      </c>
    </row>
    <row r="17" spans="1:32" s="51" customFormat="1" x14ac:dyDescent="0.25">
      <c r="A17" s="50"/>
      <c r="C17" s="1"/>
      <c r="D17" s="54"/>
      <c r="E17" s="55"/>
      <c r="F17" s="55"/>
      <c r="G17" s="55"/>
      <c r="H17" s="52"/>
      <c r="I17" s="98"/>
      <c r="J17" s="98"/>
      <c r="K17" s="98"/>
      <c r="L17" s="98"/>
      <c r="M17" s="52"/>
      <c r="N17" s="62"/>
      <c r="O17" s="63"/>
      <c r="P17" s="63"/>
      <c r="Q17" s="64"/>
      <c r="R17" s="71"/>
      <c r="S17" s="72"/>
      <c r="T17" s="72"/>
      <c r="U17" s="72"/>
      <c r="V17" s="73"/>
      <c r="W17" s="73"/>
      <c r="X17" s="74"/>
      <c r="Y17" s="76">
        <f t="shared" si="1"/>
        <v>0</v>
      </c>
      <c r="Z17" s="77">
        <f t="shared" si="2"/>
        <v>0</v>
      </c>
      <c r="AA17" s="77">
        <f t="shared" si="3"/>
        <v>0</v>
      </c>
      <c r="AB17" s="77">
        <f t="shared" si="4"/>
        <v>0</v>
      </c>
      <c r="AC17" s="51" t="s">
        <v>26</v>
      </c>
      <c r="AD17" s="51">
        <v>823057.85840000003</v>
      </c>
      <c r="AE17" s="51">
        <v>1091454.0353999999</v>
      </c>
      <c r="AF17" s="51">
        <v>-122.8057</v>
      </c>
    </row>
    <row r="18" spans="1:32" s="51" customFormat="1" x14ac:dyDescent="0.25">
      <c r="A18" s="50"/>
      <c r="C18" s="1"/>
      <c r="D18" s="54"/>
      <c r="E18" s="55"/>
      <c r="F18" s="55"/>
      <c r="G18" s="55"/>
      <c r="H18" s="52"/>
      <c r="I18" s="98"/>
      <c r="J18" s="98"/>
      <c r="K18" s="98"/>
      <c r="L18" s="98"/>
      <c r="M18" s="52"/>
      <c r="N18" s="62"/>
      <c r="O18" s="63"/>
      <c r="P18" s="63"/>
      <c r="Q18" s="64"/>
      <c r="R18" s="71"/>
      <c r="S18" s="72"/>
      <c r="T18" s="72"/>
      <c r="U18" s="72"/>
      <c r="V18" s="73"/>
      <c r="W18" s="73"/>
      <c r="X18" s="74"/>
      <c r="Y18" s="76">
        <f t="shared" si="1"/>
        <v>0</v>
      </c>
      <c r="Z18" s="77">
        <f t="shared" si="2"/>
        <v>0</v>
      </c>
      <c r="AA18" s="77">
        <f t="shared" si="3"/>
        <v>0</v>
      </c>
      <c r="AB18" s="77">
        <f t="shared" si="4"/>
        <v>0</v>
      </c>
      <c r="AC18" s="51" t="s">
        <v>27</v>
      </c>
      <c r="AD18" s="51">
        <v>823059.64639999997</v>
      </c>
      <c r="AE18" s="51">
        <v>1091437.8811000001</v>
      </c>
      <c r="AF18" s="51">
        <v>-122.0958</v>
      </c>
    </row>
    <row r="19" spans="1:32" x14ac:dyDescent="0.25">
      <c r="C19" s="1"/>
      <c r="D19" s="54"/>
      <c r="E19" s="55"/>
      <c r="F19" s="55"/>
      <c r="G19" s="55"/>
      <c r="I19" s="98"/>
      <c r="J19" s="98"/>
      <c r="K19" s="98"/>
      <c r="L19" s="98"/>
      <c r="N19" s="62"/>
      <c r="O19" s="63"/>
      <c r="P19" s="63"/>
      <c r="Q19" s="64"/>
      <c r="R19" s="65"/>
      <c r="S19" s="66"/>
      <c r="T19" s="66"/>
      <c r="U19" s="66"/>
      <c r="V19" s="67"/>
      <c r="W19" s="67"/>
      <c r="X19" s="68"/>
      <c r="Y19" s="76">
        <f t="shared" si="1"/>
        <v>0</v>
      </c>
      <c r="Z19" s="77">
        <f t="shared" si="2"/>
        <v>0</v>
      </c>
      <c r="AA19" s="77">
        <f t="shared" si="3"/>
        <v>0</v>
      </c>
      <c r="AB19" s="77">
        <f t="shared" si="4"/>
        <v>0</v>
      </c>
      <c r="AC19" s="20" t="s">
        <v>28</v>
      </c>
      <c r="AD19" s="53">
        <v>823052.21019999997</v>
      </c>
      <c r="AE19" s="53">
        <v>1091454.3933000001</v>
      </c>
      <c r="AF19" s="53">
        <v>-123.81959999999999</v>
      </c>
    </row>
    <row r="20" spans="1:32" x14ac:dyDescent="0.25">
      <c r="C20" s="1"/>
      <c r="D20" s="54"/>
      <c r="E20" s="55"/>
      <c r="F20" s="55"/>
      <c r="G20" s="55"/>
      <c r="I20" s="98"/>
      <c r="J20" s="98"/>
      <c r="K20" s="98"/>
      <c r="L20" s="98"/>
      <c r="N20" s="62"/>
      <c r="O20" s="63"/>
      <c r="P20" s="63"/>
      <c r="Q20" s="64"/>
      <c r="R20" s="65"/>
      <c r="S20" s="66"/>
      <c r="T20" s="66"/>
      <c r="U20" s="66"/>
      <c r="V20" s="67"/>
      <c r="W20" s="67"/>
      <c r="X20" s="68"/>
      <c r="Y20" s="76">
        <f t="shared" si="1"/>
        <v>0</v>
      </c>
      <c r="Z20" s="77">
        <f t="shared" si="2"/>
        <v>0</v>
      </c>
      <c r="AA20" s="77">
        <f t="shared" si="3"/>
        <v>0</v>
      </c>
      <c r="AB20" s="77">
        <f t="shared" si="4"/>
        <v>0</v>
      </c>
      <c r="AC20" s="20" t="s">
        <v>29</v>
      </c>
      <c r="AD20" s="53">
        <v>823052.27610000002</v>
      </c>
      <c r="AE20" s="53">
        <v>1091454.4179</v>
      </c>
      <c r="AF20" s="53">
        <v>-123.7863</v>
      </c>
    </row>
    <row r="21" spans="1:32" x14ac:dyDescent="0.25">
      <c r="C21" s="1"/>
      <c r="D21" s="54"/>
      <c r="E21" s="55"/>
      <c r="F21" s="55"/>
      <c r="G21" s="55"/>
      <c r="I21" s="98"/>
      <c r="J21" s="98"/>
      <c r="K21" s="98"/>
      <c r="L21" s="98"/>
      <c r="N21" s="62"/>
      <c r="O21" s="63"/>
      <c r="P21" s="63"/>
      <c r="Q21" s="64"/>
      <c r="R21" s="65"/>
      <c r="S21" s="66"/>
      <c r="T21" s="66"/>
      <c r="U21" s="66"/>
      <c r="V21" s="67"/>
      <c r="W21" s="67"/>
      <c r="X21" s="68"/>
      <c r="Y21" s="76">
        <f t="shared" si="1"/>
        <v>0</v>
      </c>
      <c r="Z21" s="77">
        <f t="shared" si="2"/>
        <v>0</v>
      </c>
      <c r="AA21" s="77">
        <f t="shared" si="3"/>
        <v>0</v>
      </c>
      <c r="AB21" s="77">
        <f t="shared" si="4"/>
        <v>0</v>
      </c>
      <c r="AC21" s="20" t="s">
        <v>30</v>
      </c>
      <c r="AD21" s="53">
        <v>823052.19779999997</v>
      </c>
      <c r="AE21" s="53">
        <v>1091454.3977999999</v>
      </c>
      <c r="AF21" s="53">
        <v>-123.5458</v>
      </c>
    </row>
    <row r="22" spans="1:32" x14ac:dyDescent="0.25">
      <c r="C22" s="1"/>
      <c r="D22" s="54"/>
      <c r="E22" s="55"/>
      <c r="F22" s="55"/>
      <c r="G22" s="55"/>
      <c r="I22" s="98"/>
      <c r="J22" s="98"/>
      <c r="K22" s="98"/>
      <c r="L22" s="98"/>
      <c r="N22" s="62"/>
      <c r="O22" s="63"/>
      <c r="P22" s="63"/>
      <c r="Q22" s="64"/>
      <c r="R22" s="65"/>
      <c r="S22" s="66"/>
      <c r="T22" s="66"/>
      <c r="U22" s="66"/>
      <c r="V22" s="67"/>
      <c r="W22" s="67"/>
      <c r="X22" s="68"/>
      <c r="Y22" s="76">
        <f t="shared" si="1"/>
        <v>0</v>
      </c>
      <c r="Z22" s="77">
        <f t="shared" si="2"/>
        <v>0</v>
      </c>
      <c r="AA22" s="77">
        <f t="shared" si="3"/>
        <v>0</v>
      </c>
      <c r="AB22" s="77">
        <f t="shared" si="4"/>
        <v>0</v>
      </c>
      <c r="AC22" s="20" t="s">
        <v>31</v>
      </c>
      <c r="AD22" s="53">
        <v>823052.13029999996</v>
      </c>
      <c r="AE22" s="53">
        <v>1091454.3687</v>
      </c>
      <c r="AF22" s="53">
        <v>-123.29859999999999</v>
      </c>
    </row>
    <row r="23" spans="1:32" x14ac:dyDescent="0.25">
      <c r="C23" s="1"/>
      <c r="D23" s="54"/>
      <c r="E23" s="55"/>
      <c r="F23" s="55"/>
      <c r="G23" s="55"/>
      <c r="I23" s="98"/>
      <c r="J23" s="98"/>
      <c r="K23" s="98"/>
      <c r="L23" s="98"/>
      <c r="N23" s="62"/>
      <c r="O23" s="63"/>
      <c r="P23" s="63"/>
      <c r="Q23" s="64"/>
      <c r="R23" s="65"/>
      <c r="S23" s="66"/>
      <c r="T23" s="66"/>
      <c r="U23" s="66"/>
      <c r="V23" s="67"/>
      <c r="W23" s="67"/>
      <c r="X23" s="68"/>
      <c r="Y23" s="76">
        <f t="shared" si="1"/>
        <v>0</v>
      </c>
      <c r="Z23" s="77">
        <f t="shared" si="2"/>
        <v>0</v>
      </c>
      <c r="AA23" s="77">
        <f t="shared" si="3"/>
        <v>0</v>
      </c>
      <c r="AB23" s="77">
        <f t="shared" si="4"/>
        <v>0</v>
      </c>
      <c r="AC23" s="20" t="s">
        <v>32</v>
      </c>
      <c r="AD23" s="53">
        <v>823052.10060000001</v>
      </c>
      <c r="AE23" s="53">
        <v>1091454.3585000001</v>
      </c>
      <c r="AF23" s="53">
        <v>-123.0996</v>
      </c>
    </row>
    <row r="24" spans="1:32" x14ac:dyDescent="0.25">
      <c r="C24" s="1"/>
      <c r="D24" s="54"/>
      <c r="E24" s="55"/>
      <c r="F24" s="55"/>
      <c r="G24" s="55"/>
      <c r="I24" s="98"/>
      <c r="J24" s="98"/>
      <c r="K24" s="98"/>
      <c r="L24" s="98"/>
      <c r="N24" s="62"/>
      <c r="O24" s="63"/>
      <c r="P24" s="63"/>
      <c r="Q24" s="64"/>
      <c r="R24" s="65"/>
      <c r="S24" s="66"/>
      <c r="T24" s="66"/>
      <c r="U24" s="66"/>
      <c r="V24" s="67"/>
      <c r="W24" s="67"/>
      <c r="X24" s="68"/>
      <c r="Y24" s="76">
        <f t="shared" si="1"/>
        <v>0</v>
      </c>
      <c r="Z24" s="77">
        <f t="shared" si="2"/>
        <v>0</v>
      </c>
      <c r="AA24" s="77">
        <f t="shared" si="3"/>
        <v>0</v>
      </c>
      <c r="AB24" s="77">
        <f t="shared" si="4"/>
        <v>0</v>
      </c>
      <c r="AC24" s="20" t="s">
        <v>33</v>
      </c>
      <c r="AD24" s="53">
        <v>823052.08660000004</v>
      </c>
      <c r="AE24" s="53">
        <v>1091454.3544999999</v>
      </c>
      <c r="AF24" s="53">
        <v>-122.89879999999999</v>
      </c>
    </row>
    <row r="25" spans="1:32" x14ac:dyDescent="0.25">
      <c r="C25" s="1"/>
      <c r="D25" s="54"/>
      <c r="E25" s="55"/>
      <c r="F25" s="55"/>
      <c r="G25" s="55"/>
      <c r="I25" s="98"/>
      <c r="J25" s="99"/>
      <c r="K25" s="99"/>
      <c r="L25" s="99"/>
      <c r="N25" s="62"/>
      <c r="O25" s="63"/>
      <c r="P25" s="63"/>
      <c r="Q25" s="64"/>
      <c r="R25" s="65"/>
      <c r="S25" s="66"/>
      <c r="T25" s="66"/>
      <c r="U25" s="66"/>
      <c r="V25" s="67"/>
      <c r="W25" s="67"/>
      <c r="X25" s="68"/>
      <c r="Y25" s="76">
        <f t="shared" si="1"/>
        <v>0</v>
      </c>
      <c r="Z25" s="77">
        <f t="shared" si="2"/>
        <v>0</v>
      </c>
      <c r="AA25" s="77">
        <f t="shared" si="3"/>
        <v>0</v>
      </c>
      <c r="AB25" s="77">
        <f t="shared" si="4"/>
        <v>0</v>
      </c>
      <c r="AC25" s="20" t="s">
        <v>34</v>
      </c>
      <c r="AD25" s="53">
        <v>823052.08180000004</v>
      </c>
      <c r="AE25" s="53">
        <v>1091454.355</v>
      </c>
      <c r="AF25" s="53">
        <v>-122.6825</v>
      </c>
    </row>
    <row r="26" spans="1:32" x14ac:dyDescent="0.25">
      <c r="C26" s="1"/>
      <c r="D26" s="54"/>
      <c r="E26" s="55"/>
      <c r="F26" s="55"/>
      <c r="G26" s="55"/>
      <c r="I26" s="98"/>
      <c r="J26" s="99"/>
      <c r="K26" s="99"/>
      <c r="L26" s="99"/>
      <c r="N26" s="62"/>
      <c r="O26" s="63"/>
      <c r="P26" s="63"/>
      <c r="Q26" s="64"/>
      <c r="R26" s="65"/>
      <c r="S26" s="66"/>
      <c r="T26" s="66"/>
      <c r="U26" s="66"/>
      <c r="V26" s="67"/>
      <c r="W26" s="67"/>
      <c r="X26" s="68"/>
      <c r="Y26" s="76">
        <f t="shared" si="1"/>
        <v>0</v>
      </c>
      <c r="Z26" s="77">
        <f t="shared" si="2"/>
        <v>0</v>
      </c>
      <c r="AA26" s="77">
        <f t="shared" si="3"/>
        <v>0</v>
      </c>
      <c r="AB26" s="77">
        <f t="shared" si="4"/>
        <v>0</v>
      </c>
      <c r="AC26" s="20" t="s">
        <v>35</v>
      </c>
      <c r="AD26" s="53">
        <v>823052.07940000005</v>
      </c>
      <c r="AE26" s="53">
        <v>1091454.3572</v>
      </c>
      <c r="AF26" s="53">
        <v>-122.4695</v>
      </c>
    </row>
    <row r="27" spans="1:32" x14ac:dyDescent="0.25">
      <c r="C27" s="1"/>
      <c r="D27" s="54"/>
      <c r="E27" s="55"/>
      <c r="F27" s="55"/>
      <c r="G27" s="55"/>
      <c r="I27" s="98"/>
      <c r="J27" s="98"/>
      <c r="K27" s="98"/>
      <c r="L27" s="98"/>
      <c r="N27" s="62"/>
      <c r="O27" s="63"/>
      <c r="P27" s="63"/>
      <c r="Q27" s="64"/>
      <c r="R27" s="65"/>
      <c r="S27" s="66"/>
      <c r="T27" s="66"/>
      <c r="U27" s="66"/>
      <c r="V27" s="67"/>
      <c r="W27" s="67"/>
      <c r="X27" s="68"/>
      <c r="Y27" s="76">
        <f t="shared" si="1"/>
        <v>0</v>
      </c>
      <c r="Z27" s="77">
        <f t="shared" si="2"/>
        <v>0</v>
      </c>
      <c r="AA27" s="77">
        <f t="shared" si="3"/>
        <v>0</v>
      </c>
      <c r="AB27" s="77">
        <f t="shared" si="4"/>
        <v>0</v>
      </c>
      <c r="AC27" s="20" t="s">
        <v>36</v>
      </c>
      <c r="AD27" s="53">
        <v>823052.1311</v>
      </c>
      <c r="AE27" s="53">
        <v>1091454.3876</v>
      </c>
      <c r="AF27" s="53">
        <v>-122.1949</v>
      </c>
    </row>
    <row r="28" spans="1:32" x14ac:dyDescent="0.25">
      <c r="C28" s="1"/>
      <c r="D28" s="54"/>
      <c r="E28" s="55"/>
      <c r="F28" s="55"/>
      <c r="G28" s="55"/>
      <c r="I28" s="98"/>
      <c r="J28" s="98"/>
      <c r="K28" s="98"/>
      <c r="L28" s="98"/>
      <c r="N28" s="62"/>
      <c r="O28" s="63"/>
      <c r="P28" s="63"/>
      <c r="Q28" s="64"/>
      <c r="R28" s="65"/>
      <c r="S28" s="66"/>
      <c r="T28" s="66"/>
      <c r="U28" s="66"/>
      <c r="V28" s="67"/>
      <c r="W28" s="67"/>
      <c r="X28" s="68"/>
      <c r="Y28" s="76">
        <f t="shared" si="1"/>
        <v>0</v>
      </c>
      <c r="Z28" s="77">
        <f t="shared" si="2"/>
        <v>0</v>
      </c>
      <c r="AA28" s="77">
        <f t="shared" si="3"/>
        <v>0</v>
      </c>
      <c r="AB28" s="77">
        <f t="shared" si="4"/>
        <v>0</v>
      </c>
      <c r="AC28" s="20" t="s">
        <v>37</v>
      </c>
      <c r="AD28" s="53">
        <v>823052.21589999995</v>
      </c>
      <c r="AE28" s="53">
        <v>1091454.4243000001</v>
      </c>
      <c r="AF28" s="53">
        <v>-121.9336</v>
      </c>
    </row>
    <row r="29" spans="1:32" x14ac:dyDescent="0.25">
      <c r="C29" s="1"/>
      <c r="D29" s="54"/>
      <c r="E29" s="55"/>
      <c r="F29" s="55"/>
      <c r="G29" s="55"/>
      <c r="I29" s="98"/>
      <c r="J29" s="98"/>
      <c r="K29" s="98"/>
      <c r="L29" s="98"/>
      <c r="N29" s="62"/>
      <c r="O29" s="63"/>
      <c r="P29" s="63"/>
      <c r="Q29" s="64"/>
      <c r="R29" s="65"/>
      <c r="S29" s="66"/>
      <c r="T29" s="66"/>
      <c r="U29" s="66"/>
      <c r="V29" s="67"/>
      <c r="W29" s="67"/>
      <c r="X29" s="68"/>
      <c r="Y29" s="76">
        <f t="shared" si="1"/>
        <v>0</v>
      </c>
      <c r="Z29" s="77">
        <f t="shared" si="2"/>
        <v>0</v>
      </c>
      <c r="AA29" s="77">
        <f t="shared" si="3"/>
        <v>0</v>
      </c>
      <c r="AB29" s="77">
        <f t="shared" si="4"/>
        <v>0</v>
      </c>
      <c r="AC29" s="20" t="s">
        <v>38</v>
      </c>
      <c r="AD29" s="53">
        <v>823052.31969999999</v>
      </c>
      <c r="AE29" s="53">
        <v>1091454.4801</v>
      </c>
      <c r="AF29" s="53">
        <v>-121.6574</v>
      </c>
    </row>
    <row r="30" spans="1:32" x14ac:dyDescent="0.25">
      <c r="C30" s="1"/>
      <c r="D30" s="54"/>
      <c r="E30" s="55"/>
      <c r="F30" s="55"/>
      <c r="G30" s="55"/>
      <c r="I30" s="98"/>
      <c r="J30" s="98"/>
      <c r="K30" s="98"/>
      <c r="L30" s="98"/>
      <c r="N30" s="24"/>
      <c r="O30" s="25"/>
      <c r="P30" s="25"/>
      <c r="Q30" s="26"/>
      <c r="R30" s="27"/>
      <c r="S30" s="28"/>
      <c r="T30" s="28"/>
      <c r="U30" s="28"/>
      <c r="V30" s="29"/>
      <c r="W30" s="29"/>
      <c r="X30" s="30"/>
      <c r="Y30" s="76">
        <f t="shared" si="1"/>
        <v>0</v>
      </c>
      <c r="Z30" s="77">
        <f t="shared" si="2"/>
        <v>0</v>
      </c>
      <c r="AA30" s="77">
        <f t="shared" si="3"/>
        <v>0</v>
      </c>
      <c r="AB30" s="77">
        <f t="shared" si="4"/>
        <v>0</v>
      </c>
      <c r="AC30" s="20" t="s">
        <v>39</v>
      </c>
      <c r="AD30" s="53">
        <v>823052.45869999996</v>
      </c>
      <c r="AE30" s="53">
        <v>1091454.5467000001</v>
      </c>
      <c r="AF30" s="53">
        <v>-121.4093</v>
      </c>
    </row>
    <row r="31" spans="1:32" x14ac:dyDescent="0.25">
      <c r="C31" s="1"/>
      <c r="D31" s="54"/>
      <c r="E31" s="55"/>
      <c r="F31" s="55"/>
      <c r="G31" s="55"/>
      <c r="I31" s="98"/>
      <c r="J31" s="98"/>
      <c r="K31" s="98"/>
      <c r="L31" s="98"/>
      <c r="N31" s="24"/>
      <c r="O31" s="25"/>
      <c r="P31" s="25"/>
      <c r="Q31" s="26"/>
      <c r="R31" s="27"/>
      <c r="S31" s="28"/>
      <c r="T31" s="28"/>
      <c r="U31" s="28"/>
      <c r="V31" s="29"/>
      <c r="W31" s="29"/>
      <c r="X31" s="30"/>
      <c r="Y31" s="76">
        <f t="shared" si="1"/>
        <v>0</v>
      </c>
      <c r="Z31" s="77">
        <f t="shared" si="2"/>
        <v>0</v>
      </c>
      <c r="AA31" s="77">
        <f t="shared" si="3"/>
        <v>0</v>
      </c>
      <c r="AB31" s="77">
        <f t="shared" si="4"/>
        <v>0</v>
      </c>
      <c r="AC31" s="20" t="s">
        <v>40</v>
      </c>
      <c r="AD31" s="53">
        <v>823052.57030000002</v>
      </c>
      <c r="AE31" s="53">
        <v>1091454.5984</v>
      </c>
      <c r="AF31" s="53">
        <v>-121.17140000000001</v>
      </c>
    </row>
    <row r="32" spans="1:32" x14ac:dyDescent="0.25">
      <c r="C32" s="1"/>
      <c r="D32" s="54"/>
      <c r="E32" s="55"/>
      <c r="F32" s="55"/>
      <c r="G32" s="55"/>
      <c r="I32" s="98"/>
      <c r="J32" s="98"/>
      <c r="K32" s="98"/>
      <c r="L32" s="98"/>
      <c r="N32" s="24"/>
      <c r="O32" s="25"/>
      <c r="P32" s="25"/>
      <c r="Q32" s="26"/>
      <c r="R32" s="27"/>
      <c r="S32" s="28"/>
      <c r="T32" s="28"/>
      <c r="U32" s="28"/>
      <c r="V32" s="29"/>
      <c r="W32" s="29"/>
      <c r="X32" s="30"/>
      <c r="Y32" s="76">
        <f t="shared" si="1"/>
        <v>0</v>
      </c>
      <c r="Z32" s="77">
        <f t="shared" si="2"/>
        <v>0</v>
      </c>
      <c r="AA32" s="77">
        <f t="shared" si="3"/>
        <v>0</v>
      </c>
      <c r="AB32" s="77">
        <f t="shared" si="4"/>
        <v>0</v>
      </c>
      <c r="AC32" s="20" t="s">
        <v>41</v>
      </c>
      <c r="AD32" s="53">
        <v>823052.75399999996</v>
      </c>
      <c r="AE32" s="53">
        <v>1091454.6908</v>
      </c>
      <c r="AF32" s="53">
        <v>-120.9743</v>
      </c>
    </row>
    <row r="33" spans="3:32" x14ac:dyDescent="0.25">
      <c r="C33" s="1"/>
      <c r="D33" s="54"/>
      <c r="E33" s="55"/>
      <c r="F33" s="55"/>
      <c r="G33" s="55"/>
      <c r="I33" s="98"/>
      <c r="J33" s="98"/>
      <c r="K33" s="98"/>
      <c r="L33" s="98"/>
      <c r="N33" s="24"/>
      <c r="O33" s="25"/>
      <c r="P33" s="25"/>
      <c r="Q33" s="26"/>
      <c r="R33" s="27"/>
      <c r="S33" s="28"/>
      <c r="T33" s="28"/>
      <c r="U33" s="28"/>
      <c r="V33" s="29"/>
      <c r="W33" s="29"/>
      <c r="X33" s="30"/>
      <c r="Y33" s="76">
        <f t="shared" si="1"/>
        <v>0</v>
      </c>
      <c r="Z33" s="77">
        <f t="shared" si="2"/>
        <v>0</v>
      </c>
      <c r="AA33" s="77">
        <f t="shared" si="3"/>
        <v>0</v>
      </c>
      <c r="AB33" s="77">
        <f t="shared" si="4"/>
        <v>0</v>
      </c>
      <c r="AC33" s="20" t="s">
        <v>42</v>
      </c>
      <c r="AD33" s="53">
        <v>823052.9227</v>
      </c>
      <c r="AE33" s="53">
        <v>1091454.7678</v>
      </c>
      <c r="AF33" s="53">
        <v>-120.8027</v>
      </c>
    </row>
    <row r="34" spans="3:32" x14ac:dyDescent="0.25">
      <c r="C34" s="1"/>
      <c r="D34" s="54"/>
      <c r="E34" s="55"/>
      <c r="F34" s="55"/>
      <c r="G34" s="55"/>
      <c r="I34" s="98"/>
      <c r="J34" s="98"/>
      <c r="K34" s="98"/>
      <c r="L34" s="98"/>
      <c r="N34" s="24"/>
      <c r="O34" s="25"/>
      <c r="P34" s="25"/>
      <c r="Q34" s="26"/>
      <c r="R34" s="27"/>
      <c r="S34" s="28"/>
      <c r="T34" s="28"/>
      <c r="U34" s="28"/>
      <c r="V34" s="29"/>
      <c r="W34" s="29"/>
      <c r="X34" s="30"/>
      <c r="Y34" s="76">
        <f t="shared" si="1"/>
        <v>0</v>
      </c>
      <c r="Z34" s="77">
        <f t="shared" si="2"/>
        <v>0</v>
      </c>
      <c r="AA34" s="77">
        <f t="shared" si="3"/>
        <v>0</v>
      </c>
      <c r="AB34" s="77">
        <f t="shared" si="4"/>
        <v>0</v>
      </c>
      <c r="AC34" s="20" t="s">
        <v>43</v>
      </c>
      <c r="AD34" s="53">
        <v>823053.08180000004</v>
      </c>
      <c r="AE34" s="53">
        <v>1091454.8476</v>
      </c>
      <c r="AF34" s="53">
        <v>-120.664</v>
      </c>
    </row>
    <row r="35" spans="3:32" x14ac:dyDescent="0.25">
      <c r="C35" s="1"/>
      <c r="D35" s="54"/>
      <c r="E35" s="55"/>
      <c r="F35" s="55"/>
      <c r="G35" s="55"/>
      <c r="I35" s="98"/>
      <c r="J35" s="98"/>
      <c r="K35" s="98"/>
      <c r="L35" s="98"/>
      <c r="O35" s="23"/>
      <c r="P35" s="23"/>
      <c r="Q35" s="40"/>
      <c r="V35" s="23"/>
      <c r="W35" s="23"/>
      <c r="X35" s="41"/>
      <c r="Y35" s="76">
        <f t="shared" si="1"/>
        <v>0</v>
      </c>
      <c r="Z35" s="77">
        <f t="shared" si="2"/>
        <v>0</v>
      </c>
      <c r="AA35" s="77">
        <f t="shared" si="3"/>
        <v>0</v>
      </c>
      <c r="AB35" s="77">
        <f t="shared" si="4"/>
        <v>0</v>
      </c>
      <c r="AC35" s="20" t="s">
        <v>44</v>
      </c>
      <c r="AD35" s="53">
        <v>823053.34169999999</v>
      </c>
      <c r="AE35" s="53">
        <v>1091454.9717000001</v>
      </c>
      <c r="AF35" s="53">
        <v>-120.47410000000001</v>
      </c>
    </row>
    <row r="36" spans="3:32" x14ac:dyDescent="0.25">
      <c r="C36" s="1"/>
      <c r="D36" s="54"/>
      <c r="E36" s="55"/>
      <c r="F36" s="55"/>
      <c r="G36" s="55"/>
      <c r="I36" s="98"/>
      <c r="J36" s="98"/>
      <c r="K36" s="98"/>
      <c r="L36" s="98"/>
      <c r="N36" s="24"/>
      <c r="O36" s="25"/>
      <c r="P36" s="25"/>
      <c r="Q36" s="26"/>
      <c r="R36" s="27"/>
      <c r="S36" s="28"/>
      <c r="T36" s="28"/>
      <c r="U36" s="28"/>
      <c r="V36" s="29"/>
      <c r="W36" s="29"/>
      <c r="X36" s="30"/>
      <c r="Y36" s="76">
        <f t="shared" si="1"/>
        <v>0</v>
      </c>
      <c r="Z36" s="77">
        <f t="shared" si="2"/>
        <v>0</v>
      </c>
      <c r="AA36" s="77">
        <f t="shared" si="3"/>
        <v>0</v>
      </c>
      <c r="AB36" s="77">
        <f t="shared" si="4"/>
        <v>0</v>
      </c>
      <c r="AC36" s="20" t="s">
        <v>45</v>
      </c>
      <c r="AD36" s="53">
        <v>823053.62430000002</v>
      </c>
      <c r="AE36" s="53">
        <v>1091455.102</v>
      </c>
      <c r="AF36" s="53">
        <v>-120.3289</v>
      </c>
    </row>
    <row r="37" spans="3:32" x14ac:dyDescent="0.25">
      <c r="C37" s="1"/>
      <c r="D37" s="54"/>
      <c r="E37" s="55"/>
      <c r="F37" s="55"/>
      <c r="G37" s="55"/>
      <c r="I37" s="98"/>
      <c r="J37" s="98"/>
      <c r="K37" s="98"/>
      <c r="L37" s="98"/>
      <c r="N37" s="33"/>
      <c r="O37" s="34"/>
      <c r="P37" s="34"/>
      <c r="Q37" s="35"/>
      <c r="R37" s="27"/>
      <c r="S37" s="28"/>
      <c r="T37" s="28"/>
      <c r="U37" s="28"/>
      <c r="V37" s="29"/>
      <c r="W37" s="29"/>
      <c r="X37" s="30"/>
      <c r="Y37" s="76">
        <f t="shared" si="1"/>
        <v>0</v>
      </c>
      <c r="Z37" s="77">
        <f t="shared" si="2"/>
        <v>0</v>
      </c>
      <c r="AA37" s="77">
        <f t="shared" si="3"/>
        <v>0</v>
      </c>
      <c r="AB37" s="77">
        <f t="shared" si="4"/>
        <v>0</v>
      </c>
      <c r="AC37" s="20" t="s">
        <v>46</v>
      </c>
      <c r="AD37" s="53">
        <v>823053.92709999997</v>
      </c>
      <c r="AE37" s="53">
        <v>1091455.2367</v>
      </c>
      <c r="AF37" s="53">
        <v>-120.2457</v>
      </c>
    </row>
    <row r="38" spans="3:32" x14ac:dyDescent="0.25">
      <c r="C38" s="1"/>
      <c r="D38" s="54"/>
      <c r="E38" s="55"/>
      <c r="F38" s="55"/>
      <c r="G38" s="55"/>
      <c r="I38" s="98"/>
      <c r="J38" s="98"/>
      <c r="K38" s="98"/>
      <c r="L38" s="98"/>
      <c r="N38" s="33"/>
      <c r="O38" s="34"/>
      <c r="P38" s="34"/>
      <c r="Q38" s="35"/>
      <c r="R38" s="27"/>
      <c r="S38" s="28"/>
      <c r="T38" s="28"/>
      <c r="U38" s="28"/>
      <c r="V38" s="29"/>
      <c r="W38" s="29"/>
      <c r="X38" s="30"/>
      <c r="Y38" s="76">
        <f t="shared" si="1"/>
        <v>0</v>
      </c>
      <c r="Z38" s="77">
        <f t="shared" si="2"/>
        <v>0</v>
      </c>
      <c r="AA38" s="77">
        <f t="shared" si="3"/>
        <v>0</v>
      </c>
      <c r="AB38" s="77">
        <f t="shared" si="4"/>
        <v>0</v>
      </c>
      <c r="AC38" s="20" t="s">
        <v>47</v>
      </c>
      <c r="AD38" s="53">
        <v>823054.19720000005</v>
      </c>
      <c r="AE38" s="53">
        <v>1091455.3670999999</v>
      </c>
      <c r="AF38" s="53">
        <v>-120.1888</v>
      </c>
    </row>
    <row r="39" spans="3:32" x14ac:dyDescent="0.25">
      <c r="C39" s="1"/>
      <c r="D39" s="56"/>
      <c r="E39" s="57"/>
      <c r="F39" s="57"/>
      <c r="G39" s="57"/>
      <c r="I39" s="98"/>
      <c r="J39" s="98"/>
      <c r="K39" s="98"/>
      <c r="L39" s="98"/>
      <c r="N39" s="33"/>
      <c r="O39" s="34"/>
      <c r="P39" s="34"/>
      <c r="Q39" s="35"/>
      <c r="R39" s="27"/>
      <c r="S39" s="28"/>
      <c r="T39" s="28"/>
      <c r="U39" s="28"/>
      <c r="V39" s="29"/>
      <c r="W39" s="29"/>
      <c r="X39" s="30"/>
      <c r="Y39" s="76">
        <f t="shared" si="1"/>
        <v>0</v>
      </c>
      <c r="Z39" s="77">
        <f t="shared" si="2"/>
        <v>0</v>
      </c>
      <c r="AA39" s="77">
        <f t="shared" si="3"/>
        <v>0</v>
      </c>
      <c r="AB39" s="77">
        <f t="shared" si="4"/>
        <v>0</v>
      </c>
      <c r="AC39" s="20" t="s">
        <v>48</v>
      </c>
      <c r="AD39" s="53">
        <v>823054.46429999999</v>
      </c>
      <c r="AE39" s="53">
        <v>1091455.4931000001</v>
      </c>
      <c r="AF39" s="53">
        <v>-120.1935</v>
      </c>
    </row>
    <row r="40" spans="3:32" x14ac:dyDescent="0.25">
      <c r="C40" s="1"/>
      <c r="D40" s="56"/>
      <c r="E40" s="57"/>
      <c r="F40" s="57"/>
      <c r="G40" s="57"/>
      <c r="I40" s="98"/>
      <c r="J40" s="98"/>
      <c r="K40" s="98"/>
      <c r="L40" s="98"/>
      <c r="N40" s="24"/>
      <c r="O40" s="25"/>
      <c r="P40" s="25"/>
      <c r="Q40" s="26"/>
      <c r="R40" s="27"/>
      <c r="S40" s="28"/>
      <c r="T40" s="28"/>
      <c r="U40" s="28"/>
      <c r="V40" s="29"/>
      <c r="W40" s="29"/>
      <c r="X40" s="30"/>
      <c r="Y40" s="76">
        <f t="shared" si="1"/>
        <v>0</v>
      </c>
      <c r="Z40" s="77">
        <f t="shared" si="2"/>
        <v>0</v>
      </c>
      <c r="AA40" s="77">
        <f t="shared" si="3"/>
        <v>0</v>
      </c>
      <c r="AB40" s="77">
        <f t="shared" si="4"/>
        <v>0</v>
      </c>
      <c r="AC40" s="20" t="s">
        <v>49</v>
      </c>
      <c r="AD40" s="53">
        <v>823054.73470000003</v>
      </c>
      <c r="AE40" s="53">
        <v>1091455.6177999999</v>
      </c>
      <c r="AF40" s="53">
        <v>-120.2349</v>
      </c>
    </row>
    <row r="41" spans="3:32" x14ac:dyDescent="0.25">
      <c r="C41" s="1"/>
      <c r="D41" s="54"/>
      <c r="E41" s="55"/>
      <c r="F41" s="55"/>
      <c r="G41" s="55"/>
      <c r="I41" s="98"/>
      <c r="J41" s="98"/>
      <c r="K41" s="98"/>
      <c r="L41" s="98"/>
      <c r="N41" s="24"/>
      <c r="O41" s="25"/>
      <c r="P41" s="25"/>
      <c r="Q41" s="26"/>
      <c r="R41" s="27"/>
      <c r="S41" s="28"/>
      <c r="T41" s="28"/>
      <c r="U41" s="28"/>
      <c r="V41" s="29"/>
      <c r="W41" s="29"/>
      <c r="X41" s="30"/>
      <c r="Y41" s="76">
        <f t="shared" si="1"/>
        <v>0</v>
      </c>
      <c r="Z41" s="77">
        <f t="shared" si="2"/>
        <v>0</v>
      </c>
      <c r="AA41" s="77">
        <f t="shared" si="3"/>
        <v>0</v>
      </c>
      <c r="AB41" s="77">
        <f t="shared" si="4"/>
        <v>0</v>
      </c>
      <c r="AC41" s="20" t="s">
        <v>50</v>
      </c>
      <c r="AD41" s="53">
        <v>823055.00120000006</v>
      </c>
      <c r="AE41" s="53">
        <v>1091455.7415</v>
      </c>
      <c r="AF41" s="53">
        <v>-120.28060000000001</v>
      </c>
    </row>
    <row r="42" spans="3:32" x14ac:dyDescent="0.25">
      <c r="C42" s="1"/>
      <c r="D42" s="54"/>
      <c r="E42" s="55"/>
      <c r="F42" s="55"/>
      <c r="G42" s="55"/>
      <c r="I42" s="98"/>
      <c r="J42" s="98"/>
      <c r="K42" s="98"/>
      <c r="L42" s="98"/>
      <c r="N42" s="24"/>
      <c r="O42" s="25"/>
      <c r="P42" s="25"/>
      <c r="Q42" s="26"/>
      <c r="R42" s="27"/>
      <c r="S42" s="28"/>
      <c r="T42" s="28"/>
      <c r="U42" s="28"/>
      <c r="V42" s="29"/>
      <c r="W42" s="29"/>
      <c r="X42" s="30"/>
      <c r="Y42" s="76">
        <f t="shared" si="1"/>
        <v>0</v>
      </c>
      <c r="Z42" s="77">
        <f t="shared" si="2"/>
        <v>0</v>
      </c>
      <c r="AA42" s="77">
        <f t="shared" si="3"/>
        <v>0</v>
      </c>
      <c r="AB42" s="77">
        <f t="shared" si="4"/>
        <v>0</v>
      </c>
      <c r="AC42" s="20" t="s">
        <v>51</v>
      </c>
      <c r="AD42" s="53">
        <v>823055.26009999996</v>
      </c>
      <c r="AE42" s="53">
        <v>1091455.8602</v>
      </c>
      <c r="AF42" s="53">
        <v>-120.38979999999999</v>
      </c>
    </row>
    <row r="43" spans="3:32" x14ac:dyDescent="0.25">
      <c r="C43" s="1"/>
      <c r="D43" s="54"/>
      <c r="E43" s="55"/>
      <c r="F43" s="55"/>
      <c r="G43" s="55"/>
      <c r="I43" s="98"/>
      <c r="J43" s="98"/>
      <c r="K43" s="98"/>
      <c r="L43" s="98"/>
      <c r="N43" s="24"/>
      <c r="O43" s="25"/>
      <c r="P43" s="25"/>
      <c r="Q43" s="26"/>
      <c r="R43" s="27"/>
      <c r="S43" s="28"/>
      <c r="T43" s="28"/>
      <c r="U43" s="28"/>
      <c r="V43" s="29"/>
      <c r="W43" s="29"/>
      <c r="X43" s="30"/>
      <c r="Y43" s="76">
        <f t="shared" si="1"/>
        <v>0</v>
      </c>
      <c r="Z43" s="77">
        <f t="shared" si="2"/>
        <v>0</v>
      </c>
      <c r="AA43" s="77">
        <f t="shared" si="3"/>
        <v>0</v>
      </c>
      <c r="AB43" s="77">
        <f t="shared" si="4"/>
        <v>0</v>
      </c>
      <c r="AC43" s="20" t="s">
        <v>52</v>
      </c>
      <c r="AD43" s="53">
        <v>823055.47149999999</v>
      </c>
      <c r="AE43" s="53">
        <v>1091455.9567</v>
      </c>
      <c r="AF43" s="53">
        <v>-120.488</v>
      </c>
    </row>
    <row r="44" spans="3:32" x14ac:dyDescent="0.25">
      <c r="C44" s="1"/>
      <c r="D44" s="54"/>
      <c r="E44" s="55"/>
      <c r="F44" s="55"/>
      <c r="G44" s="55"/>
      <c r="I44" s="98"/>
      <c r="J44" s="98"/>
      <c r="K44" s="98"/>
      <c r="L44" s="98"/>
      <c r="N44" s="24"/>
      <c r="O44" s="25"/>
      <c r="P44" s="25"/>
      <c r="Q44" s="26"/>
      <c r="R44" s="27"/>
      <c r="S44" s="28"/>
      <c r="T44" s="28"/>
      <c r="U44" s="28"/>
      <c r="V44" s="29"/>
      <c r="W44" s="29"/>
      <c r="X44" s="30"/>
      <c r="Y44" s="76">
        <f t="shared" si="1"/>
        <v>0</v>
      </c>
      <c r="Z44" s="77">
        <f t="shared" si="2"/>
        <v>0</v>
      </c>
      <c r="AA44" s="77">
        <f t="shared" si="3"/>
        <v>0</v>
      </c>
      <c r="AB44" s="77">
        <f t="shared" si="4"/>
        <v>0</v>
      </c>
      <c r="AC44" s="20" t="s">
        <v>53</v>
      </c>
      <c r="AD44" s="53">
        <v>823055.65170000005</v>
      </c>
      <c r="AE44" s="53">
        <v>1091456.0381</v>
      </c>
      <c r="AF44" s="53">
        <v>-120.6178</v>
      </c>
    </row>
    <row r="45" spans="3:32" x14ac:dyDescent="0.25">
      <c r="C45" s="1"/>
      <c r="D45" s="54"/>
      <c r="E45" s="55"/>
      <c r="F45" s="55"/>
      <c r="G45" s="55"/>
      <c r="I45" s="98"/>
      <c r="J45" s="99"/>
      <c r="K45" s="99"/>
      <c r="L45" s="99"/>
      <c r="N45" s="24"/>
      <c r="O45" s="25"/>
      <c r="P45" s="25"/>
      <c r="Q45" s="26"/>
      <c r="R45" s="27"/>
      <c r="S45" s="28"/>
      <c r="T45" s="28"/>
      <c r="U45" s="28"/>
      <c r="V45" s="29"/>
      <c r="W45" s="29"/>
      <c r="X45" s="30"/>
      <c r="Y45" s="76">
        <f t="shared" si="1"/>
        <v>0</v>
      </c>
      <c r="Z45" s="77">
        <f t="shared" si="2"/>
        <v>0</v>
      </c>
      <c r="AA45" s="77">
        <f t="shared" si="3"/>
        <v>0</v>
      </c>
      <c r="AB45" s="77">
        <f t="shared" si="4"/>
        <v>0</v>
      </c>
      <c r="AC45" s="20" t="s">
        <v>54</v>
      </c>
      <c r="AD45" s="53">
        <v>823055.80980000005</v>
      </c>
      <c r="AE45" s="53">
        <v>1091456.1102</v>
      </c>
      <c r="AF45" s="53">
        <v>-120.7467</v>
      </c>
    </row>
    <row r="46" spans="3:32" x14ac:dyDescent="0.25">
      <c r="C46" s="1"/>
      <c r="D46" s="56"/>
      <c r="E46" s="57"/>
      <c r="F46" s="57"/>
      <c r="G46" s="57"/>
      <c r="I46" s="98"/>
      <c r="J46" s="99"/>
      <c r="K46" s="99"/>
      <c r="L46" s="99"/>
      <c r="N46" s="24"/>
      <c r="O46" s="25"/>
      <c r="P46" s="25"/>
      <c r="Q46" s="26"/>
      <c r="R46" s="27"/>
      <c r="S46" s="28"/>
      <c r="T46" s="28"/>
      <c r="U46" s="28"/>
      <c r="V46" s="29"/>
      <c r="W46" s="29"/>
      <c r="X46" s="30"/>
      <c r="Y46" s="76">
        <f t="shared" si="1"/>
        <v>0</v>
      </c>
      <c r="Z46" s="77">
        <f t="shared" si="2"/>
        <v>0</v>
      </c>
      <c r="AA46" s="77">
        <f t="shared" si="3"/>
        <v>0</v>
      </c>
      <c r="AB46" s="77">
        <f t="shared" si="4"/>
        <v>0</v>
      </c>
      <c r="AC46" s="20" t="s">
        <v>55</v>
      </c>
      <c r="AD46" s="53">
        <v>823056.02830000001</v>
      </c>
      <c r="AE46" s="53">
        <v>1091456.2080999999</v>
      </c>
      <c r="AF46" s="53">
        <v>-120.95829999999999</v>
      </c>
    </row>
    <row r="47" spans="3:32" x14ac:dyDescent="0.25">
      <c r="C47" s="1"/>
      <c r="D47" s="92"/>
      <c r="E47" s="93"/>
      <c r="F47" s="93"/>
      <c r="G47" s="93"/>
      <c r="I47" s="98"/>
      <c r="J47" s="99"/>
      <c r="K47" s="99"/>
      <c r="L47" s="99"/>
      <c r="N47" s="24"/>
      <c r="O47" s="25"/>
      <c r="P47" s="25"/>
      <c r="Q47" s="26"/>
      <c r="R47" s="27"/>
      <c r="S47" s="28"/>
      <c r="T47" s="28"/>
      <c r="U47" s="28"/>
      <c r="V47" s="28"/>
      <c r="W47" s="28"/>
      <c r="X47" s="42"/>
      <c r="Y47" s="76">
        <f t="shared" si="1"/>
        <v>0</v>
      </c>
      <c r="Z47" s="77">
        <f t="shared" si="2"/>
        <v>0</v>
      </c>
      <c r="AA47" s="77">
        <f t="shared" si="3"/>
        <v>0</v>
      </c>
      <c r="AB47" s="77">
        <f t="shared" si="4"/>
        <v>0</v>
      </c>
      <c r="AC47" s="20" t="s">
        <v>56</v>
      </c>
      <c r="AD47" s="53">
        <v>823056.17409999995</v>
      </c>
      <c r="AE47" s="53">
        <v>1091456.2729</v>
      </c>
      <c r="AF47" s="53">
        <v>-121.1515</v>
      </c>
    </row>
    <row r="48" spans="3:32" x14ac:dyDescent="0.25">
      <c r="C48" s="1"/>
      <c r="D48" s="92"/>
      <c r="E48" s="93"/>
      <c r="F48" s="93"/>
      <c r="G48" s="93"/>
      <c r="I48" s="98"/>
      <c r="J48" s="99"/>
      <c r="K48" s="99"/>
      <c r="L48" s="99"/>
      <c r="N48" s="24"/>
      <c r="O48" s="25"/>
      <c r="P48" s="25"/>
      <c r="Q48" s="26"/>
      <c r="R48" s="27"/>
      <c r="S48" s="28"/>
      <c r="T48" s="28"/>
      <c r="U48" s="28"/>
      <c r="V48" s="28"/>
      <c r="W48" s="28"/>
      <c r="X48" s="42"/>
      <c r="Y48" s="76">
        <f t="shared" si="1"/>
        <v>0</v>
      </c>
      <c r="Z48" s="77">
        <f t="shared" si="2"/>
        <v>0</v>
      </c>
      <c r="AA48" s="77">
        <f t="shared" si="3"/>
        <v>0</v>
      </c>
      <c r="AB48" s="77">
        <f t="shared" si="4"/>
        <v>0</v>
      </c>
      <c r="AC48" s="20" t="s">
        <v>57</v>
      </c>
      <c r="AD48" s="53">
        <v>823056.2942</v>
      </c>
      <c r="AE48" s="53">
        <v>1091456.3233</v>
      </c>
      <c r="AF48" s="53">
        <v>-121.3263</v>
      </c>
    </row>
    <row r="49" spans="3:32" x14ac:dyDescent="0.25">
      <c r="C49" s="1"/>
      <c r="D49" s="92"/>
      <c r="E49" s="93"/>
      <c r="F49" s="93"/>
      <c r="G49" s="93"/>
      <c r="I49" s="98"/>
      <c r="J49" s="99"/>
      <c r="K49" s="99"/>
      <c r="L49" s="99"/>
      <c r="N49" s="24"/>
      <c r="O49" s="25"/>
      <c r="P49" s="25"/>
      <c r="Q49" s="26"/>
      <c r="R49" s="27"/>
      <c r="S49" s="28"/>
      <c r="T49" s="28"/>
      <c r="U49" s="28"/>
      <c r="V49" s="28"/>
      <c r="W49" s="28"/>
      <c r="X49" s="42"/>
      <c r="Y49" s="76">
        <f t="shared" si="1"/>
        <v>0</v>
      </c>
      <c r="Z49" s="77">
        <f t="shared" si="2"/>
        <v>0</v>
      </c>
      <c r="AA49" s="77">
        <f t="shared" si="3"/>
        <v>0</v>
      </c>
      <c r="AB49" s="77">
        <f t="shared" si="4"/>
        <v>0</v>
      </c>
      <c r="AC49" s="20" t="s">
        <v>58</v>
      </c>
      <c r="AD49" s="53">
        <v>823056.38919999998</v>
      </c>
      <c r="AE49" s="53">
        <v>1091456.3663999999</v>
      </c>
      <c r="AF49" s="53">
        <v>-121.4635</v>
      </c>
    </row>
    <row r="50" spans="3:32" x14ac:dyDescent="0.25">
      <c r="C50" s="1"/>
      <c r="D50" s="54"/>
      <c r="E50" s="55"/>
      <c r="F50" s="55"/>
      <c r="G50" s="55"/>
      <c r="I50" s="98"/>
      <c r="J50" s="99"/>
      <c r="K50" s="99"/>
      <c r="L50" s="99"/>
      <c r="N50" s="24"/>
      <c r="O50" s="25"/>
      <c r="P50" s="25"/>
      <c r="Q50" s="26"/>
      <c r="R50" s="27"/>
      <c r="S50" s="28"/>
      <c r="T50" s="28"/>
      <c r="U50" s="28"/>
      <c r="V50" s="28"/>
      <c r="W50" s="28"/>
      <c r="X50" s="42"/>
      <c r="Y50" s="76">
        <f t="shared" si="1"/>
        <v>0</v>
      </c>
      <c r="Z50" s="77">
        <f t="shared" si="2"/>
        <v>0</v>
      </c>
      <c r="AA50" s="77">
        <f t="shared" si="3"/>
        <v>0</v>
      </c>
      <c r="AB50" s="77">
        <f t="shared" si="4"/>
        <v>0</v>
      </c>
      <c r="AC50" s="20" t="s">
        <v>59</v>
      </c>
      <c r="AD50" s="53">
        <v>823056.48690000002</v>
      </c>
      <c r="AE50" s="53">
        <v>1091456.4087</v>
      </c>
      <c r="AF50" s="53">
        <v>-121.646</v>
      </c>
    </row>
    <row r="51" spans="3:32" x14ac:dyDescent="0.25">
      <c r="C51" s="1"/>
      <c r="D51" s="54"/>
      <c r="E51" s="55"/>
      <c r="F51" s="55"/>
      <c r="G51" s="55"/>
      <c r="I51" s="98"/>
      <c r="J51" s="99"/>
      <c r="K51" s="99"/>
      <c r="L51" s="99"/>
      <c r="N51" s="24"/>
      <c r="O51" s="25"/>
      <c r="P51" s="25"/>
      <c r="Q51" s="26"/>
      <c r="R51" s="27"/>
      <c r="S51" s="28"/>
      <c r="T51" s="28"/>
      <c r="U51" s="28"/>
      <c r="V51" s="28"/>
      <c r="W51" s="28"/>
      <c r="X51" s="42"/>
      <c r="Y51" s="76">
        <f t="shared" si="1"/>
        <v>0</v>
      </c>
      <c r="Z51" s="77">
        <f t="shared" si="2"/>
        <v>0</v>
      </c>
      <c r="AA51" s="77">
        <f t="shared" si="3"/>
        <v>0</v>
      </c>
      <c r="AB51" s="77">
        <f t="shared" si="4"/>
        <v>0</v>
      </c>
      <c r="AC51" s="20" t="s">
        <v>60</v>
      </c>
      <c r="AD51" s="53">
        <v>823056.55260000005</v>
      </c>
      <c r="AE51" s="53">
        <v>1091456.4349</v>
      </c>
      <c r="AF51" s="53">
        <v>-121.8038</v>
      </c>
    </row>
    <row r="52" spans="3:32" x14ac:dyDescent="0.25">
      <c r="C52" s="1"/>
      <c r="D52" s="54"/>
      <c r="E52" s="55"/>
      <c r="F52" s="55"/>
      <c r="G52" s="55"/>
      <c r="I52" s="98"/>
      <c r="J52" s="99"/>
      <c r="K52" s="99"/>
      <c r="L52" s="99"/>
      <c r="N52" s="24"/>
      <c r="O52" s="25"/>
      <c r="P52" s="25"/>
      <c r="Q52" s="26"/>
      <c r="R52" s="27"/>
      <c r="S52" s="28"/>
      <c r="T52" s="28"/>
      <c r="U52" s="28"/>
      <c r="V52" s="28"/>
      <c r="W52" s="28"/>
      <c r="X52" s="42"/>
      <c r="Y52" s="76">
        <f t="shared" si="1"/>
        <v>0</v>
      </c>
      <c r="Z52" s="77">
        <f t="shared" si="2"/>
        <v>0</v>
      </c>
      <c r="AA52" s="77">
        <f t="shared" si="3"/>
        <v>0</v>
      </c>
      <c r="AB52" s="77">
        <f t="shared" si="4"/>
        <v>0</v>
      </c>
      <c r="AC52" s="20" t="s">
        <v>61</v>
      </c>
      <c r="AD52" s="53">
        <v>823056.59620000003</v>
      </c>
      <c r="AE52" s="53">
        <v>1091456.4537</v>
      </c>
      <c r="AF52" s="53">
        <v>-121.9466</v>
      </c>
    </row>
    <row r="53" spans="3:32" x14ac:dyDescent="0.25">
      <c r="C53" s="1"/>
      <c r="D53" s="54"/>
      <c r="E53" s="55"/>
      <c r="F53" s="55"/>
      <c r="G53" s="55"/>
      <c r="I53" s="98"/>
      <c r="J53" s="99"/>
      <c r="K53" s="99"/>
      <c r="L53" s="99"/>
      <c r="N53" s="24"/>
      <c r="O53" s="25"/>
      <c r="P53" s="25"/>
      <c r="Q53" s="26"/>
      <c r="R53" s="27"/>
      <c r="S53" s="28"/>
      <c r="T53" s="28"/>
      <c r="U53" s="28"/>
      <c r="V53" s="28"/>
      <c r="W53" s="28"/>
      <c r="X53" s="42"/>
      <c r="Y53" s="76">
        <f t="shared" si="1"/>
        <v>0</v>
      </c>
      <c r="Z53" s="77">
        <f t="shared" si="2"/>
        <v>0</v>
      </c>
      <c r="AA53" s="77">
        <f t="shared" si="3"/>
        <v>0</v>
      </c>
      <c r="AB53" s="77">
        <f t="shared" si="4"/>
        <v>0</v>
      </c>
      <c r="AC53" s="20" t="s">
        <v>62</v>
      </c>
      <c r="AD53" s="53">
        <v>823056.64350000001</v>
      </c>
      <c r="AE53" s="53">
        <v>1091456.4720999999</v>
      </c>
      <c r="AF53" s="53">
        <v>-122.0964</v>
      </c>
    </row>
    <row r="54" spans="3:32" x14ac:dyDescent="0.25">
      <c r="C54" s="1"/>
      <c r="D54" s="54"/>
      <c r="E54" s="55"/>
      <c r="F54" s="55"/>
      <c r="G54" s="55"/>
      <c r="I54" s="98"/>
      <c r="J54" s="99"/>
      <c r="K54" s="99"/>
      <c r="L54" s="99"/>
      <c r="N54" s="24"/>
      <c r="O54" s="25"/>
      <c r="P54" s="25"/>
      <c r="Q54" s="26"/>
      <c r="R54" s="27"/>
      <c r="S54" s="28"/>
      <c r="T54" s="28"/>
      <c r="U54" s="28"/>
      <c r="V54" s="28"/>
      <c r="W54" s="28"/>
      <c r="X54" s="42"/>
      <c r="Y54" s="76">
        <f t="shared" si="1"/>
        <v>0</v>
      </c>
      <c r="Z54" s="77">
        <f t="shared" si="2"/>
        <v>0</v>
      </c>
      <c r="AA54" s="77">
        <f t="shared" si="3"/>
        <v>0</v>
      </c>
      <c r="AB54" s="77">
        <f t="shared" si="4"/>
        <v>0</v>
      </c>
      <c r="AC54" s="20" t="s">
        <v>63</v>
      </c>
      <c r="AD54" s="53">
        <v>823056.68449999997</v>
      </c>
      <c r="AE54" s="53">
        <v>1091456.4887999999</v>
      </c>
      <c r="AF54" s="53">
        <v>-122.3034</v>
      </c>
    </row>
    <row r="55" spans="3:32" x14ac:dyDescent="0.25">
      <c r="C55" s="1"/>
      <c r="D55" s="54"/>
      <c r="E55" s="55"/>
      <c r="F55" s="55"/>
      <c r="G55" s="55"/>
      <c r="I55" s="98"/>
      <c r="J55" s="99"/>
      <c r="K55" s="99"/>
      <c r="L55" s="99"/>
      <c r="N55" s="24"/>
      <c r="O55" s="25"/>
      <c r="P55" s="25"/>
      <c r="Q55" s="26"/>
      <c r="R55" s="27"/>
      <c r="S55" s="28"/>
      <c r="T55" s="28"/>
      <c r="U55" s="28"/>
      <c r="V55" s="28"/>
      <c r="W55" s="28"/>
      <c r="X55" s="42"/>
      <c r="Y55" s="76">
        <f t="shared" si="1"/>
        <v>0</v>
      </c>
      <c r="Z55" s="77">
        <f t="shared" si="2"/>
        <v>0</v>
      </c>
      <c r="AA55" s="77">
        <f t="shared" si="3"/>
        <v>0</v>
      </c>
      <c r="AB55" s="77">
        <f t="shared" si="4"/>
        <v>0</v>
      </c>
      <c r="AC55" s="20" t="s">
        <v>64</v>
      </c>
      <c r="AD55" s="53">
        <v>823056.728</v>
      </c>
      <c r="AE55" s="53">
        <v>1091456.5049000001</v>
      </c>
      <c r="AF55" s="53">
        <v>-122.5812</v>
      </c>
    </row>
    <row r="56" spans="3:32" x14ac:dyDescent="0.25">
      <c r="C56" s="1"/>
      <c r="D56" s="54"/>
      <c r="E56" s="55"/>
      <c r="F56" s="55"/>
      <c r="G56" s="55"/>
      <c r="I56" s="98"/>
      <c r="J56" s="99"/>
      <c r="K56" s="99"/>
      <c r="L56" s="99"/>
      <c r="N56" s="24"/>
      <c r="O56" s="43"/>
      <c r="P56" s="43"/>
      <c r="Q56" s="44"/>
      <c r="R56" s="27"/>
      <c r="S56" s="28"/>
      <c r="T56" s="28"/>
      <c r="U56" s="28"/>
      <c r="V56" s="28"/>
      <c r="W56" s="28"/>
      <c r="X56" s="42"/>
      <c r="Y56" s="76">
        <f t="shared" si="1"/>
        <v>0</v>
      </c>
      <c r="Z56" s="77">
        <f t="shared" si="2"/>
        <v>0</v>
      </c>
      <c r="AA56" s="77">
        <f t="shared" si="3"/>
        <v>0</v>
      </c>
      <c r="AB56" s="77">
        <f t="shared" si="4"/>
        <v>0</v>
      </c>
      <c r="AC56" s="20" t="s">
        <v>65</v>
      </c>
      <c r="AD56" s="53">
        <v>823056.73759999999</v>
      </c>
      <c r="AE56" s="53">
        <v>1091456.5072000001</v>
      </c>
      <c r="AF56" s="53">
        <v>-122.7496</v>
      </c>
    </row>
    <row r="57" spans="3:32" x14ac:dyDescent="0.25">
      <c r="C57" s="1"/>
      <c r="D57" s="54"/>
      <c r="E57" s="55"/>
      <c r="F57" s="55"/>
      <c r="G57" s="55"/>
      <c r="I57" s="98"/>
      <c r="J57" s="98"/>
      <c r="K57" s="98"/>
      <c r="L57" s="98"/>
      <c r="N57" s="24"/>
      <c r="O57" s="43"/>
      <c r="P57" s="43"/>
      <c r="Q57" s="44"/>
      <c r="R57" s="27"/>
      <c r="S57" s="28"/>
      <c r="T57" s="28"/>
      <c r="U57" s="28"/>
      <c r="V57" s="28"/>
      <c r="W57" s="28"/>
      <c r="X57" s="42"/>
      <c r="Y57" s="76">
        <f t="shared" si="1"/>
        <v>0</v>
      </c>
      <c r="Z57" s="77">
        <f t="shared" si="2"/>
        <v>0</v>
      </c>
      <c r="AA57" s="77">
        <f t="shared" si="3"/>
        <v>0</v>
      </c>
      <c r="AB57" s="77">
        <f t="shared" si="4"/>
        <v>0</v>
      </c>
      <c r="AC57" s="20" t="s">
        <v>66</v>
      </c>
      <c r="AD57" s="53">
        <v>823056.73710000003</v>
      </c>
      <c r="AE57" s="53">
        <v>1091456.5049999999</v>
      </c>
      <c r="AF57" s="53">
        <v>-123.0712</v>
      </c>
    </row>
    <row r="58" spans="3:32" x14ac:dyDescent="0.25">
      <c r="C58" s="1"/>
      <c r="D58" s="54"/>
      <c r="E58" s="55"/>
      <c r="F58" s="55"/>
      <c r="G58" s="55"/>
      <c r="I58" s="98"/>
      <c r="J58" s="98"/>
      <c r="K58" s="98"/>
      <c r="L58" s="98"/>
      <c r="N58" s="24"/>
      <c r="O58" s="25"/>
      <c r="P58" s="25"/>
      <c r="Q58" s="44"/>
      <c r="R58" s="27"/>
      <c r="S58" s="28"/>
      <c r="T58" s="28"/>
      <c r="U58" s="28"/>
      <c r="V58" s="28"/>
      <c r="W58" s="28"/>
      <c r="X58" s="42"/>
      <c r="Y58" s="76">
        <f t="shared" si="1"/>
        <v>0</v>
      </c>
      <c r="Z58" s="77">
        <f t="shared" si="2"/>
        <v>0</v>
      </c>
      <c r="AA58" s="77">
        <f t="shared" si="3"/>
        <v>0</v>
      </c>
      <c r="AB58" s="77">
        <f t="shared" si="4"/>
        <v>0</v>
      </c>
      <c r="AC58" s="20" t="s">
        <v>67</v>
      </c>
      <c r="AD58" s="53">
        <v>823056.70519999997</v>
      </c>
      <c r="AE58" s="53">
        <v>1091456.4861000001</v>
      </c>
      <c r="AF58" s="53">
        <v>-123.3138</v>
      </c>
    </row>
    <row r="59" spans="3:32" x14ac:dyDescent="0.25">
      <c r="C59" s="1"/>
      <c r="D59" s="54"/>
      <c r="E59" s="55"/>
      <c r="F59" s="55"/>
      <c r="G59" s="55"/>
      <c r="I59" s="98"/>
      <c r="J59" s="98"/>
      <c r="K59" s="98"/>
      <c r="L59" s="98"/>
      <c r="N59" s="24"/>
      <c r="O59" s="43"/>
      <c r="P59" s="43"/>
      <c r="Q59" s="44"/>
      <c r="R59" s="27"/>
      <c r="S59" s="28"/>
      <c r="T59" s="28"/>
      <c r="U59" s="28"/>
      <c r="V59" s="28"/>
      <c r="W59" s="28"/>
      <c r="X59" s="42"/>
      <c r="Y59" s="76">
        <f t="shared" si="1"/>
        <v>0</v>
      </c>
      <c r="Z59" s="77">
        <f t="shared" si="2"/>
        <v>0</v>
      </c>
      <c r="AA59" s="77">
        <f t="shared" si="3"/>
        <v>0</v>
      </c>
      <c r="AB59" s="77">
        <f t="shared" si="4"/>
        <v>0</v>
      </c>
      <c r="AC59" s="20" t="s">
        <v>68</v>
      </c>
      <c r="AD59" s="53">
        <v>823056.60699999996</v>
      </c>
      <c r="AE59" s="53">
        <v>1091456.4338</v>
      </c>
      <c r="AF59" s="53">
        <v>-123.7111</v>
      </c>
    </row>
    <row r="60" spans="3:32" x14ac:dyDescent="0.25">
      <c r="C60" s="1"/>
      <c r="D60" s="54"/>
      <c r="E60" s="55"/>
      <c r="F60" s="55"/>
      <c r="G60" s="55"/>
      <c r="I60" s="98"/>
      <c r="J60" s="98"/>
      <c r="K60" s="98"/>
      <c r="L60" s="98"/>
      <c r="N60" s="24"/>
      <c r="O60" s="43"/>
      <c r="P60" s="43"/>
      <c r="Q60" s="44"/>
      <c r="R60" s="27"/>
      <c r="S60" s="28"/>
      <c r="T60" s="28"/>
      <c r="U60" s="28"/>
      <c r="V60" s="28"/>
      <c r="W60" s="28"/>
      <c r="X60" s="42"/>
      <c r="Y60" s="76">
        <f t="shared" si="1"/>
        <v>0</v>
      </c>
      <c r="Z60" s="77">
        <f t="shared" si="2"/>
        <v>0</v>
      </c>
      <c r="AA60" s="77">
        <f t="shared" si="3"/>
        <v>0</v>
      </c>
      <c r="AB60" s="77">
        <f t="shared" si="4"/>
        <v>0</v>
      </c>
      <c r="AC60" s="20" t="s">
        <v>69</v>
      </c>
      <c r="AD60" s="53">
        <v>823056.51119999995</v>
      </c>
      <c r="AE60" s="53">
        <v>1091456.3857</v>
      </c>
      <c r="AF60" s="53">
        <v>-123.9599</v>
      </c>
    </row>
    <row r="61" spans="3:32" x14ac:dyDescent="0.25">
      <c r="C61" s="1"/>
      <c r="D61" s="54"/>
      <c r="E61" s="55"/>
      <c r="F61" s="55"/>
      <c r="G61" s="55"/>
      <c r="I61" s="98"/>
      <c r="J61" s="98"/>
      <c r="K61" s="98"/>
      <c r="L61" s="98"/>
      <c r="N61" s="24"/>
      <c r="O61" s="43"/>
      <c r="P61" s="43"/>
      <c r="Q61" s="44"/>
      <c r="R61" s="27"/>
      <c r="S61" s="28"/>
      <c r="T61" s="28"/>
      <c r="U61" s="28"/>
      <c r="V61" s="28"/>
      <c r="W61" s="28"/>
      <c r="X61" s="42"/>
      <c r="Y61" s="76">
        <f t="shared" si="1"/>
        <v>0</v>
      </c>
      <c r="Z61" s="77">
        <f t="shared" si="2"/>
        <v>0</v>
      </c>
      <c r="AA61" s="77">
        <f t="shared" si="3"/>
        <v>0</v>
      </c>
      <c r="AB61" s="77">
        <f t="shared" si="4"/>
        <v>0</v>
      </c>
      <c r="AC61" s="20" t="s">
        <v>70</v>
      </c>
      <c r="AD61" s="53">
        <v>823056.47840000002</v>
      </c>
      <c r="AE61" s="53">
        <v>1091456.3700000001</v>
      </c>
      <c r="AF61" s="53">
        <v>-124.0211</v>
      </c>
    </row>
    <row r="62" spans="3:32" x14ac:dyDescent="0.25">
      <c r="C62" s="1"/>
      <c r="D62" s="54"/>
      <c r="E62" s="55"/>
      <c r="F62" s="55"/>
      <c r="G62" s="55"/>
      <c r="I62" s="98"/>
      <c r="J62" s="98"/>
      <c r="K62" s="98"/>
      <c r="L62" s="98"/>
      <c r="N62" s="24"/>
      <c r="O62" s="43"/>
      <c r="P62" s="43"/>
      <c r="Q62" s="44"/>
      <c r="R62" s="27"/>
      <c r="S62" s="28"/>
      <c r="T62" s="28"/>
      <c r="U62" s="28"/>
      <c r="V62" s="28"/>
      <c r="W62" s="28"/>
      <c r="X62" s="42"/>
      <c r="Y62" s="76">
        <f t="shared" si="1"/>
        <v>0</v>
      </c>
      <c r="Z62" s="77">
        <f t="shared" si="2"/>
        <v>0</v>
      </c>
      <c r="AA62" s="77">
        <f t="shared" si="3"/>
        <v>0</v>
      </c>
      <c r="AB62" s="77">
        <f t="shared" si="4"/>
        <v>0</v>
      </c>
      <c r="AC62" s="20" t="s">
        <v>71</v>
      </c>
      <c r="AD62" s="53">
        <v>823052.04280000005</v>
      </c>
      <c r="AE62" s="53">
        <v>1091454.3136</v>
      </c>
      <c r="AF62" s="53">
        <v>-123.9867</v>
      </c>
    </row>
    <row r="63" spans="3:32" x14ac:dyDescent="0.25">
      <c r="C63" s="1"/>
      <c r="D63" s="54"/>
      <c r="E63" s="55"/>
      <c r="F63" s="55"/>
      <c r="G63" s="55"/>
      <c r="I63" s="98"/>
      <c r="J63" s="98"/>
      <c r="K63" s="98"/>
      <c r="L63" s="98"/>
      <c r="N63" s="24"/>
      <c r="O63" s="43"/>
      <c r="P63" s="43"/>
      <c r="Q63" s="44"/>
      <c r="R63" s="27"/>
      <c r="S63" s="28"/>
      <c r="T63" s="28"/>
      <c r="U63" s="28"/>
      <c r="V63" s="28"/>
      <c r="W63" s="28"/>
      <c r="X63" s="42"/>
      <c r="Y63" s="76">
        <f t="shared" si="1"/>
        <v>0</v>
      </c>
      <c r="Z63" s="77">
        <f t="shared" si="2"/>
        <v>0</v>
      </c>
      <c r="AA63" s="77">
        <f t="shared" si="3"/>
        <v>0</v>
      </c>
      <c r="AB63" s="77">
        <f t="shared" si="4"/>
        <v>0</v>
      </c>
      <c r="AC63" s="20" t="s">
        <v>72</v>
      </c>
      <c r="AD63" s="53">
        <v>823051.94160000002</v>
      </c>
      <c r="AE63" s="53">
        <v>1091454.2709999999</v>
      </c>
      <c r="AF63" s="53">
        <v>-123.64700000000001</v>
      </c>
    </row>
    <row r="64" spans="3:32" x14ac:dyDescent="0.25">
      <c r="C64" s="1"/>
      <c r="D64" s="54"/>
      <c r="E64" s="55"/>
      <c r="F64" s="55"/>
      <c r="G64" s="55"/>
      <c r="I64" s="98"/>
      <c r="J64" s="98"/>
      <c r="K64" s="98"/>
      <c r="L64" s="98"/>
      <c r="N64" s="24"/>
      <c r="O64" s="43"/>
      <c r="P64" s="43"/>
      <c r="Q64" s="44"/>
      <c r="R64" s="27"/>
      <c r="S64" s="28"/>
      <c r="T64" s="28"/>
      <c r="U64" s="28"/>
      <c r="V64" s="28"/>
      <c r="W64" s="28"/>
      <c r="X64" s="42"/>
      <c r="Y64" s="76">
        <f t="shared" si="1"/>
        <v>0</v>
      </c>
      <c r="Z64" s="77">
        <f t="shared" si="2"/>
        <v>0</v>
      </c>
      <c r="AA64" s="77">
        <f t="shared" si="3"/>
        <v>0</v>
      </c>
      <c r="AB64" s="77">
        <f t="shared" si="4"/>
        <v>0</v>
      </c>
      <c r="AC64" s="20" t="s">
        <v>73</v>
      </c>
      <c r="AD64" s="53">
        <v>823051.85210000002</v>
      </c>
      <c r="AE64" s="53">
        <v>1091454.2420000001</v>
      </c>
      <c r="AF64" s="53">
        <v>-123.1067</v>
      </c>
    </row>
    <row r="65" spans="3:32" x14ac:dyDescent="0.25">
      <c r="C65" s="1"/>
      <c r="D65" s="54"/>
      <c r="E65" s="55"/>
      <c r="F65" s="55"/>
      <c r="G65" s="55"/>
      <c r="I65" s="98"/>
      <c r="J65" s="98"/>
      <c r="K65" s="98"/>
      <c r="L65" s="98"/>
      <c r="N65" s="24"/>
      <c r="O65" s="43"/>
      <c r="P65" s="43"/>
      <c r="Q65" s="44"/>
      <c r="R65" s="27"/>
      <c r="S65" s="28"/>
      <c r="T65" s="28"/>
      <c r="U65" s="28"/>
      <c r="V65" s="28"/>
      <c r="W65" s="28"/>
      <c r="X65" s="42"/>
      <c r="Y65" s="76">
        <f t="shared" si="1"/>
        <v>0</v>
      </c>
      <c r="Z65" s="77">
        <f t="shared" si="2"/>
        <v>0</v>
      </c>
      <c r="AA65" s="77">
        <f t="shared" si="3"/>
        <v>0</v>
      </c>
      <c r="AB65" s="77">
        <f t="shared" si="4"/>
        <v>0</v>
      </c>
      <c r="AC65" s="20" t="s">
        <v>74</v>
      </c>
      <c r="AD65" s="53">
        <v>823051.82409999997</v>
      </c>
      <c r="AE65" s="53">
        <v>1091454.2345</v>
      </c>
      <c r="AF65" s="53">
        <v>-122.76690000000001</v>
      </c>
    </row>
    <row r="66" spans="3:32" x14ac:dyDescent="0.25">
      <c r="C66" s="1"/>
      <c r="D66" s="54"/>
      <c r="E66" s="55"/>
      <c r="F66" s="55"/>
      <c r="G66" s="54"/>
      <c r="I66" s="98"/>
      <c r="J66" s="98"/>
      <c r="K66" s="98"/>
      <c r="L66" s="98"/>
      <c r="N66" s="24"/>
      <c r="O66" s="43"/>
      <c r="P66" s="43"/>
      <c r="Q66" s="44"/>
      <c r="R66" s="27"/>
      <c r="S66" s="28"/>
      <c r="T66" s="28"/>
      <c r="U66" s="28"/>
      <c r="V66" s="28"/>
      <c r="W66" s="28"/>
      <c r="X66" s="42"/>
      <c r="Y66" s="76">
        <f t="shared" si="1"/>
        <v>0</v>
      </c>
      <c r="Z66" s="77">
        <f t="shared" si="2"/>
        <v>0</v>
      </c>
      <c r="AA66" s="77">
        <f t="shared" si="3"/>
        <v>0</v>
      </c>
      <c r="AB66" s="77">
        <f t="shared" si="4"/>
        <v>0</v>
      </c>
      <c r="AC66" t="s">
        <v>75</v>
      </c>
      <c r="AD66">
        <v>823051.83860000002</v>
      </c>
      <c r="AE66">
        <v>1091454.2374</v>
      </c>
      <c r="AF66">
        <v>-122.505</v>
      </c>
    </row>
    <row r="67" spans="3:32" x14ac:dyDescent="0.25">
      <c r="C67" s="1"/>
      <c r="D67" s="54"/>
      <c r="E67" s="55"/>
      <c r="F67" s="55"/>
      <c r="G67" s="55"/>
      <c r="I67" s="98"/>
      <c r="J67" s="98"/>
      <c r="K67" s="98"/>
      <c r="L67" s="98"/>
      <c r="N67" s="24"/>
      <c r="O67" s="43"/>
      <c r="P67" s="43"/>
      <c r="Q67" s="44"/>
      <c r="R67" s="27"/>
      <c r="S67" s="28"/>
      <c r="T67" s="28"/>
      <c r="U67" s="28"/>
      <c r="V67" s="28"/>
      <c r="W67" s="28"/>
      <c r="X67" s="42"/>
      <c r="Y67" s="76">
        <f t="shared" si="1"/>
        <v>0</v>
      </c>
      <c r="Z67" s="77">
        <f t="shared" si="2"/>
        <v>0</v>
      </c>
      <c r="AA67" s="77">
        <f t="shared" si="3"/>
        <v>0</v>
      </c>
      <c r="AB67" s="77">
        <f t="shared" si="4"/>
        <v>0</v>
      </c>
      <c r="AC67" t="s">
        <v>76</v>
      </c>
      <c r="AD67">
        <v>823051.93539999996</v>
      </c>
      <c r="AE67">
        <v>1091454.291</v>
      </c>
      <c r="AF67">
        <v>-121.9877</v>
      </c>
    </row>
    <row r="68" spans="3:32" x14ac:dyDescent="0.25">
      <c r="C68" s="1"/>
      <c r="D68" s="54"/>
      <c r="E68" s="55"/>
      <c r="F68" s="55"/>
      <c r="G68" s="55"/>
      <c r="I68" s="98"/>
      <c r="J68" s="98"/>
      <c r="K68" s="98"/>
      <c r="L68" s="98"/>
      <c r="N68" s="24"/>
      <c r="O68" s="43"/>
      <c r="P68" s="43"/>
      <c r="Q68" s="44"/>
      <c r="R68" s="27"/>
      <c r="S68" s="28"/>
      <c r="T68" s="28"/>
      <c r="U68" s="28"/>
      <c r="V68" s="28"/>
      <c r="W68" s="28"/>
      <c r="X68" s="42"/>
      <c r="Y68" s="76">
        <f t="shared" ref="Y68:Y104" si="5">U68</f>
        <v>0</v>
      </c>
      <c r="Z68" s="77">
        <f t="shared" ref="Z68:Z104" si="6">O68-V68:V69</f>
        <v>0</v>
      </c>
      <c r="AA68" s="77">
        <f t="shared" ref="AA68:AA104" si="7">P68-W68:W69</f>
        <v>0</v>
      </c>
      <c r="AB68" s="77">
        <f t="shared" ref="AB68:AB104" si="8">Q68-X68:X69</f>
        <v>0</v>
      </c>
      <c r="AC68" s="20" t="s">
        <v>77</v>
      </c>
      <c r="AD68" s="53">
        <v>823052.08629999997</v>
      </c>
      <c r="AE68" s="53">
        <v>1091454.3687</v>
      </c>
      <c r="AF68" s="53">
        <v>-121.7645</v>
      </c>
    </row>
    <row r="69" spans="3:32" x14ac:dyDescent="0.25">
      <c r="C69" s="1"/>
      <c r="D69" s="54"/>
      <c r="E69" s="55"/>
      <c r="F69" s="55"/>
      <c r="G69" s="55"/>
      <c r="I69" s="98"/>
      <c r="J69" s="98"/>
      <c r="K69" s="98"/>
      <c r="L69" s="98"/>
      <c r="N69" s="24"/>
      <c r="O69" s="43"/>
      <c r="P69" s="43"/>
      <c r="Q69" s="44"/>
      <c r="R69" s="27"/>
      <c r="S69" s="28"/>
      <c r="T69" s="28"/>
      <c r="U69" s="28"/>
      <c r="V69" s="28"/>
      <c r="W69" s="28"/>
      <c r="X69" s="42"/>
      <c r="Y69" s="76">
        <f t="shared" si="5"/>
        <v>0</v>
      </c>
      <c r="Z69" s="77">
        <f t="shared" si="6"/>
        <v>0</v>
      </c>
      <c r="AA69" s="77">
        <f t="shared" si="7"/>
        <v>0</v>
      </c>
      <c r="AB69" s="77">
        <f t="shared" si="8"/>
        <v>0</v>
      </c>
      <c r="AC69" s="20" t="s">
        <v>78</v>
      </c>
      <c r="AD69" s="53">
        <v>823052.21770000004</v>
      </c>
      <c r="AE69" s="53">
        <v>1091454.4286</v>
      </c>
      <c r="AF69" s="53">
        <v>-121.48699999999999</v>
      </c>
    </row>
    <row r="70" spans="3:32" x14ac:dyDescent="0.25">
      <c r="C70" s="1"/>
      <c r="D70" s="54"/>
      <c r="E70" s="55"/>
      <c r="F70" s="55"/>
      <c r="G70" s="55"/>
      <c r="I70" s="98"/>
      <c r="J70" s="98"/>
      <c r="K70" s="98"/>
      <c r="L70" s="98"/>
      <c r="N70" s="24"/>
      <c r="O70" s="43"/>
      <c r="P70" s="43"/>
      <c r="Q70" s="44"/>
      <c r="R70" s="27"/>
      <c r="S70" s="28"/>
      <c r="T70" s="28"/>
      <c r="U70" s="28"/>
      <c r="V70" s="28"/>
      <c r="W70" s="28"/>
      <c r="X70" s="42"/>
      <c r="Y70" s="76">
        <f t="shared" si="5"/>
        <v>0</v>
      </c>
      <c r="Z70" s="77">
        <f t="shared" si="6"/>
        <v>0</v>
      </c>
      <c r="AA70" s="77">
        <f t="shared" si="7"/>
        <v>0</v>
      </c>
      <c r="AB70" s="77">
        <f t="shared" si="8"/>
        <v>0</v>
      </c>
      <c r="AC70" s="20" t="s">
        <v>79</v>
      </c>
      <c r="AD70" s="53">
        <v>823052.27800000005</v>
      </c>
      <c r="AE70" s="53">
        <v>1091454.4598999999</v>
      </c>
      <c r="AF70" s="53">
        <v>-121.25020000000001</v>
      </c>
    </row>
    <row r="71" spans="3:32" x14ac:dyDescent="0.25">
      <c r="C71" s="1"/>
      <c r="D71" s="54"/>
      <c r="E71" s="55"/>
      <c r="F71" s="55"/>
      <c r="G71" s="55"/>
      <c r="I71" s="98"/>
      <c r="J71" s="98"/>
      <c r="K71" s="98"/>
      <c r="L71" s="98"/>
      <c r="N71" s="24"/>
      <c r="O71" s="43"/>
      <c r="P71" s="43"/>
      <c r="Q71" s="44"/>
      <c r="R71" s="27"/>
      <c r="S71" s="28"/>
      <c r="T71" s="28"/>
      <c r="U71" s="28"/>
      <c r="V71" s="28"/>
      <c r="W71" s="28"/>
      <c r="X71" s="42"/>
      <c r="Y71" s="76">
        <f t="shared" si="5"/>
        <v>0</v>
      </c>
      <c r="Z71" s="77">
        <f t="shared" si="6"/>
        <v>0</v>
      </c>
      <c r="AA71" s="77">
        <f t="shared" si="7"/>
        <v>0</v>
      </c>
      <c r="AB71" s="77">
        <f t="shared" si="8"/>
        <v>0</v>
      </c>
      <c r="AC71" s="20" t="s">
        <v>80</v>
      </c>
      <c r="AD71" s="53">
        <v>823052.37800000003</v>
      </c>
      <c r="AE71" s="53">
        <v>1091454.5160000001</v>
      </c>
      <c r="AF71" s="53">
        <v>-121.05200000000001</v>
      </c>
    </row>
    <row r="72" spans="3:32" x14ac:dyDescent="0.25">
      <c r="C72" s="1"/>
      <c r="D72" s="54"/>
      <c r="E72" s="55"/>
      <c r="F72" s="55"/>
      <c r="G72" s="55"/>
      <c r="I72" s="98"/>
      <c r="J72" s="98"/>
      <c r="K72" s="98"/>
      <c r="L72" s="98"/>
      <c r="N72" s="24"/>
      <c r="O72" s="43"/>
      <c r="P72" s="43"/>
      <c r="Q72" s="44"/>
      <c r="R72" s="27"/>
      <c r="S72" s="28"/>
      <c r="T72" s="28"/>
      <c r="U72" s="28"/>
      <c r="V72" s="28"/>
      <c r="W72" s="28"/>
      <c r="X72" s="42"/>
      <c r="Y72" s="76">
        <f t="shared" si="5"/>
        <v>0</v>
      </c>
      <c r="Z72" s="77">
        <f t="shared" si="6"/>
        <v>0</v>
      </c>
      <c r="AA72" s="77">
        <f t="shared" si="7"/>
        <v>0</v>
      </c>
      <c r="AB72" s="77">
        <f t="shared" si="8"/>
        <v>0</v>
      </c>
      <c r="AC72" s="20" t="s">
        <v>81</v>
      </c>
      <c r="AD72" s="53">
        <v>823052.5344</v>
      </c>
      <c r="AE72" s="53">
        <v>1091454.5867999999</v>
      </c>
      <c r="AF72" s="53">
        <v>-120.8531</v>
      </c>
    </row>
    <row r="73" spans="3:32" x14ac:dyDescent="0.25">
      <c r="C73" s="1"/>
      <c r="D73" s="58"/>
      <c r="E73" s="59"/>
      <c r="F73" s="59"/>
      <c r="G73" s="59"/>
      <c r="I73" s="98"/>
      <c r="J73" s="98"/>
      <c r="K73" s="98"/>
      <c r="L73" s="98"/>
      <c r="N73" s="24"/>
      <c r="O73" s="43"/>
      <c r="P73" s="43"/>
      <c r="Q73" s="44"/>
      <c r="R73" s="27"/>
      <c r="S73" s="28"/>
      <c r="T73" s="28"/>
      <c r="U73" s="28"/>
      <c r="V73" s="28"/>
      <c r="W73" s="28"/>
      <c r="X73" s="42"/>
      <c r="Y73" s="76">
        <f t="shared" si="5"/>
        <v>0</v>
      </c>
      <c r="Z73" s="77">
        <f t="shared" si="6"/>
        <v>0</v>
      </c>
      <c r="AA73" s="77">
        <f t="shared" si="7"/>
        <v>0</v>
      </c>
      <c r="AB73" s="77">
        <f t="shared" si="8"/>
        <v>0</v>
      </c>
      <c r="AC73" s="20" t="s">
        <v>82</v>
      </c>
      <c r="AD73" s="53">
        <v>823052.70160000003</v>
      </c>
      <c r="AE73" s="53">
        <v>1091454.6347000001</v>
      </c>
      <c r="AF73" s="53">
        <v>-120.7244</v>
      </c>
    </row>
    <row r="74" spans="3:32" x14ac:dyDescent="0.25">
      <c r="C74" s="1"/>
      <c r="D74" s="94"/>
      <c r="E74" s="95"/>
      <c r="F74" s="95"/>
      <c r="G74" s="95"/>
      <c r="I74" s="98"/>
      <c r="J74" s="98"/>
      <c r="K74" s="98"/>
      <c r="L74" s="98"/>
      <c r="N74" s="24"/>
      <c r="O74" s="43"/>
      <c r="P74" s="43"/>
      <c r="Q74" s="44"/>
      <c r="R74" s="27"/>
      <c r="S74" s="28"/>
      <c r="T74" s="28"/>
      <c r="U74" s="28"/>
      <c r="V74" s="28"/>
      <c r="W74" s="28"/>
      <c r="X74" s="42"/>
      <c r="Y74" s="76">
        <f t="shared" si="5"/>
        <v>0</v>
      </c>
      <c r="Z74" s="77">
        <f t="shared" si="6"/>
        <v>0</v>
      </c>
      <c r="AA74" s="77">
        <f t="shared" si="7"/>
        <v>0</v>
      </c>
      <c r="AB74" s="77">
        <f t="shared" si="8"/>
        <v>0</v>
      </c>
      <c r="AC74" s="20" t="s">
        <v>83</v>
      </c>
      <c r="AD74" s="53">
        <v>823052.91379999998</v>
      </c>
      <c r="AE74" s="53">
        <v>1091454.7631000001</v>
      </c>
      <c r="AF74" s="53">
        <v>-120.529</v>
      </c>
    </row>
    <row r="75" spans="3:32" x14ac:dyDescent="0.25">
      <c r="C75" s="1"/>
      <c r="D75" s="54"/>
      <c r="E75" s="55"/>
      <c r="F75" s="55"/>
      <c r="G75" s="55"/>
      <c r="I75" s="98"/>
      <c r="J75" s="98"/>
      <c r="K75" s="98"/>
      <c r="L75" s="98"/>
      <c r="N75" s="24"/>
      <c r="O75" s="43"/>
      <c r="P75" s="43"/>
      <c r="Q75" s="44"/>
      <c r="R75" s="27"/>
      <c r="S75" s="28"/>
      <c r="T75" s="28"/>
      <c r="U75" s="28"/>
      <c r="V75" s="28"/>
      <c r="W75" s="28"/>
      <c r="X75" s="42"/>
      <c r="Y75" s="76">
        <f t="shared" si="5"/>
        <v>0</v>
      </c>
      <c r="Z75" s="77">
        <f t="shared" si="6"/>
        <v>0</v>
      </c>
      <c r="AA75" s="77">
        <f t="shared" si="7"/>
        <v>0</v>
      </c>
      <c r="AB75" s="77">
        <f t="shared" si="8"/>
        <v>0</v>
      </c>
      <c r="AC75" s="20" t="s">
        <v>84</v>
      </c>
      <c r="AD75" s="53">
        <v>823053.09030000004</v>
      </c>
      <c r="AE75" s="53">
        <v>1091454.8488</v>
      </c>
      <c r="AF75" s="53">
        <v>-120.4019</v>
      </c>
    </row>
    <row r="76" spans="3:32" x14ac:dyDescent="0.25">
      <c r="C76" s="1"/>
      <c r="D76" s="54"/>
      <c r="E76" s="55"/>
      <c r="F76" s="55"/>
      <c r="G76" s="55"/>
      <c r="I76" s="98"/>
      <c r="J76" s="98"/>
      <c r="K76" s="98"/>
      <c r="L76" s="98"/>
      <c r="N76" s="24"/>
      <c r="O76" s="43"/>
      <c r="P76" s="43"/>
      <c r="Q76" s="44"/>
      <c r="R76" s="27"/>
      <c r="S76" s="28"/>
      <c r="T76" s="28"/>
      <c r="U76" s="28"/>
      <c r="V76" s="28"/>
      <c r="W76" s="28"/>
      <c r="X76" s="42"/>
      <c r="Y76" s="76">
        <f t="shared" si="5"/>
        <v>0</v>
      </c>
      <c r="Z76" s="77">
        <f t="shared" si="6"/>
        <v>0</v>
      </c>
      <c r="AA76" s="77">
        <f t="shared" si="7"/>
        <v>0</v>
      </c>
      <c r="AB76" s="77">
        <f t="shared" si="8"/>
        <v>0</v>
      </c>
      <c r="AC76" s="20" t="s">
        <v>85</v>
      </c>
      <c r="AD76" s="53">
        <v>823053.29059999995</v>
      </c>
      <c r="AE76" s="53">
        <v>1091454.9469000001</v>
      </c>
      <c r="AF76" s="53">
        <v>-120.2563</v>
      </c>
    </row>
    <row r="77" spans="3:32" x14ac:dyDescent="0.25">
      <c r="C77" s="1"/>
      <c r="D77" s="60"/>
      <c r="E77" s="61"/>
      <c r="F77" s="61"/>
      <c r="G77" s="61"/>
      <c r="I77" s="98"/>
      <c r="J77" s="98"/>
      <c r="K77" s="98"/>
      <c r="L77" s="98"/>
      <c r="N77" s="24"/>
      <c r="O77" s="43"/>
      <c r="P77" s="43"/>
      <c r="Q77" s="44"/>
      <c r="R77" s="27"/>
      <c r="S77" s="28"/>
      <c r="T77" s="28"/>
      <c r="U77" s="28"/>
      <c r="V77" s="28"/>
      <c r="W77" s="28"/>
      <c r="X77" s="42"/>
      <c r="Y77" s="76">
        <f t="shared" si="5"/>
        <v>0</v>
      </c>
      <c r="Z77" s="77">
        <f t="shared" si="6"/>
        <v>0</v>
      </c>
      <c r="AA77" s="77">
        <f t="shared" si="7"/>
        <v>0</v>
      </c>
      <c r="AB77" s="77">
        <f t="shared" si="8"/>
        <v>0</v>
      </c>
      <c r="AC77" s="20" t="s">
        <v>86</v>
      </c>
      <c r="AD77" s="53">
        <v>823053.72900000005</v>
      </c>
      <c r="AE77" s="53">
        <v>1091455.1484000001</v>
      </c>
      <c r="AF77" s="53">
        <v>-120.0898</v>
      </c>
    </row>
    <row r="78" spans="3:32" x14ac:dyDescent="0.25">
      <c r="C78" s="1"/>
      <c r="D78" s="56"/>
      <c r="E78" s="57"/>
      <c r="F78" s="57"/>
      <c r="G78" s="57"/>
      <c r="I78" s="98"/>
      <c r="J78" s="98"/>
      <c r="K78" s="98"/>
      <c r="L78" s="98"/>
      <c r="N78" s="24"/>
      <c r="O78" s="43"/>
      <c r="P78" s="43"/>
      <c r="Q78" s="44"/>
      <c r="R78" s="27"/>
      <c r="S78" s="28"/>
      <c r="T78" s="28"/>
      <c r="U78" s="28"/>
      <c r="V78" s="28"/>
      <c r="W78" s="28"/>
      <c r="X78" s="42"/>
      <c r="Y78" s="76">
        <f t="shared" si="5"/>
        <v>0</v>
      </c>
      <c r="Z78" s="77">
        <f t="shared" si="6"/>
        <v>0</v>
      </c>
      <c r="AA78" s="77">
        <f t="shared" si="7"/>
        <v>0</v>
      </c>
      <c r="AB78" s="77">
        <f t="shared" si="8"/>
        <v>0</v>
      </c>
      <c r="AC78" s="20" t="s">
        <v>87</v>
      </c>
      <c r="AD78" s="53">
        <v>823053.96429999999</v>
      </c>
      <c r="AE78" s="53">
        <v>1091455.2586000001</v>
      </c>
      <c r="AF78" s="53">
        <v>-120.0187</v>
      </c>
    </row>
    <row r="79" spans="3:32" x14ac:dyDescent="0.25">
      <c r="C79" s="1"/>
      <c r="D79" s="60"/>
      <c r="E79" s="61"/>
      <c r="F79" s="61"/>
      <c r="G79" s="61"/>
      <c r="I79" s="98"/>
      <c r="J79" s="98"/>
      <c r="K79" s="98"/>
      <c r="L79" s="98"/>
      <c r="N79" s="24"/>
      <c r="O79" s="43"/>
      <c r="P79" s="43"/>
      <c r="Q79" s="44"/>
      <c r="R79" s="27"/>
      <c r="S79" s="28"/>
      <c r="T79" s="28"/>
      <c r="U79" s="28"/>
      <c r="V79" s="28"/>
      <c r="W79" s="28"/>
      <c r="X79" s="42"/>
      <c r="Y79" s="76">
        <f t="shared" si="5"/>
        <v>0</v>
      </c>
      <c r="Z79" s="77">
        <f t="shared" si="6"/>
        <v>0</v>
      </c>
      <c r="AA79" s="77">
        <f t="shared" si="7"/>
        <v>0</v>
      </c>
      <c r="AB79" s="77">
        <f t="shared" si="8"/>
        <v>0</v>
      </c>
      <c r="AC79" s="20" t="s">
        <v>88</v>
      </c>
      <c r="AD79" s="53">
        <v>823054.24159999995</v>
      </c>
      <c r="AE79" s="53">
        <v>1091455.3866999999</v>
      </c>
      <c r="AF79" s="53">
        <v>-120.03530000000001</v>
      </c>
    </row>
    <row r="80" spans="3:32" x14ac:dyDescent="0.25">
      <c r="C80" s="1"/>
      <c r="D80" s="60"/>
      <c r="E80" s="61"/>
      <c r="F80" s="61"/>
      <c r="G80" s="61"/>
      <c r="I80" s="98"/>
      <c r="J80" s="98"/>
      <c r="K80" s="98"/>
      <c r="L80" s="98"/>
      <c r="N80" s="24"/>
      <c r="O80" s="43"/>
      <c r="P80" s="43"/>
      <c r="Q80" s="44"/>
      <c r="R80" s="27"/>
      <c r="S80" s="28"/>
      <c r="T80" s="28"/>
      <c r="U80" s="28"/>
      <c r="V80" s="28"/>
      <c r="W80" s="28"/>
      <c r="X80" s="42"/>
      <c r="Y80" s="76">
        <f t="shared" si="5"/>
        <v>0</v>
      </c>
      <c r="Z80" s="77">
        <f t="shared" si="6"/>
        <v>0</v>
      </c>
      <c r="AA80" s="77">
        <f t="shared" si="7"/>
        <v>0</v>
      </c>
      <c r="AB80" s="77">
        <f t="shared" si="8"/>
        <v>0</v>
      </c>
      <c r="AC80" s="20" t="s">
        <v>89</v>
      </c>
      <c r="AD80" s="53">
        <v>823054.47279999999</v>
      </c>
      <c r="AE80" s="53">
        <v>1091455.4913999999</v>
      </c>
      <c r="AF80" s="53">
        <v>-120.0241</v>
      </c>
    </row>
    <row r="81" spans="3:32" x14ac:dyDescent="0.25">
      <c r="C81" s="1"/>
      <c r="D81" s="60"/>
      <c r="E81" s="61"/>
      <c r="F81" s="61"/>
      <c r="G81" s="61"/>
      <c r="I81" s="78"/>
      <c r="J81" s="78"/>
      <c r="K81" s="78"/>
      <c r="L81" s="78"/>
      <c r="N81" s="24"/>
      <c r="O81" s="43"/>
      <c r="P81" s="43"/>
      <c r="Q81" s="44"/>
      <c r="R81" s="27"/>
      <c r="S81" s="28"/>
      <c r="T81" s="28"/>
      <c r="U81" s="28"/>
      <c r="V81" s="28"/>
      <c r="W81" s="28"/>
      <c r="X81" s="42"/>
      <c r="Y81" s="76">
        <f t="shared" si="5"/>
        <v>0</v>
      </c>
      <c r="Z81" s="77">
        <f t="shared" si="6"/>
        <v>0</v>
      </c>
      <c r="AA81" s="77">
        <f t="shared" si="7"/>
        <v>0</v>
      </c>
      <c r="AB81" s="77">
        <f t="shared" si="8"/>
        <v>0</v>
      </c>
      <c r="AC81" s="20" t="s">
        <v>90</v>
      </c>
      <c r="AD81" s="53">
        <v>823054.46129999997</v>
      </c>
      <c r="AE81" s="53">
        <v>1091455.4889</v>
      </c>
      <c r="AF81" s="53">
        <v>-119.955</v>
      </c>
    </row>
    <row r="82" spans="3:32" x14ac:dyDescent="0.25">
      <c r="C82" s="1"/>
      <c r="D82" s="60"/>
      <c r="E82" s="61"/>
      <c r="F82" s="61"/>
      <c r="G82" s="61"/>
      <c r="I82" s="78"/>
      <c r="J82" s="78"/>
      <c r="K82" s="78"/>
      <c r="L82" s="78"/>
      <c r="N82" s="24"/>
      <c r="O82" s="43"/>
      <c r="P82" s="43"/>
      <c r="Q82" s="44"/>
      <c r="R82" s="27"/>
      <c r="S82" s="28"/>
      <c r="T82" s="28"/>
      <c r="U82" s="28"/>
      <c r="V82" s="28"/>
      <c r="W82" s="28"/>
      <c r="X82" s="42"/>
      <c r="Y82" s="76">
        <f t="shared" si="5"/>
        <v>0</v>
      </c>
      <c r="Z82" s="77">
        <f t="shared" si="6"/>
        <v>0</v>
      </c>
      <c r="AA82" s="77">
        <f t="shared" si="7"/>
        <v>0</v>
      </c>
      <c r="AB82" s="77">
        <f t="shared" si="8"/>
        <v>0</v>
      </c>
      <c r="AC82" s="20" t="s">
        <v>91</v>
      </c>
      <c r="AD82" s="53">
        <v>823054.78540000005</v>
      </c>
      <c r="AE82" s="53">
        <v>1091455.6409</v>
      </c>
      <c r="AF82" s="53">
        <v>-119.9795</v>
      </c>
    </row>
    <row r="83" spans="3:32" x14ac:dyDescent="0.25">
      <c r="C83" s="1"/>
      <c r="D83" s="60"/>
      <c r="E83" s="61"/>
      <c r="F83" s="61"/>
      <c r="G83" s="61"/>
      <c r="I83" s="46"/>
      <c r="J83" s="47"/>
      <c r="K83" s="47"/>
      <c r="L83" s="48"/>
      <c r="N83" s="24"/>
      <c r="O83" s="43"/>
      <c r="P83" s="43"/>
      <c r="Q83" s="44"/>
      <c r="R83" s="27"/>
      <c r="S83" s="28"/>
      <c r="T83" s="28"/>
      <c r="U83" s="28"/>
      <c r="V83" s="28"/>
      <c r="W83" s="28"/>
      <c r="X83" s="42"/>
      <c r="Y83" s="76">
        <f t="shared" si="5"/>
        <v>0</v>
      </c>
      <c r="Z83" s="77">
        <f t="shared" si="6"/>
        <v>0</v>
      </c>
      <c r="AA83" s="77">
        <f t="shared" si="7"/>
        <v>0</v>
      </c>
      <c r="AB83" s="77">
        <f t="shared" si="8"/>
        <v>0</v>
      </c>
      <c r="AC83" s="20" t="s">
        <v>92</v>
      </c>
      <c r="AD83" s="53">
        <v>823055.03630000004</v>
      </c>
      <c r="AE83" s="53">
        <v>1091455.7557000001</v>
      </c>
      <c r="AF83" s="53">
        <v>-120.04640000000001</v>
      </c>
    </row>
    <row r="84" spans="3:32" x14ac:dyDescent="0.25">
      <c r="C84" s="1"/>
      <c r="D84" s="19"/>
      <c r="E84" s="96"/>
      <c r="F84" s="96"/>
      <c r="G84" s="97"/>
      <c r="I84" s="46"/>
      <c r="J84" s="47"/>
      <c r="K84" s="47"/>
      <c r="L84" s="48"/>
      <c r="N84" s="24"/>
      <c r="O84" s="43"/>
      <c r="P84" s="43"/>
      <c r="Q84" s="44"/>
      <c r="R84" s="27"/>
      <c r="S84" s="28"/>
      <c r="T84" s="28"/>
      <c r="U84" s="28"/>
      <c r="V84" s="28"/>
      <c r="W84" s="28"/>
      <c r="X84" s="42"/>
      <c r="Y84" s="76">
        <f t="shared" si="5"/>
        <v>0</v>
      </c>
      <c r="Z84" s="77">
        <f t="shared" si="6"/>
        <v>0</v>
      </c>
      <c r="AA84" s="77">
        <f t="shared" si="7"/>
        <v>0</v>
      </c>
      <c r="AB84" s="77">
        <f t="shared" si="8"/>
        <v>0</v>
      </c>
      <c r="AC84" s="20" t="s">
        <v>93</v>
      </c>
      <c r="AD84" s="53">
        <v>823055.25910000002</v>
      </c>
      <c r="AE84" s="53">
        <v>1091455.8578000001</v>
      </c>
      <c r="AF84" s="53">
        <v>-120.1116</v>
      </c>
    </row>
    <row r="85" spans="3:32" x14ac:dyDescent="0.25">
      <c r="C85" s="1"/>
      <c r="D85" s="19"/>
      <c r="E85" s="96"/>
      <c r="F85" s="96"/>
      <c r="G85" s="97"/>
      <c r="I85" s="46"/>
      <c r="J85" s="47"/>
      <c r="K85" s="47"/>
      <c r="L85" s="48"/>
      <c r="N85" s="24"/>
      <c r="O85" s="43"/>
      <c r="P85" s="43"/>
      <c r="Q85" s="44"/>
      <c r="R85" s="27"/>
      <c r="S85" s="28"/>
      <c r="T85" s="28"/>
      <c r="U85" s="28"/>
      <c r="V85" s="28"/>
      <c r="W85" s="28"/>
      <c r="X85" s="42"/>
      <c r="Y85" s="76">
        <f t="shared" si="5"/>
        <v>0</v>
      </c>
      <c r="Z85" s="77">
        <f t="shared" si="6"/>
        <v>0</v>
      </c>
      <c r="AA85" s="77">
        <f t="shared" si="7"/>
        <v>0</v>
      </c>
      <c r="AB85" s="77">
        <f t="shared" si="8"/>
        <v>0</v>
      </c>
      <c r="AC85" s="20" t="s">
        <v>94</v>
      </c>
      <c r="AD85" s="53">
        <v>823055.54599999997</v>
      </c>
      <c r="AE85" s="53">
        <v>1091455.9883999999</v>
      </c>
      <c r="AF85" s="53">
        <v>-120.2516</v>
      </c>
    </row>
    <row r="86" spans="3:32" x14ac:dyDescent="0.25">
      <c r="C86" s="1"/>
      <c r="D86" s="19"/>
      <c r="E86" s="96"/>
      <c r="F86" s="96"/>
      <c r="G86" s="97"/>
      <c r="I86" s="46"/>
      <c r="J86" s="47"/>
      <c r="K86" s="47"/>
      <c r="L86" s="48"/>
      <c r="N86" s="24"/>
      <c r="O86" s="43"/>
      <c r="P86" s="43"/>
      <c r="Q86" s="44"/>
      <c r="R86" s="27"/>
      <c r="S86" s="28"/>
      <c r="T86" s="28"/>
      <c r="U86" s="28"/>
      <c r="V86" s="28"/>
      <c r="W86" s="28"/>
      <c r="X86" s="42"/>
      <c r="Y86" s="76">
        <f t="shared" si="5"/>
        <v>0</v>
      </c>
      <c r="Z86" s="77">
        <f t="shared" si="6"/>
        <v>0</v>
      </c>
      <c r="AA86" s="77">
        <f t="shared" si="7"/>
        <v>0</v>
      </c>
      <c r="AB86" s="77">
        <f t="shared" si="8"/>
        <v>0</v>
      </c>
      <c r="AC86" s="20" t="s">
        <v>95</v>
      </c>
      <c r="AD86" s="53">
        <v>823055.82920000004</v>
      </c>
      <c r="AE86" s="53">
        <v>1091456.1172</v>
      </c>
      <c r="AF86" s="53">
        <v>-120.4204</v>
      </c>
    </row>
    <row r="87" spans="3:32" x14ac:dyDescent="0.25">
      <c r="C87" s="1"/>
      <c r="D87" s="19"/>
      <c r="E87" s="96"/>
      <c r="F87" s="96"/>
      <c r="G87" s="97"/>
      <c r="I87" s="46"/>
      <c r="J87" s="47"/>
      <c r="K87" s="47"/>
      <c r="L87" s="48"/>
      <c r="N87" s="24"/>
      <c r="O87" s="43"/>
      <c r="P87" s="43"/>
      <c r="Q87" s="44"/>
      <c r="R87" s="27"/>
      <c r="S87" s="28"/>
      <c r="T87" s="28"/>
      <c r="U87" s="28"/>
      <c r="V87" s="28"/>
      <c r="W87" s="28"/>
      <c r="X87" s="42"/>
      <c r="Y87" s="76">
        <f t="shared" si="5"/>
        <v>0</v>
      </c>
      <c r="Z87" s="77">
        <f t="shared" si="6"/>
        <v>0</v>
      </c>
      <c r="AA87" s="77">
        <f t="shared" si="7"/>
        <v>0</v>
      </c>
      <c r="AB87" s="77">
        <f t="shared" si="8"/>
        <v>0</v>
      </c>
      <c r="AC87" s="20" t="s">
        <v>96</v>
      </c>
      <c r="AD87" s="53">
        <v>823056.05070000002</v>
      </c>
      <c r="AE87" s="53">
        <v>1091456.2143000001</v>
      </c>
      <c r="AF87" s="53">
        <v>-120.65989999999999</v>
      </c>
    </row>
    <row r="88" spans="3:32" x14ac:dyDescent="0.25">
      <c r="C88" s="1"/>
      <c r="D88" s="19"/>
      <c r="E88" s="96"/>
      <c r="F88" s="96"/>
      <c r="G88" s="97"/>
      <c r="I88" s="46"/>
      <c r="J88" s="47"/>
      <c r="K88" s="47"/>
      <c r="L88" s="48"/>
      <c r="N88" s="24"/>
      <c r="O88" s="43"/>
      <c r="P88" s="43"/>
      <c r="Q88" s="44"/>
      <c r="R88" s="27"/>
      <c r="S88" s="28"/>
      <c r="T88" s="28"/>
      <c r="U88" s="28"/>
      <c r="V88" s="28"/>
      <c r="W88" s="28"/>
      <c r="X88" s="42"/>
      <c r="Y88" s="76">
        <f t="shared" si="5"/>
        <v>0</v>
      </c>
      <c r="Z88" s="77">
        <f t="shared" si="6"/>
        <v>0</v>
      </c>
      <c r="AA88" s="77">
        <f t="shared" si="7"/>
        <v>0</v>
      </c>
      <c r="AB88" s="77">
        <f t="shared" si="8"/>
        <v>0</v>
      </c>
      <c r="AC88" s="20" t="s">
        <v>97</v>
      </c>
      <c r="AD88" s="53">
        <v>823056.223</v>
      </c>
      <c r="AE88" s="53">
        <v>1091456.2937</v>
      </c>
      <c r="AF88" s="53">
        <v>-120.884</v>
      </c>
    </row>
    <row r="89" spans="3:32" x14ac:dyDescent="0.25">
      <c r="C89" s="1"/>
      <c r="D89" s="19"/>
      <c r="E89" s="96"/>
      <c r="F89" s="96"/>
      <c r="G89" s="97"/>
      <c r="I89" s="46"/>
      <c r="J89" s="47"/>
      <c r="K89" s="47"/>
      <c r="L89" s="48"/>
      <c r="N89" s="24"/>
      <c r="O89" s="43"/>
      <c r="P89" s="43"/>
      <c r="Q89" s="44"/>
      <c r="R89" s="27"/>
      <c r="S89" s="28"/>
      <c r="T89" s="28"/>
      <c r="U89" s="28"/>
      <c r="V89" s="28"/>
      <c r="W89" s="28"/>
      <c r="X89" s="42"/>
      <c r="Y89" s="76">
        <f t="shared" si="5"/>
        <v>0</v>
      </c>
      <c r="Z89" s="77">
        <f t="shared" si="6"/>
        <v>0</v>
      </c>
      <c r="AA89" s="77">
        <f t="shared" si="7"/>
        <v>0</v>
      </c>
      <c r="AB89" s="77">
        <f t="shared" si="8"/>
        <v>0</v>
      </c>
      <c r="AC89" s="20" t="s">
        <v>98</v>
      </c>
      <c r="AD89" s="53">
        <v>823056.38840000005</v>
      </c>
      <c r="AE89" s="53">
        <v>1091456.3674999999</v>
      </c>
      <c r="AF89" s="53">
        <v>-121.00920000000001</v>
      </c>
    </row>
    <row r="90" spans="3:32" x14ac:dyDescent="0.25">
      <c r="C90" s="1"/>
      <c r="D90" s="19"/>
      <c r="E90" s="96"/>
      <c r="F90" s="96"/>
      <c r="G90" s="96"/>
      <c r="I90" s="46"/>
      <c r="J90" s="47"/>
      <c r="K90" s="47"/>
      <c r="L90" s="48"/>
      <c r="N90" s="24"/>
      <c r="O90" s="43"/>
      <c r="P90" s="43"/>
      <c r="Q90" s="44"/>
      <c r="R90" s="27"/>
      <c r="S90" s="28"/>
      <c r="T90" s="28"/>
      <c r="U90" s="28"/>
      <c r="V90" s="28"/>
      <c r="W90" s="28"/>
      <c r="X90" s="42"/>
      <c r="Y90" s="76">
        <f t="shared" si="5"/>
        <v>0</v>
      </c>
      <c r="Z90" s="77">
        <f t="shared" si="6"/>
        <v>0</v>
      </c>
      <c r="AA90" s="77">
        <f t="shared" si="7"/>
        <v>0</v>
      </c>
      <c r="AB90" s="77">
        <f t="shared" si="8"/>
        <v>0</v>
      </c>
      <c r="AC90" s="20" t="s">
        <v>99</v>
      </c>
      <c r="AD90" s="53">
        <v>823056.5747</v>
      </c>
      <c r="AE90" s="53">
        <v>1091456.4497</v>
      </c>
      <c r="AF90" s="53">
        <v>-121.32</v>
      </c>
    </row>
    <row r="91" spans="3:32" x14ac:dyDescent="0.25">
      <c r="C91" s="1"/>
      <c r="D91" s="19"/>
      <c r="E91" s="96"/>
      <c r="F91" s="96"/>
      <c r="G91" s="97"/>
      <c r="I91" s="46"/>
      <c r="J91" s="47"/>
      <c r="K91" s="47"/>
      <c r="L91" s="48"/>
      <c r="N91" s="24"/>
      <c r="O91" s="43"/>
      <c r="P91" s="43"/>
      <c r="Q91" s="44"/>
      <c r="R91" s="27"/>
      <c r="S91" s="28"/>
      <c r="T91" s="28"/>
      <c r="U91" s="28"/>
      <c r="V91" s="28"/>
      <c r="W91" s="28"/>
      <c r="X91" s="42"/>
      <c r="Y91" s="76">
        <f t="shared" si="5"/>
        <v>0</v>
      </c>
      <c r="Z91" s="77">
        <f t="shared" si="6"/>
        <v>0</v>
      </c>
      <c r="AA91" s="77">
        <f t="shared" si="7"/>
        <v>0</v>
      </c>
      <c r="AB91" s="77">
        <f t="shared" si="8"/>
        <v>0</v>
      </c>
      <c r="AC91" s="20" t="s">
        <v>100</v>
      </c>
      <c r="AD91" s="53">
        <v>823056.7648</v>
      </c>
      <c r="AE91" s="53">
        <v>1091456.5322</v>
      </c>
      <c r="AF91" s="53">
        <v>-121.6233</v>
      </c>
    </row>
    <row r="92" spans="3:32" x14ac:dyDescent="0.25">
      <c r="C92" s="1"/>
      <c r="D92" s="19"/>
      <c r="E92" s="96"/>
      <c r="F92" s="96"/>
      <c r="G92" s="97"/>
      <c r="I92" s="46"/>
      <c r="J92" s="47"/>
      <c r="K92" s="47"/>
      <c r="L92" s="48"/>
      <c r="N92" s="24"/>
      <c r="O92" s="43"/>
      <c r="P92" s="43"/>
      <c r="Q92" s="44"/>
      <c r="R92" s="27"/>
      <c r="S92" s="28"/>
      <c r="T92" s="28"/>
      <c r="U92" s="28"/>
      <c r="V92" s="28"/>
      <c r="W92" s="28"/>
      <c r="X92" s="42"/>
      <c r="Y92" s="76">
        <f t="shared" si="5"/>
        <v>0</v>
      </c>
      <c r="Z92" s="77">
        <f t="shared" si="6"/>
        <v>0</v>
      </c>
      <c r="AA92" s="77">
        <f t="shared" si="7"/>
        <v>0</v>
      </c>
      <c r="AB92" s="77">
        <f t="shared" si="8"/>
        <v>0</v>
      </c>
      <c r="AC92" s="20" t="s">
        <v>101</v>
      </c>
      <c r="AD92" s="53">
        <v>823056.83219999995</v>
      </c>
      <c r="AE92" s="53">
        <v>1091456.5607</v>
      </c>
      <c r="AF92" s="53">
        <v>-121.8681</v>
      </c>
    </row>
    <row r="93" spans="3:32" x14ac:dyDescent="0.25">
      <c r="C93" s="1"/>
      <c r="D93" s="19"/>
      <c r="E93" s="96"/>
      <c r="F93" s="96"/>
      <c r="G93" s="97"/>
      <c r="I93" s="46"/>
      <c r="J93" s="47"/>
      <c r="K93" s="47"/>
      <c r="L93" s="48"/>
      <c r="N93" s="24"/>
      <c r="O93" s="43"/>
      <c r="P93" s="43"/>
      <c r="Q93" s="44"/>
      <c r="R93" s="27"/>
      <c r="S93" s="28"/>
      <c r="T93" s="28"/>
      <c r="U93" s="28"/>
      <c r="V93" s="28"/>
      <c r="W93" s="28"/>
      <c r="X93" s="42"/>
      <c r="Y93" s="76">
        <f t="shared" si="5"/>
        <v>0</v>
      </c>
      <c r="Z93" s="77">
        <f t="shared" si="6"/>
        <v>0</v>
      </c>
      <c r="AA93" s="77">
        <f t="shared" si="7"/>
        <v>0</v>
      </c>
      <c r="AB93" s="77">
        <f t="shared" si="8"/>
        <v>0</v>
      </c>
      <c r="AC93" s="20" t="s">
        <v>102</v>
      </c>
      <c r="AD93" s="53">
        <v>823056.92989999999</v>
      </c>
      <c r="AE93" s="53">
        <v>1091456.6026999999</v>
      </c>
      <c r="AF93" s="53">
        <v>-122.09350000000001</v>
      </c>
    </row>
    <row r="94" spans="3:32" x14ac:dyDescent="0.25">
      <c r="C94" s="1"/>
      <c r="D94" s="19"/>
      <c r="E94" s="96"/>
      <c r="F94" s="96"/>
      <c r="G94" s="97"/>
      <c r="I94" s="46"/>
      <c r="J94" s="47"/>
      <c r="K94" s="47"/>
      <c r="L94" s="48"/>
      <c r="N94" s="24"/>
      <c r="O94" s="43"/>
      <c r="P94" s="43"/>
      <c r="Q94" s="44"/>
      <c r="R94" s="27"/>
      <c r="S94" s="28"/>
      <c r="T94" s="28"/>
      <c r="U94" s="28"/>
      <c r="V94" s="28"/>
      <c r="W94" s="28"/>
      <c r="X94" s="42"/>
      <c r="Y94" s="76">
        <f t="shared" si="5"/>
        <v>0</v>
      </c>
      <c r="Z94" s="77">
        <f t="shared" si="6"/>
        <v>0</v>
      </c>
      <c r="AA94" s="77">
        <f t="shared" si="7"/>
        <v>0</v>
      </c>
      <c r="AB94" s="77">
        <f t="shared" si="8"/>
        <v>0</v>
      </c>
      <c r="AC94" s="20" t="s">
        <v>103</v>
      </c>
      <c r="AD94" s="53">
        <v>823056.94739999995</v>
      </c>
      <c r="AE94" s="53">
        <v>1091456.608</v>
      </c>
      <c r="AF94" s="53">
        <v>-122.2694</v>
      </c>
    </row>
    <row r="95" spans="3:32" x14ac:dyDescent="0.25">
      <c r="C95" s="1"/>
      <c r="D95" s="19"/>
      <c r="E95" s="96"/>
      <c r="F95" s="96"/>
      <c r="G95" s="97"/>
      <c r="I95" s="46"/>
      <c r="J95" s="47"/>
      <c r="K95" s="47"/>
      <c r="L95" s="48"/>
      <c r="N95" s="24"/>
      <c r="O95" s="43"/>
      <c r="P95" s="43"/>
      <c r="Q95" s="44"/>
      <c r="R95" s="27"/>
      <c r="S95" s="28"/>
      <c r="T95" s="28"/>
      <c r="U95" s="28"/>
      <c r="V95" s="28"/>
      <c r="W95" s="28"/>
      <c r="X95" s="42"/>
      <c r="Y95" s="76">
        <f t="shared" si="5"/>
        <v>0</v>
      </c>
      <c r="Z95" s="77">
        <f t="shared" si="6"/>
        <v>0</v>
      </c>
      <c r="AA95" s="77">
        <f t="shared" si="7"/>
        <v>0</v>
      </c>
      <c r="AB95" s="77">
        <f t="shared" si="8"/>
        <v>0</v>
      </c>
      <c r="AC95" s="20" t="s">
        <v>104</v>
      </c>
      <c r="AD95" s="53">
        <v>823056.99639999995</v>
      </c>
      <c r="AE95" s="53">
        <v>1091456.6266000001</v>
      </c>
      <c r="AF95" s="53">
        <v>-122.5266</v>
      </c>
    </row>
    <row r="96" spans="3:32" x14ac:dyDescent="0.25">
      <c r="C96" s="1"/>
      <c r="D96" s="19"/>
      <c r="E96" s="96"/>
      <c r="F96" s="96"/>
      <c r="G96" s="97"/>
      <c r="I96" s="46"/>
      <c r="J96" s="47"/>
      <c r="K96" s="47"/>
      <c r="L96" s="48"/>
      <c r="N96" s="24"/>
      <c r="O96" s="43"/>
      <c r="P96" s="43"/>
      <c r="Q96" s="44"/>
      <c r="R96" s="27"/>
      <c r="S96" s="28"/>
      <c r="T96" s="28"/>
      <c r="U96" s="28"/>
      <c r="V96" s="28"/>
      <c r="W96" s="28"/>
      <c r="X96" s="42"/>
      <c r="Y96" s="76">
        <f t="shared" si="5"/>
        <v>0</v>
      </c>
      <c r="Z96" s="77">
        <f t="shared" si="6"/>
        <v>0</v>
      </c>
      <c r="AA96" s="77">
        <f t="shared" si="7"/>
        <v>0</v>
      </c>
      <c r="AB96" s="77">
        <f t="shared" si="8"/>
        <v>0</v>
      </c>
      <c r="AC96" s="20" t="s">
        <v>105</v>
      </c>
      <c r="AD96" s="53">
        <v>823057.0074</v>
      </c>
      <c r="AE96" s="53">
        <v>1091456.6277000001</v>
      </c>
      <c r="AF96" s="53">
        <v>-122.7774</v>
      </c>
    </row>
    <row r="97" spans="3:32" x14ac:dyDescent="0.25">
      <c r="C97" s="1"/>
      <c r="D97" s="19"/>
      <c r="E97" s="96"/>
      <c r="F97" s="96"/>
      <c r="G97" s="97"/>
      <c r="I97" s="46"/>
      <c r="J97" s="47"/>
      <c r="K97" s="47"/>
      <c r="L97" s="48"/>
      <c r="N97" s="24"/>
      <c r="O97" s="43"/>
      <c r="P97" s="43"/>
      <c r="Q97" s="44"/>
      <c r="R97" s="27"/>
      <c r="S97" s="28"/>
      <c r="T97" s="28"/>
      <c r="U97" s="28"/>
      <c r="V97" s="28"/>
      <c r="W97" s="28"/>
      <c r="X97" s="42"/>
      <c r="Y97" s="76">
        <f t="shared" si="5"/>
        <v>0</v>
      </c>
      <c r="Z97" s="77">
        <f t="shared" si="6"/>
        <v>0</v>
      </c>
      <c r="AA97" s="77">
        <f t="shared" si="7"/>
        <v>0</v>
      </c>
      <c r="AB97" s="77">
        <f t="shared" si="8"/>
        <v>0</v>
      </c>
      <c r="AC97" s="20" t="s">
        <v>106</v>
      </c>
      <c r="AD97" s="53">
        <v>823057.00529999996</v>
      </c>
      <c r="AE97" s="53">
        <v>1091456.6232</v>
      </c>
      <c r="AF97" s="53">
        <v>-122.9875</v>
      </c>
    </row>
    <row r="98" spans="3:32" x14ac:dyDescent="0.25">
      <c r="C98" s="1"/>
      <c r="D98" s="19"/>
      <c r="E98" s="96"/>
      <c r="F98" s="96"/>
      <c r="G98" s="97"/>
      <c r="I98" s="46"/>
      <c r="J98" s="47"/>
      <c r="K98" s="47"/>
      <c r="L98" s="48"/>
      <c r="N98" s="24"/>
      <c r="O98" s="43"/>
      <c r="P98" s="43"/>
      <c r="Q98" s="44"/>
      <c r="R98" s="27"/>
      <c r="S98" s="28"/>
      <c r="T98" s="28"/>
      <c r="U98" s="28"/>
      <c r="V98" s="28"/>
      <c r="W98" s="28"/>
      <c r="X98" s="42"/>
      <c r="Y98" s="76">
        <f t="shared" si="5"/>
        <v>0</v>
      </c>
      <c r="Z98" s="77">
        <f t="shared" si="6"/>
        <v>0</v>
      </c>
      <c r="AA98" s="77">
        <f t="shared" si="7"/>
        <v>0</v>
      </c>
      <c r="AB98" s="77">
        <f t="shared" si="8"/>
        <v>0</v>
      </c>
      <c r="AC98" s="20" t="s">
        <v>107</v>
      </c>
      <c r="AD98" s="53">
        <v>823057.00410000002</v>
      </c>
      <c r="AE98" s="53">
        <v>1091456.6207000001</v>
      </c>
      <c r="AF98" s="53">
        <v>-123.1477</v>
      </c>
    </row>
    <row r="99" spans="3:32" x14ac:dyDescent="0.25">
      <c r="C99" s="1"/>
      <c r="D99" s="19"/>
      <c r="E99" s="96"/>
      <c r="F99" s="96"/>
      <c r="G99" s="97"/>
      <c r="I99" s="46"/>
      <c r="J99" s="47"/>
      <c r="K99" s="47"/>
      <c r="L99" s="48"/>
      <c r="N99" s="24"/>
      <c r="O99" s="43"/>
      <c r="P99" s="43"/>
      <c r="Q99" s="44"/>
      <c r="R99" s="27"/>
      <c r="S99" s="28"/>
      <c r="T99" s="28"/>
      <c r="U99" s="28"/>
      <c r="V99" s="28"/>
      <c r="W99" s="28"/>
      <c r="X99" s="42"/>
      <c r="Y99" s="76">
        <f t="shared" si="5"/>
        <v>0</v>
      </c>
      <c r="Z99" s="77">
        <f t="shared" si="6"/>
        <v>0</v>
      </c>
      <c r="AA99" s="77">
        <f t="shared" si="7"/>
        <v>0</v>
      </c>
      <c r="AB99" s="77">
        <f t="shared" si="8"/>
        <v>0</v>
      </c>
      <c r="AC99" s="20" t="s">
        <v>108</v>
      </c>
      <c r="AD99" s="53">
        <v>823056.92009999999</v>
      </c>
      <c r="AE99" s="53">
        <v>1091456.5759000001</v>
      </c>
      <c r="AF99" s="53">
        <v>-123.5064</v>
      </c>
    </row>
    <row r="100" spans="3:32" x14ac:dyDescent="0.25">
      <c r="C100" s="1"/>
      <c r="D100" s="19"/>
      <c r="E100" s="96"/>
      <c r="F100" s="96"/>
      <c r="G100" s="97"/>
      <c r="I100" s="46"/>
      <c r="J100" s="47"/>
      <c r="K100" s="47"/>
      <c r="L100" s="48"/>
      <c r="N100" s="24"/>
      <c r="O100" s="43"/>
      <c r="P100" s="43"/>
      <c r="Q100" s="44"/>
      <c r="R100" s="27"/>
      <c r="S100" s="28"/>
      <c r="T100" s="28"/>
      <c r="U100" s="28"/>
      <c r="V100" s="28"/>
      <c r="W100" s="28"/>
      <c r="X100" s="42"/>
      <c r="Y100" s="76">
        <f t="shared" si="5"/>
        <v>0</v>
      </c>
      <c r="Z100" s="77">
        <f t="shared" si="6"/>
        <v>0</v>
      </c>
      <c r="AA100" s="77">
        <f t="shared" si="7"/>
        <v>0</v>
      </c>
      <c r="AB100" s="77">
        <f t="shared" si="8"/>
        <v>0</v>
      </c>
      <c r="AC100" s="20" t="s">
        <v>109</v>
      </c>
      <c r="AD100" s="53">
        <v>823056.86410000001</v>
      </c>
      <c r="AE100" s="53">
        <v>1091456.5445000001</v>
      </c>
      <c r="AF100" s="53">
        <v>-123.8484</v>
      </c>
    </row>
    <row r="101" spans="3:32" x14ac:dyDescent="0.25">
      <c r="C101" s="1"/>
      <c r="D101" s="19"/>
      <c r="E101" s="96"/>
      <c r="F101" s="96"/>
      <c r="G101" s="97"/>
      <c r="I101" s="46"/>
      <c r="J101" s="47"/>
      <c r="K101" s="47"/>
      <c r="L101" s="48"/>
      <c r="N101" s="24"/>
      <c r="O101" s="43"/>
      <c r="P101" s="43"/>
      <c r="Q101" s="44"/>
      <c r="R101" s="27"/>
      <c r="S101" s="28"/>
      <c r="T101" s="28"/>
      <c r="U101" s="28"/>
      <c r="V101" s="28"/>
      <c r="W101" s="28"/>
      <c r="X101" s="42"/>
      <c r="Y101" s="76">
        <f t="shared" si="5"/>
        <v>0</v>
      </c>
      <c r="Z101" s="77">
        <f t="shared" si="6"/>
        <v>0</v>
      </c>
      <c r="AA101" s="77">
        <f t="shared" si="7"/>
        <v>0</v>
      </c>
      <c r="AB101" s="77">
        <f t="shared" si="8"/>
        <v>0</v>
      </c>
      <c r="AC101" s="20" t="s">
        <v>110</v>
      </c>
      <c r="AD101" s="53">
        <v>823056.79830000002</v>
      </c>
      <c r="AE101" s="53">
        <v>1091456.5104</v>
      </c>
      <c r="AF101" s="53">
        <v>-124.07599999999999</v>
      </c>
    </row>
    <row r="102" spans="3:32" x14ac:dyDescent="0.25">
      <c r="C102" s="1"/>
      <c r="D102" s="19"/>
      <c r="E102" s="96"/>
      <c r="F102" s="96"/>
      <c r="G102" s="97"/>
      <c r="I102" s="46"/>
      <c r="J102" s="47"/>
      <c r="K102" s="47"/>
      <c r="L102" s="48"/>
      <c r="N102" s="24"/>
      <c r="O102" s="43"/>
      <c r="P102" s="43"/>
      <c r="Q102" s="44"/>
      <c r="R102" s="27"/>
      <c r="S102" s="28"/>
      <c r="T102" s="28"/>
      <c r="U102" s="28"/>
      <c r="V102" s="28"/>
      <c r="W102" s="28"/>
      <c r="X102" s="42"/>
      <c r="Y102" s="76">
        <f t="shared" si="5"/>
        <v>0</v>
      </c>
      <c r="Z102" s="77">
        <f t="shared" si="6"/>
        <v>0</v>
      </c>
      <c r="AA102" s="77">
        <f t="shared" si="7"/>
        <v>0</v>
      </c>
      <c r="AB102" s="77">
        <f t="shared" si="8"/>
        <v>0</v>
      </c>
      <c r="AC102" s="20" t="s">
        <v>111</v>
      </c>
      <c r="AD102" s="53">
        <v>823057.55339999998</v>
      </c>
      <c r="AE102" s="53">
        <v>1091454.6897</v>
      </c>
      <c r="AF102" s="53">
        <v>-122.6057</v>
      </c>
    </row>
    <row r="103" spans="3:32" x14ac:dyDescent="0.25">
      <c r="C103" s="1"/>
      <c r="D103" s="19"/>
      <c r="E103" s="96"/>
      <c r="F103" s="96"/>
      <c r="G103" s="97"/>
      <c r="I103" s="46"/>
      <c r="J103" s="47"/>
      <c r="K103" s="47"/>
      <c r="L103" s="48"/>
      <c r="N103" s="24"/>
      <c r="O103" s="43"/>
      <c r="P103" s="43"/>
      <c r="Q103" s="44"/>
      <c r="R103" s="27"/>
      <c r="S103" s="28"/>
      <c r="T103" s="28"/>
      <c r="U103" s="28"/>
      <c r="V103" s="28"/>
      <c r="W103" s="28"/>
      <c r="X103" s="42"/>
      <c r="Y103" s="76">
        <f t="shared" si="5"/>
        <v>0</v>
      </c>
      <c r="Z103" s="77">
        <f t="shared" si="6"/>
        <v>0</v>
      </c>
      <c r="AA103" s="77">
        <f t="shared" si="7"/>
        <v>0</v>
      </c>
      <c r="AB103" s="77">
        <f t="shared" si="8"/>
        <v>0</v>
      </c>
      <c r="AC103" s="20" t="s">
        <v>112</v>
      </c>
      <c r="AD103" s="53">
        <v>823062.53899999999</v>
      </c>
      <c r="AE103" s="53">
        <v>1091444.2505999999</v>
      </c>
      <c r="AF103" s="53">
        <v>-120.51439999999999</v>
      </c>
    </row>
    <row r="104" spans="3:32" x14ac:dyDescent="0.25">
      <c r="C104" s="1"/>
      <c r="D104" s="19"/>
      <c r="E104" s="96"/>
      <c r="F104" s="96"/>
      <c r="G104" s="97"/>
      <c r="I104" s="46"/>
      <c r="J104" s="47"/>
      <c r="K104" s="47"/>
      <c r="L104" s="48"/>
      <c r="N104" s="24"/>
      <c r="O104" s="43"/>
      <c r="P104" s="43"/>
      <c r="Q104" s="44"/>
      <c r="R104" s="27"/>
      <c r="S104" s="28"/>
      <c r="T104" s="28"/>
      <c r="U104" s="28"/>
      <c r="V104" s="28"/>
      <c r="W104" s="28"/>
      <c r="X104" s="42"/>
      <c r="Y104" s="76">
        <f t="shared" si="5"/>
        <v>0</v>
      </c>
      <c r="Z104" s="77">
        <f t="shared" si="6"/>
        <v>0</v>
      </c>
      <c r="AA104" s="77">
        <f t="shared" si="7"/>
        <v>0</v>
      </c>
      <c r="AB104" s="77">
        <f t="shared" si="8"/>
        <v>0</v>
      </c>
      <c r="AC104" s="20" t="s">
        <v>113</v>
      </c>
      <c r="AD104" s="53">
        <v>823057.71569999994</v>
      </c>
      <c r="AE104" s="53">
        <v>1091441.9239000001</v>
      </c>
      <c r="AF104" s="53">
        <v>-120.5458</v>
      </c>
    </row>
    <row r="105" spans="3:32" x14ac:dyDescent="0.25">
      <c r="C105" s="1"/>
      <c r="D105" s="19"/>
      <c r="E105" s="96"/>
      <c r="F105" s="96"/>
      <c r="G105" s="97"/>
      <c r="I105" s="46"/>
      <c r="J105" s="47"/>
      <c r="K105" s="47"/>
      <c r="L105" s="48"/>
      <c r="N105" s="24"/>
      <c r="O105" s="43"/>
      <c r="P105" s="43"/>
      <c r="Q105" s="44"/>
      <c r="R105" s="27"/>
      <c r="S105" s="28"/>
      <c r="T105" s="28"/>
      <c r="U105" s="28"/>
      <c r="V105" s="28"/>
      <c r="W105" s="28"/>
      <c r="X105" s="42"/>
      <c r="Y105" s="76"/>
      <c r="Z105" s="77"/>
      <c r="AA105" s="77"/>
      <c r="AB105" s="77"/>
      <c r="AC105" s="20" t="s">
        <v>114</v>
      </c>
      <c r="AD105" s="53">
        <v>823056.00230000005</v>
      </c>
      <c r="AE105" s="53">
        <v>1091458.0153000001</v>
      </c>
      <c r="AF105" s="53">
        <v>-122.6078</v>
      </c>
    </row>
    <row r="106" spans="3:32" x14ac:dyDescent="0.25">
      <c r="C106" s="1"/>
      <c r="D106" s="19"/>
      <c r="E106" s="96"/>
      <c r="F106" s="96"/>
      <c r="G106" s="97"/>
      <c r="I106" s="46"/>
      <c r="J106" s="47"/>
      <c r="K106" s="47"/>
      <c r="L106" s="48"/>
      <c r="N106" s="24"/>
      <c r="O106" s="43"/>
      <c r="P106" s="43"/>
      <c r="Q106" s="44"/>
      <c r="R106" s="27"/>
      <c r="S106" s="28"/>
      <c r="T106" s="28"/>
      <c r="U106" s="28"/>
      <c r="V106" s="28"/>
      <c r="W106" s="28"/>
      <c r="X106" s="42"/>
      <c r="Y106" s="76"/>
      <c r="Z106" s="77"/>
      <c r="AA106" s="77"/>
      <c r="AB106" s="77"/>
      <c r="AC106" s="20" t="s">
        <v>115</v>
      </c>
      <c r="AD106" s="53">
        <v>823057.55350000004</v>
      </c>
      <c r="AE106" s="53">
        <v>1091454.6891000001</v>
      </c>
      <c r="AF106" s="53">
        <v>-122.60590000000001</v>
      </c>
    </row>
    <row r="107" spans="3:32" x14ac:dyDescent="0.25">
      <c r="C107" s="1"/>
      <c r="D107" s="19"/>
      <c r="E107" s="96"/>
      <c r="F107" s="96"/>
      <c r="G107" s="97"/>
      <c r="I107" s="46"/>
      <c r="J107" s="47"/>
      <c r="K107" s="47"/>
      <c r="L107" s="48"/>
      <c r="N107" s="24"/>
      <c r="O107" s="43"/>
      <c r="P107" s="43"/>
      <c r="Q107" s="44"/>
      <c r="R107" s="27"/>
      <c r="S107" s="28"/>
      <c r="T107" s="28"/>
      <c r="U107" s="28"/>
      <c r="V107" s="28"/>
      <c r="W107" s="28"/>
      <c r="X107" s="42"/>
      <c r="Y107" s="76"/>
      <c r="Z107" s="77"/>
      <c r="AA107" s="77"/>
      <c r="AB107" s="77"/>
      <c r="AC107" s="28" t="s">
        <v>116</v>
      </c>
      <c r="AD107" s="53">
        <v>823062.53899999999</v>
      </c>
      <c r="AE107" s="53">
        <v>1091444.2501000001</v>
      </c>
      <c r="AF107" s="53">
        <v>-120.5147</v>
      </c>
    </row>
    <row r="108" spans="3:32" x14ac:dyDescent="0.25">
      <c r="C108" s="1"/>
      <c r="D108" s="19"/>
      <c r="E108" s="96"/>
      <c r="F108" s="96"/>
      <c r="G108" s="97"/>
      <c r="I108" s="46"/>
      <c r="J108" s="47"/>
      <c r="K108" s="47"/>
      <c r="L108" s="48"/>
      <c r="N108" s="24"/>
      <c r="O108" s="43"/>
      <c r="P108" s="43"/>
      <c r="Q108" s="44"/>
      <c r="R108" s="27"/>
      <c r="S108" s="28"/>
      <c r="T108" s="28"/>
      <c r="U108" s="28"/>
      <c r="V108" s="28"/>
      <c r="W108" s="28"/>
      <c r="X108" s="42"/>
      <c r="Y108" s="76"/>
      <c r="Z108" s="77"/>
      <c r="AA108" s="77"/>
      <c r="AB108" s="77"/>
      <c r="AC108" s="28" t="s">
        <v>117</v>
      </c>
      <c r="AD108" s="53">
        <v>823057.71569999994</v>
      </c>
      <c r="AE108" s="53">
        <v>1091441.9232999999</v>
      </c>
      <c r="AF108" s="53">
        <v>-120.54600000000001</v>
      </c>
    </row>
    <row r="109" spans="3:32" x14ac:dyDescent="0.25">
      <c r="C109" s="1"/>
      <c r="D109" s="19"/>
      <c r="E109" s="96"/>
      <c r="F109" s="96"/>
      <c r="G109" s="97"/>
      <c r="I109" s="46"/>
      <c r="J109" s="47"/>
      <c r="K109" s="47"/>
      <c r="L109" s="48"/>
      <c r="N109" s="24"/>
      <c r="O109" s="43"/>
      <c r="P109" s="43"/>
      <c r="Q109" s="44"/>
      <c r="R109" s="27"/>
      <c r="S109" s="28"/>
      <c r="T109" s="28"/>
      <c r="U109" s="28"/>
      <c r="V109" s="28"/>
      <c r="W109" s="28"/>
      <c r="X109" s="42"/>
      <c r="Y109" s="76"/>
      <c r="Z109" s="77"/>
      <c r="AA109" s="77"/>
      <c r="AB109" s="77"/>
      <c r="AC109" s="20" t="s">
        <v>118</v>
      </c>
      <c r="AD109" s="53">
        <v>823057.56960000005</v>
      </c>
      <c r="AE109" s="53">
        <v>1091452.9415</v>
      </c>
      <c r="AF109" s="53">
        <v>-121.0125</v>
      </c>
    </row>
    <row r="110" spans="3:32" x14ac:dyDescent="0.25">
      <c r="C110" s="1"/>
      <c r="D110" s="19"/>
      <c r="E110" s="96"/>
      <c r="F110" s="96"/>
      <c r="G110" s="97"/>
      <c r="I110" s="46"/>
      <c r="J110" s="47"/>
      <c r="K110" s="47"/>
      <c r="L110" s="48"/>
      <c r="N110" s="24"/>
      <c r="O110" s="43"/>
      <c r="P110" s="43"/>
      <c r="Q110" s="44"/>
      <c r="R110" s="27"/>
      <c r="S110" s="28"/>
      <c r="T110" s="28"/>
      <c r="U110" s="28"/>
      <c r="V110" s="28"/>
      <c r="W110" s="28"/>
      <c r="X110" s="42"/>
      <c r="Y110" s="76"/>
      <c r="Z110" s="77"/>
      <c r="AA110" s="77"/>
      <c r="AB110" s="77"/>
      <c r="AC110" s="20" t="s">
        <v>119</v>
      </c>
      <c r="AD110" s="53">
        <v>823054.26249999995</v>
      </c>
      <c r="AE110" s="53">
        <v>1091451.375</v>
      </c>
      <c r="AF110" s="53">
        <v>-121.0056</v>
      </c>
    </row>
    <row r="111" spans="3:32" x14ac:dyDescent="0.25">
      <c r="C111" s="1"/>
      <c r="D111" s="19"/>
      <c r="E111" s="96"/>
      <c r="F111" s="96"/>
      <c r="G111" s="97"/>
      <c r="I111" s="46"/>
      <c r="J111" s="47"/>
      <c r="K111" s="47"/>
      <c r="L111" s="48"/>
      <c r="N111" s="24"/>
      <c r="O111" s="43"/>
      <c r="P111" s="25"/>
      <c r="Q111" s="44"/>
      <c r="R111" s="27"/>
      <c r="S111" s="28"/>
      <c r="T111" s="28"/>
      <c r="U111" s="28"/>
      <c r="V111" s="28"/>
      <c r="W111" s="28"/>
      <c r="X111" s="42"/>
      <c r="Y111" s="76"/>
      <c r="Z111" s="77"/>
      <c r="AA111" s="77"/>
      <c r="AB111" s="77"/>
      <c r="AC111" s="20" t="s">
        <v>120</v>
      </c>
      <c r="AD111" s="53">
        <v>823059.647</v>
      </c>
      <c r="AE111" s="53">
        <v>1091437.8794</v>
      </c>
      <c r="AF111" s="53">
        <v>-122.0971</v>
      </c>
    </row>
    <row r="112" spans="3:32" x14ac:dyDescent="0.25">
      <c r="C112" s="1"/>
      <c r="D112" s="19"/>
      <c r="E112" s="96"/>
      <c r="F112" s="96"/>
      <c r="G112" s="97"/>
      <c r="I112" s="46"/>
      <c r="J112" s="47"/>
      <c r="K112" s="47"/>
      <c r="L112" s="48"/>
      <c r="N112" s="24"/>
      <c r="O112" s="43"/>
      <c r="P112" s="43"/>
      <c r="Q112" s="44"/>
      <c r="R112" s="27"/>
      <c r="S112" s="28"/>
      <c r="T112" s="28"/>
      <c r="U112" s="28"/>
      <c r="V112" s="28"/>
      <c r="W112" s="28"/>
      <c r="X112" s="42"/>
      <c r="Y112" s="76"/>
      <c r="Z112" s="77"/>
      <c r="AA112" s="77"/>
      <c r="AB112" s="77"/>
      <c r="AC112" s="20" t="s">
        <v>121</v>
      </c>
      <c r="AD112" s="53">
        <v>823041.88379999995</v>
      </c>
      <c r="AE112" s="53">
        <v>1091476.3884999999</v>
      </c>
      <c r="AF112" s="53">
        <v>-122.7822</v>
      </c>
    </row>
    <row r="113" spans="3:32" x14ac:dyDescent="0.25">
      <c r="C113" s="1"/>
      <c r="D113" s="19"/>
      <c r="E113" s="96"/>
      <c r="F113" s="96"/>
      <c r="G113" s="97"/>
      <c r="I113" s="46"/>
      <c r="J113" s="47"/>
      <c r="K113" s="47"/>
      <c r="L113" s="48"/>
      <c r="N113" s="24"/>
      <c r="O113" s="43"/>
      <c r="P113" s="43"/>
      <c r="Q113" s="44"/>
      <c r="R113" s="27"/>
      <c r="S113" s="28"/>
      <c r="T113" s="28"/>
      <c r="U113" s="28"/>
      <c r="V113" s="28"/>
      <c r="W113" s="28"/>
      <c r="X113" s="42"/>
      <c r="Y113" s="76"/>
      <c r="Z113" s="77"/>
      <c r="AA113" s="77"/>
      <c r="AB113" s="77"/>
      <c r="AC113" s="20" t="s">
        <v>122</v>
      </c>
      <c r="AD113" s="53">
        <v>823056.00230000005</v>
      </c>
      <c r="AE113" s="53">
        <v>1091458.0148</v>
      </c>
      <c r="AF113" s="53">
        <v>-122.60809999999999</v>
      </c>
    </row>
    <row r="114" spans="3:32" x14ac:dyDescent="0.25">
      <c r="C114" s="1"/>
      <c r="D114" s="19"/>
      <c r="E114" s="96"/>
      <c r="F114" s="96"/>
      <c r="G114" s="97"/>
      <c r="I114" s="46"/>
      <c r="J114" s="47"/>
      <c r="K114" s="47"/>
      <c r="L114" s="48"/>
      <c r="N114" s="24"/>
      <c r="O114" s="43"/>
      <c r="P114" s="43"/>
      <c r="Q114" s="44"/>
      <c r="R114" s="27"/>
      <c r="S114" s="28"/>
      <c r="T114" s="28"/>
      <c r="U114" s="28"/>
      <c r="V114" s="28"/>
      <c r="W114" s="28"/>
      <c r="X114" s="42"/>
      <c r="Y114" s="76"/>
      <c r="Z114" s="77"/>
      <c r="AA114" s="77"/>
      <c r="AB114" s="77"/>
      <c r="AC114" s="20" t="s">
        <v>123</v>
      </c>
      <c r="AD114" s="53">
        <v>823051.22979999997</v>
      </c>
      <c r="AE114" s="53">
        <v>1091456.4912</v>
      </c>
      <c r="AF114" s="53">
        <v>-122.1382</v>
      </c>
    </row>
    <row r="115" spans="3:32" x14ac:dyDescent="0.25">
      <c r="C115" s="1"/>
      <c r="D115" s="19"/>
      <c r="E115" s="96"/>
      <c r="F115" s="96"/>
      <c r="G115" s="97"/>
      <c r="I115" s="46"/>
      <c r="J115" s="47"/>
      <c r="K115" s="47"/>
      <c r="L115" s="48"/>
      <c r="N115" s="24"/>
      <c r="O115" s="43"/>
      <c r="P115" s="43"/>
      <c r="Q115" s="44"/>
      <c r="R115" s="27"/>
      <c r="S115" s="28"/>
      <c r="T115" s="28"/>
      <c r="U115" s="28"/>
      <c r="V115" s="28"/>
      <c r="W115" s="28"/>
      <c r="X115" s="42"/>
      <c r="Y115" s="76"/>
      <c r="Z115" s="77"/>
      <c r="AA115" s="77"/>
      <c r="AB115" s="77"/>
      <c r="AC115" s="20" t="s">
        <v>124</v>
      </c>
      <c r="AD115" s="53">
        <v>823057.03700000001</v>
      </c>
      <c r="AE115" s="53">
        <v>1091454.8372</v>
      </c>
      <c r="AF115" s="53">
        <v>-124.23860000000001</v>
      </c>
    </row>
    <row r="116" spans="3:32" x14ac:dyDescent="0.25">
      <c r="C116" s="1"/>
      <c r="D116" s="19"/>
      <c r="E116" s="96"/>
      <c r="F116" s="96"/>
      <c r="G116" s="97"/>
      <c r="I116" s="46"/>
      <c r="J116" s="47"/>
      <c r="K116" s="47"/>
      <c r="L116" s="48"/>
      <c r="N116" s="24"/>
      <c r="O116" s="43"/>
      <c r="P116" s="43"/>
      <c r="Q116" s="44"/>
      <c r="R116" s="27"/>
      <c r="S116" s="28"/>
      <c r="T116" s="28"/>
      <c r="U116" s="28"/>
      <c r="V116" s="28"/>
      <c r="W116" s="28"/>
      <c r="X116" s="42"/>
      <c r="Y116" s="76"/>
      <c r="Z116" s="77"/>
      <c r="AA116" s="77"/>
      <c r="AB116" s="77"/>
      <c r="AC116" s="20" t="s">
        <v>125</v>
      </c>
      <c r="AD116" s="53">
        <v>823057.201</v>
      </c>
      <c r="AE116" s="53">
        <v>1091454.9282</v>
      </c>
      <c r="AF116" s="53">
        <v>-123.9397</v>
      </c>
    </row>
    <row r="117" spans="3:32" x14ac:dyDescent="0.25">
      <c r="C117" s="1"/>
      <c r="D117" s="19"/>
      <c r="E117" s="96"/>
      <c r="F117" s="96"/>
      <c r="G117" s="97"/>
      <c r="I117" s="46"/>
      <c r="J117" s="47"/>
      <c r="K117" s="47"/>
      <c r="L117" s="48"/>
      <c r="N117" s="24"/>
      <c r="O117" s="43"/>
      <c r="P117" s="43"/>
      <c r="Q117" s="44"/>
      <c r="R117" s="27"/>
      <c r="S117" s="28"/>
      <c r="T117" s="28"/>
      <c r="U117" s="28"/>
      <c r="V117" s="28"/>
      <c r="W117" s="28"/>
      <c r="X117" s="42"/>
      <c r="Y117" s="76"/>
      <c r="Z117" s="77"/>
      <c r="AA117" s="77"/>
      <c r="AB117" s="77"/>
      <c r="AC117" s="20" t="s">
        <v>126</v>
      </c>
      <c r="AD117" s="53">
        <v>823057.30949999997</v>
      </c>
      <c r="AE117" s="53">
        <v>1091454.9720000001</v>
      </c>
      <c r="AF117" s="53">
        <v>-123.6738</v>
      </c>
    </row>
    <row r="118" spans="3:32" x14ac:dyDescent="0.25">
      <c r="C118" s="1"/>
      <c r="D118" s="19"/>
      <c r="E118" s="96"/>
      <c r="F118" s="96"/>
      <c r="G118" s="97"/>
      <c r="I118" s="46"/>
      <c r="J118" s="47"/>
      <c r="K118" s="47"/>
      <c r="L118" s="48"/>
      <c r="N118" s="24"/>
      <c r="O118" s="43"/>
      <c r="P118" s="43"/>
      <c r="Q118" s="44"/>
      <c r="R118" s="27"/>
      <c r="S118" s="28"/>
      <c r="T118" s="28"/>
      <c r="U118" s="28"/>
      <c r="V118" s="28"/>
      <c r="W118" s="28"/>
      <c r="X118" s="42"/>
      <c r="Y118" s="76"/>
      <c r="Z118" s="77"/>
      <c r="AA118" s="77"/>
      <c r="AB118" s="77"/>
      <c r="AC118" s="20" t="s">
        <v>127</v>
      </c>
      <c r="AD118" s="53">
        <v>823057.39040000003</v>
      </c>
      <c r="AE118" s="53">
        <v>1091455.0197999999</v>
      </c>
      <c r="AF118" s="53">
        <v>-123.4024</v>
      </c>
    </row>
    <row r="119" spans="3:32" x14ac:dyDescent="0.25">
      <c r="C119" s="1"/>
      <c r="D119" s="19"/>
      <c r="E119" s="96"/>
      <c r="F119" s="96"/>
      <c r="G119" s="97"/>
      <c r="I119" s="46"/>
      <c r="J119" s="47"/>
      <c r="K119" s="47"/>
      <c r="L119" s="48"/>
      <c r="N119" s="24"/>
      <c r="O119" s="43"/>
      <c r="P119" s="43"/>
      <c r="Q119" s="44"/>
      <c r="R119" s="27"/>
      <c r="S119" s="28"/>
      <c r="T119" s="28"/>
      <c r="U119" s="28"/>
      <c r="V119" s="28"/>
      <c r="W119" s="28"/>
      <c r="X119" s="42"/>
      <c r="Y119" s="76"/>
      <c r="Z119" s="77"/>
      <c r="AA119" s="77"/>
      <c r="AB119" s="77"/>
      <c r="AC119" s="20" t="s">
        <v>128</v>
      </c>
      <c r="AD119" s="53">
        <v>823057.4044</v>
      </c>
      <c r="AE119" s="53">
        <v>1091455.0266</v>
      </c>
      <c r="AF119" s="53">
        <v>-123.20740000000001</v>
      </c>
    </row>
    <row r="120" spans="3:32" x14ac:dyDescent="0.25">
      <c r="C120" s="1"/>
      <c r="D120" s="19"/>
      <c r="E120" s="96"/>
      <c r="F120" s="96"/>
      <c r="G120" s="97"/>
      <c r="I120" s="46"/>
      <c r="J120" s="47"/>
      <c r="K120" s="47"/>
      <c r="L120" s="48"/>
      <c r="N120" s="24"/>
      <c r="O120" s="43"/>
      <c r="P120" s="43"/>
      <c r="Q120" s="44"/>
      <c r="R120" s="27"/>
      <c r="S120" s="28"/>
      <c r="T120" s="28"/>
      <c r="U120" s="28"/>
      <c r="V120" s="28"/>
      <c r="W120" s="28"/>
      <c r="X120" s="42"/>
      <c r="Y120" s="76"/>
      <c r="Z120" s="77"/>
      <c r="AA120" s="77"/>
      <c r="AB120" s="77"/>
      <c r="AC120" s="20" t="s">
        <v>129</v>
      </c>
      <c r="AD120" s="53">
        <v>823057.44149999996</v>
      </c>
      <c r="AE120" s="53">
        <v>1091455.0404000001</v>
      </c>
      <c r="AF120" s="53">
        <v>-122.9367</v>
      </c>
    </row>
    <row r="121" spans="3:32" x14ac:dyDescent="0.25">
      <c r="C121" s="1"/>
      <c r="D121" s="19"/>
      <c r="E121" s="96"/>
      <c r="F121" s="96"/>
      <c r="G121" s="97"/>
      <c r="I121" s="46"/>
      <c r="J121" s="47"/>
      <c r="K121" s="47"/>
      <c r="L121" s="48"/>
      <c r="N121" s="24"/>
      <c r="O121" s="43"/>
      <c r="P121" s="43"/>
      <c r="Q121" s="44"/>
      <c r="R121" s="27"/>
      <c r="S121" s="28"/>
      <c r="T121" s="28"/>
      <c r="U121" s="28"/>
      <c r="V121" s="28"/>
      <c r="W121" s="28"/>
      <c r="X121" s="42"/>
      <c r="Y121" s="76"/>
      <c r="Z121" s="77"/>
      <c r="AA121" s="77"/>
      <c r="AB121" s="77"/>
      <c r="AC121" s="20" t="s">
        <v>130</v>
      </c>
      <c r="AD121" s="53">
        <v>823057.42969999998</v>
      </c>
      <c r="AE121" s="53">
        <v>1091455.0497999999</v>
      </c>
      <c r="AF121" s="53">
        <v>-122.6515</v>
      </c>
    </row>
    <row r="122" spans="3:32" x14ac:dyDescent="0.25">
      <c r="C122" s="1"/>
      <c r="D122" s="19"/>
      <c r="E122" s="96"/>
      <c r="F122" s="96"/>
      <c r="G122" s="97"/>
      <c r="I122" s="46"/>
      <c r="J122" s="47"/>
      <c r="K122" s="47"/>
      <c r="L122" s="48"/>
      <c r="N122" s="24"/>
      <c r="O122" s="43"/>
      <c r="P122" s="43"/>
      <c r="Q122" s="44"/>
      <c r="R122" s="27"/>
      <c r="S122" s="28"/>
      <c r="T122" s="28"/>
      <c r="U122" s="28"/>
      <c r="V122" s="28"/>
      <c r="W122" s="28"/>
      <c r="X122" s="42"/>
      <c r="Y122" s="76"/>
      <c r="Z122" s="77"/>
      <c r="AA122" s="77"/>
      <c r="AB122" s="77"/>
      <c r="AC122" s="20" t="s">
        <v>131</v>
      </c>
      <c r="AD122" s="53">
        <v>823057.3959</v>
      </c>
      <c r="AE122" s="53">
        <v>1091455.0356000001</v>
      </c>
      <c r="AF122" s="53">
        <v>-122.3047</v>
      </c>
    </row>
    <row r="123" spans="3:32" x14ac:dyDescent="0.25">
      <c r="C123" s="1"/>
      <c r="D123" s="19"/>
      <c r="E123" s="96"/>
      <c r="F123" s="96"/>
      <c r="G123" s="97"/>
      <c r="I123" s="46"/>
      <c r="J123" s="47"/>
      <c r="K123" s="47"/>
      <c r="L123" s="48"/>
      <c r="N123" s="24"/>
      <c r="O123" s="43"/>
      <c r="P123" s="43"/>
      <c r="Q123" s="44"/>
      <c r="R123" s="27"/>
      <c r="S123" s="28"/>
      <c r="T123" s="28"/>
      <c r="U123" s="28"/>
      <c r="V123" s="28"/>
      <c r="W123" s="28"/>
      <c r="X123" s="42"/>
      <c r="Y123" s="76"/>
      <c r="Z123" s="77"/>
      <c r="AA123" s="77"/>
      <c r="AB123" s="77"/>
      <c r="AC123" s="20" t="s">
        <v>132</v>
      </c>
      <c r="AD123" s="53">
        <v>823057.32479999994</v>
      </c>
      <c r="AE123" s="53">
        <v>1091455.0157000001</v>
      </c>
      <c r="AF123" s="53">
        <v>-122.10639999999999</v>
      </c>
    </row>
    <row r="124" spans="3:32" x14ac:dyDescent="0.25">
      <c r="C124" s="1"/>
      <c r="D124" s="19"/>
      <c r="E124" s="96"/>
      <c r="F124" s="96"/>
      <c r="G124" s="97"/>
      <c r="I124" s="46"/>
      <c r="J124" s="47"/>
      <c r="K124" s="47"/>
      <c r="L124" s="48"/>
      <c r="N124" s="24"/>
      <c r="O124" s="43"/>
      <c r="P124" s="43"/>
      <c r="Q124" s="44"/>
      <c r="R124" s="27"/>
      <c r="S124" s="28"/>
      <c r="T124" s="28"/>
      <c r="U124" s="28"/>
      <c r="V124" s="28"/>
      <c r="W124" s="28"/>
      <c r="X124" s="42"/>
      <c r="Y124" s="76"/>
      <c r="Z124" s="77"/>
      <c r="AA124" s="77"/>
      <c r="AB124" s="77"/>
      <c r="AC124" s="20" t="s">
        <v>133</v>
      </c>
      <c r="AD124" s="53">
        <v>823057.31610000005</v>
      </c>
      <c r="AE124" s="53">
        <v>1091455.0048</v>
      </c>
      <c r="AF124" s="53">
        <v>-121.96680000000001</v>
      </c>
    </row>
    <row r="125" spans="3:32" x14ac:dyDescent="0.25">
      <c r="C125" s="1"/>
      <c r="D125" s="19"/>
      <c r="E125" s="96"/>
      <c r="F125" s="96"/>
      <c r="G125" s="97"/>
      <c r="I125" s="46"/>
      <c r="J125" s="47"/>
      <c r="K125" s="47"/>
      <c r="L125" s="48"/>
      <c r="N125" s="24"/>
      <c r="O125" s="43"/>
      <c r="P125" s="43"/>
      <c r="Q125" s="44"/>
      <c r="R125" s="27"/>
      <c r="S125" s="28"/>
      <c r="T125" s="28"/>
      <c r="U125" s="28"/>
      <c r="V125" s="28"/>
      <c r="W125" s="28"/>
      <c r="X125" s="42"/>
      <c r="Y125" s="76"/>
      <c r="Z125" s="77"/>
      <c r="AA125" s="77"/>
      <c r="AB125" s="77"/>
      <c r="AC125" s="20" t="s">
        <v>134</v>
      </c>
      <c r="AD125" s="53">
        <v>823057.18819999998</v>
      </c>
      <c r="AE125" s="53">
        <v>1091454.9586</v>
      </c>
      <c r="AF125" s="53">
        <v>-121.66670000000001</v>
      </c>
    </row>
    <row r="126" spans="3:32" x14ac:dyDescent="0.25">
      <c r="C126" s="1"/>
      <c r="D126" s="19"/>
      <c r="E126" s="96"/>
      <c r="F126" s="96"/>
      <c r="G126" s="97"/>
      <c r="I126" s="46"/>
      <c r="J126" s="47"/>
      <c r="K126" s="47"/>
      <c r="L126" s="48"/>
      <c r="N126" s="24"/>
      <c r="O126" s="43"/>
      <c r="P126" s="43"/>
      <c r="Q126" s="44"/>
      <c r="R126" s="27"/>
      <c r="S126" s="28"/>
      <c r="T126" s="28"/>
      <c r="U126" s="28"/>
      <c r="V126" s="28"/>
      <c r="W126" s="28"/>
      <c r="X126" s="42"/>
      <c r="Y126" s="76"/>
      <c r="Z126" s="77"/>
      <c r="AA126" s="77"/>
      <c r="AB126" s="77"/>
      <c r="AC126" s="20" t="s">
        <v>135</v>
      </c>
      <c r="AD126" s="53">
        <v>823056.94039999996</v>
      </c>
      <c r="AE126" s="53">
        <v>1091454.8409</v>
      </c>
      <c r="AF126" s="53">
        <v>-121.239</v>
      </c>
    </row>
    <row r="127" spans="3:32" x14ac:dyDescent="0.25">
      <c r="C127" s="1"/>
      <c r="D127" s="19"/>
      <c r="E127" s="96"/>
      <c r="F127" s="96"/>
      <c r="G127" s="97"/>
      <c r="I127" s="46"/>
      <c r="J127" s="47"/>
      <c r="K127" s="47"/>
      <c r="L127" s="48"/>
      <c r="N127" s="24"/>
      <c r="O127" s="43"/>
      <c r="P127" s="43"/>
      <c r="Q127" s="44"/>
      <c r="R127" s="27"/>
      <c r="S127" s="28"/>
      <c r="T127" s="28"/>
      <c r="U127" s="28"/>
      <c r="V127" s="28"/>
      <c r="W127" s="28"/>
      <c r="X127" s="42"/>
      <c r="Y127" s="76"/>
      <c r="Z127" s="77"/>
      <c r="AA127" s="77"/>
      <c r="AB127" s="77"/>
      <c r="AC127" s="20" t="s">
        <v>136</v>
      </c>
      <c r="AD127" s="53">
        <v>823056.68350000004</v>
      </c>
      <c r="AE127" s="53">
        <v>1091454.7773</v>
      </c>
      <c r="AF127" s="53">
        <v>-120.9932</v>
      </c>
    </row>
    <row r="128" spans="3:32" x14ac:dyDescent="0.25">
      <c r="C128" s="1"/>
      <c r="D128" s="19"/>
      <c r="E128" s="96"/>
      <c r="F128" s="96"/>
      <c r="G128" s="97"/>
      <c r="I128" s="46"/>
      <c r="J128" s="47"/>
      <c r="K128" s="47"/>
      <c r="L128" s="48"/>
      <c r="N128" s="24"/>
      <c r="O128" s="43"/>
      <c r="P128" s="43"/>
      <c r="Q128" s="44"/>
      <c r="R128" s="27"/>
      <c r="S128" s="28"/>
      <c r="T128" s="28"/>
      <c r="U128" s="28"/>
      <c r="V128" s="28"/>
      <c r="W128" s="28"/>
      <c r="X128" s="42"/>
      <c r="Y128" s="76"/>
      <c r="Z128" s="77"/>
      <c r="AA128" s="77"/>
      <c r="AB128" s="77"/>
      <c r="AC128" s="20" t="s">
        <v>137</v>
      </c>
      <c r="AD128" s="53">
        <v>823057.01069999998</v>
      </c>
      <c r="AE128" s="53">
        <v>1091454.8256999999</v>
      </c>
      <c r="AF128" s="53">
        <v>-124.2696</v>
      </c>
    </row>
    <row r="129" spans="3:32" x14ac:dyDescent="0.25">
      <c r="C129" s="1"/>
      <c r="D129" s="19"/>
      <c r="E129" s="96"/>
      <c r="F129" s="96"/>
      <c r="G129" s="97"/>
      <c r="I129" s="46"/>
      <c r="J129" s="47"/>
      <c r="K129" s="47"/>
      <c r="L129" s="48"/>
      <c r="N129" s="24"/>
      <c r="O129" s="43"/>
      <c r="P129" s="43"/>
      <c r="Q129" s="44"/>
      <c r="R129" s="27"/>
      <c r="S129" s="28"/>
      <c r="T129" s="28"/>
      <c r="U129" s="28"/>
      <c r="V129" s="28"/>
      <c r="W129" s="28"/>
      <c r="X129" s="42"/>
      <c r="Y129" s="76"/>
      <c r="Z129" s="77"/>
      <c r="AA129" s="77"/>
      <c r="AB129" s="77"/>
      <c r="AC129" s="20" t="s">
        <v>138</v>
      </c>
      <c r="AD129" s="53">
        <v>823057.11040000001</v>
      </c>
      <c r="AE129" s="53">
        <v>1091454.8751999999</v>
      </c>
      <c r="AF129" s="53">
        <v>-124.1161</v>
      </c>
    </row>
    <row r="130" spans="3:32" x14ac:dyDescent="0.25">
      <c r="C130" s="1"/>
      <c r="D130" s="19"/>
      <c r="E130" s="96"/>
      <c r="F130" s="96"/>
      <c r="G130" s="97"/>
      <c r="I130" s="46"/>
      <c r="J130" s="47"/>
      <c r="K130" s="47"/>
      <c r="L130" s="48"/>
      <c r="N130" s="24"/>
      <c r="O130" s="43"/>
      <c r="P130" s="43"/>
      <c r="Q130" s="44"/>
      <c r="R130" s="27"/>
      <c r="S130" s="28"/>
      <c r="T130" s="28"/>
      <c r="U130" s="28"/>
      <c r="V130" s="28"/>
      <c r="W130" s="28"/>
      <c r="X130" s="42"/>
      <c r="Y130" s="76"/>
      <c r="Z130" s="77"/>
      <c r="AA130" s="77"/>
      <c r="AB130" s="77"/>
      <c r="AC130" s="20" t="s">
        <v>139</v>
      </c>
      <c r="AD130" s="53">
        <v>823057.19010000001</v>
      </c>
      <c r="AE130" s="53">
        <v>1091454.9235</v>
      </c>
      <c r="AF130" s="53">
        <v>-123.93729999999999</v>
      </c>
    </row>
    <row r="131" spans="3:32" x14ac:dyDescent="0.25">
      <c r="C131" s="1"/>
      <c r="D131" s="19"/>
      <c r="E131" s="96"/>
      <c r="F131" s="96"/>
      <c r="G131" s="97"/>
      <c r="I131" s="46"/>
      <c r="J131" s="47"/>
      <c r="K131" s="47"/>
      <c r="L131" s="48"/>
      <c r="N131" s="24"/>
      <c r="O131" s="43"/>
      <c r="P131" s="43"/>
      <c r="Q131" s="44"/>
      <c r="R131" s="27"/>
      <c r="S131" s="28"/>
      <c r="T131" s="28"/>
      <c r="U131" s="28"/>
      <c r="V131" s="28"/>
      <c r="W131" s="28"/>
      <c r="X131" s="42"/>
      <c r="Y131" s="76"/>
      <c r="Z131" s="77"/>
      <c r="AA131" s="77"/>
      <c r="AB131" s="77"/>
      <c r="AC131" s="20" t="s">
        <v>140</v>
      </c>
      <c r="AD131" s="53">
        <v>823057.30240000004</v>
      </c>
      <c r="AE131" s="53">
        <v>1091454.9680999999</v>
      </c>
      <c r="AF131" s="53">
        <v>-123.6798</v>
      </c>
    </row>
    <row r="132" spans="3:32" x14ac:dyDescent="0.25">
      <c r="C132" s="1"/>
      <c r="D132" s="19"/>
      <c r="E132" s="96"/>
      <c r="F132" s="96"/>
      <c r="G132" s="97"/>
      <c r="I132" s="46"/>
      <c r="J132" s="47"/>
      <c r="K132" s="47"/>
      <c r="L132" s="48"/>
      <c r="N132" s="24"/>
      <c r="O132" s="43"/>
      <c r="P132" s="43"/>
      <c r="Q132" s="44"/>
      <c r="R132" s="27"/>
      <c r="S132" s="28"/>
      <c r="T132" s="28"/>
      <c r="U132" s="28"/>
      <c r="V132" s="28"/>
      <c r="W132" s="28"/>
      <c r="X132" s="42"/>
      <c r="Y132" s="76"/>
      <c r="Z132" s="77"/>
      <c r="AA132" s="77"/>
      <c r="AB132" s="77"/>
      <c r="AC132" s="20" t="s">
        <v>141</v>
      </c>
      <c r="AD132" s="53">
        <v>823057.36120000004</v>
      </c>
      <c r="AE132" s="53">
        <v>1091454.9994999999</v>
      </c>
      <c r="AF132" s="53">
        <v>-123.468</v>
      </c>
    </row>
    <row r="133" spans="3:32" x14ac:dyDescent="0.25">
      <c r="C133" s="1"/>
      <c r="D133" s="19"/>
      <c r="E133" s="96"/>
      <c r="F133" s="96"/>
      <c r="G133" s="97"/>
      <c r="I133" s="46"/>
      <c r="J133" s="47"/>
      <c r="K133" s="47"/>
      <c r="L133" s="48"/>
      <c r="N133" s="24"/>
      <c r="O133" s="43"/>
      <c r="P133" s="43"/>
      <c r="Q133" s="44"/>
      <c r="R133" s="27"/>
      <c r="S133" s="28"/>
      <c r="T133" s="28"/>
      <c r="U133" s="28"/>
      <c r="V133" s="28"/>
      <c r="W133" s="28"/>
      <c r="X133" s="42"/>
      <c r="Y133" s="76"/>
      <c r="Z133" s="77"/>
      <c r="AA133" s="77"/>
      <c r="AB133" s="77"/>
      <c r="AC133" s="20" t="s">
        <v>142</v>
      </c>
      <c r="AD133" s="53">
        <v>823057.39659999998</v>
      </c>
      <c r="AE133" s="53">
        <v>1091455.0242000001</v>
      </c>
      <c r="AF133" s="53">
        <v>-123.2076</v>
      </c>
    </row>
    <row r="134" spans="3:32" x14ac:dyDescent="0.25">
      <c r="C134" s="1"/>
      <c r="D134" s="19"/>
      <c r="E134" s="96"/>
      <c r="F134" s="96"/>
      <c r="G134" s="97"/>
      <c r="I134" s="46"/>
      <c r="J134" s="47"/>
      <c r="K134" s="47"/>
      <c r="L134" s="48"/>
      <c r="N134" s="24"/>
      <c r="O134" s="43"/>
      <c r="P134" s="43"/>
      <c r="Q134" s="44"/>
      <c r="R134" s="27"/>
      <c r="S134" s="28"/>
      <c r="T134" s="28"/>
      <c r="U134" s="28"/>
      <c r="V134" s="28"/>
      <c r="W134" s="28"/>
      <c r="X134" s="42"/>
      <c r="Y134" s="76"/>
      <c r="Z134" s="77"/>
      <c r="AA134" s="77"/>
      <c r="AB134" s="77"/>
      <c r="AC134" s="20" t="s">
        <v>143</v>
      </c>
      <c r="AD134" s="53">
        <v>823057.42119999998</v>
      </c>
      <c r="AE134" s="53">
        <v>1091455.0378</v>
      </c>
      <c r="AF134" s="53">
        <v>-122.9528</v>
      </c>
    </row>
    <row r="135" spans="3:32" x14ac:dyDescent="0.25">
      <c r="C135" s="1"/>
      <c r="D135" s="19"/>
      <c r="E135" s="96"/>
      <c r="F135" s="96"/>
      <c r="G135" s="97"/>
      <c r="I135" s="46"/>
      <c r="J135" s="47"/>
      <c r="K135" s="47"/>
      <c r="L135" s="48"/>
      <c r="N135" s="24"/>
      <c r="O135" s="43"/>
      <c r="P135" s="43"/>
      <c r="Q135" s="44"/>
      <c r="R135" s="27"/>
      <c r="S135" s="28"/>
      <c r="T135" s="28"/>
      <c r="U135" s="28"/>
      <c r="V135" s="28"/>
      <c r="W135" s="28"/>
      <c r="X135" s="42"/>
      <c r="Y135" s="76"/>
      <c r="Z135" s="77"/>
      <c r="AA135" s="77"/>
      <c r="AB135" s="77"/>
      <c r="AC135" s="20" t="s">
        <v>144</v>
      </c>
      <c r="AD135" s="53">
        <v>823057.41799999995</v>
      </c>
      <c r="AE135" s="53">
        <v>1091455.0392</v>
      </c>
      <c r="AF135" s="53">
        <v>-122.7503</v>
      </c>
    </row>
    <row r="136" spans="3:32" x14ac:dyDescent="0.25">
      <c r="C136" s="1"/>
      <c r="D136" s="19"/>
      <c r="E136" s="96"/>
      <c r="F136" s="96"/>
      <c r="G136" s="97"/>
      <c r="I136" s="46"/>
      <c r="J136" s="47"/>
      <c r="K136" s="47"/>
      <c r="L136" s="48"/>
      <c r="N136" s="24"/>
      <c r="O136" s="43"/>
      <c r="P136" s="43"/>
      <c r="Q136" s="44"/>
      <c r="R136" s="27"/>
      <c r="S136" s="28"/>
      <c r="T136" s="28"/>
      <c r="U136" s="28"/>
      <c r="V136" s="28"/>
      <c r="W136" s="28"/>
      <c r="X136" s="42"/>
      <c r="Y136" s="76"/>
      <c r="Z136" s="77"/>
      <c r="AA136" s="77"/>
      <c r="AB136" s="77"/>
      <c r="AC136" s="20" t="s">
        <v>145</v>
      </c>
      <c r="AD136" s="53">
        <v>823057.4105</v>
      </c>
      <c r="AE136" s="53">
        <v>1091455.0418</v>
      </c>
      <c r="AF136" s="53">
        <v>-122.5446</v>
      </c>
    </row>
    <row r="137" spans="3:32" x14ac:dyDescent="0.25">
      <c r="C137" s="1"/>
      <c r="D137" s="19"/>
      <c r="E137" s="96"/>
      <c r="F137" s="96"/>
      <c r="G137" s="97"/>
      <c r="I137" s="46"/>
      <c r="J137" s="47"/>
      <c r="K137" s="47"/>
      <c r="L137" s="48"/>
      <c r="N137" s="24"/>
      <c r="O137" s="43"/>
      <c r="P137" s="43"/>
      <c r="Q137" s="44"/>
      <c r="R137" s="27"/>
      <c r="S137" s="28"/>
      <c r="T137" s="28"/>
      <c r="U137" s="28"/>
      <c r="V137" s="28"/>
      <c r="W137" s="28"/>
      <c r="X137" s="42"/>
      <c r="Y137" s="76"/>
      <c r="Z137" s="77"/>
      <c r="AA137" s="77"/>
      <c r="AB137" s="77"/>
      <c r="AC137" s="20" t="s">
        <v>146</v>
      </c>
      <c r="AD137" s="53">
        <v>823057.40119999996</v>
      </c>
      <c r="AE137" s="53">
        <v>1091455.0356999999</v>
      </c>
      <c r="AF137" s="53">
        <v>-122.30070000000001</v>
      </c>
    </row>
    <row r="138" spans="3:32" x14ac:dyDescent="0.25">
      <c r="C138" s="1"/>
      <c r="D138" s="19"/>
      <c r="E138" s="96"/>
      <c r="F138" s="96"/>
      <c r="G138" s="97"/>
      <c r="I138" s="46"/>
      <c r="J138" s="47"/>
      <c r="K138" s="47"/>
      <c r="L138" s="48"/>
      <c r="N138" s="24"/>
      <c r="O138" s="43"/>
      <c r="P138" s="43"/>
      <c r="Q138" s="44"/>
      <c r="R138" s="27"/>
      <c r="S138" s="28"/>
      <c r="T138" s="28"/>
      <c r="U138" s="28"/>
      <c r="V138" s="28"/>
      <c r="W138" s="28"/>
      <c r="X138" s="42"/>
      <c r="Y138" s="76"/>
      <c r="Z138" s="77"/>
      <c r="AA138" s="77"/>
      <c r="AB138" s="77"/>
      <c r="AC138" s="20" t="s">
        <v>147</v>
      </c>
      <c r="AD138" s="53">
        <v>823057.35349999997</v>
      </c>
      <c r="AE138" s="53">
        <v>1091455.0209999999</v>
      </c>
      <c r="AF138" s="53">
        <v>-122.111</v>
      </c>
    </row>
    <row r="139" spans="3:32" x14ac:dyDescent="0.25">
      <c r="C139" s="1"/>
      <c r="D139" s="19"/>
      <c r="E139" s="96"/>
      <c r="F139" s="96"/>
      <c r="G139" s="97"/>
      <c r="I139" s="46"/>
      <c r="J139" s="47"/>
      <c r="K139" s="47"/>
      <c r="L139" s="48"/>
      <c r="N139" s="24"/>
      <c r="O139" s="43"/>
      <c r="P139" s="43"/>
      <c r="Q139" s="44"/>
      <c r="R139" s="27"/>
      <c r="S139" s="28"/>
      <c r="T139" s="28"/>
      <c r="U139" s="28"/>
      <c r="V139" s="28"/>
      <c r="W139" s="28"/>
      <c r="X139" s="42"/>
      <c r="Y139" s="76"/>
      <c r="Z139" s="77"/>
      <c r="AA139" s="77"/>
      <c r="AB139" s="77"/>
      <c r="AC139" s="20" t="s">
        <v>148</v>
      </c>
      <c r="AD139" s="53">
        <v>823057.30680000002</v>
      </c>
      <c r="AE139" s="53">
        <v>1091454.9979999999</v>
      </c>
      <c r="AF139" s="53">
        <v>-121.956</v>
      </c>
    </row>
    <row r="140" spans="3:32" x14ac:dyDescent="0.25">
      <c r="C140" s="1"/>
      <c r="D140" s="19"/>
      <c r="E140" s="96"/>
      <c r="F140" s="96"/>
      <c r="G140" s="97"/>
      <c r="I140" s="46"/>
      <c r="J140" s="47"/>
      <c r="K140" s="47"/>
      <c r="L140" s="48"/>
      <c r="N140" s="24"/>
      <c r="O140" s="43"/>
      <c r="P140" s="43"/>
      <c r="Q140" s="44"/>
      <c r="R140" s="27"/>
      <c r="S140" s="28"/>
      <c r="T140" s="28"/>
      <c r="U140" s="28"/>
      <c r="V140" s="28"/>
      <c r="W140" s="28"/>
      <c r="X140" s="42"/>
      <c r="Y140" s="76"/>
      <c r="Z140" s="77"/>
      <c r="AA140" s="77"/>
      <c r="AB140" s="77"/>
      <c r="AC140" s="20" t="s">
        <v>149</v>
      </c>
      <c r="AD140" s="53">
        <v>823057.1496</v>
      </c>
      <c r="AE140" s="53">
        <v>1091454.9301</v>
      </c>
      <c r="AF140" s="53">
        <v>-121.58069999999999</v>
      </c>
    </row>
    <row r="141" spans="3:32" x14ac:dyDescent="0.25">
      <c r="C141" s="1"/>
      <c r="D141" s="19"/>
      <c r="E141" s="96"/>
      <c r="F141" s="96"/>
      <c r="G141" s="97"/>
      <c r="I141" s="46"/>
      <c r="J141" s="47"/>
      <c r="K141" s="47"/>
      <c r="L141" s="48"/>
      <c r="N141" s="24"/>
      <c r="O141" s="43"/>
      <c r="P141" s="43"/>
      <c r="Q141" s="44"/>
      <c r="R141" s="27"/>
      <c r="S141" s="28"/>
      <c r="T141" s="28"/>
      <c r="U141" s="28"/>
      <c r="V141" s="28"/>
      <c r="W141" s="28"/>
      <c r="X141" s="42"/>
      <c r="Y141" s="76"/>
      <c r="Z141" s="77"/>
      <c r="AA141" s="77"/>
      <c r="AB141" s="77"/>
      <c r="AC141" s="20" t="s">
        <v>150</v>
      </c>
      <c r="AD141" s="53">
        <v>823057.00470000005</v>
      </c>
      <c r="AE141" s="53">
        <v>1091454.8714999999</v>
      </c>
      <c r="AF141" s="53">
        <v>-121.31910000000001</v>
      </c>
    </row>
    <row r="142" spans="3:32" x14ac:dyDescent="0.25">
      <c r="C142" s="1"/>
      <c r="D142" s="19"/>
      <c r="E142" s="96"/>
      <c r="F142" s="96"/>
      <c r="G142" s="97"/>
      <c r="N142" s="24"/>
      <c r="O142" s="43"/>
      <c r="P142" s="43"/>
      <c r="Q142" s="44"/>
      <c r="R142" s="27"/>
      <c r="S142" s="28"/>
      <c r="T142" s="28"/>
      <c r="U142" s="28"/>
      <c r="V142" s="28"/>
      <c r="W142" s="28"/>
      <c r="X142" s="42"/>
      <c r="Y142" s="76"/>
      <c r="Z142" s="77"/>
      <c r="AA142" s="77"/>
      <c r="AB142" s="77"/>
      <c r="AC142" s="20" t="s">
        <v>151</v>
      </c>
      <c r="AD142" s="53">
        <v>823056.92940000002</v>
      </c>
      <c r="AE142" s="53">
        <v>1091454.8343</v>
      </c>
      <c r="AF142" s="53">
        <v>-121.2311</v>
      </c>
    </row>
    <row r="143" spans="3:32" x14ac:dyDescent="0.25">
      <c r="C143" s="1"/>
      <c r="D143" s="19"/>
      <c r="E143" s="96"/>
      <c r="F143" s="96"/>
      <c r="G143" s="97"/>
      <c r="N143" s="24"/>
      <c r="O143" s="43"/>
      <c r="P143" s="43"/>
      <c r="Q143" s="44"/>
      <c r="R143" s="27"/>
      <c r="S143" s="28"/>
      <c r="T143" s="28"/>
      <c r="U143" s="28"/>
      <c r="V143" s="28"/>
      <c r="W143" s="28"/>
      <c r="X143" s="42"/>
      <c r="Y143" s="76"/>
      <c r="Z143" s="77"/>
      <c r="AA143" s="77"/>
      <c r="AB143" s="77"/>
      <c r="AC143" s="20" t="s">
        <v>152</v>
      </c>
      <c r="AD143" s="53">
        <v>823056.8273</v>
      </c>
      <c r="AE143" s="53">
        <v>1091454.7952000001</v>
      </c>
      <c r="AF143" s="53">
        <v>-121.0908</v>
      </c>
    </row>
    <row r="144" spans="3:32" x14ac:dyDescent="0.25">
      <c r="C144" s="1"/>
      <c r="D144" s="19"/>
      <c r="E144" s="96"/>
      <c r="F144" s="96"/>
      <c r="G144" s="97"/>
      <c r="N144" s="24"/>
      <c r="O144" s="43"/>
      <c r="P144" s="43"/>
      <c r="Q144" s="44"/>
      <c r="R144" s="27"/>
      <c r="S144" s="28"/>
      <c r="T144" s="28"/>
      <c r="U144" s="28"/>
      <c r="V144" s="28"/>
      <c r="W144" s="28"/>
      <c r="X144" s="42"/>
      <c r="Y144" s="76"/>
      <c r="Z144" s="77"/>
      <c r="AA144" s="77"/>
      <c r="AB144" s="77"/>
      <c r="AC144" s="20" t="s">
        <v>153</v>
      </c>
      <c r="AD144" s="53">
        <v>823056.72679999995</v>
      </c>
      <c r="AE144" s="53">
        <v>1091454.7509000001</v>
      </c>
      <c r="AF144" s="53">
        <v>-120.9584</v>
      </c>
    </row>
    <row r="145" spans="3:32" x14ac:dyDescent="0.25">
      <c r="C145" s="1"/>
      <c r="D145" s="19"/>
      <c r="E145" s="96"/>
      <c r="F145" s="96"/>
      <c r="G145" s="97"/>
      <c r="N145" s="24"/>
      <c r="O145" s="43"/>
      <c r="P145" s="43"/>
      <c r="Q145" s="44"/>
      <c r="R145" s="27"/>
      <c r="S145" s="28"/>
      <c r="T145" s="28"/>
      <c r="U145" s="28"/>
      <c r="V145" s="28"/>
      <c r="W145" s="28"/>
      <c r="X145" s="42"/>
      <c r="Y145" s="76"/>
      <c r="Z145" s="77"/>
      <c r="AA145" s="77"/>
      <c r="AB145" s="77"/>
      <c r="AC145" s="20" t="s">
        <v>154</v>
      </c>
      <c r="AD145" s="53">
        <v>823056.61789999995</v>
      </c>
      <c r="AE145" s="53">
        <v>1091454.7015</v>
      </c>
      <c r="AF145" s="53">
        <v>-120.8396</v>
      </c>
    </row>
    <row r="146" spans="3:32" x14ac:dyDescent="0.25">
      <c r="C146" s="1"/>
      <c r="D146" s="19"/>
      <c r="E146" s="96"/>
      <c r="F146" s="96"/>
      <c r="G146" s="97"/>
      <c r="N146" s="24"/>
      <c r="O146" s="43"/>
      <c r="P146" s="43"/>
      <c r="Q146" s="44"/>
      <c r="R146" s="27"/>
      <c r="S146" s="28"/>
      <c r="T146" s="28"/>
      <c r="U146" s="28"/>
      <c r="V146" s="28"/>
      <c r="W146" s="28"/>
      <c r="X146" s="42"/>
      <c r="Y146" s="76"/>
      <c r="Z146" s="77"/>
      <c r="AA146" s="77"/>
      <c r="AB146" s="77"/>
      <c r="AC146" s="20" t="s">
        <v>155</v>
      </c>
      <c r="AD146" s="53">
        <v>823056.4584</v>
      </c>
      <c r="AE146" s="53">
        <v>1091454.6274000001</v>
      </c>
      <c r="AF146" s="53">
        <v>-120.7042</v>
      </c>
    </row>
    <row r="147" spans="3:32" x14ac:dyDescent="0.25">
      <c r="C147" s="1"/>
      <c r="D147" s="19"/>
      <c r="E147" s="96"/>
      <c r="F147" s="96"/>
      <c r="G147" s="97"/>
      <c r="N147" s="24"/>
      <c r="O147" s="43"/>
      <c r="P147" s="43"/>
      <c r="Q147" s="44"/>
      <c r="R147" s="27"/>
      <c r="S147" s="28"/>
      <c r="T147" s="28"/>
      <c r="U147" s="28"/>
      <c r="V147" s="28"/>
      <c r="W147" s="28"/>
      <c r="X147" s="42"/>
      <c r="Y147" s="76"/>
      <c r="Z147" s="77"/>
      <c r="AA147" s="77"/>
      <c r="AB147" s="77"/>
      <c r="AC147" s="20" t="s">
        <v>156</v>
      </c>
      <c r="AD147" s="53">
        <v>823056.27309999999</v>
      </c>
      <c r="AE147" s="53">
        <v>1091454.6098</v>
      </c>
      <c r="AF147" s="53">
        <v>-120.64319999999999</v>
      </c>
    </row>
    <row r="148" spans="3:32" x14ac:dyDescent="0.25">
      <c r="C148" s="1"/>
      <c r="D148" s="19"/>
      <c r="E148" s="96"/>
      <c r="F148" s="96"/>
      <c r="G148" s="97"/>
      <c r="N148" s="24"/>
      <c r="O148" s="43"/>
      <c r="P148" s="43"/>
      <c r="Q148" s="44"/>
      <c r="R148" s="27"/>
      <c r="S148" s="28"/>
      <c r="T148" s="28"/>
      <c r="U148" s="28"/>
      <c r="V148" s="28"/>
      <c r="W148" s="28"/>
      <c r="X148" s="42"/>
      <c r="Y148" s="76"/>
      <c r="Z148" s="77"/>
      <c r="AA148" s="77"/>
      <c r="AB148" s="77"/>
      <c r="AC148" s="20" t="s">
        <v>157</v>
      </c>
      <c r="AD148" s="53">
        <v>823056.17989999999</v>
      </c>
      <c r="AE148" s="53">
        <v>1091454.5046000001</v>
      </c>
      <c r="AF148" s="53">
        <v>-120.5018</v>
      </c>
    </row>
    <row r="149" spans="3:32" x14ac:dyDescent="0.25">
      <c r="C149" s="1"/>
      <c r="D149" s="19"/>
      <c r="E149" s="96"/>
      <c r="F149" s="96"/>
      <c r="G149" s="97"/>
      <c r="N149" s="24"/>
      <c r="O149" s="43"/>
      <c r="P149" s="43"/>
      <c r="Q149" s="44"/>
      <c r="R149" s="27"/>
      <c r="S149" s="28"/>
      <c r="T149" s="28"/>
      <c r="U149" s="28"/>
      <c r="V149" s="28"/>
      <c r="W149" s="28"/>
      <c r="X149" s="42"/>
      <c r="Y149" s="76"/>
      <c r="Z149" s="77"/>
      <c r="AA149" s="77"/>
      <c r="AB149" s="77"/>
      <c r="AC149" s="20" t="s">
        <v>158</v>
      </c>
      <c r="AD149" s="53">
        <v>823056.00820000004</v>
      </c>
      <c r="AE149" s="53">
        <v>1091454.4254000001</v>
      </c>
      <c r="AF149" s="53">
        <v>-120.3917</v>
      </c>
    </row>
    <row r="150" spans="3:32" x14ac:dyDescent="0.25">
      <c r="C150" s="1"/>
      <c r="D150" s="19"/>
      <c r="E150" s="96"/>
      <c r="F150" s="96"/>
      <c r="G150" s="97"/>
      <c r="N150" s="24"/>
      <c r="O150" s="43"/>
      <c r="P150" s="43"/>
      <c r="Q150" s="44"/>
      <c r="R150" s="27"/>
      <c r="S150" s="28"/>
      <c r="T150" s="28"/>
      <c r="U150" s="28"/>
      <c r="V150" s="28"/>
      <c r="W150" s="28"/>
      <c r="X150" s="42"/>
      <c r="Y150" s="76" t="str">
        <f t="shared" ref="Y150:Y195" si="9">IF(ISBLANK(N150),"",N150)</f>
        <v/>
      </c>
      <c r="Z150" s="77" t="str">
        <f t="shared" ref="Z150:Z195" si="10">IF(ISBLANK(O150),"",O150-V150)</f>
        <v/>
      </c>
      <c r="AA150" s="77" t="str">
        <f t="shared" ref="AA150:AA195" si="11">IF(ISBLANK(P150),"",P150-W150)</f>
        <v/>
      </c>
      <c r="AB150" s="77" t="str">
        <f t="shared" ref="AB150:AB195" si="12">IF(ISBLANK(Q150),"",Q150-X150)</f>
        <v/>
      </c>
      <c r="AC150" s="20" t="s">
        <v>159</v>
      </c>
      <c r="AD150" s="53">
        <v>823055.83369999996</v>
      </c>
      <c r="AE150" s="53">
        <v>1091454.3419000001</v>
      </c>
      <c r="AF150" s="53">
        <v>-120.31359999999999</v>
      </c>
    </row>
    <row r="151" spans="3:32" x14ac:dyDescent="0.25">
      <c r="C151" s="1"/>
      <c r="D151" s="19"/>
      <c r="E151" s="96"/>
      <c r="F151" s="96"/>
      <c r="G151" s="97"/>
      <c r="N151" s="24"/>
      <c r="O151" s="43"/>
      <c r="P151" s="43"/>
      <c r="Q151" s="44"/>
      <c r="R151" s="27"/>
      <c r="S151" s="28"/>
      <c r="T151" s="28"/>
      <c r="U151" s="28"/>
      <c r="V151" s="28"/>
      <c r="W151" s="28"/>
      <c r="X151" s="42"/>
      <c r="Y151" s="76" t="str">
        <f t="shared" si="9"/>
        <v/>
      </c>
      <c r="Z151" s="77" t="str">
        <f t="shared" si="10"/>
        <v/>
      </c>
      <c r="AA151" s="77" t="str">
        <f t="shared" si="11"/>
        <v/>
      </c>
      <c r="AB151" s="77" t="str">
        <f t="shared" si="12"/>
        <v/>
      </c>
      <c r="AC151" s="20" t="s">
        <v>160</v>
      </c>
      <c r="AD151" s="53">
        <v>823055.6311</v>
      </c>
      <c r="AE151" s="53">
        <v>1091454.2475999999</v>
      </c>
      <c r="AF151" s="53">
        <v>-120.2533</v>
      </c>
    </row>
    <row r="152" spans="3:32" x14ac:dyDescent="0.25">
      <c r="C152" s="1"/>
      <c r="D152" s="19"/>
      <c r="E152" s="96"/>
      <c r="F152" s="96"/>
      <c r="G152" s="97"/>
      <c r="N152" s="24"/>
      <c r="O152" s="43"/>
      <c r="P152" s="43"/>
      <c r="Q152" s="44"/>
      <c r="R152" s="27"/>
      <c r="S152" s="28"/>
      <c r="T152" s="28"/>
      <c r="U152" s="28"/>
      <c r="V152" s="28"/>
      <c r="W152" s="28"/>
      <c r="X152" s="42"/>
      <c r="Y152" s="76" t="str">
        <f t="shared" si="9"/>
        <v/>
      </c>
      <c r="Z152" s="77" t="str">
        <f t="shared" si="10"/>
        <v/>
      </c>
      <c r="AA152" s="77" t="str">
        <f t="shared" si="11"/>
        <v/>
      </c>
      <c r="AB152" s="77" t="str">
        <f t="shared" si="12"/>
        <v/>
      </c>
      <c r="AC152" s="20" t="s">
        <v>161</v>
      </c>
      <c r="AD152" s="53">
        <v>823055.3811</v>
      </c>
      <c r="AE152" s="53">
        <v>1091454.1366999999</v>
      </c>
      <c r="AF152" s="53">
        <v>-120.2079</v>
      </c>
    </row>
    <row r="153" spans="3:32" x14ac:dyDescent="0.25">
      <c r="D153" s="19"/>
      <c r="E153" s="96"/>
      <c r="F153" s="96"/>
      <c r="G153" s="97"/>
      <c r="N153" s="24"/>
      <c r="O153" s="43"/>
      <c r="P153" s="43"/>
      <c r="Q153" s="44"/>
      <c r="R153" s="27"/>
      <c r="S153" s="28"/>
      <c r="T153" s="28"/>
      <c r="U153" s="28"/>
      <c r="V153" s="28"/>
      <c r="W153" s="28"/>
      <c r="X153" s="42"/>
      <c r="Y153" s="76" t="str">
        <f t="shared" si="9"/>
        <v/>
      </c>
      <c r="Z153" s="77" t="str">
        <f t="shared" si="10"/>
        <v/>
      </c>
      <c r="AA153" s="77" t="str">
        <f t="shared" si="11"/>
        <v/>
      </c>
      <c r="AB153" s="77" t="str">
        <f t="shared" si="12"/>
        <v/>
      </c>
      <c r="AC153" s="20" t="s">
        <v>162</v>
      </c>
      <c r="AD153" s="53">
        <v>823055.09340000001</v>
      </c>
      <c r="AE153" s="53">
        <v>1091453.9998999999</v>
      </c>
      <c r="AF153" s="53">
        <v>-120.1648</v>
      </c>
    </row>
    <row r="154" spans="3:32" x14ac:dyDescent="0.25">
      <c r="D154" s="19"/>
      <c r="E154" s="96"/>
      <c r="F154" s="96"/>
      <c r="G154" s="97"/>
      <c r="N154" s="24"/>
      <c r="O154" s="43"/>
      <c r="P154" s="43"/>
      <c r="Q154" s="44"/>
      <c r="R154" s="27"/>
      <c r="S154" s="28"/>
      <c r="T154" s="28"/>
      <c r="U154" s="28"/>
      <c r="V154" s="28"/>
      <c r="W154" s="28"/>
      <c r="X154" s="42"/>
      <c r="Y154" s="76" t="str">
        <f t="shared" si="9"/>
        <v/>
      </c>
      <c r="Z154" s="77" t="str">
        <f t="shared" si="10"/>
        <v/>
      </c>
      <c r="AA154" s="77" t="str">
        <f t="shared" si="11"/>
        <v/>
      </c>
      <c r="AB154" s="77" t="str">
        <f t="shared" si="12"/>
        <v/>
      </c>
      <c r="AC154" s="20" t="s">
        <v>163</v>
      </c>
      <c r="AD154" s="53">
        <v>823054.83089999994</v>
      </c>
      <c r="AE154" s="53">
        <v>1091453.8828</v>
      </c>
      <c r="AF154" s="53">
        <v>-120.1553</v>
      </c>
    </row>
    <row r="155" spans="3:32" x14ac:dyDescent="0.25">
      <c r="D155" s="19"/>
      <c r="E155" s="96"/>
      <c r="F155" s="96"/>
      <c r="G155" s="97"/>
      <c r="N155" s="24"/>
      <c r="O155" s="43"/>
      <c r="P155" s="43"/>
      <c r="Q155" s="44"/>
      <c r="R155" s="27"/>
      <c r="S155" s="28"/>
      <c r="T155" s="28"/>
      <c r="U155" s="28"/>
      <c r="V155" s="28"/>
      <c r="W155" s="28"/>
      <c r="X155" s="42"/>
      <c r="Y155" s="76" t="str">
        <f t="shared" si="9"/>
        <v/>
      </c>
      <c r="Z155" s="77" t="str">
        <f t="shared" si="10"/>
        <v/>
      </c>
      <c r="AA155" s="77" t="str">
        <f t="shared" si="11"/>
        <v/>
      </c>
      <c r="AB155" s="77" t="str">
        <f t="shared" si="12"/>
        <v/>
      </c>
      <c r="AC155" s="20" t="s">
        <v>164</v>
      </c>
      <c r="AD155" s="53">
        <v>823054.59409999999</v>
      </c>
      <c r="AE155" s="53">
        <v>1091453.7705000001</v>
      </c>
      <c r="AF155" s="53">
        <v>-120.205</v>
      </c>
    </row>
    <row r="156" spans="3:32" x14ac:dyDescent="0.25">
      <c r="D156" s="19"/>
      <c r="E156" s="96"/>
      <c r="F156" s="96"/>
      <c r="G156" s="97"/>
      <c r="N156" s="24"/>
      <c r="O156" s="43"/>
      <c r="P156" s="43"/>
      <c r="Q156" s="44"/>
      <c r="R156" s="27"/>
      <c r="S156" s="28"/>
      <c r="T156" s="28"/>
      <c r="U156" s="28"/>
      <c r="V156" s="28"/>
      <c r="W156" s="28"/>
      <c r="X156" s="42"/>
      <c r="Y156" s="76" t="str">
        <f t="shared" si="9"/>
        <v/>
      </c>
      <c r="Z156" s="77" t="str">
        <f t="shared" si="10"/>
        <v/>
      </c>
      <c r="AA156" s="77" t="str">
        <f t="shared" si="11"/>
        <v/>
      </c>
      <c r="AB156" s="77" t="str">
        <f t="shared" si="12"/>
        <v/>
      </c>
      <c r="AC156" s="20" t="s">
        <v>165</v>
      </c>
      <c r="AD156" s="53">
        <v>823054.41399999999</v>
      </c>
      <c r="AE156" s="53">
        <v>1091453.6836000001</v>
      </c>
      <c r="AF156" s="53">
        <v>-120.2735</v>
      </c>
    </row>
    <row r="157" spans="3:32" x14ac:dyDescent="0.25">
      <c r="D157" s="19"/>
      <c r="E157" s="96"/>
      <c r="F157" s="96"/>
      <c r="G157" s="97"/>
      <c r="N157" s="24"/>
      <c r="O157" s="43"/>
      <c r="P157" s="43"/>
      <c r="Q157" s="44"/>
      <c r="R157" s="27"/>
      <c r="S157" s="28"/>
      <c r="T157" s="28"/>
      <c r="U157" s="28"/>
      <c r="V157" s="28"/>
      <c r="W157" s="28"/>
      <c r="X157" s="42"/>
      <c r="Y157" s="76" t="str">
        <f t="shared" si="9"/>
        <v/>
      </c>
      <c r="Z157" s="77" t="str">
        <f t="shared" si="10"/>
        <v/>
      </c>
      <c r="AA157" s="77" t="str">
        <f t="shared" si="11"/>
        <v/>
      </c>
      <c r="AB157" s="77" t="str">
        <f t="shared" si="12"/>
        <v/>
      </c>
      <c r="AC157" s="20" t="s">
        <v>166</v>
      </c>
      <c r="AD157" s="53">
        <v>823054.1433</v>
      </c>
      <c r="AE157" s="53">
        <v>1091453.5560999999</v>
      </c>
      <c r="AF157" s="53">
        <v>-120.3904</v>
      </c>
    </row>
    <row r="158" spans="3:32" x14ac:dyDescent="0.25">
      <c r="D158" s="19"/>
      <c r="E158" s="96"/>
      <c r="F158" s="96"/>
      <c r="G158" s="97"/>
      <c r="N158" s="24"/>
      <c r="O158" s="43"/>
      <c r="P158" s="43"/>
      <c r="Q158" s="44"/>
      <c r="R158" s="27"/>
      <c r="S158" s="28"/>
      <c r="T158" s="28"/>
      <c r="U158" s="28"/>
      <c r="V158" s="28"/>
      <c r="W158" s="28"/>
      <c r="X158" s="42"/>
      <c r="Y158" s="76" t="str">
        <f t="shared" si="9"/>
        <v/>
      </c>
      <c r="Z158" s="77" t="str">
        <f t="shared" si="10"/>
        <v/>
      </c>
      <c r="AA158" s="77" t="str">
        <f t="shared" si="11"/>
        <v/>
      </c>
      <c r="AB158" s="77" t="str">
        <f t="shared" si="12"/>
        <v/>
      </c>
      <c r="AC158" s="20" t="s">
        <v>167</v>
      </c>
      <c r="AD158" s="53">
        <v>823053.82649999997</v>
      </c>
      <c r="AE158" s="53">
        <v>1091453.4110999999</v>
      </c>
      <c r="AF158" s="53">
        <v>-120.59869999999999</v>
      </c>
    </row>
    <row r="159" spans="3:32" x14ac:dyDescent="0.25">
      <c r="D159" s="19"/>
      <c r="E159" s="96"/>
      <c r="F159" s="96"/>
      <c r="G159" s="97"/>
      <c r="N159" s="24"/>
      <c r="O159" s="43"/>
      <c r="P159" s="43"/>
      <c r="Q159" s="44"/>
      <c r="R159" s="27"/>
      <c r="S159" s="28"/>
      <c r="T159" s="28"/>
      <c r="U159" s="28"/>
      <c r="V159" s="28"/>
      <c r="W159" s="28"/>
      <c r="X159" s="42"/>
      <c r="Y159" s="76" t="str">
        <f t="shared" si="9"/>
        <v/>
      </c>
      <c r="Z159" s="77" t="str">
        <f t="shared" si="10"/>
        <v/>
      </c>
      <c r="AA159" s="77" t="str">
        <f t="shared" si="11"/>
        <v/>
      </c>
      <c r="AB159" s="77" t="str">
        <f t="shared" si="12"/>
        <v/>
      </c>
      <c r="AC159" s="20" t="s">
        <v>168</v>
      </c>
      <c r="AD159" s="53">
        <v>823053.46849999996</v>
      </c>
      <c r="AE159" s="53">
        <v>1091453.2383000001</v>
      </c>
      <c r="AF159" s="53">
        <v>-120.902</v>
      </c>
    </row>
    <row r="160" spans="3:32" x14ac:dyDescent="0.25">
      <c r="D160" s="19"/>
      <c r="E160" s="96"/>
      <c r="F160" s="96"/>
      <c r="G160" s="97"/>
      <c r="N160" s="24"/>
      <c r="O160" s="43"/>
      <c r="P160" s="43"/>
      <c r="Q160" s="44"/>
      <c r="R160" s="27"/>
      <c r="S160" s="28"/>
      <c r="T160" s="28"/>
      <c r="U160" s="28"/>
      <c r="V160" s="28"/>
      <c r="W160" s="28"/>
      <c r="X160" s="42"/>
      <c r="Y160" s="76" t="str">
        <f t="shared" si="9"/>
        <v/>
      </c>
      <c r="Z160" s="77" t="str">
        <f t="shared" si="10"/>
        <v/>
      </c>
      <c r="AA160" s="77" t="str">
        <f t="shared" si="11"/>
        <v/>
      </c>
      <c r="AB160" s="77" t="str">
        <f t="shared" si="12"/>
        <v/>
      </c>
      <c r="AC160" s="20" t="s">
        <v>169</v>
      </c>
      <c r="AD160" s="53">
        <v>823053.23959999997</v>
      </c>
      <c r="AE160" s="53">
        <v>1091453.1277000001</v>
      </c>
      <c r="AF160" s="53">
        <v>-121.15649999999999</v>
      </c>
    </row>
    <row r="161" spans="4:32" x14ac:dyDescent="0.25">
      <c r="D161" s="19"/>
      <c r="E161" s="96"/>
      <c r="F161" s="96"/>
      <c r="G161" s="97"/>
      <c r="N161" s="24"/>
      <c r="O161" s="43"/>
      <c r="P161" s="43"/>
      <c r="Q161" s="44"/>
      <c r="R161" s="27"/>
      <c r="S161" s="28"/>
      <c r="T161" s="28"/>
      <c r="U161" s="28"/>
      <c r="V161" s="28"/>
      <c r="W161" s="28"/>
      <c r="X161" s="42"/>
      <c r="Y161" s="76" t="str">
        <f t="shared" si="9"/>
        <v/>
      </c>
      <c r="Z161" s="77" t="str">
        <f t="shared" si="10"/>
        <v/>
      </c>
      <c r="AA161" s="77" t="str">
        <f t="shared" si="11"/>
        <v/>
      </c>
      <c r="AB161" s="77" t="str">
        <f t="shared" si="12"/>
        <v/>
      </c>
      <c r="AC161" s="20" t="s">
        <v>170</v>
      </c>
      <c r="AD161" s="53">
        <v>823053.11690000002</v>
      </c>
      <c r="AE161" s="53">
        <v>1091453.0696</v>
      </c>
      <c r="AF161" s="53">
        <v>-121.36920000000001</v>
      </c>
    </row>
    <row r="162" spans="4:32" x14ac:dyDescent="0.25">
      <c r="D162" s="19"/>
      <c r="E162" s="96"/>
      <c r="F162" s="96"/>
      <c r="G162" s="97"/>
      <c r="N162" s="24"/>
      <c r="O162" s="43"/>
      <c r="P162" s="43"/>
      <c r="Q162" s="44"/>
      <c r="R162" s="27"/>
      <c r="S162" s="28"/>
      <c r="T162" s="28"/>
      <c r="U162" s="28"/>
      <c r="V162" s="28"/>
      <c r="W162" s="28"/>
      <c r="X162" s="42"/>
      <c r="Y162" s="76" t="str">
        <f t="shared" si="9"/>
        <v/>
      </c>
      <c r="Z162" s="77" t="str">
        <f t="shared" si="10"/>
        <v/>
      </c>
      <c r="AA162" s="77" t="str">
        <f t="shared" si="11"/>
        <v/>
      </c>
      <c r="AB162" s="77" t="str">
        <f t="shared" si="12"/>
        <v/>
      </c>
      <c r="AC162" s="20" t="s">
        <v>171</v>
      </c>
      <c r="AD162" s="53">
        <v>823052.99419999996</v>
      </c>
      <c r="AE162" s="53">
        <v>1091453.0352</v>
      </c>
      <c r="AF162" s="53">
        <v>-121.592</v>
      </c>
    </row>
    <row r="163" spans="4:32" x14ac:dyDescent="0.25">
      <c r="D163" s="19"/>
      <c r="E163" s="96"/>
      <c r="F163" s="96"/>
      <c r="G163" s="97"/>
      <c r="N163" s="24"/>
      <c r="O163" s="43"/>
      <c r="P163" s="43"/>
      <c r="Q163" s="44"/>
      <c r="R163" s="27"/>
      <c r="S163" s="28"/>
      <c r="T163" s="28"/>
      <c r="U163" s="28"/>
      <c r="V163" s="28"/>
      <c r="W163" s="28"/>
      <c r="X163" s="42"/>
      <c r="Y163" s="76" t="str">
        <f t="shared" si="9"/>
        <v/>
      </c>
      <c r="Z163" s="77" t="str">
        <f t="shared" si="10"/>
        <v/>
      </c>
      <c r="AA163" s="77" t="str">
        <f t="shared" si="11"/>
        <v/>
      </c>
      <c r="AB163" s="77" t="str">
        <f t="shared" si="12"/>
        <v/>
      </c>
      <c r="AC163" s="20" t="s">
        <v>172</v>
      </c>
      <c r="AD163" s="53">
        <v>823052.90560000006</v>
      </c>
      <c r="AE163" s="53">
        <v>1091452.9664</v>
      </c>
      <c r="AF163" s="53">
        <v>-121.8404</v>
      </c>
    </row>
    <row r="164" spans="4:32" x14ac:dyDescent="0.25">
      <c r="D164" s="19"/>
      <c r="E164" s="96"/>
      <c r="F164" s="96"/>
      <c r="G164" s="97"/>
      <c r="N164" s="24"/>
      <c r="O164" s="43"/>
      <c r="P164" s="43"/>
      <c r="Q164" s="44"/>
      <c r="R164" s="27"/>
      <c r="S164" s="28"/>
      <c r="T164" s="28"/>
      <c r="U164" s="28"/>
      <c r="V164" s="28"/>
      <c r="W164" s="28"/>
      <c r="X164" s="42"/>
      <c r="Y164" s="76" t="str">
        <f t="shared" si="9"/>
        <v/>
      </c>
      <c r="Z164" s="77" t="str">
        <f t="shared" si="10"/>
        <v/>
      </c>
      <c r="AA164" s="77" t="str">
        <f t="shared" si="11"/>
        <v/>
      </c>
      <c r="AB164" s="77" t="str">
        <f t="shared" si="12"/>
        <v/>
      </c>
      <c r="AC164" s="20" t="s">
        <v>173</v>
      </c>
      <c r="AD164" s="53">
        <v>823052.82790000003</v>
      </c>
      <c r="AE164" s="53">
        <v>1091452.9294</v>
      </c>
      <c r="AF164" s="53">
        <v>-122.1075</v>
      </c>
    </row>
    <row r="165" spans="4:32" x14ac:dyDescent="0.25">
      <c r="D165" s="19"/>
      <c r="E165" s="96"/>
      <c r="F165" s="96"/>
      <c r="G165" s="97"/>
      <c r="N165" s="24"/>
      <c r="O165" s="43"/>
      <c r="P165" s="43"/>
      <c r="Q165" s="44"/>
      <c r="R165" s="27"/>
      <c r="S165" s="28"/>
      <c r="T165" s="28"/>
      <c r="U165" s="28"/>
      <c r="V165" s="28"/>
      <c r="W165" s="28"/>
      <c r="X165" s="42"/>
      <c r="Y165" s="76" t="str">
        <f t="shared" si="9"/>
        <v/>
      </c>
      <c r="Z165" s="77" t="str">
        <f t="shared" si="10"/>
        <v/>
      </c>
      <c r="AA165" s="77" t="str">
        <f t="shared" si="11"/>
        <v/>
      </c>
      <c r="AB165" s="77" t="str">
        <f t="shared" si="12"/>
        <v/>
      </c>
      <c r="AC165" s="20" t="s">
        <v>174</v>
      </c>
      <c r="AD165" s="53">
        <v>823052.76760000002</v>
      </c>
      <c r="AE165" s="53">
        <v>1091452.8994</v>
      </c>
      <c r="AF165" s="53">
        <v>-122.3776</v>
      </c>
    </row>
    <row r="166" spans="4:32" x14ac:dyDescent="0.25">
      <c r="D166" s="19"/>
      <c r="E166" s="96"/>
      <c r="F166" s="96"/>
      <c r="G166" s="97"/>
      <c r="N166" s="24"/>
      <c r="O166" s="43"/>
      <c r="P166" s="43"/>
      <c r="Q166" s="44"/>
      <c r="R166" s="27"/>
      <c r="S166" s="28"/>
      <c r="T166" s="28"/>
      <c r="U166" s="28"/>
      <c r="V166" s="28"/>
      <c r="W166" s="28"/>
      <c r="X166" s="42"/>
      <c r="Y166" s="76" t="str">
        <f t="shared" si="9"/>
        <v/>
      </c>
      <c r="Z166" s="77" t="str">
        <f t="shared" si="10"/>
        <v/>
      </c>
      <c r="AA166" s="77" t="str">
        <f t="shared" si="11"/>
        <v/>
      </c>
      <c r="AB166" s="77" t="str">
        <f t="shared" si="12"/>
        <v/>
      </c>
      <c r="AC166" s="20" t="s">
        <v>175</v>
      </c>
      <c r="AD166" s="53">
        <v>823052.75540000002</v>
      </c>
      <c r="AE166" s="53">
        <v>1091452.8840000001</v>
      </c>
      <c r="AF166" s="53">
        <v>-122.6395</v>
      </c>
    </row>
    <row r="167" spans="4:32" x14ac:dyDescent="0.25">
      <c r="D167" s="19"/>
      <c r="E167" s="96"/>
      <c r="F167" s="96"/>
      <c r="G167" s="97"/>
      <c r="N167" s="24"/>
      <c r="O167" s="43"/>
      <c r="P167" s="43"/>
      <c r="Q167" s="44"/>
      <c r="R167" s="27"/>
      <c r="S167" s="28"/>
      <c r="T167" s="28"/>
      <c r="U167" s="28"/>
      <c r="V167" s="28"/>
      <c r="W167" s="28"/>
      <c r="X167" s="42"/>
      <c r="Y167" s="76" t="str">
        <f t="shared" si="9"/>
        <v/>
      </c>
      <c r="Z167" s="77" t="str">
        <f t="shared" si="10"/>
        <v/>
      </c>
      <c r="AA167" s="77" t="str">
        <f t="shared" si="11"/>
        <v/>
      </c>
      <c r="AB167" s="77" t="str">
        <f t="shared" si="12"/>
        <v/>
      </c>
      <c r="AC167" s="20" t="s">
        <v>176</v>
      </c>
      <c r="AD167" s="53">
        <v>823052.75120000006</v>
      </c>
      <c r="AE167" s="53">
        <v>1091452.8787</v>
      </c>
      <c r="AF167" s="53">
        <v>-122.9953</v>
      </c>
    </row>
    <row r="168" spans="4:32" x14ac:dyDescent="0.25">
      <c r="D168" s="19"/>
      <c r="E168" s="96"/>
      <c r="F168" s="96"/>
      <c r="G168" s="97"/>
      <c r="N168" s="24"/>
      <c r="O168" s="43"/>
      <c r="P168" s="43"/>
      <c r="Q168" s="44"/>
      <c r="R168" s="27"/>
      <c r="S168" s="28"/>
      <c r="T168" s="28"/>
      <c r="U168" s="28"/>
      <c r="V168" s="28"/>
      <c r="W168" s="28"/>
      <c r="X168" s="42"/>
      <c r="Y168" s="76" t="str">
        <f t="shared" si="9"/>
        <v/>
      </c>
      <c r="Z168" s="77" t="str">
        <f t="shared" si="10"/>
        <v/>
      </c>
      <c r="AA168" s="77" t="str">
        <f t="shared" si="11"/>
        <v/>
      </c>
      <c r="AB168" s="77" t="str">
        <f t="shared" si="12"/>
        <v/>
      </c>
      <c r="AC168" s="20" t="s">
        <v>177</v>
      </c>
      <c r="AD168" s="53">
        <v>823052.78630000004</v>
      </c>
      <c r="AE168" s="53">
        <v>1091452.8894</v>
      </c>
      <c r="AF168" s="53">
        <v>-123.27589999999999</v>
      </c>
    </row>
    <row r="169" spans="4:32" x14ac:dyDescent="0.25">
      <c r="D169" s="19"/>
      <c r="E169" s="96"/>
      <c r="F169" s="96"/>
      <c r="G169" s="97"/>
      <c r="N169" s="24"/>
      <c r="O169" s="43"/>
      <c r="P169" s="43"/>
      <c r="Q169" s="44"/>
      <c r="R169" s="27"/>
      <c r="S169" s="28"/>
      <c r="T169" s="28"/>
      <c r="U169" s="28"/>
      <c r="V169" s="28"/>
      <c r="W169" s="28"/>
      <c r="X169" s="42"/>
      <c r="Y169" s="76" t="str">
        <f t="shared" si="9"/>
        <v/>
      </c>
      <c r="Z169" s="77" t="str">
        <f t="shared" si="10"/>
        <v/>
      </c>
      <c r="AA169" s="77" t="str">
        <f t="shared" si="11"/>
        <v/>
      </c>
      <c r="AB169" s="77" t="str">
        <f t="shared" si="12"/>
        <v/>
      </c>
      <c r="AC169" s="20" t="s">
        <v>178</v>
      </c>
      <c r="AD169" s="53">
        <v>823052.88430000003</v>
      </c>
      <c r="AE169" s="53">
        <v>1091452.94</v>
      </c>
      <c r="AF169" s="53">
        <v>-123.64019999999999</v>
      </c>
    </row>
    <row r="170" spans="4:32" x14ac:dyDescent="0.25">
      <c r="D170" s="19"/>
      <c r="E170" s="96"/>
      <c r="F170" s="96"/>
      <c r="G170" s="97"/>
      <c r="N170" s="24"/>
      <c r="O170" s="43"/>
      <c r="P170" s="43"/>
      <c r="Q170" s="44"/>
      <c r="R170" s="27"/>
      <c r="S170" s="28"/>
      <c r="T170" s="28"/>
      <c r="U170" s="28"/>
      <c r="V170" s="28"/>
      <c r="W170" s="28"/>
      <c r="X170" s="42"/>
      <c r="Y170" s="76" t="str">
        <f t="shared" si="9"/>
        <v/>
      </c>
      <c r="Z170" s="77" t="str">
        <f t="shared" si="10"/>
        <v/>
      </c>
      <c r="AA170" s="77" t="str">
        <f t="shared" si="11"/>
        <v/>
      </c>
      <c r="AB170" s="77" t="str">
        <f t="shared" si="12"/>
        <v/>
      </c>
      <c r="AC170" s="20" t="s">
        <v>179</v>
      </c>
      <c r="AD170" s="53">
        <v>823052.96629999997</v>
      </c>
      <c r="AE170" s="53">
        <v>1091452.9623</v>
      </c>
      <c r="AF170" s="53">
        <v>-123.89790000000001</v>
      </c>
    </row>
    <row r="171" spans="4:32" x14ac:dyDescent="0.25">
      <c r="D171" s="19"/>
      <c r="E171" s="96"/>
      <c r="F171" s="96"/>
      <c r="G171" s="97"/>
      <c r="N171" s="24"/>
      <c r="O171" s="43"/>
      <c r="P171" s="43"/>
      <c r="Q171" s="44"/>
      <c r="R171" s="27"/>
      <c r="S171" s="28"/>
      <c r="T171" s="28"/>
      <c r="U171" s="28"/>
      <c r="V171" s="28"/>
      <c r="W171" s="28"/>
      <c r="X171" s="42"/>
      <c r="Y171" s="76" t="str">
        <f t="shared" si="9"/>
        <v/>
      </c>
      <c r="Z171" s="77" t="str">
        <f t="shared" si="10"/>
        <v/>
      </c>
      <c r="AA171" s="77" t="str">
        <f t="shared" si="11"/>
        <v/>
      </c>
      <c r="AB171" s="77" t="str">
        <f t="shared" si="12"/>
        <v/>
      </c>
      <c r="AC171" s="20" t="s">
        <v>180</v>
      </c>
      <c r="AD171" s="53">
        <v>823053.08589999995</v>
      </c>
      <c r="AE171" s="53">
        <v>1091453.0290000001</v>
      </c>
      <c r="AF171" s="53">
        <v>-124.0898</v>
      </c>
    </row>
    <row r="172" spans="4:32" x14ac:dyDescent="0.25">
      <c r="D172" s="19"/>
      <c r="E172" s="96"/>
      <c r="F172" s="96"/>
      <c r="G172" s="97"/>
      <c r="N172" s="24"/>
      <c r="O172" s="43"/>
      <c r="P172" s="43"/>
      <c r="Q172" s="44"/>
      <c r="R172" s="27"/>
      <c r="S172" s="28"/>
      <c r="T172" s="28"/>
      <c r="U172" s="28"/>
      <c r="V172" s="28"/>
      <c r="W172" s="28"/>
      <c r="X172" s="42"/>
      <c r="Y172" s="76" t="str">
        <f t="shared" si="9"/>
        <v/>
      </c>
      <c r="Z172" s="77" t="str">
        <f t="shared" si="10"/>
        <v/>
      </c>
      <c r="AA172" s="77" t="str">
        <f t="shared" si="11"/>
        <v/>
      </c>
      <c r="AB172" s="77" t="str">
        <f t="shared" si="12"/>
        <v/>
      </c>
      <c r="AC172" s="20" t="s">
        <v>181</v>
      </c>
      <c r="AD172" s="53">
        <v>823053.15480000002</v>
      </c>
      <c r="AE172" s="53">
        <v>1091453.0517</v>
      </c>
      <c r="AF172" s="53">
        <v>-124.24169999999999</v>
      </c>
    </row>
    <row r="173" spans="4:32" x14ac:dyDescent="0.25">
      <c r="D173" s="19"/>
      <c r="E173" s="96"/>
      <c r="F173" s="96"/>
      <c r="G173" s="97"/>
      <c r="N173" s="24"/>
      <c r="O173" s="43"/>
      <c r="P173" s="43"/>
      <c r="Q173" s="44"/>
      <c r="R173" s="27"/>
      <c r="S173" s="28"/>
      <c r="T173" s="28"/>
      <c r="U173" s="28"/>
      <c r="V173" s="28"/>
      <c r="W173" s="28"/>
      <c r="X173" s="42"/>
      <c r="Y173" s="76" t="str">
        <f t="shared" si="9"/>
        <v/>
      </c>
      <c r="Z173" s="77" t="str">
        <f t="shared" si="10"/>
        <v/>
      </c>
      <c r="AA173" s="77" t="str">
        <f t="shared" si="11"/>
        <v/>
      </c>
      <c r="AB173" s="77" t="str">
        <f t="shared" si="12"/>
        <v/>
      </c>
      <c r="AC173" s="20" t="s">
        <v>182</v>
      </c>
      <c r="AD173" s="53">
        <v>823057.53350000002</v>
      </c>
      <c r="AE173" s="53">
        <v>1091455.0781</v>
      </c>
      <c r="AF173" s="53">
        <v>-123.8188</v>
      </c>
    </row>
    <row r="174" spans="4:32" x14ac:dyDescent="0.25">
      <c r="D174" s="19"/>
      <c r="E174" s="96"/>
      <c r="F174" s="96"/>
      <c r="G174" s="97"/>
      <c r="N174" s="24"/>
      <c r="O174" s="43"/>
      <c r="P174" s="43"/>
      <c r="Q174" s="44"/>
      <c r="R174" s="27"/>
      <c r="S174" s="28"/>
      <c r="T174" s="28"/>
      <c r="U174" s="28"/>
      <c r="V174" s="28"/>
      <c r="W174" s="28"/>
      <c r="X174" s="42"/>
      <c r="Y174" s="76" t="str">
        <f t="shared" si="9"/>
        <v/>
      </c>
      <c r="Z174" s="77" t="str">
        <f t="shared" si="10"/>
        <v/>
      </c>
      <c r="AA174" s="77" t="str">
        <f t="shared" si="11"/>
        <v/>
      </c>
      <c r="AB174" s="77" t="str">
        <f t="shared" si="12"/>
        <v/>
      </c>
      <c r="AC174" s="20" t="s">
        <v>183</v>
      </c>
      <c r="AD174" s="53">
        <v>823057.62509999995</v>
      </c>
      <c r="AE174" s="53">
        <v>1091455.1284</v>
      </c>
      <c r="AF174" s="53">
        <v>-123.3235</v>
      </c>
    </row>
    <row r="175" spans="4:32" x14ac:dyDescent="0.25">
      <c r="D175" s="19"/>
      <c r="E175" s="96"/>
      <c r="F175" s="96"/>
      <c r="G175" s="97"/>
      <c r="N175" s="24"/>
      <c r="O175" s="43"/>
      <c r="P175" s="43"/>
      <c r="Q175" s="44"/>
      <c r="R175" s="27"/>
      <c r="S175" s="28"/>
      <c r="T175" s="28"/>
      <c r="U175" s="28"/>
      <c r="V175" s="28"/>
      <c r="W175" s="28"/>
      <c r="X175" s="42"/>
      <c r="Y175" s="76" t="str">
        <f t="shared" si="9"/>
        <v/>
      </c>
      <c r="Z175" s="77" t="str">
        <f t="shared" si="10"/>
        <v/>
      </c>
      <c r="AA175" s="77" t="str">
        <f t="shared" si="11"/>
        <v/>
      </c>
      <c r="AB175" s="77" t="str">
        <f t="shared" si="12"/>
        <v/>
      </c>
      <c r="AC175" s="20" t="s">
        <v>184</v>
      </c>
      <c r="AD175" s="53">
        <v>823057.67370000004</v>
      </c>
      <c r="AE175" s="53">
        <v>1091455.1551999999</v>
      </c>
      <c r="AF175" s="53">
        <v>-123.06570000000001</v>
      </c>
    </row>
    <row r="176" spans="4:32" x14ac:dyDescent="0.25">
      <c r="D176" s="19"/>
      <c r="E176" s="96"/>
      <c r="F176" s="96"/>
      <c r="G176" s="97"/>
      <c r="N176" s="24"/>
      <c r="O176" s="43"/>
      <c r="P176" s="43"/>
      <c r="Q176" s="44"/>
      <c r="R176" s="27"/>
      <c r="S176" s="28"/>
      <c r="T176" s="28"/>
      <c r="U176" s="28"/>
      <c r="V176" s="28"/>
      <c r="W176" s="28"/>
      <c r="X176" s="42"/>
      <c r="Y176" s="76" t="str">
        <f t="shared" si="9"/>
        <v/>
      </c>
      <c r="Z176" s="77" t="str">
        <f t="shared" si="10"/>
        <v/>
      </c>
      <c r="AA176" s="77" t="str">
        <f t="shared" si="11"/>
        <v/>
      </c>
      <c r="AB176" s="77" t="str">
        <f t="shared" si="12"/>
        <v/>
      </c>
      <c r="AC176" s="20" t="s">
        <v>185</v>
      </c>
      <c r="AD176" s="53">
        <v>823057.68070000003</v>
      </c>
      <c r="AE176" s="53">
        <v>1091455.1635</v>
      </c>
      <c r="AF176" s="53">
        <v>-122.7796</v>
      </c>
    </row>
    <row r="177" spans="4:32" x14ac:dyDescent="0.25">
      <c r="D177" s="19"/>
      <c r="E177" s="96"/>
      <c r="F177" s="96"/>
      <c r="G177" s="97"/>
      <c r="N177" s="24"/>
      <c r="O177" s="43"/>
      <c r="P177" s="43"/>
      <c r="Q177" s="44"/>
      <c r="R177" s="27"/>
      <c r="S177" s="28"/>
      <c r="T177" s="28"/>
      <c r="U177" s="28"/>
      <c r="V177" s="28"/>
      <c r="W177" s="28"/>
      <c r="X177" s="42"/>
      <c r="Y177" s="76" t="str">
        <f t="shared" si="9"/>
        <v/>
      </c>
      <c r="Z177" s="77" t="str">
        <f t="shared" si="10"/>
        <v/>
      </c>
      <c r="AA177" s="77" t="str">
        <f t="shared" si="11"/>
        <v/>
      </c>
      <c r="AB177" s="77" t="str">
        <f t="shared" si="12"/>
        <v/>
      </c>
      <c r="AC177" s="20" t="s">
        <v>186</v>
      </c>
      <c r="AD177" s="53">
        <v>823057.65610000002</v>
      </c>
      <c r="AE177" s="53">
        <v>1091455.1677000001</v>
      </c>
      <c r="AF177" s="53">
        <v>-122.31399999999999</v>
      </c>
    </row>
    <row r="178" spans="4:32" x14ac:dyDescent="0.25">
      <c r="D178" s="19"/>
      <c r="E178" s="96"/>
      <c r="F178" s="96"/>
      <c r="G178" s="97"/>
      <c r="N178" s="24"/>
      <c r="O178" s="43"/>
      <c r="P178" s="43"/>
      <c r="Q178" s="44"/>
      <c r="R178" s="27"/>
      <c r="S178" s="28"/>
      <c r="T178" s="28"/>
      <c r="U178" s="28"/>
      <c r="V178" s="28"/>
      <c r="W178" s="28"/>
      <c r="X178" s="42"/>
      <c r="Y178" s="76" t="str">
        <f t="shared" si="9"/>
        <v/>
      </c>
      <c r="Z178" s="77" t="str">
        <f t="shared" si="10"/>
        <v/>
      </c>
      <c r="AA178" s="77" t="str">
        <f t="shared" si="11"/>
        <v/>
      </c>
      <c r="AB178" s="77" t="str">
        <f t="shared" si="12"/>
        <v/>
      </c>
      <c r="AC178" s="20" t="s">
        <v>187</v>
      </c>
      <c r="AD178" s="53">
        <v>823057.60490000003</v>
      </c>
      <c r="AE178" s="53">
        <v>1091455.1405</v>
      </c>
      <c r="AF178" s="53">
        <v>-122.0364</v>
      </c>
    </row>
    <row r="179" spans="4:32" x14ac:dyDescent="0.25">
      <c r="D179" s="19"/>
      <c r="E179" s="96"/>
      <c r="F179" s="96"/>
      <c r="G179" s="97"/>
      <c r="N179" s="24"/>
      <c r="O179" s="43"/>
      <c r="P179" s="43"/>
      <c r="Q179" s="44"/>
      <c r="R179" s="27"/>
      <c r="S179" s="28"/>
      <c r="T179" s="28"/>
      <c r="U179" s="28"/>
      <c r="V179" s="28"/>
      <c r="W179" s="28"/>
      <c r="X179" s="42"/>
      <c r="Y179" s="76" t="str">
        <f t="shared" si="9"/>
        <v/>
      </c>
      <c r="Z179" s="77" t="str">
        <f t="shared" si="10"/>
        <v/>
      </c>
      <c r="AA179" s="77" t="str">
        <f t="shared" si="11"/>
        <v/>
      </c>
      <c r="AB179" s="77" t="str">
        <f t="shared" si="12"/>
        <v/>
      </c>
      <c r="AC179" s="20" t="s">
        <v>188</v>
      </c>
      <c r="AD179" s="53">
        <v>823057.50190000003</v>
      </c>
      <c r="AE179" s="53">
        <v>1091455.0969</v>
      </c>
      <c r="AF179" s="53">
        <v>-121.804</v>
      </c>
    </row>
    <row r="180" spans="4:32" x14ac:dyDescent="0.25">
      <c r="D180" s="19"/>
      <c r="E180" s="96"/>
      <c r="F180" s="96"/>
      <c r="G180" s="97"/>
      <c r="N180" s="24"/>
      <c r="O180" s="43"/>
      <c r="P180" s="43"/>
      <c r="Q180" s="44"/>
      <c r="R180" s="27"/>
      <c r="S180" s="28"/>
      <c r="T180" s="28"/>
      <c r="U180" s="28"/>
      <c r="V180" s="28"/>
      <c r="W180" s="28"/>
      <c r="X180" s="42"/>
      <c r="Y180" s="76" t="str">
        <f t="shared" si="9"/>
        <v/>
      </c>
      <c r="Z180" s="77" t="str">
        <f t="shared" si="10"/>
        <v/>
      </c>
      <c r="AA180" s="77" t="str">
        <f t="shared" si="11"/>
        <v/>
      </c>
      <c r="AB180" s="77" t="str">
        <f t="shared" si="12"/>
        <v/>
      </c>
      <c r="AC180" s="20" t="s">
        <v>189</v>
      </c>
      <c r="AD180" s="53">
        <v>823057.49069999997</v>
      </c>
      <c r="AE180" s="53">
        <v>1091455.0932</v>
      </c>
      <c r="AF180" s="53">
        <v>-121.70820000000001</v>
      </c>
    </row>
    <row r="181" spans="4:32" x14ac:dyDescent="0.25">
      <c r="D181" s="19"/>
      <c r="E181" s="96"/>
      <c r="F181" s="96"/>
      <c r="G181" s="97"/>
      <c r="N181" s="24"/>
      <c r="O181" s="43"/>
      <c r="P181" s="43"/>
      <c r="Q181" s="44"/>
      <c r="R181" s="27"/>
      <c r="S181" s="28"/>
      <c r="T181" s="28"/>
      <c r="U181" s="28"/>
      <c r="V181" s="28"/>
      <c r="W181" s="28"/>
      <c r="X181" s="42"/>
      <c r="Y181" s="76" t="str">
        <f t="shared" si="9"/>
        <v/>
      </c>
      <c r="Z181" s="77" t="str">
        <f t="shared" si="10"/>
        <v/>
      </c>
      <c r="AA181" s="77" t="str">
        <f t="shared" si="11"/>
        <v/>
      </c>
      <c r="AB181" s="77" t="str">
        <f t="shared" si="12"/>
        <v/>
      </c>
      <c r="AC181" s="20" t="s">
        <v>190</v>
      </c>
      <c r="AD181" s="53">
        <v>823057.26130000001</v>
      </c>
      <c r="AE181" s="53">
        <v>1091454.9827000001</v>
      </c>
      <c r="AF181" s="53">
        <v>-121.28060000000001</v>
      </c>
    </row>
    <row r="182" spans="4:32" x14ac:dyDescent="0.25">
      <c r="D182" s="19"/>
      <c r="E182" s="96"/>
      <c r="F182" s="96"/>
      <c r="G182" s="97"/>
      <c r="N182" s="24"/>
      <c r="O182" s="43"/>
      <c r="P182" s="43"/>
      <c r="Q182" s="44"/>
      <c r="R182" s="27"/>
      <c r="S182" s="28"/>
      <c r="T182" s="28"/>
      <c r="U182" s="28"/>
      <c r="V182" s="28"/>
      <c r="W182" s="28"/>
      <c r="X182" s="42"/>
      <c r="Y182" s="76" t="str">
        <f t="shared" si="9"/>
        <v/>
      </c>
      <c r="Z182" s="77" t="str">
        <f t="shared" si="10"/>
        <v/>
      </c>
      <c r="AA182" s="77" t="str">
        <f t="shared" si="11"/>
        <v/>
      </c>
      <c r="AB182" s="77" t="str">
        <f t="shared" si="12"/>
        <v/>
      </c>
      <c r="AC182" s="20" t="s">
        <v>191</v>
      </c>
      <c r="AD182" s="53">
        <v>823057.09970000002</v>
      </c>
      <c r="AE182" s="53">
        <v>1091454.9232000001</v>
      </c>
      <c r="AF182" s="53">
        <v>-120.9782</v>
      </c>
    </row>
    <row r="183" spans="4:32" x14ac:dyDescent="0.25">
      <c r="D183" s="19"/>
      <c r="E183" s="96"/>
      <c r="F183" s="96"/>
      <c r="G183" s="97"/>
      <c r="N183" s="24"/>
      <c r="O183" s="43"/>
      <c r="P183" s="43"/>
      <c r="Q183" s="44"/>
      <c r="R183" s="27"/>
      <c r="S183" s="28"/>
      <c r="T183" s="28"/>
      <c r="U183" s="28"/>
      <c r="V183" s="28"/>
      <c r="W183" s="28"/>
      <c r="X183" s="42"/>
      <c r="Y183" s="76" t="str">
        <f t="shared" si="9"/>
        <v/>
      </c>
      <c r="Z183" s="77" t="str">
        <f t="shared" si="10"/>
        <v/>
      </c>
      <c r="AA183" s="77" t="str">
        <f t="shared" si="11"/>
        <v/>
      </c>
      <c r="AB183" s="77" t="str">
        <f t="shared" si="12"/>
        <v/>
      </c>
      <c r="AC183" s="20" t="s">
        <v>192</v>
      </c>
      <c r="AD183" s="53">
        <v>823056.97829999996</v>
      </c>
      <c r="AE183" s="53">
        <v>1091454.8711000001</v>
      </c>
      <c r="AF183" s="53">
        <v>-120.7985</v>
      </c>
    </row>
    <row r="184" spans="4:32" x14ac:dyDescent="0.25">
      <c r="D184" s="19"/>
      <c r="E184" s="96"/>
      <c r="F184" s="96"/>
      <c r="G184" s="97"/>
      <c r="N184" s="24"/>
      <c r="O184" s="43"/>
      <c r="P184" s="43"/>
      <c r="Q184" s="44"/>
      <c r="R184" s="27"/>
      <c r="S184" s="28"/>
      <c r="T184" s="28"/>
      <c r="U184" s="28"/>
      <c r="V184" s="28"/>
      <c r="W184" s="28"/>
      <c r="X184" s="42"/>
      <c r="Y184" s="76" t="str">
        <f t="shared" si="9"/>
        <v/>
      </c>
      <c r="Z184" s="77" t="str">
        <f t="shared" si="10"/>
        <v/>
      </c>
      <c r="AA184" s="77" t="str">
        <f t="shared" si="11"/>
        <v/>
      </c>
      <c r="AB184" s="77" t="str">
        <f t="shared" si="12"/>
        <v/>
      </c>
      <c r="AC184" s="20" t="s">
        <v>193</v>
      </c>
      <c r="AD184" s="53">
        <v>823056.65449999995</v>
      </c>
      <c r="AE184" s="53">
        <v>1091454.7248</v>
      </c>
      <c r="AF184" s="53">
        <v>-120.4866</v>
      </c>
    </row>
    <row r="185" spans="4:32" x14ac:dyDescent="0.25">
      <c r="D185" s="19"/>
      <c r="E185" s="96"/>
      <c r="F185" s="96"/>
      <c r="G185" s="97"/>
      <c r="N185" s="24"/>
      <c r="O185" s="43"/>
      <c r="P185" s="43"/>
      <c r="Q185" s="44"/>
      <c r="R185" s="27"/>
      <c r="S185" s="28"/>
      <c r="T185" s="28"/>
      <c r="U185" s="28"/>
      <c r="V185" s="28"/>
      <c r="W185" s="28"/>
      <c r="X185" s="42"/>
      <c r="Y185" s="76" t="str">
        <f t="shared" si="9"/>
        <v/>
      </c>
      <c r="Z185" s="77" t="str">
        <f t="shared" si="10"/>
        <v/>
      </c>
      <c r="AA185" s="77" t="str">
        <f t="shared" si="11"/>
        <v/>
      </c>
      <c r="AB185" s="77" t="str">
        <f t="shared" si="12"/>
        <v/>
      </c>
      <c r="AC185" s="20" t="s">
        <v>194</v>
      </c>
      <c r="AD185" s="53">
        <v>823056.42059999995</v>
      </c>
      <c r="AE185" s="53">
        <v>1091454.6155000001</v>
      </c>
      <c r="AF185" s="53">
        <v>-120.2897</v>
      </c>
    </row>
    <row r="186" spans="4:32" x14ac:dyDescent="0.25">
      <c r="D186" s="19"/>
      <c r="E186" s="96"/>
      <c r="F186" s="96"/>
      <c r="G186" s="97"/>
      <c r="N186" s="24"/>
      <c r="O186" s="43"/>
      <c r="P186" s="43"/>
      <c r="Q186" s="44"/>
      <c r="R186" s="27"/>
      <c r="S186" s="28"/>
      <c r="T186" s="28"/>
      <c r="U186" s="28"/>
      <c r="V186" s="28"/>
      <c r="W186" s="28"/>
      <c r="X186" s="42"/>
      <c r="Y186" s="76" t="str">
        <f t="shared" si="9"/>
        <v/>
      </c>
      <c r="Z186" s="77" t="str">
        <f t="shared" si="10"/>
        <v/>
      </c>
      <c r="AA186" s="77" t="str">
        <f t="shared" si="11"/>
        <v/>
      </c>
      <c r="AB186" s="77" t="str">
        <f t="shared" si="12"/>
        <v/>
      </c>
      <c r="AC186" s="20" t="s">
        <v>195</v>
      </c>
      <c r="AD186" s="53">
        <v>823056.19350000005</v>
      </c>
      <c r="AE186" s="53">
        <v>1091454.5151</v>
      </c>
      <c r="AF186" s="53">
        <v>-120.1617</v>
      </c>
    </row>
    <row r="187" spans="4:32" x14ac:dyDescent="0.25">
      <c r="D187" s="19"/>
      <c r="E187" s="96"/>
      <c r="F187" s="96"/>
      <c r="G187" s="97"/>
      <c r="N187" s="24"/>
      <c r="O187" s="43"/>
      <c r="P187" s="43"/>
      <c r="Q187" s="44"/>
      <c r="R187" s="27"/>
      <c r="S187" s="28"/>
      <c r="T187" s="28"/>
      <c r="U187" s="28"/>
      <c r="V187" s="28"/>
      <c r="W187" s="28"/>
      <c r="X187" s="42"/>
      <c r="Y187" s="76" t="str">
        <f t="shared" si="9"/>
        <v/>
      </c>
      <c r="Z187" s="77" t="str">
        <f t="shared" si="10"/>
        <v/>
      </c>
      <c r="AA187" s="77" t="str">
        <f t="shared" si="11"/>
        <v/>
      </c>
      <c r="AB187" s="77" t="str">
        <f t="shared" si="12"/>
        <v/>
      </c>
      <c r="AC187" s="20" t="s">
        <v>196</v>
      </c>
      <c r="AD187" s="53">
        <v>823055.74659999995</v>
      </c>
      <c r="AE187" s="53">
        <v>1091454.3101999999</v>
      </c>
      <c r="AF187" s="53">
        <v>-119.9552</v>
      </c>
    </row>
    <row r="188" spans="4:32" x14ac:dyDescent="0.25">
      <c r="D188" s="19"/>
      <c r="E188" s="96"/>
      <c r="F188" s="96"/>
      <c r="G188" s="97"/>
      <c r="N188" s="24"/>
      <c r="O188" s="43"/>
      <c r="P188" s="43"/>
      <c r="Q188" s="44"/>
      <c r="R188" s="27"/>
      <c r="S188" s="28"/>
      <c r="T188" s="28"/>
      <c r="U188" s="28"/>
      <c r="V188" s="28"/>
      <c r="W188" s="28"/>
      <c r="X188" s="42"/>
      <c r="Y188" s="76" t="str">
        <f t="shared" si="9"/>
        <v/>
      </c>
      <c r="Z188" s="77" t="str">
        <f t="shared" si="10"/>
        <v/>
      </c>
      <c r="AA188" s="77" t="str">
        <f t="shared" si="11"/>
        <v/>
      </c>
      <c r="AB188" s="77" t="str">
        <f t="shared" si="12"/>
        <v/>
      </c>
      <c r="AC188" s="20" t="s">
        <v>197</v>
      </c>
      <c r="AD188" s="53">
        <v>823055.48529999994</v>
      </c>
      <c r="AE188" s="53">
        <v>1091454.1880000001</v>
      </c>
      <c r="AF188" s="53">
        <v>-119.9083</v>
      </c>
    </row>
    <row r="189" spans="4:32" x14ac:dyDescent="0.25">
      <c r="D189" s="19"/>
      <c r="E189" s="96"/>
      <c r="F189" s="96"/>
      <c r="G189" s="97"/>
      <c r="N189" s="24"/>
      <c r="O189" s="43"/>
      <c r="P189" s="43"/>
      <c r="Q189" s="44"/>
      <c r="R189" s="27"/>
      <c r="S189" s="28"/>
      <c r="T189" s="28"/>
      <c r="U189" s="28"/>
      <c r="V189" s="28"/>
      <c r="W189" s="28"/>
      <c r="X189" s="42"/>
      <c r="Y189" s="76" t="str">
        <f t="shared" si="9"/>
        <v/>
      </c>
      <c r="Z189" s="77" t="str">
        <f t="shared" si="10"/>
        <v/>
      </c>
      <c r="AA189" s="77" t="str">
        <f t="shared" si="11"/>
        <v/>
      </c>
      <c r="AB189" s="77" t="str">
        <f t="shared" si="12"/>
        <v/>
      </c>
      <c r="AC189" s="20" t="s">
        <v>198</v>
      </c>
      <c r="AD189" s="53">
        <v>823055.26269999996</v>
      </c>
      <c r="AE189" s="53">
        <v>1091454.0863000001</v>
      </c>
      <c r="AF189" s="53">
        <v>-119.8651</v>
      </c>
    </row>
    <row r="190" spans="4:32" x14ac:dyDescent="0.25">
      <c r="D190" s="19"/>
      <c r="E190" s="96"/>
      <c r="F190" s="96"/>
      <c r="G190" s="97"/>
      <c r="N190" s="24"/>
      <c r="O190" s="43"/>
      <c r="P190" s="43"/>
      <c r="Q190" s="44"/>
      <c r="R190" s="27"/>
      <c r="S190" s="28"/>
      <c r="T190" s="28"/>
      <c r="U190" s="28"/>
      <c r="V190" s="28"/>
      <c r="W190" s="28"/>
      <c r="X190" s="42"/>
      <c r="Y190" s="76" t="str">
        <f t="shared" si="9"/>
        <v/>
      </c>
      <c r="Z190" s="77" t="str">
        <f t="shared" si="10"/>
        <v/>
      </c>
      <c r="AA190" s="77" t="str">
        <f t="shared" si="11"/>
        <v/>
      </c>
      <c r="AB190" s="77" t="str">
        <f t="shared" si="12"/>
        <v/>
      </c>
      <c r="AC190" s="20" t="s">
        <v>199</v>
      </c>
      <c r="AD190" s="53">
        <v>823054.81969999999</v>
      </c>
      <c r="AE190" s="53">
        <v>1091453.8777999999</v>
      </c>
      <c r="AF190" s="53">
        <v>-119.8798</v>
      </c>
    </row>
    <row r="191" spans="4:32" x14ac:dyDescent="0.25">
      <c r="D191" s="19"/>
      <c r="E191" s="96"/>
      <c r="F191" s="96"/>
      <c r="G191" s="97"/>
      <c r="N191" s="24"/>
      <c r="O191" s="43"/>
      <c r="P191" s="43"/>
      <c r="Q191" s="44"/>
      <c r="R191" s="27"/>
      <c r="S191" s="28"/>
      <c r="T191" s="28"/>
      <c r="U191" s="28"/>
      <c r="V191" s="28"/>
      <c r="W191" s="28"/>
      <c r="X191" s="42"/>
      <c r="Y191" s="76" t="str">
        <f t="shared" si="9"/>
        <v/>
      </c>
      <c r="Z191" s="77" t="str">
        <f t="shared" si="10"/>
        <v/>
      </c>
      <c r="AA191" s="77" t="str">
        <f t="shared" si="11"/>
        <v/>
      </c>
      <c r="AB191" s="77" t="str">
        <f t="shared" si="12"/>
        <v/>
      </c>
      <c r="AC191" s="20" t="s">
        <v>200</v>
      </c>
      <c r="AD191" s="53">
        <v>823054.527</v>
      </c>
      <c r="AE191" s="53">
        <v>1091453.7427999999</v>
      </c>
      <c r="AF191" s="53">
        <v>-119.9376</v>
      </c>
    </row>
    <row r="192" spans="4:32" x14ac:dyDescent="0.25">
      <c r="D192" s="19"/>
      <c r="E192" s="96"/>
      <c r="F192" s="96"/>
      <c r="G192" s="97"/>
      <c r="N192" s="24"/>
      <c r="O192" s="43"/>
      <c r="P192" s="43"/>
      <c r="Q192" s="44"/>
      <c r="R192" s="27"/>
      <c r="S192" s="28"/>
      <c r="T192" s="28"/>
      <c r="U192" s="28"/>
      <c r="V192" s="28"/>
      <c r="W192" s="28"/>
      <c r="X192" s="42"/>
      <c r="Y192" s="76" t="str">
        <f t="shared" si="9"/>
        <v/>
      </c>
      <c r="Z192" s="77" t="str">
        <f t="shared" si="10"/>
        <v/>
      </c>
      <c r="AA192" s="77" t="str">
        <f t="shared" si="11"/>
        <v/>
      </c>
      <c r="AB192" s="77" t="str">
        <f t="shared" si="12"/>
        <v/>
      </c>
      <c r="AC192" s="20" t="s">
        <v>201</v>
      </c>
      <c r="AD192" s="53">
        <v>823054.31949999998</v>
      </c>
      <c r="AE192" s="53">
        <v>1091453.6451000001</v>
      </c>
      <c r="AF192" s="53">
        <v>-119.97790000000001</v>
      </c>
    </row>
    <row r="193" spans="4:32" x14ac:dyDescent="0.25">
      <c r="D193" s="19"/>
      <c r="E193" s="96"/>
      <c r="F193" s="96"/>
      <c r="G193" s="97"/>
      <c r="N193" s="24"/>
      <c r="O193" s="43"/>
      <c r="P193" s="43"/>
      <c r="Q193" s="44"/>
      <c r="R193" s="27"/>
      <c r="S193" s="28"/>
      <c r="T193" s="28"/>
      <c r="U193" s="28"/>
      <c r="V193" s="28"/>
      <c r="W193" s="28"/>
      <c r="X193" s="42"/>
      <c r="Y193" s="76" t="str">
        <f t="shared" si="9"/>
        <v/>
      </c>
      <c r="Z193" s="77" t="str">
        <f t="shared" si="10"/>
        <v/>
      </c>
      <c r="AA193" s="77" t="str">
        <f t="shared" si="11"/>
        <v/>
      </c>
      <c r="AB193" s="77" t="str">
        <f t="shared" si="12"/>
        <v/>
      </c>
      <c r="AC193" s="20" t="s">
        <v>202</v>
      </c>
      <c r="AD193" s="53">
        <v>823053.88199999998</v>
      </c>
      <c r="AE193" s="53">
        <v>1091453.4473999999</v>
      </c>
      <c r="AF193" s="53">
        <v>-120.18819999999999</v>
      </c>
    </row>
    <row r="194" spans="4:32" x14ac:dyDescent="0.25">
      <c r="D194" s="19"/>
      <c r="E194" s="96"/>
      <c r="F194" s="96"/>
      <c r="G194" s="97"/>
      <c r="N194" s="24"/>
      <c r="O194" s="43"/>
      <c r="P194" s="43"/>
      <c r="Q194" s="44"/>
      <c r="R194" s="27"/>
      <c r="S194" s="28"/>
      <c r="T194" s="28"/>
      <c r="U194" s="28"/>
      <c r="V194" s="28"/>
      <c r="W194" s="28"/>
      <c r="X194" s="42"/>
      <c r="Y194" s="76" t="str">
        <f t="shared" si="9"/>
        <v/>
      </c>
      <c r="Z194" s="77" t="str">
        <f t="shared" si="10"/>
        <v/>
      </c>
      <c r="AA194" s="77" t="str">
        <f t="shared" si="11"/>
        <v/>
      </c>
      <c r="AB194" s="77" t="str">
        <f t="shared" si="12"/>
        <v/>
      </c>
      <c r="AC194" s="20" t="s">
        <v>203</v>
      </c>
      <c r="AD194" s="53">
        <v>823053.65599999996</v>
      </c>
      <c r="AE194" s="53">
        <v>1091453.3363999999</v>
      </c>
      <c r="AF194" s="53">
        <v>-120.34180000000001</v>
      </c>
    </row>
    <row r="195" spans="4:32" x14ac:dyDescent="0.25">
      <c r="D195" s="19"/>
      <c r="E195" s="96"/>
      <c r="F195" s="96"/>
      <c r="G195" s="97"/>
      <c r="N195" s="24"/>
      <c r="O195" s="43"/>
      <c r="P195" s="43"/>
      <c r="Q195" s="44"/>
      <c r="R195" s="27"/>
      <c r="S195" s="28"/>
      <c r="T195" s="28"/>
      <c r="U195" s="28"/>
      <c r="V195" s="28"/>
      <c r="W195" s="28"/>
      <c r="X195" s="42"/>
      <c r="Y195" s="76" t="str">
        <f t="shared" si="9"/>
        <v/>
      </c>
      <c r="Z195" s="77" t="str">
        <f t="shared" si="10"/>
        <v/>
      </c>
      <c r="AA195" s="77" t="str">
        <f t="shared" si="11"/>
        <v/>
      </c>
      <c r="AB195" s="77" t="str">
        <f t="shared" si="12"/>
        <v/>
      </c>
      <c r="AC195" s="20" t="s">
        <v>204</v>
      </c>
      <c r="AD195" s="53">
        <v>823053.48160000006</v>
      </c>
      <c r="AE195" s="53">
        <v>1091453.2564999999</v>
      </c>
      <c r="AF195" s="53">
        <v>-120.465</v>
      </c>
    </row>
    <row r="196" spans="4:32" x14ac:dyDescent="0.25">
      <c r="D196" s="19"/>
      <c r="E196" s="96"/>
      <c r="F196" s="96"/>
      <c r="G196" s="97"/>
      <c r="N196" s="24"/>
      <c r="O196" s="43"/>
      <c r="P196" s="43"/>
      <c r="Q196" s="44"/>
      <c r="R196" s="27"/>
      <c r="S196" s="28"/>
      <c r="T196" s="28"/>
      <c r="U196" s="28"/>
      <c r="V196" s="28"/>
      <c r="W196" s="28"/>
      <c r="X196" s="42"/>
      <c r="Y196" s="76" t="str">
        <f t="shared" ref="Y196:Y259" si="13">IF(ISBLANK(N196),"",N196)</f>
        <v/>
      </c>
      <c r="Z196" s="77" t="str">
        <f t="shared" ref="Z196:Z259" si="14">IF(ISBLANK(O196),"",O196-V196)</f>
        <v/>
      </c>
      <c r="AA196" s="77" t="str">
        <f t="shared" ref="AA196:AA259" si="15">IF(ISBLANK(P196),"",P196-W196)</f>
        <v/>
      </c>
      <c r="AB196" s="77" t="str">
        <f t="shared" ref="AB196:AB259" si="16">IF(ISBLANK(Q196),"",Q196-X196)</f>
        <v/>
      </c>
      <c r="AC196" s="20" t="s">
        <v>205</v>
      </c>
      <c r="AD196" s="53">
        <v>823053.14950000006</v>
      </c>
      <c r="AE196" s="53">
        <v>1091453.0963999999</v>
      </c>
      <c r="AF196" s="53">
        <v>-120.8135</v>
      </c>
    </row>
    <row r="197" spans="4:32" x14ac:dyDescent="0.25">
      <c r="D197" s="19"/>
      <c r="E197" s="96"/>
      <c r="F197" s="96"/>
      <c r="G197" s="97"/>
      <c r="N197" s="24"/>
      <c r="O197" s="43"/>
      <c r="P197" s="43"/>
      <c r="Q197" s="44"/>
      <c r="R197" s="27"/>
      <c r="S197" s="28"/>
      <c r="T197" s="28"/>
      <c r="U197" s="28"/>
      <c r="V197" s="28"/>
      <c r="W197" s="28"/>
      <c r="X197" s="42"/>
      <c r="Y197" s="76" t="str">
        <f t="shared" si="13"/>
        <v/>
      </c>
      <c r="Z197" s="77" t="str">
        <f t="shared" si="14"/>
        <v/>
      </c>
      <c r="AA197" s="77" t="str">
        <f t="shared" si="15"/>
        <v/>
      </c>
      <c r="AB197" s="77" t="str">
        <f t="shared" si="16"/>
        <v/>
      </c>
      <c r="AC197" s="20" t="s">
        <v>206</v>
      </c>
      <c r="AD197" s="53">
        <v>823052.99459999998</v>
      </c>
      <c r="AE197" s="53">
        <v>1091453.0245999999</v>
      </c>
      <c r="AF197" s="53">
        <v>-121.0129</v>
      </c>
    </row>
    <row r="198" spans="4:32" x14ac:dyDescent="0.25">
      <c r="D198" s="19"/>
      <c r="E198" s="96"/>
      <c r="F198" s="96"/>
      <c r="G198" s="97"/>
      <c r="N198" s="24"/>
      <c r="O198" s="43"/>
      <c r="P198" s="43"/>
      <c r="Q198" s="44"/>
      <c r="R198" s="27"/>
      <c r="S198" s="28"/>
      <c r="T198" s="28"/>
      <c r="U198" s="28"/>
      <c r="V198" s="28"/>
      <c r="W198" s="28"/>
      <c r="X198" s="42"/>
      <c r="Y198" s="76" t="str">
        <f t="shared" si="13"/>
        <v/>
      </c>
      <c r="Z198" s="77" t="str">
        <f t="shared" si="14"/>
        <v/>
      </c>
      <c r="AA198" s="77" t="str">
        <f t="shared" si="15"/>
        <v/>
      </c>
      <c r="AB198" s="77" t="str">
        <f t="shared" si="16"/>
        <v/>
      </c>
      <c r="AC198" s="20" t="s">
        <v>207</v>
      </c>
      <c r="AD198" s="53">
        <v>823052.84569999995</v>
      </c>
      <c r="AE198" s="53">
        <v>1091452.9524999999</v>
      </c>
      <c r="AF198" s="53">
        <v>-121.24760000000001</v>
      </c>
    </row>
    <row r="199" spans="4:32" x14ac:dyDescent="0.25">
      <c r="D199" s="19"/>
      <c r="E199" s="96"/>
      <c r="F199" s="96"/>
      <c r="G199" s="97"/>
      <c r="N199" s="24"/>
      <c r="O199" s="43"/>
      <c r="P199" s="43"/>
      <c r="Q199" s="44"/>
      <c r="R199" s="27"/>
      <c r="S199" s="28"/>
      <c r="T199" s="28"/>
      <c r="U199" s="28"/>
      <c r="V199" s="28"/>
      <c r="W199" s="28"/>
      <c r="X199" s="42"/>
      <c r="Y199" s="76" t="str">
        <f t="shared" si="13"/>
        <v/>
      </c>
      <c r="Z199" s="77" t="str">
        <f t="shared" si="14"/>
        <v/>
      </c>
      <c r="AA199" s="77" t="str">
        <f t="shared" si="15"/>
        <v/>
      </c>
      <c r="AB199" s="77" t="str">
        <f t="shared" si="16"/>
        <v/>
      </c>
      <c r="AC199" s="20" t="s">
        <v>208</v>
      </c>
      <c r="AD199" s="53">
        <v>823052.57759999996</v>
      </c>
      <c r="AE199" s="53">
        <v>1091452.8134999999</v>
      </c>
      <c r="AF199" s="53">
        <v>-122.00749999999999</v>
      </c>
    </row>
    <row r="200" spans="4:32" x14ac:dyDescent="0.25">
      <c r="D200" s="19"/>
      <c r="E200" s="96"/>
      <c r="F200" s="96"/>
      <c r="G200" s="97"/>
      <c r="N200" s="24"/>
      <c r="O200" s="43"/>
      <c r="P200" s="43"/>
      <c r="Q200" s="44"/>
      <c r="R200" s="27"/>
      <c r="S200" s="28"/>
      <c r="T200" s="28"/>
      <c r="U200" s="28"/>
      <c r="V200" s="28"/>
      <c r="W200" s="28"/>
      <c r="X200" s="42"/>
      <c r="Y200" s="76" t="str">
        <f t="shared" si="13"/>
        <v/>
      </c>
      <c r="Z200" s="77" t="str">
        <f t="shared" si="14"/>
        <v/>
      </c>
      <c r="AA200" s="77" t="str">
        <f t="shared" si="15"/>
        <v/>
      </c>
      <c r="AB200" s="77" t="str">
        <f t="shared" si="16"/>
        <v/>
      </c>
      <c r="AC200" s="20" t="s">
        <v>209</v>
      </c>
      <c r="AD200" s="53">
        <v>823052.49100000004</v>
      </c>
      <c r="AE200" s="53">
        <v>1091452.7736</v>
      </c>
      <c r="AF200" s="53">
        <v>-122.2841</v>
      </c>
    </row>
    <row r="201" spans="4:32" x14ac:dyDescent="0.25">
      <c r="D201" s="19"/>
      <c r="E201" s="96"/>
      <c r="F201" s="96"/>
      <c r="G201" s="97"/>
      <c r="N201" s="24"/>
      <c r="O201" s="43"/>
      <c r="P201" s="43"/>
      <c r="Q201" s="44"/>
      <c r="R201" s="27"/>
      <c r="S201" s="28"/>
      <c r="T201" s="28"/>
      <c r="U201" s="28"/>
      <c r="V201" s="28"/>
      <c r="W201" s="28"/>
      <c r="X201" s="42"/>
      <c r="Y201" s="76" t="str">
        <f t="shared" si="13"/>
        <v/>
      </c>
      <c r="Z201" s="77" t="str">
        <f t="shared" si="14"/>
        <v/>
      </c>
      <c r="AA201" s="77" t="str">
        <f t="shared" si="15"/>
        <v/>
      </c>
      <c r="AB201" s="77" t="str">
        <f t="shared" si="16"/>
        <v/>
      </c>
      <c r="AC201" s="20" t="s">
        <v>210</v>
      </c>
      <c r="AD201" s="53">
        <v>823052.45669999998</v>
      </c>
      <c r="AE201" s="53">
        <v>1091452.7512000001</v>
      </c>
      <c r="AF201" s="53">
        <v>-122.759</v>
      </c>
    </row>
    <row r="202" spans="4:32" x14ac:dyDescent="0.25">
      <c r="D202" s="19"/>
      <c r="E202" s="96"/>
      <c r="F202" s="96"/>
      <c r="G202" s="97"/>
      <c r="N202" s="24"/>
      <c r="O202" s="43"/>
      <c r="P202" s="43"/>
      <c r="Q202" s="44"/>
      <c r="R202" s="27"/>
      <c r="S202" s="28"/>
      <c r="T202" s="28"/>
      <c r="U202" s="28"/>
      <c r="V202" s="28"/>
      <c r="W202" s="28"/>
      <c r="X202" s="42"/>
      <c r="Y202" s="76" t="str">
        <f t="shared" si="13"/>
        <v/>
      </c>
      <c r="Z202" s="77" t="str">
        <f t="shared" si="14"/>
        <v/>
      </c>
      <c r="AA202" s="77" t="str">
        <f t="shared" si="15"/>
        <v/>
      </c>
      <c r="AB202" s="77" t="str">
        <f t="shared" si="16"/>
        <v/>
      </c>
      <c r="AC202" s="20" t="s">
        <v>211</v>
      </c>
      <c r="AD202" s="53">
        <v>823052.46530000004</v>
      </c>
      <c r="AE202" s="53">
        <v>1091452.7524999999</v>
      </c>
      <c r="AF202" s="53">
        <v>-123.0376</v>
      </c>
    </row>
    <row r="203" spans="4:32" x14ac:dyDescent="0.25">
      <c r="D203" s="19"/>
      <c r="E203" s="96"/>
      <c r="F203" s="96"/>
      <c r="G203" s="97"/>
      <c r="N203" s="24"/>
      <c r="O203" s="43"/>
      <c r="P203" s="43"/>
      <c r="Q203" s="44"/>
      <c r="R203" s="27"/>
      <c r="S203" s="28"/>
      <c r="T203" s="28"/>
      <c r="U203" s="28"/>
      <c r="V203" s="28"/>
      <c r="W203" s="28"/>
      <c r="X203" s="42"/>
      <c r="Y203" s="76" t="str">
        <f t="shared" si="13"/>
        <v/>
      </c>
      <c r="Z203" s="77" t="str">
        <f t="shared" si="14"/>
        <v/>
      </c>
      <c r="AA203" s="77" t="str">
        <f t="shared" si="15"/>
        <v/>
      </c>
      <c r="AB203" s="77" t="str">
        <f t="shared" si="16"/>
        <v/>
      </c>
      <c r="AC203" s="20" t="s">
        <v>212</v>
      </c>
      <c r="AD203" s="53">
        <v>823052.51119999995</v>
      </c>
      <c r="AE203" s="53">
        <v>1091452.7683000001</v>
      </c>
      <c r="AF203" s="53">
        <v>-123.31010000000001</v>
      </c>
    </row>
    <row r="204" spans="4:32" x14ac:dyDescent="0.25">
      <c r="D204" s="19"/>
      <c r="E204" s="96"/>
      <c r="F204" s="96"/>
      <c r="G204" s="97"/>
      <c r="N204" s="24"/>
      <c r="O204" s="43"/>
      <c r="P204" s="43"/>
      <c r="Q204" s="44"/>
      <c r="R204" s="27"/>
      <c r="S204" s="28"/>
      <c r="T204" s="28"/>
      <c r="U204" s="28"/>
      <c r="V204" s="28"/>
      <c r="W204" s="28"/>
      <c r="X204" s="42"/>
      <c r="Y204" s="76" t="str">
        <f t="shared" si="13"/>
        <v/>
      </c>
      <c r="Z204" s="77" t="str">
        <f t="shared" si="14"/>
        <v/>
      </c>
      <c r="AA204" s="77" t="str">
        <f t="shared" si="15"/>
        <v/>
      </c>
      <c r="AB204" s="77" t="str">
        <f t="shared" si="16"/>
        <v/>
      </c>
      <c r="AC204" s="20" t="s">
        <v>213</v>
      </c>
      <c r="AD204" s="53">
        <v>823052.62939999998</v>
      </c>
      <c r="AE204" s="53">
        <v>1091452.8160999999</v>
      </c>
      <c r="AF204" s="53">
        <v>-123.81480000000001</v>
      </c>
    </row>
    <row r="205" spans="4:32" x14ac:dyDescent="0.25">
      <c r="D205" s="19"/>
      <c r="E205" s="96"/>
      <c r="F205" s="96"/>
      <c r="G205" s="97"/>
      <c r="N205" s="24"/>
      <c r="O205" s="43"/>
      <c r="P205" s="43"/>
      <c r="Q205" s="44"/>
      <c r="R205" s="27"/>
      <c r="S205" s="28"/>
      <c r="T205" s="28"/>
      <c r="U205" s="28"/>
      <c r="V205" s="28"/>
      <c r="W205" s="28"/>
      <c r="X205" s="42"/>
      <c r="Y205" s="76" t="str">
        <f t="shared" si="13"/>
        <v/>
      </c>
      <c r="Z205" s="77" t="str">
        <f t="shared" si="14"/>
        <v/>
      </c>
      <c r="AA205" s="77" t="str">
        <f t="shared" si="15"/>
        <v/>
      </c>
      <c r="AB205" s="77" t="str">
        <f t="shared" si="16"/>
        <v/>
      </c>
      <c r="AC205" s="20" t="s">
        <v>214</v>
      </c>
      <c r="AD205" s="53">
        <v>823052.69979999994</v>
      </c>
      <c r="AE205" s="53">
        <v>1091452.8367000001</v>
      </c>
      <c r="AF205" s="53">
        <v>-124.0356</v>
      </c>
    </row>
    <row r="206" spans="4:32" x14ac:dyDescent="0.25">
      <c r="D206" s="19"/>
      <c r="E206" s="96"/>
      <c r="F206" s="96"/>
      <c r="G206" s="97"/>
      <c r="N206" s="24"/>
      <c r="O206" s="43"/>
      <c r="P206" s="43"/>
      <c r="Q206" s="44"/>
      <c r="R206" s="27"/>
      <c r="S206" s="28"/>
      <c r="T206" s="28"/>
      <c r="U206" s="28"/>
      <c r="V206" s="28"/>
      <c r="W206" s="28"/>
      <c r="X206" s="42"/>
      <c r="Y206" s="76" t="str">
        <f t="shared" si="13"/>
        <v/>
      </c>
      <c r="Z206" s="77" t="str">
        <f t="shared" si="14"/>
        <v/>
      </c>
      <c r="AA206" s="77" t="str">
        <f t="shared" si="15"/>
        <v/>
      </c>
      <c r="AB206" s="77" t="str">
        <f t="shared" si="16"/>
        <v/>
      </c>
      <c r="AC206" s="20" t="s">
        <v>215</v>
      </c>
      <c r="AD206" s="53">
        <v>823052.80359999998</v>
      </c>
      <c r="AE206" s="53">
        <v>1091452.8896999999</v>
      </c>
      <c r="AF206" s="53">
        <v>-124.255</v>
      </c>
    </row>
    <row r="207" spans="4:32" x14ac:dyDescent="0.25">
      <c r="D207" s="19"/>
      <c r="E207" s="96"/>
      <c r="F207" s="96"/>
      <c r="G207" s="97"/>
      <c r="N207" s="24"/>
      <c r="O207" s="43"/>
      <c r="P207" s="43"/>
      <c r="Q207" s="44"/>
      <c r="R207" s="27"/>
      <c r="S207" s="28"/>
      <c r="T207" s="28"/>
      <c r="U207" s="28"/>
      <c r="V207" s="28"/>
      <c r="W207" s="28"/>
      <c r="X207" s="42"/>
      <c r="Y207" s="76" t="str">
        <f t="shared" si="13"/>
        <v/>
      </c>
      <c r="Z207" s="77" t="str">
        <f t="shared" si="14"/>
        <v/>
      </c>
      <c r="AA207" s="77" t="str">
        <f t="shared" si="15"/>
        <v/>
      </c>
      <c r="AB207" s="77" t="str">
        <f t="shared" si="16"/>
        <v/>
      </c>
      <c r="AC207" s="20" t="s">
        <v>216</v>
      </c>
      <c r="AD207" s="53">
        <v>823050.77859999996</v>
      </c>
      <c r="AE207" s="53">
        <v>1091458.1477999999</v>
      </c>
      <c r="AF207" s="53">
        <v>-124.31</v>
      </c>
    </row>
    <row r="208" spans="4:32" x14ac:dyDescent="0.25">
      <c r="D208" s="19"/>
      <c r="E208" s="96"/>
      <c r="F208" s="96"/>
      <c r="G208" s="97"/>
      <c r="N208" s="24"/>
      <c r="O208" s="43"/>
      <c r="P208" s="43"/>
      <c r="Q208" s="44"/>
      <c r="R208" s="27"/>
      <c r="S208" s="28"/>
      <c r="T208" s="28"/>
      <c r="U208" s="28"/>
      <c r="V208" s="28"/>
      <c r="W208" s="28"/>
      <c r="X208" s="42"/>
      <c r="Y208" s="76" t="str">
        <f t="shared" si="13"/>
        <v/>
      </c>
      <c r="Z208" s="77" t="str">
        <f t="shared" si="14"/>
        <v/>
      </c>
      <c r="AA208" s="77" t="str">
        <f t="shared" si="15"/>
        <v/>
      </c>
      <c r="AB208" s="77" t="str">
        <f t="shared" si="16"/>
        <v/>
      </c>
      <c r="AC208" s="20" t="s">
        <v>217</v>
      </c>
      <c r="AD208" s="53">
        <v>823050.6531</v>
      </c>
      <c r="AE208" s="53">
        <v>1091458.0930999999</v>
      </c>
      <c r="AF208" s="53">
        <v>-124.0557</v>
      </c>
    </row>
    <row r="209" spans="4:32" x14ac:dyDescent="0.25">
      <c r="D209" s="19"/>
      <c r="E209" s="96"/>
      <c r="F209" s="96"/>
      <c r="G209" s="97"/>
      <c r="N209" s="24"/>
      <c r="O209" s="43"/>
      <c r="P209" s="43"/>
      <c r="Q209" s="44"/>
      <c r="R209" s="27"/>
      <c r="S209" s="28"/>
      <c r="T209" s="28"/>
      <c r="U209" s="28"/>
      <c r="V209" s="28"/>
      <c r="W209" s="28"/>
      <c r="X209" s="42"/>
      <c r="Y209" s="76" t="str">
        <f t="shared" si="13"/>
        <v/>
      </c>
      <c r="Z209" s="77" t="str">
        <f t="shared" si="14"/>
        <v/>
      </c>
      <c r="AA209" s="77" t="str">
        <f t="shared" si="15"/>
        <v/>
      </c>
      <c r="AB209" s="77" t="str">
        <f t="shared" si="16"/>
        <v/>
      </c>
      <c r="AC209" s="20" t="s">
        <v>218</v>
      </c>
      <c r="AD209" s="53">
        <v>823050.51659999997</v>
      </c>
      <c r="AE209" s="53">
        <v>1091458.0290999999</v>
      </c>
      <c r="AF209" s="53">
        <v>-123.7178</v>
      </c>
    </row>
    <row r="210" spans="4:32" x14ac:dyDescent="0.25">
      <c r="D210" s="19"/>
      <c r="E210" s="96"/>
      <c r="F210" s="96"/>
      <c r="G210" s="97"/>
      <c r="N210" s="24"/>
      <c r="O210" s="43"/>
      <c r="P210" s="43"/>
      <c r="Q210" s="44"/>
      <c r="R210" s="27"/>
      <c r="S210" s="28"/>
      <c r="T210" s="28"/>
      <c r="U210" s="28"/>
      <c r="V210" s="28"/>
      <c r="W210" s="28"/>
      <c r="X210" s="42"/>
      <c r="Y210" s="76" t="str">
        <f t="shared" si="13"/>
        <v/>
      </c>
      <c r="Z210" s="77" t="str">
        <f t="shared" si="14"/>
        <v/>
      </c>
      <c r="AA210" s="77" t="str">
        <f t="shared" si="15"/>
        <v/>
      </c>
      <c r="AB210" s="77" t="str">
        <f t="shared" si="16"/>
        <v/>
      </c>
      <c r="AC210" s="20" t="s">
        <v>219</v>
      </c>
      <c r="AD210" s="53">
        <v>823050.41130000004</v>
      </c>
      <c r="AE210" s="53">
        <v>1091457.9941</v>
      </c>
      <c r="AF210" s="53">
        <v>-123.2833</v>
      </c>
    </row>
    <row r="211" spans="4:32" x14ac:dyDescent="0.25">
      <c r="D211" s="19"/>
      <c r="E211" s="96"/>
      <c r="F211" s="96"/>
      <c r="G211" s="97"/>
      <c r="N211" s="24"/>
      <c r="O211" s="43"/>
      <c r="P211" s="43"/>
      <c r="Q211" s="44"/>
      <c r="R211" s="27"/>
      <c r="S211" s="28"/>
      <c r="T211" s="28"/>
      <c r="U211" s="28"/>
      <c r="V211" s="28"/>
      <c r="W211" s="28"/>
      <c r="X211" s="42"/>
      <c r="Y211" s="76" t="str">
        <f t="shared" si="13"/>
        <v/>
      </c>
      <c r="Z211" s="77" t="str">
        <f t="shared" si="14"/>
        <v/>
      </c>
      <c r="AA211" s="77" t="str">
        <f t="shared" si="15"/>
        <v/>
      </c>
      <c r="AB211" s="77" t="str">
        <f t="shared" si="16"/>
        <v/>
      </c>
      <c r="AC211" s="20" t="s">
        <v>220</v>
      </c>
      <c r="AD211" s="53">
        <v>823050.37309999997</v>
      </c>
      <c r="AE211" s="53">
        <v>1091457.9772999999</v>
      </c>
      <c r="AF211" s="53">
        <v>-122.9846</v>
      </c>
    </row>
    <row r="212" spans="4:32" x14ac:dyDescent="0.25">
      <c r="D212" s="19"/>
      <c r="E212" s="96"/>
      <c r="F212" s="96"/>
      <c r="G212" s="97"/>
      <c r="N212" s="24"/>
      <c r="O212" s="43"/>
      <c r="P212" s="43"/>
      <c r="Q212" s="44"/>
      <c r="R212" s="27"/>
      <c r="S212" s="28"/>
      <c r="T212" s="28"/>
      <c r="U212" s="28"/>
      <c r="V212" s="28"/>
      <c r="W212" s="28"/>
      <c r="X212" s="42"/>
      <c r="Y212" s="76" t="str">
        <f t="shared" si="13"/>
        <v/>
      </c>
      <c r="Z212" s="77" t="str">
        <f t="shared" si="14"/>
        <v/>
      </c>
      <c r="AA212" s="77" t="str">
        <f t="shared" si="15"/>
        <v/>
      </c>
      <c r="AB212" s="77" t="str">
        <f t="shared" si="16"/>
        <v/>
      </c>
      <c r="AC212" s="20" t="s">
        <v>221</v>
      </c>
      <c r="AD212" s="53">
        <v>823050.37890000001</v>
      </c>
      <c r="AE212" s="53">
        <v>1091457.9822</v>
      </c>
      <c r="AF212" s="53">
        <v>-122.7543</v>
      </c>
    </row>
    <row r="213" spans="4:32" x14ac:dyDescent="0.25">
      <c r="D213" s="19"/>
      <c r="E213" s="96"/>
      <c r="F213" s="96"/>
      <c r="G213" s="97"/>
      <c r="N213" s="24"/>
      <c r="O213" s="43"/>
      <c r="P213" s="43"/>
      <c r="Q213" s="44"/>
      <c r="R213" s="27"/>
      <c r="S213" s="28"/>
      <c r="T213" s="28"/>
      <c r="U213" s="28"/>
      <c r="V213" s="28"/>
      <c r="W213" s="28"/>
      <c r="X213" s="42"/>
      <c r="Y213" s="76" t="str">
        <f t="shared" si="13"/>
        <v/>
      </c>
      <c r="Z213" s="77" t="str">
        <f t="shared" si="14"/>
        <v/>
      </c>
      <c r="AA213" s="77" t="str">
        <f t="shared" si="15"/>
        <v/>
      </c>
      <c r="AB213" s="77" t="str">
        <f t="shared" si="16"/>
        <v/>
      </c>
      <c r="AC213" s="20" t="s">
        <v>222</v>
      </c>
      <c r="AD213" s="53">
        <v>823050.41449999996</v>
      </c>
      <c r="AE213" s="53">
        <v>1091458.0035999999</v>
      </c>
      <c r="AF213" s="53">
        <v>-122.46429999999999</v>
      </c>
    </row>
    <row r="214" spans="4:32" x14ac:dyDescent="0.25">
      <c r="D214" s="19"/>
      <c r="E214" s="96"/>
      <c r="F214" s="96"/>
      <c r="G214" s="97"/>
      <c r="N214" s="24"/>
      <c r="O214" s="43"/>
      <c r="P214" s="43"/>
      <c r="Q214" s="44"/>
      <c r="R214" s="27"/>
      <c r="S214" s="28"/>
      <c r="T214" s="28"/>
      <c r="U214" s="28"/>
      <c r="V214" s="28"/>
      <c r="W214" s="28"/>
      <c r="X214" s="42"/>
      <c r="Y214" s="76" t="str">
        <f t="shared" si="13"/>
        <v/>
      </c>
      <c r="Z214" s="77" t="str">
        <f t="shared" si="14"/>
        <v/>
      </c>
      <c r="AA214" s="77" t="str">
        <f t="shared" si="15"/>
        <v/>
      </c>
      <c r="AB214" s="77" t="str">
        <f t="shared" si="16"/>
        <v/>
      </c>
      <c r="AC214" s="20" t="s">
        <v>223</v>
      </c>
      <c r="AD214" s="53">
        <v>823050.4743</v>
      </c>
      <c r="AE214" s="53">
        <v>1091458.0342999999</v>
      </c>
      <c r="AF214" s="53">
        <v>-122.16540000000001</v>
      </c>
    </row>
    <row r="215" spans="4:32" x14ac:dyDescent="0.25">
      <c r="D215" s="19"/>
      <c r="E215" s="96"/>
      <c r="F215" s="96"/>
      <c r="G215" s="97"/>
      <c r="N215" s="24"/>
      <c r="O215" s="43"/>
      <c r="P215" s="43"/>
      <c r="Q215" s="44"/>
      <c r="R215" s="27"/>
      <c r="S215" s="28"/>
      <c r="T215" s="28"/>
      <c r="U215" s="28"/>
      <c r="V215" s="28"/>
      <c r="W215" s="28"/>
      <c r="X215" s="42"/>
      <c r="Y215" s="76" t="str">
        <f t="shared" si="13"/>
        <v/>
      </c>
      <c r="Z215" s="77" t="str">
        <f t="shared" si="14"/>
        <v/>
      </c>
      <c r="AA215" s="77" t="str">
        <f t="shared" si="15"/>
        <v/>
      </c>
      <c r="AB215" s="77" t="str">
        <f t="shared" si="16"/>
        <v/>
      </c>
      <c r="AC215" s="20" t="s">
        <v>224</v>
      </c>
      <c r="AD215" s="53">
        <v>823050.58299999998</v>
      </c>
      <c r="AE215" s="53">
        <v>1091458.0892</v>
      </c>
      <c r="AF215" s="53">
        <v>-121.7991</v>
      </c>
    </row>
    <row r="216" spans="4:32" x14ac:dyDescent="0.25">
      <c r="D216" s="19"/>
      <c r="E216" s="96"/>
      <c r="F216" s="96"/>
      <c r="G216" s="97"/>
      <c r="N216" s="24"/>
      <c r="O216" s="43"/>
      <c r="P216" s="43"/>
      <c r="Q216" s="44"/>
      <c r="R216" s="27"/>
      <c r="S216" s="28"/>
      <c r="T216" s="28"/>
      <c r="U216" s="28"/>
      <c r="V216" s="28"/>
      <c r="W216" s="28"/>
      <c r="X216" s="42"/>
      <c r="Y216" s="76" t="str">
        <f t="shared" si="13"/>
        <v/>
      </c>
      <c r="Z216" s="77" t="str">
        <f t="shared" si="14"/>
        <v/>
      </c>
      <c r="AA216" s="77" t="str">
        <f t="shared" si="15"/>
        <v/>
      </c>
      <c r="AB216" s="77" t="str">
        <f t="shared" si="16"/>
        <v/>
      </c>
      <c r="AC216" s="20" t="s">
        <v>225</v>
      </c>
      <c r="AD216" s="53">
        <v>823050.76130000001</v>
      </c>
      <c r="AE216" s="53">
        <v>1091458.1680999999</v>
      </c>
      <c r="AF216" s="53">
        <v>-121.465</v>
      </c>
    </row>
    <row r="217" spans="4:32" x14ac:dyDescent="0.25">
      <c r="D217" s="19"/>
      <c r="E217" s="96"/>
      <c r="F217" s="96"/>
      <c r="G217" s="97"/>
      <c r="N217" s="24"/>
      <c r="O217" s="43"/>
      <c r="P217" s="43"/>
      <c r="Q217" s="44"/>
      <c r="R217" s="27"/>
      <c r="S217" s="28"/>
      <c r="T217" s="28"/>
      <c r="U217" s="28"/>
      <c r="V217" s="28"/>
      <c r="W217" s="28"/>
      <c r="X217" s="42"/>
      <c r="Y217" s="76" t="str">
        <f t="shared" si="13"/>
        <v/>
      </c>
      <c r="Z217" s="77" t="str">
        <f t="shared" si="14"/>
        <v/>
      </c>
      <c r="AA217" s="77" t="str">
        <f t="shared" si="15"/>
        <v/>
      </c>
      <c r="AB217" s="77" t="str">
        <f t="shared" si="16"/>
        <v/>
      </c>
      <c r="AC217" s="20" t="s">
        <v>226</v>
      </c>
      <c r="AD217" s="53">
        <v>823050.9915</v>
      </c>
      <c r="AE217" s="53">
        <v>1091458.2849000001</v>
      </c>
      <c r="AF217" s="53">
        <v>-121.14109999999999</v>
      </c>
    </row>
    <row r="218" spans="4:32" x14ac:dyDescent="0.25">
      <c r="D218" s="19"/>
      <c r="E218" s="96"/>
      <c r="F218" s="96"/>
      <c r="G218" s="97"/>
      <c r="N218" s="24"/>
      <c r="O218" s="43"/>
      <c r="P218" s="43"/>
      <c r="Q218" s="44"/>
      <c r="R218" s="27"/>
      <c r="S218" s="28"/>
      <c r="T218" s="28"/>
      <c r="U218" s="28"/>
      <c r="V218" s="28"/>
      <c r="W218" s="28"/>
      <c r="X218" s="42"/>
      <c r="Y218" s="76" t="str">
        <f t="shared" si="13"/>
        <v/>
      </c>
      <c r="Z218" s="77" t="str">
        <f t="shared" si="14"/>
        <v/>
      </c>
      <c r="AA218" s="77" t="str">
        <f t="shared" si="15"/>
        <v/>
      </c>
      <c r="AB218" s="77" t="str">
        <f t="shared" si="16"/>
        <v/>
      </c>
      <c r="AC218" s="20" t="s">
        <v>227</v>
      </c>
      <c r="AD218" s="53">
        <v>823051.28</v>
      </c>
      <c r="AE218" s="53">
        <v>1091458.4225999999</v>
      </c>
      <c r="AF218" s="53">
        <v>-120.827</v>
      </c>
    </row>
    <row r="219" spans="4:32" x14ac:dyDescent="0.25">
      <c r="D219" s="19"/>
      <c r="E219" s="96"/>
      <c r="F219" s="96"/>
      <c r="G219" s="97"/>
      <c r="N219" s="24"/>
      <c r="O219" s="43"/>
      <c r="P219" s="43"/>
      <c r="Q219" s="44"/>
      <c r="R219" s="27"/>
      <c r="S219" s="28"/>
      <c r="T219" s="28"/>
      <c r="U219" s="28"/>
      <c r="V219" s="28"/>
      <c r="W219" s="28"/>
      <c r="X219" s="42"/>
      <c r="Y219" s="76" t="str">
        <f t="shared" si="13"/>
        <v/>
      </c>
      <c r="Z219" s="77" t="str">
        <f t="shared" si="14"/>
        <v/>
      </c>
      <c r="AA219" s="77" t="str">
        <f t="shared" si="15"/>
        <v/>
      </c>
      <c r="AB219" s="77" t="str">
        <f t="shared" si="16"/>
        <v/>
      </c>
      <c r="AC219" s="20" t="s">
        <v>228</v>
      </c>
      <c r="AD219" s="53">
        <v>823051.62490000005</v>
      </c>
      <c r="AE219" s="53">
        <v>1091458.5851</v>
      </c>
      <c r="AF219" s="53">
        <v>-120.57689999999999</v>
      </c>
    </row>
    <row r="220" spans="4:32" x14ac:dyDescent="0.25">
      <c r="D220" s="19"/>
      <c r="E220" s="96"/>
      <c r="F220" s="96"/>
      <c r="G220" s="97"/>
      <c r="N220" s="24"/>
      <c r="O220" s="43"/>
      <c r="P220" s="43"/>
      <c r="Q220" s="44"/>
      <c r="R220" s="27"/>
      <c r="S220" s="28"/>
      <c r="T220" s="28"/>
      <c r="U220" s="28"/>
      <c r="V220" s="28"/>
      <c r="W220" s="28"/>
      <c r="X220" s="42"/>
      <c r="Y220" s="76" t="str">
        <f t="shared" si="13"/>
        <v/>
      </c>
      <c r="Z220" s="77" t="str">
        <f t="shared" si="14"/>
        <v/>
      </c>
      <c r="AA220" s="77" t="str">
        <f t="shared" si="15"/>
        <v/>
      </c>
      <c r="AB220" s="77" t="str">
        <f t="shared" si="16"/>
        <v/>
      </c>
      <c r="AC220" s="20" t="s">
        <v>229</v>
      </c>
      <c r="AD220" s="53">
        <v>823051.95389999996</v>
      </c>
      <c r="AE220" s="53">
        <v>1091458.7408</v>
      </c>
      <c r="AF220" s="53">
        <v>-120.4084</v>
      </c>
    </row>
    <row r="221" spans="4:32" x14ac:dyDescent="0.25">
      <c r="D221" s="19"/>
      <c r="E221" s="96"/>
      <c r="F221" s="96"/>
      <c r="G221" s="97"/>
      <c r="N221" s="24"/>
      <c r="O221" s="43"/>
      <c r="P221" s="43"/>
      <c r="Q221" s="44"/>
      <c r="R221" s="27"/>
      <c r="S221" s="28"/>
      <c r="T221" s="28"/>
      <c r="U221" s="28"/>
      <c r="V221" s="28"/>
      <c r="W221" s="28"/>
      <c r="X221" s="42"/>
      <c r="Y221" s="76" t="str">
        <f t="shared" si="13"/>
        <v/>
      </c>
      <c r="Z221" s="77" t="str">
        <f t="shared" si="14"/>
        <v/>
      </c>
      <c r="AA221" s="77" t="str">
        <f t="shared" si="15"/>
        <v/>
      </c>
      <c r="AB221" s="77" t="str">
        <f t="shared" si="16"/>
        <v/>
      </c>
      <c r="AC221" s="20" t="s">
        <v>230</v>
      </c>
      <c r="AD221" s="53">
        <v>823052.22809999995</v>
      </c>
      <c r="AE221" s="53">
        <v>1091458.8743</v>
      </c>
      <c r="AF221" s="53">
        <v>-120.3109</v>
      </c>
    </row>
    <row r="222" spans="4:32" x14ac:dyDescent="0.25">
      <c r="D222" s="19"/>
      <c r="E222" s="96"/>
      <c r="F222" s="96"/>
      <c r="G222" s="97"/>
      <c r="N222" s="24"/>
      <c r="O222" s="43"/>
      <c r="P222" s="43"/>
      <c r="Q222" s="44"/>
      <c r="R222" s="27"/>
      <c r="S222" s="28"/>
      <c r="T222" s="28"/>
      <c r="U222" s="28"/>
      <c r="V222" s="28"/>
      <c r="W222" s="28"/>
      <c r="X222" s="42"/>
      <c r="Y222" s="76" t="str">
        <f t="shared" si="13"/>
        <v/>
      </c>
      <c r="Z222" s="77" t="str">
        <f t="shared" si="14"/>
        <v/>
      </c>
      <c r="AA222" s="77" t="str">
        <f t="shared" si="15"/>
        <v/>
      </c>
      <c r="AB222" s="77" t="str">
        <f t="shared" si="16"/>
        <v/>
      </c>
      <c r="AC222" s="20" t="s">
        <v>231</v>
      </c>
      <c r="AD222" s="53">
        <v>823052.57479999994</v>
      </c>
      <c r="AE222" s="53">
        <v>1091459.0338999999</v>
      </c>
      <c r="AF222" s="53">
        <v>-120.2499</v>
      </c>
    </row>
    <row r="223" spans="4:32" x14ac:dyDescent="0.25">
      <c r="D223" s="19"/>
      <c r="E223" s="96"/>
      <c r="F223" s="96"/>
      <c r="G223" s="97"/>
      <c r="N223" s="24"/>
      <c r="O223" s="43"/>
      <c r="P223" s="43"/>
      <c r="Q223" s="44"/>
      <c r="R223" s="27"/>
      <c r="S223" s="28"/>
      <c r="T223" s="28"/>
      <c r="U223" s="28"/>
      <c r="V223" s="28"/>
      <c r="W223" s="28"/>
      <c r="X223" s="42"/>
      <c r="Y223" s="76" t="str">
        <f t="shared" si="13"/>
        <v/>
      </c>
      <c r="Z223" s="77" t="str">
        <f t="shared" si="14"/>
        <v/>
      </c>
      <c r="AA223" s="77" t="str">
        <f t="shared" si="15"/>
        <v/>
      </c>
      <c r="AB223" s="77" t="str">
        <f t="shared" si="16"/>
        <v/>
      </c>
      <c r="AC223" s="20" t="s">
        <v>232</v>
      </c>
      <c r="AD223" s="53">
        <v>823052.92009999999</v>
      </c>
      <c r="AE223" s="53">
        <v>1091459.1947000001</v>
      </c>
      <c r="AF223" s="53">
        <v>-120.27419999999999</v>
      </c>
    </row>
    <row r="224" spans="4:32" x14ac:dyDescent="0.25">
      <c r="D224" s="19"/>
      <c r="E224" s="96"/>
      <c r="F224" s="96"/>
      <c r="G224" s="97"/>
      <c r="N224" s="24"/>
      <c r="O224" s="43"/>
      <c r="P224" s="43"/>
      <c r="Q224" s="44"/>
      <c r="R224" s="27"/>
      <c r="S224" s="28"/>
      <c r="T224" s="28"/>
      <c r="U224" s="28"/>
      <c r="V224" s="28"/>
      <c r="W224" s="28"/>
      <c r="X224" s="42"/>
      <c r="Y224" s="76" t="str">
        <f t="shared" si="13"/>
        <v/>
      </c>
      <c r="Z224" s="77" t="str">
        <f t="shared" si="14"/>
        <v/>
      </c>
      <c r="AA224" s="77" t="str">
        <f t="shared" si="15"/>
        <v/>
      </c>
      <c r="AB224" s="77" t="str">
        <f t="shared" si="16"/>
        <v/>
      </c>
      <c r="AC224" s="20" t="s">
        <v>233</v>
      </c>
      <c r="AD224" s="53">
        <v>823053.26150000002</v>
      </c>
      <c r="AE224" s="53">
        <v>1091459.3522000001</v>
      </c>
      <c r="AF224" s="53">
        <v>-120.358</v>
      </c>
    </row>
    <row r="225" spans="4:32" x14ac:dyDescent="0.25">
      <c r="D225" s="19"/>
      <c r="E225" s="96"/>
      <c r="F225" s="96"/>
      <c r="G225" s="97"/>
      <c r="N225" s="24"/>
      <c r="O225" s="43"/>
      <c r="P225" s="43"/>
      <c r="Q225" s="44"/>
      <c r="R225" s="27"/>
      <c r="S225" s="28"/>
      <c r="T225" s="28"/>
      <c r="U225" s="28"/>
      <c r="V225" s="28"/>
      <c r="W225" s="28"/>
      <c r="X225" s="42"/>
      <c r="Y225" s="76" t="str">
        <f t="shared" si="13"/>
        <v/>
      </c>
      <c r="Z225" s="77" t="str">
        <f t="shared" si="14"/>
        <v/>
      </c>
      <c r="AA225" s="77" t="str">
        <f t="shared" si="15"/>
        <v/>
      </c>
      <c r="AB225" s="77" t="str">
        <f t="shared" si="16"/>
        <v/>
      </c>
      <c r="AC225" s="20" t="s">
        <v>234</v>
      </c>
      <c r="AD225" s="53">
        <v>823053.54469999997</v>
      </c>
      <c r="AE225" s="53">
        <v>1091459.4831999999</v>
      </c>
      <c r="AF225" s="53">
        <v>-120.4325</v>
      </c>
    </row>
    <row r="226" spans="4:32" x14ac:dyDescent="0.25">
      <c r="D226" s="19"/>
      <c r="E226" s="96"/>
      <c r="F226" s="96"/>
      <c r="G226" s="97"/>
      <c r="N226" s="24"/>
      <c r="O226" s="43"/>
      <c r="P226" s="43"/>
      <c r="Q226" s="44"/>
      <c r="R226" s="27"/>
      <c r="S226" s="28"/>
      <c r="T226" s="28"/>
      <c r="U226" s="28"/>
      <c r="V226" s="28"/>
      <c r="W226" s="28"/>
      <c r="X226" s="42"/>
      <c r="Y226" s="76" t="str">
        <f t="shared" si="13"/>
        <v/>
      </c>
      <c r="Z226" s="77" t="str">
        <f t="shared" si="14"/>
        <v/>
      </c>
      <c r="AA226" s="77" t="str">
        <f t="shared" si="15"/>
        <v/>
      </c>
      <c r="AB226" s="77" t="str">
        <f t="shared" si="16"/>
        <v/>
      </c>
      <c r="AC226" s="20" t="s">
        <v>235</v>
      </c>
      <c r="AD226" s="53">
        <v>823053.78700000001</v>
      </c>
      <c r="AE226" s="53">
        <v>1091459.5926999999</v>
      </c>
      <c r="AF226" s="53">
        <v>-120.58280000000001</v>
      </c>
    </row>
    <row r="227" spans="4:32" x14ac:dyDescent="0.25">
      <c r="D227" s="19"/>
      <c r="E227" s="96"/>
      <c r="F227" s="96"/>
      <c r="G227" s="97"/>
      <c r="N227" s="24"/>
      <c r="O227" s="43"/>
      <c r="P227" s="43"/>
      <c r="Q227" s="44"/>
      <c r="R227" s="27"/>
      <c r="S227" s="28"/>
      <c r="T227" s="28"/>
      <c r="U227" s="28"/>
      <c r="V227" s="28"/>
      <c r="W227" s="28"/>
      <c r="X227" s="42"/>
      <c r="Y227" s="76" t="str">
        <f t="shared" si="13"/>
        <v/>
      </c>
      <c r="Z227" s="77" t="str">
        <f t="shared" si="14"/>
        <v/>
      </c>
      <c r="AA227" s="77" t="str">
        <f t="shared" si="15"/>
        <v/>
      </c>
      <c r="AB227" s="77" t="str">
        <f t="shared" si="16"/>
        <v/>
      </c>
      <c r="AC227" s="20" t="s">
        <v>236</v>
      </c>
      <c r="AD227" s="53">
        <v>823054.06350000005</v>
      </c>
      <c r="AE227" s="53">
        <v>1091459.7132000001</v>
      </c>
      <c r="AF227" s="53">
        <v>-120.7572</v>
      </c>
    </row>
    <row r="228" spans="4:32" x14ac:dyDescent="0.25">
      <c r="D228" s="19"/>
      <c r="E228" s="96"/>
      <c r="F228" s="96"/>
      <c r="G228" s="97"/>
      <c r="N228" s="24"/>
      <c r="O228" s="43"/>
      <c r="P228" s="43"/>
      <c r="Q228" s="44"/>
      <c r="R228" s="27"/>
      <c r="S228" s="28"/>
      <c r="T228" s="28"/>
      <c r="U228" s="28"/>
      <c r="V228" s="28"/>
      <c r="W228" s="28"/>
      <c r="X228" s="42"/>
      <c r="Y228" s="76" t="str">
        <f t="shared" si="13"/>
        <v/>
      </c>
      <c r="Z228" s="77" t="str">
        <f t="shared" si="14"/>
        <v/>
      </c>
      <c r="AA228" s="77" t="str">
        <f t="shared" si="15"/>
        <v/>
      </c>
      <c r="AB228" s="77" t="str">
        <f t="shared" si="16"/>
        <v/>
      </c>
      <c r="AC228" s="20" t="s">
        <v>237</v>
      </c>
      <c r="AD228" s="53">
        <v>823054.38080000004</v>
      </c>
      <c r="AE228" s="53">
        <v>1091459.8622000001</v>
      </c>
      <c r="AF228" s="53">
        <v>-121.0783</v>
      </c>
    </row>
    <row r="229" spans="4:32" x14ac:dyDescent="0.25">
      <c r="D229" s="19"/>
      <c r="E229" s="96"/>
      <c r="F229" s="96"/>
      <c r="G229" s="97"/>
      <c r="N229" s="24"/>
      <c r="O229" s="43"/>
      <c r="P229" s="43"/>
      <c r="Q229" s="44"/>
      <c r="R229" s="27"/>
      <c r="S229" s="28"/>
      <c r="T229" s="28"/>
      <c r="U229" s="28"/>
      <c r="V229" s="28"/>
      <c r="W229" s="28"/>
      <c r="X229" s="42"/>
      <c r="Y229" s="76" t="str">
        <f t="shared" si="13"/>
        <v/>
      </c>
      <c r="Z229" s="77" t="str">
        <f t="shared" si="14"/>
        <v/>
      </c>
      <c r="AA229" s="77" t="str">
        <f t="shared" si="15"/>
        <v/>
      </c>
      <c r="AB229" s="77" t="str">
        <f t="shared" si="16"/>
        <v/>
      </c>
      <c r="AC229" s="20" t="s">
        <v>238</v>
      </c>
      <c r="AD229" s="53">
        <v>823054.69169999997</v>
      </c>
      <c r="AE229" s="53">
        <v>1091459.9720000001</v>
      </c>
      <c r="AF229" s="53">
        <v>-121.3922</v>
      </c>
    </row>
    <row r="230" spans="4:32" x14ac:dyDescent="0.25">
      <c r="D230" s="19"/>
      <c r="E230" s="96"/>
      <c r="F230" s="96"/>
      <c r="G230" s="97"/>
      <c r="N230" s="24"/>
      <c r="O230" s="43"/>
      <c r="P230" s="43"/>
      <c r="Q230" s="44"/>
      <c r="R230" s="27"/>
      <c r="S230" s="28"/>
      <c r="T230" s="28"/>
      <c r="U230" s="28"/>
      <c r="V230" s="28"/>
      <c r="W230" s="28"/>
      <c r="X230" s="42"/>
      <c r="Y230" s="76" t="str">
        <f t="shared" si="13"/>
        <v/>
      </c>
      <c r="Z230" s="77" t="str">
        <f t="shared" si="14"/>
        <v/>
      </c>
      <c r="AA230" s="77" t="str">
        <f t="shared" si="15"/>
        <v/>
      </c>
      <c r="AB230" s="77" t="str">
        <f t="shared" si="16"/>
        <v/>
      </c>
      <c r="AC230" s="20" t="s">
        <v>239</v>
      </c>
      <c r="AD230" s="53">
        <v>823054.83600000001</v>
      </c>
      <c r="AE230" s="53">
        <v>1091460.0614</v>
      </c>
      <c r="AF230" s="53">
        <v>-121.80110000000001</v>
      </c>
    </row>
    <row r="231" spans="4:32" x14ac:dyDescent="0.25">
      <c r="D231" s="19"/>
      <c r="E231" s="96"/>
      <c r="F231" s="96"/>
      <c r="G231" s="97"/>
      <c r="N231" s="24"/>
      <c r="O231" s="43"/>
      <c r="P231" s="43"/>
      <c r="Q231" s="44"/>
      <c r="R231" s="27"/>
      <c r="S231" s="28"/>
      <c r="T231" s="28"/>
      <c r="U231" s="28"/>
      <c r="V231" s="28"/>
      <c r="W231" s="28"/>
      <c r="X231" s="42"/>
      <c r="Y231" s="76" t="str">
        <f t="shared" si="13"/>
        <v/>
      </c>
      <c r="Z231" s="77" t="str">
        <f t="shared" si="14"/>
        <v/>
      </c>
      <c r="AA231" s="77" t="str">
        <f t="shared" si="15"/>
        <v/>
      </c>
      <c r="AB231" s="77" t="str">
        <f t="shared" si="16"/>
        <v/>
      </c>
      <c r="AC231" s="20" t="s">
        <v>240</v>
      </c>
      <c r="AD231" s="53">
        <v>823054.9534</v>
      </c>
      <c r="AE231" s="53">
        <v>1091460.108</v>
      </c>
      <c r="AF231" s="53">
        <v>-122.0686</v>
      </c>
    </row>
    <row r="232" spans="4:32" x14ac:dyDescent="0.25">
      <c r="D232" s="19"/>
      <c r="E232" s="96"/>
      <c r="F232" s="96"/>
      <c r="G232" s="97"/>
      <c r="N232" s="24"/>
      <c r="O232" s="43"/>
      <c r="P232" s="43"/>
      <c r="Q232" s="44"/>
      <c r="R232" s="27"/>
      <c r="S232" s="28"/>
      <c r="T232" s="28"/>
      <c r="U232" s="28"/>
      <c r="V232" s="28"/>
      <c r="W232" s="28"/>
      <c r="X232" s="42"/>
      <c r="Y232" s="76" t="str">
        <f t="shared" si="13"/>
        <v/>
      </c>
      <c r="Z232" s="77" t="str">
        <f t="shared" si="14"/>
        <v/>
      </c>
      <c r="AA232" s="77" t="str">
        <f t="shared" si="15"/>
        <v/>
      </c>
      <c r="AB232" s="77" t="str">
        <f t="shared" si="16"/>
        <v/>
      </c>
      <c r="AC232" s="20" t="s">
        <v>241</v>
      </c>
      <c r="AD232" s="53">
        <v>823055.02650000004</v>
      </c>
      <c r="AE232" s="53">
        <v>1091460.1479</v>
      </c>
      <c r="AF232" s="53">
        <v>-122.40989999999999</v>
      </c>
    </row>
    <row r="233" spans="4:32" x14ac:dyDescent="0.25">
      <c r="D233" s="19"/>
      <c r="E233" s="96"/>
      <c r="F233" s="96"/>
      <c r="G233" s="97"/>
      <c r="N233" s="24"/>
      <c r="O233" s="43"/>
      <c r="P233" s="43"/>
      <c r="Q233" s="44"/>
      <c r="R233" s="27"/>
      <c r="S233" s="28"/>
      <c r="T233" s="28"/>
      <c r="U233" s="28"/>
      <c r="V233" s="28"/>
      <c r="W233" s="28"/>
      <c r="X233" s="42"/>
      <c r="Y233" s="76" t="str">
        <f t="shared" si="13"/>
        <v/>
      </c>
      <c r="Z233" s="77" t="str">
        <f t="shared" si="14"/>
        <v/>
      </c>
      <c r="AA233" s="77" t="str">
        <f t="shared" si="15"/>
        <v/>
      </c>
      <c r="AB233" s="77" t="str">
        <f t="shared" si="16"/>
        <v/>
      </c>
      <c r="AC233" s="20" t="s">
        <v>242</v>
      </c>
      <c r="AD233" s="53">
        <v>823055.05889999995</v>
      </c>
      <c r="AE233" s="53">
        <v>1091460.1484000001</v>
      </c>
      <c r="AF233" s="53">
        <v>-122.9088</v>
      </c>
    </row>
    <row r="234" spans="4:32" x14ac:dyDescent="0.25">
      <c r="D234" s="19"/>
      <c r="E234" s="96"/>
      <c r="F234" s="96"/>
      <c r="G234" s="97"/>
      <c r="N234" s="24"/>
      <c r="O234" s="43"/>
      <c r="P234" s="43"/>
      <c r="Q234" s="44"/>
      <c r="R234" s="27"/>
      <c r="S234" s="28"/>
      <c r="T234" s="28"/>
      <c r="U234" s="28"/>
      <c r="V234" s="28"/>
      <c r="W234" s="28"/>
      <c r="X234" s="42"/>
      <c r="Y234" s="76" t="str">
        <f t="shared" si="13"/>
        <v/>
      </c>
      <c r="Z234" s="77" t="str">
        <f t="shared" si="14"/>
        <v/>
      </c>
      <c r="AA234" s="77" t="str">
        <f t="shared" si="15"/>
        <v/>
      </c>
      <c r="AB234" s="77" t="str">
        <f t="shared" si="16"/>
        <v/>
      </c>
      <c r="AC234" s="20" t="s">
        <v>243</v>
      </c>
      <c r="AD234" s="53">
        <v>823055.05920000002</v>
      </c>
      <c r="AE234" s="53">
        <v>1091460.1502</v>
      </c>
      <c r="AF234" s="53">
        <v>-123.0838</v>
      </c>
    </row>
    <row r="235" spans="4:32" x14ac:dyDescent="0.25">
      <c r="D235" s="19"/>
      <c r="E235" s="96"/>
      <c r="F235" s="96"/>
      <c r="G235" s="97"/>
      <c r="N235" s="24"/>
      <c r="O235" s="43"/>
      <c r="P235" s="43"/>
      <c r="Q235" s="44"/>
      <c r="R235" s="27"/>
      <c r="S235" s="28"/>
      <c r="T235" s="28"/>
      <c r="U235" s="28"/>
      <c r="V235" s="28"/>
      <c r="W235" s="28"/>
      <c r="X235" s="42"/>
      <c r="Y235" s="76" t="str">
        <f t="shared" si="13"/>
        <v/>
      </c>
      <c r="Z235" s="77" t="str">
        <f t="shared" si="14"/>
        <v/>
      </c>
      <c r="AA235" s="77" t="str">
        <f t="shared" si="15"/>
        <v/>
      </c>
      <c r="AB235" s="77" t="str">
        <f t="shared" si="16"/>
        <v/>
      </c>
      <c r="AC235" s="20" t="s">
        <v>244</v>
      </c>
      <c r="AD235" s="53">
        <v>823054.99919999996</v>
      </c>
      <c r="AE235" s="53">
        <v>1091460.0885999999</v>
      </c>
      <c r="AF235" s="53">
        <v>-123.61109999999999</v>
      </c>
    </row>
    <row r="236" spans="4:32" x14ac:dyDescent="0.25">
      <c r="D236" s="19"/>
      <c r="E236" s="96"/>
      <c r="F236" s="96"/>
      <c r="G236" s="97"/>
      <c r="N236" s="24"/>
      <c r="O236" s="43"/>
      <c r="P236" s="43"/>
      <c r="Q236" s="44"/>
      <c r="R236" s="27"/>
      <c r="S236" s="28"/>
      <c r="T236" s="28"/>
      <c r="U236" s="28"/>
      <c r="V236" s="28"/>
      <c r="W236" s="28"/>
      <c r="X236" s="42"/>
      <c r="Y236" s="76" t="str">
        <f t="shared" si="13"/>
        <v/>
      </c>
      <c r="Z236" s="77" t="str">
        <f t="shared" si="14"/>
        <v/>
      </c>
      <c r="AA236" s="77" t="str">
        <f t="shared" si="15"/>
        <v/>
      </c>
      <c r="AB236" s="77" t="str">
        <f t="shared" si="16"/>
        <v/>
      </c>
      <c r="AC236" s="20" t="s">
        <v>245</v>
      </c>
      <c r="AD236" s="53">
        <v>823054.89370000002</v>
      </c>
      <c r="AE236" s="53">
        <v>1091460.0559</v>
      </c>
      <c r="AF236" s="53">
        <v>-123.8456</v>
      </c>
    </row>
    <row r="237" spans="4:32" x14ac:dyDescent="0.25">
      <c r="D237" s="19"/>
      <c r="E237" s="96"/>
      <c r="F237" s="96"/>
      <c r="G237" s="97"/>
      <c r="N237" s="24"/>
      <c r="O237" s="43"/>
      <c r="P237" s="43"/>
      <c r="Q237" s="44"/>
      <c r="R237" s="27"/>
      <c r="S237" s="28"/>
      <c r="T237" s="28"/>
      <c r="U237" s="28"/>
      <c r="V237" s="28"/>
      <c r="W237" s="28"/>
      <c r="X237" s="42"/>
      <c r="Y237" s="76" t="str">
        <f t="shared" si="13"/>
        <v/>
      </c>
      <c r="Z237" s="77" t="str">
        <f t="shared" si="14"/>
        <v/>
      </c>
      <c r="AA237" s="77" t="str">
        <f t="shared" si="15"/>
        <v/>
      </c>
      <c r="AB237" s="77" t="str">
        <f t="shared" si="16"/>
        <v/>
      </c>
      <c r="AC237" s="20" t="s">
        <v>246</v>
      </c>
      <c r="AD237" s="53">
        <v>823054.77749999997</v>
      </c>
      <c r="AE237" s="53">
        <v>1091459.9982</v>
      </c>
      <c r="AF237" s="53">
        <v>-124.1477</v>
      </c>
    </row>
    <row r="238" spans="4:32" x14ac:dyDescent="0.25">
      <c r="D238" s="19"/>
      <c r="E238" s="96"/>
      <c r="F238" s="96"/>
      <c r="G238" s="97"/>
      <c r="N238" s="24"/>
      <c r="O238" s="43"/>
      <c r="P238" s="43"/>
      <c r="Q238" s="44"/>
      <c r="R238" s="27"/>
      <c r="S238" s="28"/>
      <c r="T238" s="28"/>
      <c r="U238" s="28"/>
      <c r="V238" s="28"/>
      <c r="W238" s="28"/>
      <c r="X238" s="42"/>
      <c r="Y238" s="76" t="str">
        <f t="shared" si="13"/>
        <v/>
      </c>
      <c r="Z238" s="77" t="str">
        <f t="shared" si="14"/>
        <v/>
      </c>
      <c r="AA238" s="77" t="str">
        <f t="shared" si="15"/>
        <v/>
      </c>
      <c r="AB238" s="77" t="str">
        <f t="shared" si="16"/>
        <v/>
      </c>
      <c r="AC238" s="20" t="s">
        <v>247</v>
      </c>
      <c r="AD238" s="53">
        <v>823054.63419999997</v>
      </c>
      <c r="AE238" s="53">
        <v>1091459.9317999999</v>
      </c>
      <c r="AF238" s="53">
        <v>-124.37</v>
      </c>
    </row>
    <row r="239" spans="4:32" x14ac:dyDescent="0.25">
      <c r="D239" s="19"/>
      <c r="E239" s="96"/>
      <c r="F239" s="96"/>
      <c r="G239" s="97"/>
      <c r="N239" s="24"/>
      <c r="O239" s="43"/>
      <c r="P239" s="43"/>
      <c r="Q239" s="44"/>
      <c r="R239" s="27"/>
      <c r="S239" s="28"/>
      <c r="T239" s="28"/>
      <c r="U239" s="28"/>
      <c r="V239" s="28"/>
      <c r="W239" s="28"/>
      <c r="X239" s="42"/>
      <c r="Y239" s="76" t="str">
        <f t="shared" si="13"/>
        <v/>
      </c>
      <c r="Z239" s="77" t="str">
        <f t="shared" si="14"/>
        <v/>
      </c>
      <c r="AA239" s="77" t="str">
        <f t="shared" si="15"/>
        <v/>
      </c>
      <c r="AB239" s="77" t="str">
        <f t="shared" si="16"/>
        <v/>
      </c>
      <c r="AC239" s="20" t="s">
        <v>248</v>
      </c>
      <c r="AD239" s="53">
        <v>823050.41469999996</v>
      </c>
      <c r="AE239" s="53">
        <v>1091457.9742999999</v>
      </c>
      <c r="AF239" s="53">
        <v>-124.2817</v>
      </c>
    </row>
    <row r="240" spans="4:32" x14ac:dyDescent="0.25">
      <c r="D240" s="19"/>
      <c r="E240" s="96"/>
      <c r="F240" s="96"/>
      <c r="G240" s="97"/>
      <c r="N240" s="24"/>
      <c r="O240" s="43"/>
      <c r="P240" s="43"/>
      <c r="Q240" s="44"/>
      <c r="R240" s="27"/>
      <c r="S240" s="28"/>
      <c r="T240" s="28"/>
      <c r="U240" s="28"/>
      <c r="V240" s="28"/>
      <c r="W240" s="28"/>
      <c r="X240" s="42"/>
      <c r="Y240" s="76" t="str">
        <f t="shared" si="13"/>
        <v/>
      </c>
      <c r="Z240" s="77" t="str">
        <f t="shared" si="14"/>
        <v/>
      </c>
      <c r="AA240" s="77" t="str">
        <f t="shared" si="15"/>
        <v/>
      </c>
      <c r="AB240" s="77" t="str">
        <f t="shared" si="16"/>
        <v/>
      </c>
      <c r="AC240" s="20" t="s">
        <v>249</v>
      </c>
      <c r="AD240" s="53">
        <v>823050.27729999996</v>
      </c>
      <c r="AE240" s="53">
        <v>1091457.9101</v>
      </c>
      <c r="AF240" s="53">
        <v>-123.8904</v>
      </c>
    </row>
    <row r="241" spans="4:32" x14ac:dyDescent="0.25">
      <c r="D241" s="19"/>
      <c r="E241" s="96"/>
      <c r="F241" s="96"/>
      <c r="G241" s="97"/>
      <c r="N241" s="24"/>
      <c r="O241" s="43"/>
      <c r="P241" s="43"/>
      <c r="Q241" s="44"/>
      <c r="R241" s="27"/>
      <c r="S241" s="28"/>
      <c r="T241" s="28"/>
      <c r="U241" s="28"/>
      <c r="V241" s="28"/>
      <c r="W241" s="28"/>
      <c r="X241" s="42"/>
      <c r="Y241" s="76" t="str">
        <f t="shared" si="13"/>
        <v/>
      </c>
      <c r="Z241" s="77" t="str">
        <f t="shared" si="14"/>
        <v/>
      </c>
      <c r="AA241" s="77" t="str">
        <f t="shared" si="15"/>
        <v/>
      </c>
      <c r="AB241" s="77" t="str">
        <f t="shared" si="16"/>
        <v/>
      </c>
      <c r="AC241" s="20" t="s">
        <v>250</v>
      </c>
      <c r="AD241" s="53">
        <v>823050.17319999996</v>
      </c>
      <c r="AE241" s="53">
        <v>1091457.851</v>
      </c>
      <c r="AF241" s="53">
        <v>-123.5774</v>
      </c>
    </row>
    <row r="242" spans="4:32" x14ac:dyDescent="0.25">
      <c r="D242" s="19"/>
      <c r="E242" s="96"/>
      <c r="F242" s="96"/>
      <c r="G242" s="97"/>
      <c r="N242" s="24"/>
      <c r="O242" s="43"/>
      <c r="P242" s="43"/>
      <c r="Q242" s="44"/>
      <c r="R242" s="27"/>
      <c r="S242" s="28"/>
      <c r="T242" s="28"/>
      <c r="U242" s="28"/>
      <c r="V242" s="28"/>
      <c r="W242" s="28"/>
      <c r="X242" s="42"/>
      <c r="Y242" s="76" t="str">
        <f t="shared" si="13"/>
        <v/>
      </c>
      <c r="Z242" s="77" t="str">
        <f t="shared" si="14"/>
        <v/>
      </c>
      <c r="AA242" s="77" t="str">
        <f t="shared" si="15"/>
        <v/>
      </c>
      <c r="AB242" s="77" t="str">
        <f t="shared" si="16"/>
        <v/>
      </c>
      <c r="AC242" s="20" t="s">
        <v>251</v>
      </c>
      <c r="AD242" s="53">
        <v>823050.11869999999</v>
      </c>
      <c r="AE242" s="53">
        <v>1091457.8444999999</v>
      </c>
      <c r="AF242" s="53">
        <v>-123.2208</v>
      </c>
    </row>
    <row r="243" spans="4:32" x14ac:dyDescent="0.25">
      <c r="D243" s="19"/>
      <c r="E243" s="96"/>
      <c r="F243" s="96"/>
      <c r="G243" s="97"/>
      <c r="N243" s="24"/>
      <c r="O243" s="43"/>
      <c r="P243" s="43"/>
      <c r="Q243" s="44"/>
      <c r="R243" s="27"/>
      <c r="S243" s="28"/>
      <c r="T243" s="28"/>
      <c r="U243" s="28"/>
      <c r="V243" s="28"/>
      <c r="W243" s="28"/>
      <c r="X243" s="42"/>
      <c r="Y243" s="76" t="str">
        <f t="shared" si="13"/>
        <v/>
      </c>
      <c r="Z243" s="77" t="str">
        <f t="shared" si="14"/>
        <v/>
      </c>
      <c r="AA243" s="77" t="str">
        <f t="shared" si="15"/>
        <v/>
      </c>
      <c r="AB243" s="77" t="str">
        <f t="shared" si="16"/>
        <v/>
      </c>
      <c r="AC243" s="20" t="s">
        <v>252</v>
      </c>
      <c r="AD243" s="53">
        <v>823050.10699999996</v>
      </c>
      <c r="AE243" s="53">
        <v>1091457.8491</v>
      </c>
      <c r="AF243" s="53">
        <v>-122.9007</v>
      </c>
    </row>
    <row r="244" spans="4:32" x14ac:dyDescent="0.25">
      <c r="D244" s="19"/>
      <c r="E244" s="96"/>
      <c r="F244" s="96"/>
      <c r="G244" s="97"/>
      <c r="N244" s="24"/>
      <c r="O244" s="43"/>
      <c r="P244" s="43"/>
      <c r="Q244" s="44"/>
      <c r="R244" s="27"/>
      <c r="S244" s="28"/>
      <c r="T244" s="28"/>
      <c r="U244" s="28"/>
      <c r="V244" s="28"/>
      <c r="W244" s="28"/>
      <c r="X244" s="42"/>
      <c r="Y244" s="76" t="str">
        <f t="shared" si="13"/>
        <v/>
      </c>
      <c r="Z244" s="77" t="str">
        <f t="shared" si="14"/>
        <v/>
      </c>
      <c r="AA244" s="77" t="str">
        <f t="shared" si="15"/>
        <v/>
      </c>
      <c r="AB244" s="77" t="str">
        <f t="shared" si="16"/>
        <v/>
      </c>
      <c r="AC244" s="20" t="s">
        <v>253</v>
      </c>
      <c r="AD244" s="53">
        <v>823050.13879999996</v>
      </c>
      <c r="AE244" s="53">
        <v>1091457.8773000001</v>
      </c>
      <c r="AF244" s="53">
        <v>-122.5582</v>
      </c>
    </row>
    <row r="245" spans="4:32" x14ac:dyDescent="0.25">
      <c r="D245" s="19"/>
      <c r="E245" s="96"/>
      <c r="F245" s="96"/>
      <c r="G245" s="97"/>
      <c r="N245" s="24"/>
      <c r="O245" s="43"/>
      <c r="P245" s="43"/>
      <c r="Q245" s="44"/>
      <c r="R245" s="27"/>
      <c r="S245" s="28"/>
      <c r="T245" s="28"/>
      <c r="U245" s="28"/>
      <c r="V245" s="28"/>
      <c r="W245" s="28"/>
      <c r="X245" s="42"/>
      <c r="Y245" s="76" t="str">
        <f t="shared" si="13"/>
        <v/>
      </c>
      <c r="Z245" s="77" t="str">
        <f t="shared" si="14"/>
        <v/>
      </c>
      <c r="AA245" s="77" t="str">
        <f t="shared" si="15"/>
        <v/>
      </c>
      <c r="AB245" s="77" t="str">
        <f t="shared" si="16"/>
        <v/>
      </c>
      <c r="AC245" s="20" t="s">
        <v>254</v>
      </c>
      <c r="AD245" s="53">
        <v>823050.18449999997</v>
      </c>
      <c r="AE245" s="53">
        <v>1091457.8914999999</v>
      </c>
      <c r="AF245" s="53">
        <v>-122.36320000000001</v>
      </c>
    </row>
    <row r="246" spans="4:32" x14ac:dyDescent="0.25">
      <c r="D246" s="19"/>
      <c r="E246" s="96"/>
      <c r="F246" s="96"/>
      <c r="G246" s="97"/>
      <c r="N246" s="24"/>
      <c r="O246" s="43"/>
      <c r="P246" s="43"/>
      <c r="Q246" s="44"/>
      <c r="R246" s="27"/>
      <c r="S246" s="28"/>
      <c r="T246" s="28"/>
      <c r="U246" s="28"/>
      <c r="V246" s="28"/>
      <c r="W246" s="28"/>
      <c r="X246" s="42"/>
      <c r="Y246" s="76" t="str">
        <f t="shared" si="13"/>
        <v/>
      </c>
      <c r="Z246" s="77" t="str">
        <f t="shared" si="14"/>
        <v/>
      </c>
      <c r="AA246" s="77" t="str">
        <f t="shared" si="15"/>
        <v/>
      </c>
      <c r="AB246" s="77" t="str">
        <f t="shared" si="16"/>
        <v/>
      </c>
      <c r="AC246" s="20" t="s">
        <v>255</v>
      </c>
      <c r="AD246" s="53">
        <v>823050.22199999995</v>
      </c>
      <c r="AE246" s="53">
        <v>1091457.9154000001</v>
      </c>
      <c r="AF246" s="53">
        <v>-122.0128</v>
      </c>
    </row>
    <row r="247" spans="4:32" x14ac:dyDescent="0.25">
      <c r="D247" s="19"/>
      <c r="E247" s="96"/>
      <c r="F247" s="96"/>
      <c r="G247" s="97"/>
      <c r="N247" s="24"/>
      <c r="O247" s="43"/>
      <c r="P247" s="43"/>
      <c r="Q247" s="44"/>
      <c r="R247" s="27"/>
      <c r="S247" s="28"/>
      <c r="T247" s="28"/>
      <c r="U247" s="28"/>
      <c r="V247" s="28"/>
      <c r="W247" s="28"/>
      <c r="X247" s="42"/>
      <c r="Y247" s="76" t="str">
        <f t="shared" si="13"/>
        <v/>
      </c>
      <c r="Z247" s="77" t="str">
        <f t="shared" si="14"/>
        <v/>
      </c>
      <c r="AA247" s="77" t="str">
        <f t="shared" si="15"/>
        <v/>
      </c>
      <c r="AB247" s="77" t="str">
        <f t="shared" si="16"/>
        <v/>
      </c>
      <c r="AC247" s="20" t="s">
        <v>256</v>
      </c>
      <c r="AD247" s="53">
        <v>823050.34840000002</v>
      </c>
      <c r="AE247" s="53">
        <v>1091457.977</v>
      </c>
      <c r="AF247" s="53">
        <v>-121.70229999999999</v>
      </c>
    </row>
    <row r="248" spans="4:32" x14ac:dyDescent="0.25">
      <c r="D248" s="19"/>
      <c r="E248" s="96"/>
      <c r="F248" s="96"/>
      <c r="G248" s="97"/>
      <c r="N248" s="24"/>
      <c r="O248" s="43"/>
      <c r="P248" s="43"/>
      <c r="Q248" s="44"/>
      <c r="R248" s="27"/>
      <c r="S248" s="28"/>
      <c r="T248" s="28"/>
      <c r="U248" s="28"/>
      <c r="V248" s="28"/>
      <c r="W248" s="28"/>
      <c r="X248" s="42"/>
      <c r="Y248" s="76" t="str">
        <f t="shared" si="13"/>
        <v/>
      </c>
      <c r="Z248" s="77" t="str">
        <f t="shared" si="14"/>
        <v/>
      </c>
      <c r="AA248" s="77" t="str">
        <f t="shared" si="15"/>
        <v/>
      </c>
      <c r="AB248" s="77" t="str">
        <f t="shared" si="16"/>
        <v/>
      </c>
      <c r="AC248" s="20" t="s">
        <v>257</v>
      </c>
      <c r="AD248" s="53">
        <v>823050.50780000002</v>
      </c>
      <c r="AE248" s="53">
        <v>1091458.0547</v>
      </c>
      <c r="AF248" s="53">
        <v>-121.35599999999999</v>
      </c>
    </row>
    <row r="249" spans="4:32" x14ac:dyDescent="0.25">
      <c r="D249" s="19"/>
      <c r="E249" s="96"/>
      <c r="F249" s="96"/>
      <c r="G249" s="97"/>
      <c r="N249" s="24"/>
      <c r="O249" s="43"/>
      <c r="P249" s="43"/>
      <c r="Q249" s="44"/>
      <c r="R249" s="27"/>
      <c r="S249" s="28"/>
      <c r="T249" s="28"/>
      <c r="U249" s="28"/>
      <c r="V249" s="28"/>
      <c r="W249" s="28"/>
      <c r="X249" s="42"/>
      <c r="Y249" s="76" t="str">
        <f t="shared" si="13"/>
        <v/>
      </c>
      <c r="Z249" s="77" t="str">
        <f t="shared" si="14"/>
        <v/>
      </c>
      <c r="AA249" s="77" t="str">
        <f t="shared" si="15"/>
        <v/>
      </c>
      <c r="AB249" s="77" t="str">
        <f t="shared" si="16"/>
        <v/>
      </c>
      <c r="AC249" s="20" t="s">
        <v>258</v>
      </c>
      <c r="AD249" s="53">
        <v>823050.51060000004</v>
      </c>
      <c r="AE249" s="53">
        <v>1091458.0614</v>
      </c>
      <c r="AF249" s="53">
        <v>-121.35550000000001</v>
      </c>
    </row>
    <row r="250" spans="4:32" x14ac:dyDescent="0.25">
      <c r="D250" s="19"/>
      <c r="E250" s="96"/>
      <c r="F250" s="96"/>
      <c r="G250" s="97"/>
      <c r="N250" s="24"/>
      <c r="O250" s="43"/>
      <c r="P250" s="43"/>
      <c r="Q250" s="44"/>
      <c r="R250" s="27"/>
      <c r="S250" s="28"/>
      <c r="T250" s="28"/>
      <c r="U250" s="28"/>
      <c r="V250" s="28"/>
      <c r="W250" s="28"/>
      <c r="X250" s="42"/>
      <c r="Y250" s="76" t="str">
        <f t="shared" si="13"/>
        <v/>
      </c>
      <c r="Z250" s="77" t="str">
        <f t="shared" si="14"/>
        <v/>
      </c>
      <c r="AA250" s="77" t="str">
        <f t="shared" si="15"/>
        <v/>
      </c>
      <c r="AB250" s="77" t="str">
        <f t="shared" si="16"/>
        <v/>
      </c>
      <c r="AC250" s="20" t="s">
        <v>259</v>
      </c>
      <c r="AD250" s="53">
        <v>823050.63300000003</v>
      </c>
      <c r="AE250" s="53">
        <v>1091458.1163999999</v>
      </c>
      <c r="AF250" s="53">
        <v>-121.11279999999999</v>
      </c>
    </row>
    <row r="251" spans="4:32" x14ac:dyDescent="0.25">
      <c r="D251" s="19"/>
      <c r="E251" s="96"/>
      <c r="F251" s="96"/>
      <c r="G251" s="97"/>
      <c r="N251" s="24"/>
      <c r="O251" s="43"/>
      <c r="P251" s="43"/>
      <c r="Q251" s="44"/>
      <c r="R251" s="27"/>
      <c r="S251" s="28"/>
      <c r="T251" s="28"/>
      <c r="U251" s="28"/>
      <c r="V251" s="28"/>
      <c r="W251" s="28"/>
      <c r="X251" s="42"/>
      <c r="Y251" s="76" t="str">
        <f t="shared" si="13"/>
        <v/>
      </c>
      <c r="Z251" s="77" t="str">
        <f t="shared" si="14"/>
        <v/>
      </c>
      <c r="AA251" s="77" t="str">
        <f t="shared" si="15"/>
        <v/>
      </c>
      <c r="AB251" s="77" t="str">
        <f t="shared" si="16"/>
        <v/>
      </c>
      <c r="AC251" s="20" t="s">
        <v>260</v>
      </c>
      <c r="AD251" s="53">
        <v>823050.80830000003</v>
      </c>
      <c r="AE251" s="53">
        <v>1091458.2083000001</v>
      </c>
      <c r="AF251" s="53">
        <v>-120.858</v>
      </c>
    </row>
    <row r="252" spans="4:32" x14ac:dyDescent="0.25">
      <c r="D252" s="19"/>
      <c r="E252" s="96"/>
      <c r="F252" s="96"/>
      <c r="G252" s="97"/>
      <c r="N252" s="24"/>
      <c r="O252" s="43"/>
      <c r="P252" s="43"/>
      <c r="Q252" s="44"/>
      <c r="R252" s="27"/>
      <c r="S252" s="28"/>
      <c r="T252" s="28"/>
      <c r="U252" s="28"/>
      <c r="V252" s="28"/>
      <c r="W252" s="28"/>
      <c r="X252" s="42"/>
      <c r="Y252" s="76" t="str">
        <f t="shared" si="13"/>
        <v/>
      </c>
      <c r="Z252" s="77" t="str">
        <f t="shared" si="14"/>
        <v/>
      </c>
      <c r="AA252" s="77" t="str">
        <f t="shared" si="15"/>
        <v/>
      </c>
      <c r="AB252" s="77" t="str">
        <f t="shared" si="16"/>
        <v/>
      </c>
      <c r="AC252" s="20" t="s">
        <v>261</v>
      </c>
      <c r="AD252" s="53">
        <v>823051.03399999999</v>
      </c>
      <c r="AE252" s="53">
        <v>1091458.3101999999</v>
      </c>
      <c r="AF252" s="53">
        <v>-120.6985</v>
      </c>
    </row>
    <row r="253" spans="4:32" x14ac:dyDescent="0.25">
      <c r="D253" s="19"/>
      <c r="E253" s="96"/>
      <c r="F253" s="96"/>
      <c r="G253" s="97"/>
      <c r="N253" s="24"/>
      <c r="O253" s="43"/>
      <c r="P253" s="43"/>
      <c r="Q253" s="44"/>
      <c r="R253" s="27"/>
      <c r="S253" s="28"/>
      <c r="T253" s="28"/>
      <c r="U253" s="28"/>
      <c r="V253" s="28"/>
      <c r="W253" s="28"/>
      <c r="X253" s="42"/>
      <c r="Y253" s="76" t="str">
        <f t="shared" si="13"/>
        <v/>
      </c>
      <c r="Z253" s="77" t="str">
        <f t="shared" si="14"/>
        <v/>
      </c>
      <c r="AA253" s="77" t="str">
        <f t="shared" si="15"/>
        <v/>
      </c>
      <c r="AB253" s="77" t="str">
        <f t="shared" si="16"/>
        <v/>
      </c>
      <c r="AC253" s="20" t="s">
        <v>262</v>
      </c>
      <c r="AD253" s="53">
        <v>823051.22750000004</v>
      </c>
      <c r="AE253" s="53">
        <v>1091458.4023</v>
      </c>
      <c r="AF253" s="53">
        <v>-120.459</v>
      </c>
    </row>
    <row r="254" spans="4:32" x14ac:dyDescent="0.25">
      <c r="D254" s="19"/>
      <c r="E254" s="96"/>
      <c r="F254" s="96"/>
      <c r="G254" s="97"/>
      <c r="N254" s="24"/>
      <c r="O254" s="43"/>
      <c r="P254" s="43"/>
      <c r="Q254" s="44"/>
      <c r="R254" s="27"/>
      <c r="S254" s="28"/>
      <c r="T254" s="28"/>
      <c r="U254" s="28"/>
      <c r="V254" s="28"/>
      <c r="W254" s="28"/>
      <c r="X254" s="42"/>
      <c r="Y254" s="76" t="str">
        <f t="shared" si="13"/>
        <v/>
      </c>
      <c r="Z254" s="77" t="str">
        <f t="shared" si="14"/>
        <v/>
      </c>
      <c r="AA254" s="77" t="str">
        <f t="shared" si="15"/>
        <v/>
      </c>
      <c r="AB254" s="77" t="str">
        <f t="shared" si="16"/>
        <v/>
      </c>
      <c r="AC254" s="20" t="s">
        <v>263</v>
      </c>
      <c r="AD254" s="53">
        <v>823051.4375</v>
      </c>
      <c r="AE254" s="53">
        <v>1091458.5</v>
      </c>
      <c r="AF254" s="53">
        <v>-120.324</v>
      </c>
    </row>
    <row r="255" spans="4:32" x14ac:dyDescent="0.25">
      <c r="D255" s="19"/>
      <c r="E255" s="96"/>
      <c r="F255" s="96"/>
      <c r="G255" s="97"/>
      <c r="N255" s="24"/>
      <c r="O255" s="43"/>
      <c r="P255" s="43"/>
      <c r="Q255" s="44"/>
      <c r="R255" s="27"/>
      <c r="S255" s="28"/>
      <c r="T255" s="28"/>
      <c r="U255" s="28"/>
      <c r="V255" s="28"/>
      <c r="W255" s="28"/>
      <c r="X255" s="42"/>
      <c r="Y255" s="76" t="str">
        <f t="shared" si="13"/>
        <v/>
      </c>
      <c r="Z255" s="77" t="str">
        <f t="shared" si="14"/>
        <v/>
      </c>
      <c r="AA255" s="77" t="str">
        <f t="shared" si="15"/>
        <v/>
      </c>
      <c r="AB255" s="77" t="str">
        <f t="shared" si="16"/>
        <v/>
      </c>
      <c r="AC255" s="20" t="s">
        <v>264</v>
      </c>
      <c r="AD255" s="53">
        <v>823051.59510000004</v>
      </c>
      <c r="AE255" s="53">
        <v>1091458.5737000001</v>
      </c>
      <c r="AF255" s="53">
        <v>-120.25490000000001</v>
      </c>
    </row>
    <row r="256" spans="4:32" x14ac:dyDescent="0.25">
      <c r="D256" s="19"/>
      <c r="E256" s="96"/>
      <c r="F256" s="96"/>
      <c r="G256" s="97"/>
      <c r="N256" s="24"/>
      <c r="O256" s="43"/>
      <c r="P256" s="43"/>
      <c r="Q256" s="44"/>
      <c r="R256" s="27"/>
      <c r="S256" s="28"/>
      <c r="T256" s="28"/>
      <c r="U256" s="28"/>
      <c r="V256" s="28"/>
      <c r="W256" s="28"/>
      <c r="X256" s="42"/>
      <c r="Y256" s="76" t="str">
        <f t="shared" si="13"/>
        <v/>
      </c>
      <c r="Z256" s="77" t="str">
        <f t="shared" si="14"/>
        <v/>
      </c>
      <c r="AA256" s="77" t="str">
        <f t="shared" si="15"/>
        <v/>
      </c>
      <c r="AB256" s="77" t="str">
        <f t="shared" si="16"/>
        <v/>
      </c>
      <c r="AC256" s="20" t="s">
        <v>265</v>
      </c>
      <c r="AD256" s="53">
        <v>823051.86840000004</v>
      </c>
      <c r="AE256" s="53">
        <v>1091458.7089</v>
      </c>
      <c r="AF256" s="53">
        <v>-120.0971</v>
      </c>
    </row>
    <row r="257" spans="4:32" x14ac:dyDescent="0.25">
      <c r="D257" s="19"/>
      <c r="E257" s="96"/>
      <c r="F257" s="96"/>
      <c r="G257" s="97"/>
      <c r="N257" s="24"/>
      <c r="O257" s="43"/>
      <c r="P257" s="43"/>
      <c r="Q257" s="44"/>
      <c r="R257" s="27"/>
      <c r="S257" s="28"/>
      <c r="T257" s="28"/>
      <c r="U257" s="28"/>
      <c r="V257" s="28"/>
      <c r="W257" s="28"/>
      <c r="X257" s="42"/>
      <c r="Y257" s="76" t="str">
        <f t="shared" si="13"/>
        <v/>
      </c>
      <c r="Z257" s="77" t="str">
        <f t="shared" si="14"/>
        <v/>
      </c>
      <c r="AA257" s="77" t="str">
        <f t="shared" si="15"/>
        <v/>
      </c>
      <c r="AB257" s="77" t="str">
        <f t="shared" si="16"/>
        <v/>
      </c>
      <c r="AC257" s="20" t="s">
        <v>266</v>
      </c>
      <c r="AD257" s="53">
        <v>823052.10789999994</v>
      </c>
      <c r="AE257" s="53">
        <v>1091458.8123999999</v>
      </c>
      <c r="AF257" s="53">
        <v>-120.0806</v>
      </c>
    </row>
    <row r="258" spans="4:32" x14ac:dyDescent="0.25">
      <c r="D258" s="19"/>
      <c r="E258" s="96"/>
      <c r="F258" s="96"/>
      <c r="G258" s="97"/>
      <c r="N258" s="24"/>
      <c r="O258" s="43"/>
      <c r="P258" s="43"/>
      <c r="Q258" s="44"/>
      <c r="R258" s="27"/>
      <c r="S258" s="28"/>
      <c r="T258" s="28"/>
      <c r="U258" s="28"/>
      <c r="V258" s="28"/>
      <c r="W258" s="28"/>
      <c r="X258" s="42"/>
      <c r="Y258" s="76" t="str">
        <f t="shared" si="13"/>
        <v/>
      </c>
      <c r="Z258" s="77" t="str">
        <f t="shared" si="14"/>
        <v/>
      </c>
      <c r="AA258" s="77" t="str">
        <f t="shared" si="15"/>
        <v/>
      </c>
      <c r="AB258" s="77" t="str">
        <f t="shared" si="16"/>
        <v/>
      </c>
      <c r="AC258" s="20" t="s">
        <v>267</v>
      </c>
      <c r="AD258" s="53">
        <v>823052.55160000001</v>
      </c>
      <c r="AE258" s="53">
        <v>1091459.0212000001</v>
      </c>
      <c r="AF258" s="53">
        <v>-120.0365</v>
      </c>
    </row>
    <row r="259" spans="4:32" x14ac:dyDescent="0.25">
      <c r="D259" s="19"/>
      <c r="E259" s="96"/>
      <c r="F259" s="96"/>
      <c r="G259" s="97"/>
      <c r="N259" s="24"/>
      <c r="O259" s="43"/>
      <c r="P259" s="43"/>
      <c r="Q259" s="44"/>
      <c r="R259" s="27"/>
      <c r="S259" s="28"/>
      <c r="T259" s="28"/>
      <c r="U259" s="28"/>
      <c r="V259" s="28"/>
      <c r="W259" s="28"/>
      <c r="X259" s="42"/>
      <c r="Y259" s="76" t="str">
        <f t="shared" si="13"/>
        <v/>
      </c>
      <c r="Z259" s="77" t="str">
        <f t="shared" si="14"/>
        <v/>
      </c>
      <c r="AA259" s="77" t="str">
        <f t="shared" si="15"/>
        <v/>
      </c>
      <c r="AB259" s="77" t="str">
        <f t="shared" si="16"/>
        <v/>
      </c>
      <c r="AC259" s="20" t="s">
        <v>268</v>
      </c>
      <c r="AD259" s="53">
        <v>823052.81019999995</v>
      </c>
      <c r="AE259" s="53">
        <v>1091459.1403999999</v>
      </c>
      <c r="AF259" s="53">
        <v>-120.029</v>
      </c>
    </row>
    <row r="260" spans="4:32" x14ac:dyDescent="0.25">
      <c r="D260" s="19"/>
      <c r="E260" s="96"/>
      <c r="F260" s="96"/>
      <c r="G260" s="97"/>
      <c r="N260" s="24"/>
      <c r="O260" s="43"/>
      <c r="P260" s="43"/>
      <c r="Q260" s="44"/>
      <c r="R260" s="27"/>
      <c r="S260" s="28"/>
      <c r="T260" s="28"/>
      <c r="U260" s="28"/>
      <c r="V260" s="28"/>
      <c r="W260" s="28"/>
      <c r="X260" s="42"/>
      <c r="Y260" s="76" t="str">
        <f t="shared" ref="Y260:Y323" si="17">IF(ISBLANK(N260),"",N260)</f>
        <v/>
      </c>
      <c r="Z260" s="77" t="str">
        <f t="shared" ref="Z260:Z323" si="18">IF(ISBLANK(O260),"",O260-V260)</f>
        <v/>
      </c>
      <c r="AA260" s="77" t="str">
        <f t="shared" ref="AA260:AA323" si="19">IF(ISBLANK(P260),"",P260-W260)</f>
        <v/>
      </c>
      <c r="AB260" s="77" t="str">
        <f t="shared" ref="AB260:AB323" si="20">IF(ISBLANK(Q260),"",Q260-X260)</f>
        <v/>
      </c>
      <c r="AC260" s="20" t="s">
        <v>269</v>
      </c>
      <c r="AD260" s="53">
        <v>823053.1202</v>
      </c>
      <c r="AE260" s="53">
        <v>1091459.264</v>
      </c>
      <c r="AF260" s="53">
        <v>-120.063</v>
      </c>
    </row>
    <row r="261" spans="4:32" x14ac:dyDescent="0.25">
      <c r="D261" s="19"/>
      <c r="E261" s="96"/>
      <c r="F261" s="96"/>
      <c r="G261" s="97"/>
      <c r="N261" s="24"/>
      <c r="O261" s="43"/>
      <c r="P261" s="43"/>
      <c r="Q261" s="44"/>
      <c r="R261" s="27"/>
      <c r="S261" s="28"/>
      <c r="T261" s="28"/>
      <c r="U261" s="28"/>
      <c r="V261" s="28"/>
      <c r="W261" s="28"/>
      <c r="X261" s="42"/>
      <c r="Y261" s="76" t="str">
        <f t="shared" si="17"/>
        <v/>
      </c>
      <c r="Z261" s="77" t="str">
        <f t="shared" si="18"/>
        <v/>
      </c>
      <c r="AA261" s="77" t="str">
        <f t="shared" si="19"/>
        <v/>
      </c>
      <c r="AB261" s="77" t="str">
        <f t="shared" si="20"/>
        <v/>
      </c>
      <c r="AC261" s="20" t="s">
        <v>270</v>
      </c>
      <c r="AD261" s="53">
        <v>823053.35759999999</v>
      </c>
      <c r="AE261" s="53">
        <v>1091459.3955000001</v>
      </c>
      <c r="AF261" s="53">
        <v>-120.0705</v>
      </c>
    </row>
    <row r="262" spans="4:32" x14ac:dyDescent="0.25">
      <c r="D262" s="19"/>
      <c r="E262" s="96"/>
      <c r="F262" s="96"/>
      <c r="G262" s="97"/>
      <c r="N262" s="24"/>
      <c r="O262" s="43"/>
      <c r="P262" s="43"/>
      <c r="Q262" s="44"/>
      <c r="R262" s="27"/>
      <c r="S262" s="28"/>
      <c r="T262" s="28"/>
      <c r="U262" s="28"/>
      <c r="V262" s="28"/>
      <c r="W262" s="28"/>
      <c r="X262" s="42"/>
      <c r="Y262" s="76" t="str">
        <f t="shared" si="17"/>
        <v/>
      </c>
      <c r="Z262" s="77" t="str">
        <f t="shared" si="18"/>
        <v/>
      </c>
      <c r="AA262" s="77" t="str">
        <f t="shared" si="19"/>
        <v/>
      </c>
      <c r="AB262" s="77" t="str">
        <f t="shared" si="20"/>
        <v/>
      </c>
      <c r="AC262" s="20" t="s">
        <v>271</v>
      </c>
      <c r="AD262" s="53">
        <v>823053.64859999996</v>
      </c>
      <c r="AE262" s="53">
        <v>1091459.5251</v>
      </c>
      <c r="AF262" s="53">
        <v>-120.1561</v>
      </c>
    </row>
    <row r="263" spans="4:32" x14ac:dyDescent="0.25">
      <c r="D263" s="19"/>
      <c r="E263" s="96"/>
      <c r="F263" s="96"/>
      <c r="G263" s="97"/>
      <c r="N263" s="24"/>
      <c r="O263" s="43"/>
      <c r="P263" s="43"/>
      <c r="Q263" s="44"/>
      <c r="R263" s="27"/>
      <c r="S263" s="28"/>
      <c r="T263" s="28"/>
      <c r="U263" s="28"/>
      <c r="V263" s="28"/>
      <c r="W263" s="28"/>
      <c r="X263" s="42"/>
      <c r="Y263" s="76" t="str">
        <f t="shared" si="17"/>
        <v/>
      </c>
      <c r="Z263" s="77" t="str">
        <f t="shared" si="18"/>
        <v/>
      </c>
      <c r="AA263" s="77" t="str">
        <f t="shared" si="19"/>
        <v/>
      </c>
      <c r="AB263" s="77" t="str">
        <f t="shared" si="20"/>
        <v/>
      </c>
      <c r="AC263" s="20" t="s">
        <v>272</v>
      </c>
      <c r="AD263" s="53">
        <v>823053.91700000002</v>
      </c>
      <c r="AE263" s="53">
        <v>1091459.6532999999</v>
      </c>
      <c r="AF263" s="53">
        <v>-120.29940000000001</v>
      </c>
    </row>
    <row r="264" spans="4:32" x14ac:dyDescent="0.25">
      <c r="D264" s="19"/>
      <c r="E264" s="96"/>
      <c r="F264" s="96"/>
      <c r="G264" s="97"/>
      <c r="N264" s="24"/>
      <c r="O264" s="43"/>
      <c r="P264" s="43"/>
      <c r="Q264" s="44"/>
      <c r="R264" s="27"/>
      <c r="S264" s="28"/>
      <c r="T264" s="28"/>
      <c r="U264" s="28"/>
      <c r="V264" s="28"/>
      <c r="W264" s="28"/>
      <c r="X264" s="42"/>
      <c r="Y264" s="76" t="str">
        <f t="shared" si="17"/>
        <v/>
      </c>
      <c r="Z264" s="77" t="str">
        <f t="shared" si="18"/>
        <v/>
      </c>
      <c r="AA264" s="77" t="str">
        <f t="shared" si="19"/>
        <v/>
      </c>
      <c r="AB264" s="77" t="str">
        <f t="shared" si="20"/>
        <v/>
      </c>
      <c r="AC264" s="20" t="s">
        <v>273</v>
      </c>
      <c r="AD264" s="53">
        <v>823054.17669999995</v>
      </c>
      <c r="AE264" s="53">
        <v>1091459.7705000001</v>
      </c>
      <c r="AF264" s="53">
        <v>-120.4358</v>
      </c>
    </row>
    <row r="265" spans="4:32" x14ac:dyDescent="0.25">
      <c r="D265" s="19"/>
      <c r="E265" s="96"/>
      <c r="F265" s="96"/>
      <c r="G265" s="97"/>
      <c r="N265" s="24"/>
      <c r="O265" s="43"/>
      <c r="P265" s="43"/>
      <c r="Q265" s="44"/>
      <c r="R265" s="27"/>
      <c r="S265" s="28"/>
      <c r="T265" s="28"/>
      <c r="U265" s="28"/>
      <c r="V265" s="28"/>
      <c r="W265" s="28"/>
      <c r="X265" s="42"/>
      <c r="Y265" s="76" t="str">
        <f t="shared" si="17"/>
        <v/>
      </c>
      <c r="Z265" s="77" t="str">
        <f t="shared" si="18"/>
        <v/>
      </c>
      <c r="AA265" s="77" t="str">
        <f t="shared" si="19"/>
        <v/>
      </c>
      <c r="AB265" s="77" t="str">
        <f t="shared" si="20"/>
        <v/>
      </c>
      <c r="AC265" s="20" t="s">
        <v>274</v>
      </c>
      <c r="AD265" s="53">
        <v>823054.84310000006</v>
      </c>
      <c r="AE265" s="53">
        <v>1091460.0711999999</v>
      </c>
      <c r="AF265" s="53">
        <v>-121.1794</v>
      </c>
    </row>
    <row r="266" spans="4:32" x14ac:dyDescent="0.25">
      <c r="D266" s="19"/>
      <c r="E266" s="96"/>
      <c r="F266" s="96"/>
      <c r="G266" s="97"/>
      <c r="N266" s="24"/>
      <c r="O266" s="43"/>
      <c r="P266" s="43"/>
      <c r="Q266" s="44"/>
      <c r="R266" s="27"/>
      <c r="S266" s="28"/>
      <c r="T266" s="28"/>
      <c r="U266" s="28"/>
      <c r="V266" s="28"/>
      <c r="W266" s="28"/>
      <c r="X266" s="42"/>
      <c r="Y266" s="76" t="str">
        <f t="shared" si="17"/>
        <v/>
      </c>
      <c r="Z266" s="77" t="str">
        <f t="shared" si="18"/>
        <v/>
      </c>
      <c r="AA266" s="77" t="str">
        <f t="shared" si="19"/>
        <v/>
      </c>
      <c r="AB266" s="77" t="str">
        <f t="shared" si="20"/>
        <v/>
      </c>
      <c r="AC266" s="20" t="s">
        <v>275</v>
      </c>
      <c r="AD266" s="53">
        <v>823054.62089999998</v>
      </c>
      <c r="AE266" s="53">
        <v>1091459.9719</v>
      </c>
      <c r="AF266" s="53">
        <v>-120.92189999999999</v>
      </c>
    </row>
    <row r="267" spans="4:32" x14ac:dyDescent="0.25">
      <c r="D267" s="19"/>
      <c r="E267" s="96"/>
      <c r="F267" s="96"/>
      <c r="G267" s="97"/>
      <c r="N267" s="24"/>
      <c r="O267" s="43"/>
      <c r="P267" s="43"/>
      <c r="Q267" s="44"/>
      <c r="R267" s="27"/>
      <c r="S267" s="28"/>
      <c r="T267" s="28"/>
      <c r="U267" s="28"/>
      <c r="V267" s="28"/>
      <c r="W267" s="28"/>
      <c r="X267" s="42"/>
      <c r="Y267" s="76" t="str">
        <f t="shared" si="17"/>
        <v/>
      </c>
      <c r="Z267" s="77" t="str">
        <f t="shared" si="18"/>
        <v/>
      </c>
      <c r="AA267" s="77" t="str">
        <f t="shared" si="19"/>
        <v/>
      </c>
      <c r="AB267" s="77" t="str">
        <f t="shared" si="20"/>
        <v/>
      </c>
      <c r="AC267" s="20" t="s">
        <v>276</v>
      </c>
      <c r="AD267" s="53">
        <v>823054.91520000005</v>
      </c>
      <c r="AE267" s="53">
        <v>1091460.1018000001</v>
      </c>
      <c r="AF267" s="53">
        <v>-121.32380000000001</v>
      </c>
    </row>
    <row r="268" spans="4:32" x14ac:dyDescent="0.25">
      <c r="D268" s="19"/>
      <c r="E268" s="96"/>
      <c r="F268" s="96"/>
      <c r="G268" s="97"/>
      <c r="N268" s="24"/>
      <c r="O268" s="43"/>
      <c r="P268" s="43"/>
      <c r="Q268" s="44"/>
      <c r="R268" s="27"/>
      <c r="S268" s="28"/>
      <c r="T268" s="28"/>
      <c r="U268" s="28"/>
      <c r="V268" s="28"/>
      <c r="W268" s="28"/>
      <c r="X268" s="42"/>
      <c r="Y268" s="76" t="str">
        <f t="shared" si="17"/>
        <v/>
      </c>
      <c r="Z268" s="77" t="str">
        <f t="shared" si="18"/>
        <v/>
      </c>
      <c r="AA268" s="77" t="str">
        <f t="shared" si="19"/>
        <v/>
      </c>
      <c r="AB268" s="77" t="str">
        <f t="shared" si="20"/>
        <v/>
      </c>
      <c r="AC268" s="20" t="s">
        <v>277</v>
      </c>
      <c r="AD268" s="53">
        <v>823055.10620000004</v>
      </c>
      <c r="AE268" s="53">
        <v>1091460.1845</v>
      </c>
      <c r="AF268" s="53">
        <v>-121.7136</v>
      </c>
    </row>
    <row r="269" spans="4:32" x14ac:dyDescent="0.25">
      <c r="D269" s="19"/>
      <c r="E269" s="96"/>
      <c r="F269" s="96"/>
      <c r="G269" s="97"/>
      <c r="N269" s="24"/>
      <c r="O269" s="43"/>
      <c r="P269" s="43"/>
      <c r="Q269" s="44"/>
      <c r="R269" s="27"/>
      <c r="S269" s="28"/>
      <c r="T269" s="28"/>
      <c r="U269" s="28"/>
      <c r="V269" s="28"/>
      <c r="W269" s="28"/>
      <c r="X269" s="42"/>
      <c r="Y269" s="76" t="str">
        <f t="shared" si="17"/>
        <v/>
      </c>
      <c r="Z269" s="77" t="str">
        <f t="shared" si="18"/>
        <v/>
      </c>
      <c r="AA269" s="77" t="str">
        <f t="shared" si="19"/>
        <v/>
      </c>
      <c r="AB269" s="77" t="str">
        <f t="shared" si="20"/>
        <v/>
      </c>
      <c r="AC269" s="20" t="s">
        <v>278</v>
      </c>
      <c r="AD269" s="53">
        <v>823055.22719999996</v>
      </c>
      <c r="AE269" s="53">
        <v>1091460.2309999999</v>
      </c>
      <c r="AF269" s="53">
        <v>-121.9824</v>
      </c>
    </row>
    <row r="270" spans="4:32" x14ac:dyDescent="0.25">
      <c r="D270" s="19"/>
      <c r="E270" s="96"/>
      <c r="F270" s="96"/>
      <c r="G270" s="97"/>
      <c r="N270" s="24"/>
      <c r="O270" s="43"/>
      <c r="P270" s="43"/>
      <c r="Q270" s="44"/>
      <c r="R270" s="27"/>
      <c r="S270" s="28"/>
      <c r="T270" s="28"/>
      <c r="U270" s="28"/>
      <c r="V270" s="28"/>
      <c r="W270" s="28"/>
      <c r="X270" s="42"/>
      <c r="Y270" s="76" t="str">
        <f t="shared" si="17"/>
        <v/>
      </c>
      <c r="Z270" s="77" t="str">
        <f t="shared" si="18"/>
        <v/>
      </c>
      <c r="AA270" s="77" t="str">
        <f t="shared" si="19"/>
        <v/>
      </c>
      <c r="AB270" s="77" t="str">
        <f t="shared" si="20"/>
        <v/>
      </c>
      <c r="AC270" s="20" t="s">
        <v>279</v>
      </c>
      <c r="AD270" s="53">
        <v>823055.26859999995</v>
      </c>
      <c r="AE270" s="53">
        <v>1091460.2581</v>
      </c>
      <c r="AF270" s="53">
        <v>-122.3009</v>
      </c>
    </row>
    <row r="271" spans="4:32" x14ac:dyDescent="0.25">
      <c r="D271" s="19"/>
      <c r="E271" s="96"/>
      <c r="F271" s="96"/>
      <c r="G271" s="97"/>
      <c r="N271" s="24"/>
      <c r="O271" s="43"/>
      <c r="P271" s="43"/>
      <c r="Q271" s="44"/>
      <c r="R271" s="27"/>
      <c r="S271" s="28"/>
      <c r="T271" s="28"/>
      <c r="U271" s="28"/>
      <c r="V271" s="28"/>
      <c r="W271" s="28"/>
      <c r="X271" s="42"/>
      <c r="Y271" s="76" t="str">
        <f t="shared" si="17"/>
        <v/>
      </c>
      <c r="Z271" s="77" t="str">
        <f t="shared" si="18"/>
        <v/>
      </c>
      <c r="AA271" s="77" t="str">
        <f t="shared" si="19"/>
        <v/>
      </c>
      <c r="AB271" s="77" t="str">
        <f t="shared" si="20"/>
        <v/>
      </c>
      <c r="AC271" s="20" t="s">
        <v>280</v>
      </c>
      <c r="AD271" s="53">
        <v>823055.33860000002</v>
      </c>
      <c r="AE271" s="53">
        <v>1091460.2830000001</v>
      </c>
      <c r="AF271" s="53">
        <v>-122.5746</v>
      </c>
    </row>
    <row r="272" spans="4:32" x14ac:dyDescent="0.25">
      <c r="D272" s="19"/>
      <c r="E272" s="96"/>
      <c r="F272" s="96"/>
      <c r="G272" s="97"/>
      <c r="N272" s="24"/>
      <c r="O272" s="43"/>
      <c r="P272" s="43"/>
      <c r="Q272" s="44"/>
      <c r="R272" s="27"/>
      <c r="S272" s="28"/>
      <c r="T272" s="28"/>
      <c r="U272" s="28"/>
      <c r="V272" s="28"/>
      <c r="W272" s="28"/>
      <c r="X272" s="42"/>
      <c r="Y272" s="76" t="str">
        <f t="shared" si="17"/>
        <v/>
      </c>
      <c r="Z272" s="77" t="str">
        <f t="shared" si="18"/>
        <v/>
      </c>
      <c r="AA272" s="77" t="str">
        <f t="shared" si="19"/>
        <v/>
      </c>
      <c r="AB272" s="77" t="str">
        <f t="shared" si="20"/>
        <v/>
      </c>
      <c r="AC272" s="20" t="s">
        <v>281</v>
      </c>
      <c r="AD272" s="53">
        <v>823055.34459999995</v>
      </c>
      <c r="AE272" s="53">
        <v>1091460.2778</v>
      </c>
      <c r="AF272" s="53">
        <v>-122.8656</v>
      </c>
    </row>
    <row r="273" spans="4:32" x14ac:dyDescent="0.25">
      <c r="D273" s="19"/>
      <c r="E273" s="96"/>
      <c r="F273" s="96"/>
      <c r="G273" s="97"/>
      <c r="N273" s="24"/>
      <c r="O273" s="43"/>
      <c r="P273" s="43"/>
      <c r="Q273" s="44"/>
      <c r="R273" s="27"/>
      <c r="S273" s="28"/>
      <c r="T273" s="28"/>
      <c r="U273" s="28"/>
      <c r="V273" s="28"/>
      <c r="W273" s="28"/>
      <c r="X273" s="42"/>
      <c r="Y273" s="76" t="str">
        <f t="shared" si="17"/>
        <v/>
      </c>
      <c r="Z273" s="77" t="str">
        <f t="shared" si="18"/>
        <v/>
      </c>
      <c r="AA273" s="77" t="str">
        <f t="shared" si="19"/>
        <v/>
      </c>
      <c r="AB273" s="77" t="str">
        <f t="shared" si="20"/>
        <v/>
      </c>
      <c r="AC273" s="20" t="s">
        <v>282</v>
      </c>
      <c r="AD273" s="53">
        <v>823055.34990000003</v>
      </c>
      <c r="AE273" s="53">
        <v>1091460.2893000001</v>
      </c>
      <c r="AF273" s="53">
        <v>-123.1641</v>
      </c>
    </row>
    <row r="274" spans="4:32" x14ac:dyDescent="0.25">
      <c r="D274" s="19"/>
      <c r="E274" s="96"/>
      <c r="F274" s="96"/>
      <c r="G274" s="97"/>
      <c r="N274" s="24"/>
      <c r="O274" s="43"/>
      <c r="P274" s="43"/>
      <c r="Q274" s="44"/>
      <c r="R274" s="27"/>
      <c r="S274" s="28"/>
      <c r="T274" s="28"/>
      <c r="U274" s="28"/>
      <c r="V274" s="28"/>
      <c r="W274" s="28"/>
      <c r="X274" s="42"/>
      <c r="Y274" s="76" t="str">
        <f t="shared" si="17"/>
        <v/>
      </c>
      <c r="Z274" s="77" t="str">
        <f t="shared" si="18"/>
        <v/>
      </c>
      <c r="AA274" s="77" t="str">
        <f t="shared" si="19"/>
        <v/>
      </c>
      <c r="AB274" s="77" t="str">
        <f t="shared" si="20"/>
        <v/>
      </c>
      <c r="AC274" s="20" t="s">
        <v>283</v>
      </c>
      <c r="AD274" s="53">
        <v>823055.30469999998</v>
      </c>
      <c r="AE274" s="53">
        <v>1091460.2561000001</v>
      </c>
      <c r="AF274" s="53">
        <v>-123.64749999999999</v>
      </c>
    </row>
    <row r="275" spans="4:32" x14ac:dyDescent="0.25">
      <c r="D275" s="19"/>
      <c r="E275" s="96"/>
      <c r="F275" s="96"/>
      <c r="G275" s="97"/>
      <c r="N275" s="24"/>
      <c r="O275" s="43"/>
      <c r="P275" s="43"/>
      <c r="Q275" s="44"/>
      <c r="R275" s="27"/>
      <c r="S275" s="28"/>
      <c r="T275" s="28"/>
      <c r="U275" s="28"/>
      <c r="V275" s="28"/>
      <c r="W275" s="28"/>
      <c r="X275" s="42"/>
      <c r="Y275" s="76" t="str">
        <f t="shared" si="17"/>
        <v/>
      </c>
      <c r="Z275" s="77" t="str">
        <f t="shared" si="18"/>
        <v/>
      </c>
      <c r="AA275" s="77" t="str">
        <f t="shared" si="19"/>
        <v/>
      </c>
      <c r="AB275" s="77" t="str">
        <f t="shared" si="20"/>
        <v/>
      </c>
      <c r="AC275" s="20" t="s">
        <v>284</v>
      </c>
      <c r="AD275" s="53">
        <v>823055.18599999999</v>
      </c>
      <c r="AE275" s="53">
        <v>1091460.1836999999</v>
      </c>
      <c r="AF275" s="53">
        <v>-123.953</v>
      </c>
    </row>
    <row r="276" spans="4:32" x14ac:dyDescent="0.25">
      <c r="D276" s="19"/>
      <c r="E276" s="96"/>
      <c r="F276" s="96"/>
      <c r="G276" s="97"/>
      <c r="N276" s="24"/>
      <c r="O276" s="43"/>
      <c r="P276" s="43"/>
      <c r="Q276" s="44"/>
      <c r="R276" s="27"/>
      <c r="S276" s="28"/>
      <c r="T276" s="28"/>
      <c r="U276" s="28"/>
      <c r="V276" s="28"/>
      <c r="W276" s="28"/>
      <c r="X276" s="42"/>
      <c r="Y276" s="76" t="str">
        <f t="shared" si="17"/>
        <v/>
      </c>
      <c r="Z276" s="77" t="str">
        <f t="shared" si="18"/>
        <v/>
      </c>
      <c r="AA276" s="77" t="str">
        <f t="shared" si="19"/>
        <v/>
      </c>
      <c r="AB276" s="77" t="str">
        <f t="shared" si="20"/>
        <v/>
      </c>
      <c r="AC276" s="20" t="s">
        <v>285</v>
      </c>
      <c r="AD276" s="53">
        <v>823055.05940000003</v>
      </c>
      <c r="AE276" s="53">
        <v>1091460.1229999999</v>
      </c>
      <c r="AF276" s="53">
        <v>-124.215</v>
      </c>
    </row>
    <row r="277" spans="4:32" x14ac:dyDescent="0.25">
      <c r="D277" s="19"/>
      <c r="E277" s="96"/>
      <c r="F277" s="96"/>
      <c r="G277" s="97"/>
      <c r="N277" s="24"/>
      <c r="O277" s="43"/>
      <c r="P277" s="43"/>
      <c r="Q277" s="44"/>
      <c r="R277" s="27"/>
      <c r="S277" s="28"/>
      <c r="T277" s="28"/>
      <c r="U277" s="28"/>
      <c r="V277" s="28"/>
      <c r="W277" s="28"/>
      <c r="X277" s="42"/>
      <c r="Y277" s="76" t="str">
        <f t="shared" si="17"/>
        <v/>
      </c>
      <c r="Z277" s="77" t="str">
        <f t="shared" si="18"/>
        <v/>
      </c>
      <c r="AA277" s="77" t="str">
        <f t="shared" si="19"/>
        <v/>
      </c>
      <c r="AB277" s="77" t="str">
        <f t="shared" si="20"/>
        <v/>
      </c>
      <c r="AC277" s="20" t="s">
        <v>286</v>
      </c>
      <c r="AD277" s="53">
        <v>823055.05819999997</v>
      </c>
      <c r="AE277" s="53">
        <v>1091460.1196999999</v>
      </c>
      <c r="AF277" s="53">
        <v>-124.27370000000001</v>
      </c>
    </row>
    <row r="278" spans="4:32" x14ac:dyDescent="0.25">
      <c r="D278" s="19"/>
      <c r="E278" s="96"/>
      <c r="F278" s="96"/>
      <c r="G278" s="97"/>
      <c r="N278" s="24"/>
      <c r="O278" s="43"/>
      <c r="P278" s="43"/>
      <c r="Q278" s="44"/>
      <c r="R278" s="27"/>
      <c r="S278" s="28"/>
      <c r="T278" s="28"/>
      <c r="U278" s="28"/>
      <c r="V278" s="28"/>
      <c r="W278" s="28"/>
      <c r="X278" s="42"/>
      <c r="Y278" s="76" t="str">
        <f t="shared" si="17"/>
        <v/>
      </c>
      <c r="Z278" s="77" t="str">
        <f t="shared" si="18"/>
        <v/>
      </c>
      <c r="AA278" s="77" t="str">
        <f t="shared" si="19"/>
        <v/>
      </c>
      <c r="AB278" s="77" t="str">
        <f t="shared" si="20"/>
        <v/>
      </c>
      <c r="AC278" s="20" t="s">
        <v>287</v>
      </c>
      <c r="AD278" s="53">
        <v>823057.57050000003</v>
      </c>
      <c r="AE278" s="53">
        <v>1091452.9443999999</v>
      </c>
      <c r="AF278" s="53">
        <v>-121.0128</v>
      </c>
    </row>
    <row r="279" spans="4:32" x14ac:dyDescent="0.25">
      <c r="D279" s="19"/>
      <c r="E279" s="96"/>
      <c r="F279" s="96"/>
      <c r="G279" s="97"/>
      <c r="N279" s="24"/>
      <c r="O279" s="43"/>
      <c r="P279" s="43"/>
      <c r="Q279" s="44"/>
      <c r="R279" s="27"/>
      <c r="S279" s="28"/>
      <c r="T279" s="28"/>
      <c r="U279" s="28"/>
      <c r="V279" s="28"/>
      <c r="W279" s="28"/>
      <c r="X279" s="42"/>
      <c r="Y279" s="76" t="str">
        <f t="shared" si="17"/>
        <v/>
      </c>
      <c r="Z279" s="77" t="str">
        <f t="shared" si="18"/>
        <v/>
      </c>
      <c r="AA279" s="77" t="str">
        <f t="shared" si="19"/>
        <v/>
      </c>
      <c r="AB279" s="77" t="str">
        <f t="shared" si="20"/>
        <v/>
      </c>
      <c r="AC279" s="20" t="s">
        <v>288</v>
      </c>
      <c r="AD279" s="53">
        <v>823054.26359999995</v>
      </c>
      <c r="AE279" s="53">
        <v>1091451.379</v>
      </c>
      <c r="AF279" s="53">
        <v>-121.0065</v>
      </c>
    </row>
    <row r="280" spans="4:32" x14ac:dyDescent="0.25">
      <c r="D280" s="19"/>
      <c r="E280" s="96"/>
      <c r="F280" s="96"/>
      <c r="G280" s="97"/>
      <c r="N280" s="24"/>
      <c r="O280" s="43"/>
      <c r="P280" s="43"/>
      <c r="Q280" s="44"/>
      <c r="R280" s="27"/>
      <c r="S280" s="28"/>
      <c r="T280" s="28"/>
      <c r="U280" s="28"/>
      <c r="V280" s="28"/>
      <c r="W280" s="28"/>
      <c r="X280" s="42"/>
      <c r="Y280" s="76" t="str">
        <f t="shared" si="17"/>
        <v/>
      </c>
      <c r="Z280" s="77" t="str">
        <f t="shared" si="18"/>
        <v/>
      </c>
      <c r="AA280" s="77" t="str">
        <f t="shared" si="19"/>
        <v/>
      </c>
      <c r="AB280" s="77" t="str">
        <f t="shared" si="20"/>
        <v/>
      </c>
      <c r="AC280" s="20" t="s">
        <v>289</v>
      </c>
      <c r="AD280" s="53">
        <v>823051.23120000004</v>
      </c>
      <c r="AE280" s="53">
        <v>1091456.4909000001</v>
      </c>
      <c r="AF280" s="53">
        <v>-122.1384</v>
      </c>
    </row>
    <row r="281" spans="4:32" x14ac:dyDescent="0.25">
      <c r="D281" s="19"/>
      <c r="E281" s="96"/>
      <c r="F281" s="96"/>
      <c r="G281" s="97"/>
      <c r="N281" s="24"/>
      <c r="O281" s="43"/>
      <c r="P281" s="43"/>
      <c r="Q281" s="44"/>
      <c r="R281" s="27"/>
      <c r="S281" s="28"/>
      <c r="T281" s="28"/>
      <c r="U281" s="28"/>
      <c r="V281" s="28"/>
      <c r="W281" s="28"/>
      <c r="X281" s="42"/>
      <c r="Y281" s="76" t="str">
        <f t="shared" si="17"/>
        <v/>
      </c>
      <c r="Z281" s="77" t="str">
        <f t="shared" si="18"/>
        <v/>
      </c>
      <c r="AA281" s="77" t="str">
        <f t="shared" si="19"/>
        <v/>
      </c>
      <c r="AB281" s="77" t="str">
        <f t="shared" si="20"/>
        <v/>
      </c>
      <c r="AC281" s="20" t="s">
        <v>290</v>
      </c>
      <c r="AD281" s="53">
        <v>823059.64809999999</v>
      </c>
      <c r="AE281" s="53">
        <v>1091437.8829000001</v>
      </c>
      <c r="AF281" s="53">
        <v>-122.0967</v>
      </c>
    </row>
    <row r="282" spans="4:32" x14ac:dyDescent="0.25">
      <c r="D282" s="19"/>
      <c r="E282" s="96"/>
      <c r="F282" s="96"/>
      <c r="G282" s="97"/>
      <c r="N282" s="24"/>
      <c r="O282" s="43"/>
      <c r="P282" s="43"/>
      <c r="Q282" s="44"/>
      <c r="R282" s="27"/>
      <c r="S282" s="28"/>
      <c r="T282" s="28"/>
      <c r="U282" s="28"/>
      <c r="V282" s="28"/>
      <c r="W282" s="28"/>
      <c r="X282" s="42"/>
      <c r="Y282" s="76" t="str">
        <f t="shared" si="17"/>
        <v/>
      </c>
      <c r="Z282" s="77" t="str">
        <f t="shared" si="18"/>
        <v/>
      </c>
      <c r="AA282" s="77" t="str">
        <f t="shared" si="19"/>
        <v/>
      </c>
      <c r="AB282" s="77" t="str">
        <f t="shared" si="20"/>
        <v/>
      </c>
      <c r="AC282" s="20" t="s">
        <v>291</v>
      </c>
      <c r="AD282" s="53">
        <v>823041.88589999999</v>
      </c>
      <c r="AE282" s="53">
        <v>1091476.3922999999</v>
      </c>
      <c r="AF282" s="53">
        <v>-122.78230000000001</v>
      </c>
    </row>
    <row r="283" spans="4:32" x14ac:dyDescent="0.25">
      <c r="D283" s="19"/>
      <c r="E283" s="96"/>
      <c r="F283" s="96"/>
      <c r="G283" s="97"/>
      <c r="N283" s="24"/>
      <c r="O283" s="43"/>
      <c r="P283" s="43"/>
      <c r="Q283" s="44"/>
      <c r="R283" s="27"/>
      <c r="S283" s="28"/>
      <c r="T283" s="28"/>
      <c r="U283" s="28"/>
      <c r="V283" s="28"/>
      <c r="W283" s="28"/>
      <c r="X283" s="42"/>
      <c r="Y283" s="76" t="str">
        <f t="shared" si="17"/>
        <v/>
      </c>
      <c r="Z283" s="77" t="str">
        <f t="shared" si="18"/>
        <v/>
      </c>
      <c r="AA283" s="77" t="str">
        <f t="shared" si="19"/>
        <v/>
      </c>
      <c r="AB283" s="77" t="str">
        <f t="shared" si="20"/>
        <v/>
      </c>
      <c r="AC283" s="20" t="s">
        <v>292</v>
      </c>
      <c r="AD283" s="53">
        <v>823055.45259999996</v>
      </c>
      <c r="AE283" s="53">
        <v>1091458.5305000001</v>
      </c>
      <c r="AF283" s="53">
        <v>-124.1431</v>
      </c>
    </row>
    <row r="284" spans="4:32" x14ac:dyDescent="0.25">
      <c r="D284" s="19"/>
      <c r="E284" s="96"/>
      <c r="F284" s="96"/>
      <c r="G284" s="97"/>
      <c r="N284" s="24"/>
      <c r="O284" s="43"/>
      <c r="P284" s="43"/>
      <c r="Q284" s="44"/>
      <c r="R284" s="27"/>
      <c r="S284" s="28"/>
      <c r="T284" s="28"/>
      <c r="U284" s="28"/>
      <c r="V284" s="28"/>
      <c r="W284" s="28"/>
      <c r="X284" s="42"/>
      <c r="Y284" s="76" t="str">
        <f t="shared" si="17"/>
        <v/>
      </c>
      <c r="Z284" s="77" t="str">
        <f t="shared" si="18"/>
        <v/>
      </c>
      <c r="AA284" s="77" t="str">
        <f t="shared" si="19"/>
        <v/>
      </c>
      <c r="AB284" s="77" t="str">
        <f t="shared" si="20"/>
        <v/>
      </c>
      <c r="AC284" s="20" t="s">
        <v>293</v>
      </c>
      <c r="AD284" s="53">
        <v>823055.54559999995</v>
      </c>
      <c r="AE284" s="53">
        <v>1091458.5787</v>
      </c>
      <c r="AF284" s="53">
        <v>-123.8907</v>
      </c>
    </row>
    <row r="285" spans="4:32" x14ac:dyDescent="0.25">
      <c r="D285" s="19"/>
      <c r="E285" s="96"/>
      <c r="F285" s="96"/>
      <c r="G285" s="97"/>
      <c r="N285" s="24"/>
      <c r="O285" s="43"/>
      <c r="P285" s="43"/>
      <c r="Q285" s="44"/>
      <c r="R285" s="27"/>
      <c r="S285" s="28"/>
      <c r="T285" s="28"/>
      <c r="U285" s="28"/>
      <c r="V285" s="28"/>
      <c r="W285" s="28"/>
      <c r="X285" s="42"/>
      <c r="Y285" s="76" t="str">
        <f t="shared" si="17"/>
        <v/>
      </c>
      <c r="Z285" s="77" t="str">
        <f t="shared" si="18"/>
        <v/>
      </c>
      <c r="AA285" s="77" t="str">
        <f t="shared" si="19"/>
        <v/>
      </c>
      <c r="AB285" s="77" t="str">
        <f t="shared" si="20"/>
        <v/>
      </c>
      <c r="AC285" s="20" t="s">
        <v>294</v>
      </c>
      <c r="AD285" s="53">
        <v>823055.62939999998</v>
      </c>
      <c r="AE285" s="53">
        <v>1091458.6266000001</v>
      </c>
      <c r="AF285" s="53">
        <v>-123.6126</v>
      </c>
    </row>
    <row r="286" spans="4:32" x14ac:dyDescent="0.25">
      <c r="D286" s="19"/>
      <c r="E286" s="96"/>
      <c r="F286" s="96"/>
      <c r="G286" s="97"/>
      <c r="N286" s="24"/>
      <c r="O286" s="43"/>
      <c r="P286" s="43"/>
      <c r="Q286" s="44"/>
      <c r="R286" s="27"/>
      <c r="S286" s="28"/>
      <c r="T286" s="28"/>
      <c r="U286" s="28"/>
      <c r="V286" s="28"/>
      <c r="W286" s="28"/>
      <c r="X286" s="42"/>
      <c r="Y286" s="76" t="str">
        <f t="shared" si="17"/>
        <v/>
      </c>
      <c r="Z286" s="77" t="str">
        <f t="shared" si="18"/>
        <v/>
      </c>
      <c r="AA286" s="77" t="str">
        <f t="shared" si="19"/>
        <v/>
      </c>
      <c r="AB286" s="77" t="str">
        <f t="shared" si="20"/>
        <v/>
      </c>
      <c r="AC286" s="20" t="s">
        <v>295</v>
      </c>
      <c r="AD286" s="53">
        <v>823055.7206</v>
      </c>
      <c r="AE286" s="53">
        <v>1091458.6662000001</v>
      </c>
      <c r="AF286" s="53">
        <v>-123.32210000000001</v>
      </c>
    </row>
    <row r="287" spans="4:32" x14ac:dyDescent="0.25">
      <c r="D287" s="19"/>
      <c r="E287" s="96"/>
      <c r="F287" s="96"/>
      <c r="G287" s="97"/>
      <c r="N287" s="24"/>
      <c r="O287" s="43"/>
      <c r="P287" s="43"/>
      <c r="Q287" s="44"/>
      <c r="R287" s="27"/>
      <c r="S287" s="28"/>
      <c r="T287" s="28"/>
      <c r="U287" s="28"/>
      <c r="V287" s="28"/>
      <c r="W287" s="28"/>
      <c r="X287" s="42"/>
      <c r="Y287" s="76" t="str">
        <f t="shared" si="17"/>
        <v/>
      </c>
      <c r="Z287" s="77" t="str">
        <f t="shared" si="18"/>
        <v/>
      </c>
      <c r="AA287" s="77" t="str">
        <f t="shared" si="19"/>
        <v/>
      </c>
      <c r="AB287" s="77" t="str">
        <f t="shared" si="20"/>
        <v/>
      </c>
      <c r="AC287" s="20" t="s">
        <v>296</v>
      </c>
      <c r="AD287" s="53">
        <v>823055.73100000003</v>
      </c>
      <c r="AE287" s="53">
        <v>1091458.6858999999</v>
      </c>
      <c r="AF287" s="53">
        <v>-122.9389</v>
      </c>
    </row>
    <row r="288" spans="4:32" x14ac:dyDescent="0.25">
      <c r="D288" s="19"/>
      <c r="E288" s="96"/>
      <c r="F288" s="96"/>
      <c r="G288" s="97"/>
      <c r="N288" s="24"/>
      <c r="O288" s="43"/>
      <c r="P288" s="43"/>
      <c r="Q288" s="44"/>
      <c r="R288" s="27"/>
      <c r="S288" s="28"/>
      <c r="T288" s="28"/>
      <c r="U288" s="28"/>
      <c r="V288" s="28"/>
      <c r="W288" s="28"/>
      <c r="X288" s="42"/>
      <c r="Y288" s="76" t="str">
        <f t="shared" si="17"/>
        <v/>
      </c>
      <c r="Z288" s="77" t="str">
        <f t="shared" si="18"/>
        <v/>
      </c>
      <c r="AA288" s="77" t="str">
        <f t="shared" si="19"/>
        <v/>
      </c>
      <c r="AB288" s="77" t="str">
        <f t="shared" si="20"/>
        <v/>
      </c>
      <c r="AC288" s="20" t="s">
        <v>297</v>
      </c>
      <c r="AD288" s="53">
        <v>823055.72770000005</v>
      </c>
      <c r="AE288" s="53">
        <v>1091458.6861</v>
      </c>
      <c r="AF288" s="53">
        <v>-122.59780000000001</v>
      </c>
    </row>
    <row r="289" spans="4:32" x14ac:dyDescent="0.25">
      <c r="D289" s="19"/>
      <c r="E289" s="96"/>
      <c r="F289" s="96"/>
      <c r="G289" s="97"/>
      <c r="N289" s="24"/>
      <c r="O289" s="43"/>
      <c r="P289" s="43"/>
      <c r="Q289" s="44"/>
      <c r="R289" s="27"/>
      <c r="S289" s="28"/>
      <c r="T289" s="28"/>
      <c r="U289" s="28"/>
      <c r="V289" s="28"/>
      <c r="W289" s="28"/>
      <c r="X289" s="42"/>
      <c r="Y289" s="76" t="str">
        <f t="shared" si="17"/>
        <v/>
      </c>
      <c r="Z289" s="77" t="str">
        <f t="shared" si="18"/>
        <v/>
      </c>
      <c r="AA289" s="77" t="str">
        <f t="shared" si="19"/>
        <v/>
      </c>
      <c r="AB289" s="77" t="str">
        <f t="shared" si="20"/>
        <v/>
      </c>
      <c r="AC289" s="20" t="s">
        <v>298</v>
      </c>
      <c r="AD289" s="53">
        <v>823055.71100000001</v>
      </c>
      <c r="AE289" s="53">
        <v>1091458.679</v>
      </c>
      <c r="AF289" s="53">
        <v>-122.44450000000001</v>
      </c>
    </row>
    <row r="290" spans="4:32" x14ac:dyDescent="0.25">
      <c r="D290" s="19"/>
      <c r="E290" s="96"/>
      <c r="F290" s="96"/>
      <c r="G290" s="97"/>
      <c r="N290" s="24"/>
      <c r="O290" s="43"/>
      <c r="P290" s="43"/>
      <c r="Q290" s="44"/>
      <c r="R290" s="27"/>
      <c r="S290" s="28"/>
      <c r="T290" s="28"/>
      <c r="U290" s="28"/>
      <c r="V290" s="28"/>
      <c r="W290" s="28"/>
      <c r="X290" s="42"/>
      <c r="Y290" s="76" t="str">
        <f t="shared" si="17"/>
        <v/>
      </c>
      <c r="Z290" s="77" t="str">
        <f t="shared" si="18"/>
        <v/>
      </c>
      <c r="AA290" s="77" t="str">
        <f t="shared" si="19"/>
        <v/>
      </c>
      <c r="AB290" s="77" t="str">
        <f t="shared" si="20"/>
        <v/>
      </c>
      <c r="AC290" s="20" t="s">
        <v>299</v>
      </c>
      <c r="AD290" s="53">
        <v>823055.62549999997</v>
      </c>
      <c r="AE290" s="53">
        <v>1091458.6470000001</v>
      </c>
      <c r="AF290" s="53">
        <v>-122.07250000000001</v>
      </c>
    </row>
    <row r="291" spans="4:32" x14ac:dyDescent="0.25">
      <c r="D291" s="19"/>
      <c r="E291" s="96"/>
      <c r="F291" s="96"/>
      <c r="G291" s="97"/>
      <c r="N291" s="24"/>
      <c r="O291" s="43"/>
      <c r="P291" s="43"/>
      <c r="Q291" s="44"/>
      <c r="R291" s="27"/>
      <c r="S291" s="28"/>
      <c r="T291" s="28"/>
      <c r="U291" s="28"/>
      <c r="V291" s="28"/>
      <c r="W291" s="28"/>
      <c r="X291" s="42"/>
      <c r="Y291" s="76" t="str">
        <f t="shared" si="17"/>
        <v/>
      </c>
      <c r="Z291" s="77" t="str">
        <f t="shared" si="18"/>
        <v/>
      </c>
      <c r="AA291" s="77" t="str">
        <f t="shared" si="19"/>
        <v/>
      </c>
      <c r="AB291" s="77" t="str">
        <f t="shared" si="20"/>
        <v/>
      </c>
      <c r="AC291" s="20" t="s">
        <v>300</v>
      </c>
      <c r="AD291" s="53">
        <v>823055.5331</v>
      </c>
      <c r="AE291" s="53">
        <v>1091458.6022000001</v>
      </c>
      <c r="AF291" s="53">
        <v>-121.7912</v>
      </c>
    </row>
    <row r="292" spans="4:32" x14ac:dyDescent="0.25">
      <c r="D292" s="19"/>
      <c r="E292" s="96"/>
      <c r="F292" s="96"/>
      <c r="G292" s="97"/>
      <c r="N292" s="24"/>
      <c r="O292" s="43"/>
      <c r="P292" s="43"/>
      <c r="Q292" s="44"/>
      <c r="R292" s="27"/>
      <c r="S292" s="28"/>
      <c r="T292" s="28"/>
      <c r="U292" s="28"/>
      <c r="V292" s="28"/>
      <c r="W292" s="28"/>
      <c r="X292" s="42"/>
      <c r="Y292" s="76" t="str">
        <f t="shared" si="17"/>
        <v/>
      </c>
      <c r="Z292" s="77" t="str">
        <f t="shared" si="18"/>
        <v/>
      </c>
      <c r="AA292" s="77" t="str">
        <f t="shared" si="19"/>
        <v/>
      </c>
      <c r="AB292" s="77" t="str">
        <f t="shared" si="20"/>
        <v/>
      </c>
      <c r="AC292" s="20" t="s">
        <v>301</v>
      </c>
      <c r="AD292" s="53">
        <v>823055.37219999998</v>
      </c>
      <c r="AE292" s="53">
        <v>1091458.5396</v>
      </c>
      <c r="AF292" s="53">
        <v>-121.4815</v>
      </c>
    </row>
    <row r="293" spans="4:32" x14ac:dyDescent="0.25">
      <c r="D293" s="19"/>
      <c r="E293" s="96"/>
      <c r="F293" s="96"/>
      <c r="G293" s="97"/>
      <c r="N293" s="24"/>
      <c r="O293" s="43"/>
      <c r="P293" s="43"/>
      <c r="Q293" s="44"/>
      <c r="R293" s="27"/>
      <c r="S293" s="28"/>
      <c r="T293" s="28"/>
      <c r="U293" s="28"/>
      <c r="V293" s="28"/>
      <c r="W293" s="28"/>
      <c r="X293" s="42"/>
      <c r="Y293" s="76" t="str">
        <f t="shared" si="17"/>
        <v/>
      </c>
      <c r="Z293" s="77" t="str">
        <f t="shared" si="18"/>
        <v/>
      </c>
      <c r="AA293" s="77" t="str">
        <f t="shared" si="19"/>
        <v/>
      </c>
      <c r="AB293" s="77" t="str">
        <f t="shared" si="20"/>
        <v/>
      </c>
      <c r="AC293" s="20" t="s">
        <v>302</v>
      </c>
      <c r="AD293" s="53">
        <v>823055.22360000003</v>
      </c>
      <c r="AE293" s="53">
        <v>1091458.4723</v>
      </c>
      <c r="AF293" s="53">
        <v>-121.23220000000001</v>
      </c>
    </row>
    <row r="294" spans="4:32" x14ac:dyDescent="0.25">
      <c r="D294" s="19"/>
      <c r="E294" s="96"/>
      <c r="F294" s="96"/>
      <c r="G294" s="97"/>
      <c r="N294" s="24"/>
      <c r="O294" s="43"/>
      <c r="P294" s="43"/>
      <c r="Q294" s="44"/>
      <c r="R294" s="27"/>
      <c r="S294" s="28"/>
      <c r="T294" s="28"/>
      <c r="U294" s="28"/>
      <c r="V294" s="28"/>
      <c r="W294" s="28"/>
      <c r="X294" s="42"/>
      <c r="Y294" s="76" t="str">
        <f t="shared" si="17"/>
        <v/>
      </c>
      <c r="Z294" s="77" t="str">
        <f t="shared" si="18"/>
        <v/>
      </c>
      <c r="AA294" s="77" t="str">
        <f t="shared" si="19"/>
        <v/>
      </c>
      <c r="AB294" s="77" t="str">
        <f t="shared" si="20"/>
        <v/>
      </c>
      <c r="AC294" s="20" t="s">
        <v>303</v>
      </c>
      <c r="AD294" s="53">
        <v>823055.06180000002</v>
      </c>
      <c r="AE294" s="53">
        <v>1091458.3987</v>
      </c>
      <c r="AF294" s="53">
        <v>-121.03440000000001</v>
      </c>
    </row>
    <row r="295" spans="4:32" x14ac:dyDescent="0.25">
      <c r="D295" s="19"/>
      <c r="E295" s="96"/>
      <c r="F295" s="96"/>
      <c r="G295" s="97"/>
      <c r="N295" s="24"/>
      <c r="O295" s="43"/>
      <c r="P295" s="43"/>
      <c r="Q295" s="44"/>
      <c r="R295" s="27"/>
      <c r="S295" s="28"/>
      <c r="T295" s="28"/>
      <c r="U295" s="28"/>
      <c r="V295" s="28"/>
      <c r="W295" s="28"/>
      <c r="X295" s="42"/>
      <c r="Y295" s="76" t="str">
        <f t="shared" si="17"/>
        <v/>
      </c>
      <c r="Z295" s="77" t="str">
        <f t="shared" si="18"/>
        <v/>
      </c>
      <c r="AA295" s="77" t="str">
        <f t="shared" si="19"/>
        <v/>
      </c>
      <c r="AB295" s="77" t="str">
        <f t="shared" si="20"/>
        <v/>
      </c>
      <c r="AC295" s="20" t="s">
        <v>304</v>
      </c>
      <c r="AD295" s="53">
        <v>823054.83270000003</v>
      </c>
      <c r="AE295" s="53">
        <v>1091458.2966</v>
      </c>
      <c r="AF295" s="53">
        <v>-120.8098</v>
      </c>
    </row>
    <row r="296" spans="4:32" x14ac:dyDescent="0.25">
      <c r="D296" s="19"/>
      <c r="E296" s="96"/>
      <c r="F296" s="96"/>
      <c r="G296" s="97"/>
      <c r="N296" s="24"/>
      <c r="O296" s="43"/>
      <c r="P296" s="43"/>
      <c r="Q296" s="44"/>
      <c r="R296" s="27"/>
      <c r="S296" s="28"/>
      <c r="T296" s="28"/>
      <c r="U296" s="28"/>
      <c r="V296" s="28"/>
      <c r="W296" s="28"/>
      <c r="X296" s="42"/>
      <c r="Y296" s="76" t="str">
        <f t="shared" si="17"/>
        <v/>
      </c>
      <c r="Z296" s="77" t="str">
        <f t="shared" si="18"/>
        <v/>
      </c>
      <c r="AA296" s="77" t="str">
        <f t="shared" si="19"/>
        <v/>
      </c>
      <c r="AB296" s="77" t="str">
        <f t="shared" si="20"/>
        <v/>
      </c>
      <c r="AC296" s="20" t="s">
        <v>305</v>
      </c>
      <c r="AD296" s="53">
        <v>823054.68189999997</v>
      </c>
      <c r="AE296" s="53">
        <v>1091458.2365000001</v>
      </c>
      <c r="AF296" s="53">
        <v>-120.66930000000001</v>
      </c>
    </row>
    <row r="297" spans="4:32" x14ac:dyDescent="0.25">
      <c r="D297" s="19"/>
      <c r="E297" s="96"/>
      <c r="F297" s="96"/>
      <c r="G297" s="97"/>
      <c r="N297" s="24"/>
      <c r="O297" s="43"/>
      <c r="P297" s="43"/>
      <c r="Q297" s="44"/>
      <c r="R297" s="27"/>
      <c r="S297" s="28"/>
      <c r="T297" s="28"/>
      <c r="U297" s="28"/>
      <c r="V297" s="28"/>
      <c r="W297" s="28"/>
      <c r="X297" s="42"/>
      <c r="Y297" s="76" t="str">
        <f t="shared" si="17"/>
        <v/>
      </c>
      <c r="Z297" s="77" t="str">
        <f t="shared" si="18"/>
        <v/>
      </c>
      <c r="AA297" s="77" t="str">
        <f t="shared" si="19"/>
        <v/>
      </c>
      <c r="AB297" s="77" t="str">
        <f t="shared" si="20"/>
        <v/>
      </c>
      <c r="AC297" s="20" t="s">
        <v>306</v>
      </c>
      <c r="AD297" s="53">
        <v>823054.41460000002</v>
      </c>
      <c r="AE297" s="53">
        <v>1091458.1094</v>
      </c>
      <c r="AF297" s="53">
        <v>-120.51519999999999</v>
      </c>
    </row>
    <row r="298" spans="4:32" x14ac:dyDescent="0.25">
      <c r="D298" s="19"/>
      <c r="E298" s="96"/>
      <c r="F298" s="96"/>
      <c r="G298" s="97"/>
      <c r="N298" s="24"/>
      <c r="O298" s="43"/>
      <c r="P298" s="43"/>
      <c r="Q298" s="44"/>
      <c r="R298" s="27"/>
      <c r="S298" s="28"/>
      <c r="T298" s="28"/>
      <c r="U298" s="28"/>
      <c r="V298" s="28"/>
      <c r="W298" s="28"/>
      <c r="X298" s="42"/>
      <c r="Y298" s="76" t="str">
        <f t="shared" si="17"/>
        <v/>
      </c>
      <c r="Z298" s="77" t="str">
        <f t="shared" si="18"/>
        <v/>
      </c>
      <c r="AA298" s="77" t="str">
        <f t="shared" si="19"/>
        <v/>
      </c>
      <c r="AB298" s="77" t="str">
        <f t="shared" si="20"/>
        <v/>
      </c>
      <c r="AC298" s="20" t="s">
        <v>307</v>
      </c>
      <c r="AD298" s="53">
        <v>823054.17969999998</v>
      </c>
      <c r="AE298" s="53">
        <v>1091458.0107</v>
      </c>
      <c r="AF298" s="53">
        <v>-120.4147</v>
      </c>
    </row>
    <row r="299" spans="4:32" x14ac:dyDescent="0.25">
      <c r="D299" s="19"/>
      <c r="E299" s="96"/>
      <c r="F299" s="96"/>
      <c r="G299" s="97"/>
      <c r="N299" s="24"/>
      <c r="O299" s="43"/>
      <c r="P299" s="43"/>
      <c r="Q299" s="44"/>
      <c r="R299" s="27"/>
      <c r="S299" s="28"/>
      <c r="T299" s="28"/>
      <c r="U299" s="28"/>
      <c r="V299" s="28"/>
      <c r="W299" s="28"/>
      <c r="X299" s="42"/>
      <c r="Y299" s="76" t="str">
        <f t="shared" si="17"/>
        <v/>
      </c>
      <c r="Z299" s="77" t="str">
        <f t="shared" si="18"/>
        <v/>
      </c>
      <c r="AA299" s="77" t="str">
        <f t="shared" si="19"/>
        <v/>
      </c>
      <c r="AB299" s="77" t="str">
        <f t="shared" si="20"/>
        <v/>
      </c>
      <c r="AC299" s="20" t="s">
        <v>308</v>
      </c>
      <c r="AD299" s="53">
        <v>823053.94180000003</v>
      </c>
      <c r="AE299" s="53">
        <v>1091457.8942</v>
      </c>
      <c r="AF299" s="53">
        <v>-120.3105</v>
      </c>
    </row>
    <row r="300" spans="4:32" x14ac:dyDescent="0.25">
      <c r="D300" s="19"/>
      <c r="E300" s="96"/>
      <c r="F300" s="96"/>
      <c r="G300" s="97"/>
      <c r="N300" s="24"/>
      <c r="O300" s="43"/>
      <c r="P300" s="43"/>
      <c r="Q300" s="44"/>
      <c r="R300" s="27"/>
      <c r="S300" s="28"/>
      <c r="T300" s="28"/>
      <c r="U300" s="28"/>
      <c r="V300" s="28"/>
      <c r="W300" s="28"/>
      <c r="X300" s="42"/>
      <c r="Y300" s="76" t="str">
        <f t="shared" si="17"/>
        <v/>
      </c>
      <c r="Z300" s="77" t="str">
        <f t="shared" si="18"/>
        <v/>
      </c>
      <c r="AA300" s="77" t="str">
        <f t="shared" si="19"/>
        <v/>
      </c>
      <c r="AB300" s="77" t="str">
        <f t="shared" si="20"/>
        <v/>
      </c>
      <c r="AC300" s="20" t="s">
        <v>309</v>
      </c>
      <c r="AD300" s="53">
        <v>823053.6973</v>
      </c>
      <c r="AE300" s="53">
        <v>1091457.7707</v>
      </c>
      <c r="AF300" s="53">
        <v>-120.25320000000001</v>
      </c>
    </row>
    <row r="301" spans="4:32" x14ac:dyDescent="0.25">
      <c r="D301" s="19"/>
      <c r="E301" s="96"/>
      <c r="F301" s="96"/>
      <c r="G301" s="97"/>
      <c r="N301" s="24"/>
      <c r="O301" s="43"/>
      <c r="P301" s="43"/>
      <c r="Q301" s="44"/>
      <c r="R301" s="27"/>
      <c r="S301" s="28"/>
      <c r="T301" s="28"/>
      <c r="U301" s="28"/>
      <c r="V301" s="28"/>
      <c r="W301" s="28"/>
      <c r="X301" s="42"/>
      <c r="Y301" s="76" t="str">
        <f t="shared" si="17"/>
        <v/>
      </c>
      <c r="Z301" s="77" t="str">
        <f t="shared" si="18"/>
        <v/>
      </c>
      <c r="AA301" s="77" t="str">
        <f t="shared" si="19"/>
        <v/>
      </c>
      <c r="AB301" s="77" t="str">
        <f t="shared" si="20"/>
        <v/>
      </c>
      <c r="AC301" s="20" t="s">
        <v>310</v>
      </c>
      <c r="AD301" s="53">
        <v>823053.40179999999</v>
      </c>
      <c r="AE301" s="53">
        <v>1091457.6288999999</v>
      </c>
      <c r="AF301" s="53">
        <v>-120.2306</v>
      </c>
    </row>
    <row r="302" spans="4:32" x14ac:dyDescent="0.25">
      <c r="D302" s="19"/>
      <c r="E302" s="96"/>
      <c r="F302" s="96"/>
      <c r="G302" s="97"/>
      <c r="N302" s="24"/>
      <c r="O302" s="43"/>
      <c r="P302" s="43"/>
      <c r="Q302" s="44"/>
      <c r="R302" s="27"/>
      <c r="S302" s="28"/>
      <c r="T302" s="28"/>
      <c r="U302" s="28"/>
      <c r="V302" s="28"/>
      <c r="W302" s="28"/>
      <c r="X302" s="42"/>
      <c r="Y302" s="76" t="str">
        <f t="shared" si="17"/>
        <v/>
      </c>
      <c r="Z302" s="77" t="str">
        <f t="shared" si="18"/>
        <v/>
      </c>
      <c r="AA302" s="77" t="str">
        <f t="shared" si="19"/>
        <v/>
      </c>
      <c r="AB302" s="77" t="str">
        <f t="shared" si="20"/>
        <v/>
      </c>
      <c r="AC302" s="20" t="s">
        <v>311</v>
      </c>
      <c r="AD302" s="53">
        <v>823053.09</v>
      </c>
      <c r="AE302" s="53">
        <v>1091457.493</v>
      </c>
      <c r="AF302" s="53">
        <v>-120.24550000000001</v>
      </c>
    </row>
    <row r="303" spans="4:32" x14ac:dyDescent="0.25">
      <c r="D303" s="19"/>
      <c r="E303" s="96"/>
      <c r="F303" s="96"/>
      <c r="G303" s="97"/>
      <c r="N303" s="24"/>
      <c r="O303" s="43"/>
      <c r="P303" s="43"/>
      <c r="Q303" s="44"/>
      <c r="R303" s="27"/>
      <c r="S303" s="28"/>
      <c r="T303" s="28"/>
      <c r="U303" s="28"/>
      <c r="V303" s="28"/>
      <c r="W303" s="28"/>
      <c r="X303" s="42"/>
      <c r="Y303" s="76" t="str">
        <f t="shared" si="17"/>
        <v/>
      </c>
      <c r="Z303" s="77" t="str">
        <f t="shared" si="18"/>
        <v/>
      </c>
      <c r="AA303" s="77" t="str">
        <f t="shared" si="19"/>
        <v/>
      </c>
      <c r="AB303" s="77" t="str">
        <f t="shared" si="20"/>
        <v/>
      </c>
      <c r="AC303" s="20" t="s">
        <v>312</v>
      </c>
      <c r="AD303" s="53">
        <v>823052.64320000005</v>
      </c>
      <c r="AE303" s="53">
        <v>1091457.2864000001</v>
      </c>
      <c r="AF303" s="53">
        <v>-120.3622</v>
      </c>
    </row>
    <row r="304" spans="4:32" x14ac:dyDescent="0.25">
      <c r="D304" s="19"/>
      <c r="E304" s="96"/>
      <c r="F304" s="96"/>
      <c r="G304" s="97"/>
      <c r="N304" s="24"/>
      <c r="O304" s="43"/>
      <c r="P304" s="43"/>
      <c r="Q304" s="44"/>
      <c r="R304" s="27"/>
      <c r="S304" s="28"/>
      <c r="T304" s="28"/>
      <c r="U304" s="28"/>
      <c r="V304" s="28"/>
      <c r="W304" s="28"/>
      <c r="X304" s="42"/>
      <c r="Y304" s="76" t="str">
        <f t="shared" si="17"/>
        <v/>
      </c>
      <c r="Z304" s="77" t="str">
        <f t="shared" si="18"/>
        <v/>
      </c>
      <c r="AA304" s="77" t="str">
        <f t="shared" si="19"/>
        <v/>
      </c>
      <c r="AB304" s="77" t="str">
        <f t="shared" si="20"/>
        <v/>
      </c>
      <c r="AC304" s="20" t="s">
        <v>313</v>
      </c>
      <c r="AD304" s="53">
        <v>823052.43960000004</v>
      </c>
      <c r="AE304" s="53">
        <v>1091457.1906000001</v>
      </c>
      <c r="AF304" s="53">
        <v>-120.4662</v>
      </c>
    </row>
    <row r="305" spans="4:32" x14ac:dyDescent="0.25">
      <c r="D305" s="19"/>
      <c r="E305" s="96"/>
      <c r="F305" s="96"/>
      <c r="G305" s="97"/>
      <c r="N305" s="24"/>
      <c r="O305" s="43"/>
      <c r="P305" s="43"/>
      <c r="Q305" s="44"/>
      <c r="R305" s="27"/>
      <c r="S305" s="28"/>
      <c r="T305" s="28"/>
      <c r="U305" s="28"/>
      <c r="V305" s="28"/>
      <c r="W305" s="28"/>
      <c r="X305" s="42"/>
      <c r="Y305" s="76" t="str">
        <f t="shared" si="17"/>
        <v/>
      </c>
      <c r="Z305" s="77" t="str">
        <f t="shared" si="18"/>
        <v/>
      </c>
      <c r="AA305" s="77" t="str">
        <f t="shared" si="19"/>
        <v/>
      </c>
      <c r="AB305" s="77" t="str">
        <f t="shared" si="20"/>
        <v/>
      </c>
      <c r="AC305" s="20" t="s">
        <v>314</v>
      </c>
      <c r="AD305" s="53">
        <v>823052.14769999997</v>
      </c>
      <c r="AE305" s="53">
        <v>1091457.0545999999</v>
      </c>
      <c r="AF305" s="53">
        <v>-120.6468</v>
      </c>
    </row>
    <row r="306" spans="4:32" x14ac:dyDescent="0.25">
      <c r="D306" s="19"/>
      <c r="E306" s="96"/>
      <c r="F306" s="96"/>
      <c r="G306" s="97"/>
      <c r="N306" s="24"/>
      <c r="O306" s="43"/>
      <c r="P306" s="43"/>
      <c r="Q306" s="44"/>
      <c r="R306" s="27"/>
      <c r="S306" s="28"/>
      <c r="T306" s="28"/>
      <c r="U306" s="28"/>
      <c r="V306" s="28"/>
      <c r="W306" s="28"/>
      <c r="X306" s="42"/>
      <c r="Y306" s="76" t="str">
        <f t="shared" si="17"/>
        <v/>
      </c>
      <c r="Z306" s="77" t="str">
        <f t="shared" si="18"/>
        <v/>
      </c>
      <c r="AA306" s="77" t="str">
        <f t="shared" si="19"/>
        <v/>
      </c>
      <c r="AB306" s="77" t="str">
        <f t="shared" si="20"/>
        <v/>
      </c>
      <c r="AC306" s="20" t="s">
        <v>315</v>
      </c>
      <c r="AD306" s="53">
        <v>823051.92940000002</v>
      </c>
      <c r="AE306" s="53">
        <v>1091456.9513999999</v>
      </c>
      <c r="AF306" s="53">
        <v>-120.8224</v>
      </c>
    </row>
    <row r="307" spans="4:32" x14ac:dyDescent="0.25">
      <c r="D307" s="19"/>
      <c r="E307" s="96"/>
      <c r="F307" s="96"/>
      <c r="G307" s="97"/>
      <c r="N307" s="24"/>
      <c r="O307" s="43"/>
      <c r="P307" s="43"/>
      <c r="Q307" s="44"/>
      <c r="R307" s="27"/>
      <c r="S307" s="28"/>
      <c r="T307" s="28"/>
      <c r="U307" s="28"/>
      <c r="V307" s="28"/>
      <c r="W307" s="28"/>
      <c r="X307" s="42"/>
      <c r="Y307" s="76" t="str">
        <f t="shared" si="17"/>
        <v/>
      </c>
      <c r="Z307" s="77" t="str">
        <f t="shared" si="18"/>
        <v/>
      </c>
      <c r="AA307" s="77" t="str">
        <f t="shared" si="19"/>
        <v/>
      </c>
      <c r="AB307" s="77" t="str">
        <f t="shared" si="20"/>
        <v/>
      </c>
      <c r="AC307" s="20" t="s">
        <v>316</v>
      </c>
      <c r="AD307" s="53">
        <v>823051.77159999998</v>
      </c>
      <c r="AE307" s="53">
        <v>1091456.8740999999</v>
      </c>
      <c r="AF307" s="53">
        <v>-120.9747</v>
      </c>
    </row>
    <row r="308" spans="4:32" x14ac:dyDescent="0.25">
      <c r="D308" s="19"/>
      <c r="E308" s="96"/>
      <c r="F308" s="96"/>
      <c r="G308" s="97"/>
      <c r="N308" s="24"/>
      <c r="O308" s="43"/>
      <c r="P308" s="43"/>
      <c r="Q308" s="44"/>
      <c r="R308" s="27"/>
      <c r="S308" s="28"/>
      <c r="T308" s="28"/>
      <c r="U308" s="28"/>
      <c r="V308" s="28"/>
      <c r="W308" s="28"/>
      <c r="X308" s="42"/>
      <c r="Y308" s="76" t="str">
        <f t="shared" si="17"/>
        <v/>
      </c>
      <c r="Z308" s="77" t="str">
        <f t="shared" si="18"/>
        <v/>
      </c>
      <c r="AA308" s="77" t="str">
        <f t="shared" si="19"/>
        <v/>
      </c>
      <c r="AB308" s="77" t="str">
        <f t="shared" si="20"/>
        <v/>
      </c>
      <c r="AC308" s="20" t="s">
        <v>317</v>
      </c>
      <c r="AD308" s="53">
        <v>823051.57299999997</v>
      </c>
      <c r="AE308" s="53">
        <v>1091456.7815</v>
      </c>
      <c r="AF308" s="53">
        <v>-121.2256</v>
      </c>
    </row>
    <row r="309" spans="4:32" x14ac:dyDescent="0.25">
      <c r="E309" s="6"/>
      <c r="F309" s="6"/>
      <c r="G309" s="7"/>
      <c r="N309" s="24"/>
      <c r="O309" s="43"/>
      <c r="P309" s="43"/>
      <c r="Q309" s="44"/>
      <c r="R309" s="27"/>
      <c r="S309" s="28"/>
      <c r="T309" s="28"/>
      <c r="U309" s="28"/>
      <c r="V309" s="28"/>
      <c r="W309" s="28"/>
      <c r="X309" s="42"/>
      <c r="Y309" s="76" t="str">
        <f t="shared" si="17"/>
        <v/>
      </c>
      <c r="Z309" s="77" t="str">
        <f t="shared" si="18"/>
        <v/>
      </c>
      <c r="AA309" s="77" t="str">
        <f t="shared" si="19"/>
        <v/>
      </c>
      <c r="AB309" s="77" t="str">
        <f t="shared" si="20"/>
        <v/>
      </c>
      <c r="AC309" s="20" t="s">
        <v>318</v>
      </c>
      <c r="AD309" s="53">
        <v>823051.47580000001</v>
      </c>
      <c r="AE309" s="53">
        <v>1091456.7356</v>
      </c>
      <c r="AF309" s="53">
        <v>-121.38639999999999</v>
      </c>
    </row>
    <row r="310" spans="4:32" x14ac:dyDescent="0.25">
      <c r="E310" s="6"/>
      <c r="F310" s="6"/>
      <c r="G310" s="7"/>
      <c r="N310" s="24"/>
      <c r="O310" s="43"/>
      <c r="P310" s="43"/>
      <c r="Q310" s="44"/>
      <c r="R310" s="27"/>
      <c r="S310" s="28"/>
      <c r="T310" s="28"/>
      <c r="U310" s="28"/>
      <c r="V310" s="28"/>
      <c r="W310" s="28"/>
      <c r="X310" s="42"/>
      <c r="Y310" s="76" t="str">
        <f t="shared" si="17"/>
        <v/>
      </c>
      <c r="Z310" s="77" t="str">
        <f t="shared" si="18"/>
        <v/>
      </c>
      <c r="AA310" s="77" t="str">
        <f t="shared" si="19"/>
        <v/>
      </c>
      <c r="AB310" s="77" t="str">
        <f t="shared" si="20"/>
        <v/>
      </c>
      <c r="AC310" s="20" t="s">
        <v>319</v>
      </c>
      <c r="AD310" s="53">
        <v>823051.39659999998</v>
      </c>
      <c r="AE310" s="53">
        <v>1091456.7006999999</v>
      </c>
      <c r="AF310" s="53">
        <v>-121.5205</v>
      </c>
    </row>
    <row r="311" spans="4:32" x14ac:dyDescent="0.25">
      <c r="E311" s="6"/>
      <c r="F311" s="6"/>
      <c r="G311" s="7"/>
      <c r="N311" s="24"/>
      <c r="O311" s="43"/>
      <c r="P311" s="43"/>
      <c r="Q311" s="44"/>
      <c r="R311" s="27"/>
      <c r="S311" s="28"/>
      <c r="T311" s="28"/>
      <c r="U311" s="28"/>
      <c r="V311" s="28"/>
      <c r="W311" s="28"/>
      <c r="X311" s="42"/>
      <c r="Y311" s="76" t="str">
        <f t="shared" si="17"/>
        <v/>
      </c>
      <c r="Z311" s="77" t="str">
        <f t="shared" si="18"/>
        <v/>
      </c>
      <c r="AA311" s="77" t="str">
        <f t="shared" si="19"/>
        <v/>
      </c>
      <c r="AB311" s="77" t="str">
        <f t="shared" si="20"/>
        <v/>
      </c>
      <c r="AC311" s="20" t="s">
        <v>320</v>
      </c>
      <c r="AD311" s="53">
        <v>823051.26619999995</v>
      </c>
      <c r="AE311" s="53">
        <v>1091456.6288999999</v>
      </c>
      <c r="AF311" s="53">
        <v>-121.83920000000001</v>
      </c>
    </row>
    <row r="312" spans="4:32" x14ac:dyDescent="0.25">
      <c r="E312" s="6"/>
      <c r="F312" s="6"/>
      <c r="G312" s="7"/>
      <c r="N312" s="24"/>
      <c r="O312" s="43"/>
      <c r="P312" s="43"/>
      <c r="Q312" s="44"/>
      <c r="R312" s="27"/>
      <c r="S312" s="28"/>
      <c r="T312" s="28"/>
      <c r="U312" s="28"/>
      <c r="V312" s="28"/>
      <c r="W312" s="28"/>
      <c r="X312" s="42"/>
      <c r="Y312" s="76" t="str">
        <f t="shared" si="17"/>
        <v/>
      </c>
      <c r="Z312" s="77" t="str">
        <f t="shared" si="18"/>
        <v/>
      </c>
      <c r="AA312" s="77" t="str">
        <f t="shared" si="19"/>
        <v/>
      </c>
      <c r="AB312" s="77" t="str">
        <f t="shared" si="20"/>
        <v/>
      </c>
      <c r="AC312" s="20" t="s">
        <v>321</v>
      </c>
      <c r="AD312" s="53">
        <v>823051.1692</v>
      </c>
      <c r="AE312" s="53">
        <v>1091456.5785000001</v>
      </c>
      <c r="AF312" s="53">
        <v>-122.1083</v>
      </c>
    </row>
    <row r="313" spans="4:32" x14ac:dyDescent="0.25">
      <c r="E313" s="6"/>
      <c r="F313" s="6"/>
      <c r="G313" s="7"/>
      <c r="N313" s="24"/>
      <c r="O313" s="43"/>
      <c r="P313" s="43"/>
      <c r="Q313" s="44"/>
      <c r="R313" s="27"/>
      <c r="S313" s="28"/>
      <c r="T313" s="28"/>
      <c r="U313" s="28"/>
      <c r="V313" s="28"/>
      <c r="W313" s="28"/>
      <c r="X313" s="42"/>
      <c r="Y313" s="76" t="str">
        <f t="shared" si="17"/>
        <v/>
      </c>
      <c r="Z313" s="77" t="str">
        <f t="shared" si="18"/>
        <v/>
      </c>
      <c r="AA313" s="77" t="str">
        <f t="shared" si="19"/>
        <v/>
      </c>
      <c r="AB313" s="77" t="str">
        <f t="shared" si="20"/>
        <v/>
      </c>
      <c r="AC313" s="20" t="s">
        <v>322</v>
      </c>
      <c r="AD313" s="53">
        <v>823051.11320000002</v>
      </c>
      <c r="AE313" s="53">
        <v>1091456.5482999999</v>
      </c>
      <c r="AF313" s="53">
        <v>-122.4571</v>
      </c>
    </row>
    <row r="314" spans="4:32" x14ac:dyDescent="0.25">
      <c r="E314" s="6"/>
      <c r="F314" s="6"/>
      <c r="G314" s="7"/>
      <c r="N314" s="24"/>
      <c r="O314" s="43"/>
      <c r="P314" s="43"/>
      <c r="Q314" s="44"/>
      <c r="R314" s="27"/>
      <c r="S314" s="28"/>
      <c r="T314" s="28"/>
      <c r="U314" s="28"/>
      <c r="V314" s="28"/>
      <c r="W314" s="28"/>
      <c r="X314" s="42"/>
      <c r="Y314" s="76" t="str">
        <f t="shared" si="17"/>
        <v/>
      </c>
      <c r="Z314" s="77" t="str">
        <f t="shared" si="18"/>
        <v/>
      </c>
      <c r="AA314" s="77" t="str">
        <f t="shared" si="19"/>
        <v/>
      </c>
      <c r="AB314" s="77" t="str">
        <f t="shared" si="20"/>
        <v/>
      </c>
      <c r="AC314" s="20" t="s">
        <v>323</v>
      </c>
      <c r="AD314" s="53">
        <v>823051.08739999996</v>
      </c>
      <c r="AE314" s="53">
        <v>1091456.5359</v>
      </c>
      <c r="AF314" s="53">
        <v>-122.6215</v>
      </c>
    </row>
    <row r="315" spans="4:32" x14ac:dyDescent="0.25">
      <c r="E315" s="6"/>
      <c r="F315" s="6"/>
      <c r="G315" s="7"/>
      <c r="N315" s="24"/>
      <c r="O315" s="43"/>
      <c r="P315" s="43"/>
      <c r="Q315" s="44"/>
      <c r="R315" s="27"/>
      <c r="S315" s="28"/>
      <c r="T315" s="28"/>
      <c r="U315" s="28"/>
      <c r="V315" s="28"/>
      <c r="W315" s="28"/>
      <c r="X315" s="42"/>
      <c r="Y315" s="76" t="str">
        <f t="shared" si="17"/>
        <v/>
      </c>
      <c r="Z315" s="77" t="str">
        <f t="shared" si="18"/>
        <v/>
      </c>
      <c r="AA315" s="77" t="str">
        <f t="shared" si="19"/>
        <v/>
      </c>
      <c r="AB315" s="77" t="str">
        <f t="shared" si="20"/>
        <v/>
      </c>
      <c r="AC315" s="20" t="s">
        <v>324</v>
      </c>
      <c r="AD315" s="53">
        <v>823051.08409999998</v>
      </c>
      <c r="AE315" s="53">
        <v>1091456.5329</v>
      </c>
      <c r="AF315" s="53">
        <v>-122.8274</v>
      </c>
    </row>
    <row r="316" spans="4:32" x14ac:dyDescent="0.25">
      <c r="E316" s="6"/>
      <c r="F316" s="6"/>
      <c r="G316" s="7"/>
      <c r="N316" s="24"/>
      <c r="O316" s="43"/>
      <c r="P316" s="43"/>
      <c r="Q316" s="44"/>
      <c r="R316" s="27"/>
      <c r="S316" s="28"/>
      <c r="T316" s="28"/>
      <c r="U316" s="28"/>
      <c r="V316" s="28"/>
      <c r="W316" s="28"/>
      <c r="X316" s="42"/>
      <c r="Y316" s="76" t="str">
        <f t="shared" si="17"/>
        <v/>
      </c>
      <c r="Z316" s="77" t="str">
        <f t="shared" si="18"/>
        <v/>
      </c>
      <c r="AA316" s="77" t="str">
        <f t="shared" si="19"/>
        <v/>
      </c>
      <c r="AB316" s="77" t="str">
        <f t="shared" si="20"/>
        <v/>
      </c>
      <c r="AC316" s="20" t="s">
        <v>325</v>
      </c>
      <c r="AD316" s="53">
        <v>823051.09120000002</v>
      </c>
      <c r="AE316" s="53">
        <v>1091456.5304</v>
      </c>
      <c r="AF316" s="53">
        <v>-123.1647</v>
      </c>
    </row>
    <row r="317" spans="4:32" x14ac:dyDescent="0.25">
      <c r="E317" s="6"/>
      <c r="F317" s="6"/>
      <c r="G317" s="7"/>
      <c r="N317" s="24"/>
      <c r="O317" s="43"/>
      <c r="P317" s="43"/>
      <c r="Q317" s="44"/>
      <c r="R317" s="27"/>
      <c r="S317" s="28"/>
      <c r="T317" s="28"/>
      <c r="U317" s="28"/>
      <c r="V317" s="28"/>
      <c r="W317" s="28"/>
      <c r="X317" s="42"/>
      <c r="Y317" s="76" t="str">
        <f t="shared" si="17"/>
        <v/>
      </c>
      <c r="Z317" s="77" t="str">
        <f t="shared" si="18"/>
        <v/>
      </c>
      <c r="AA317" s="77" t="str">
        <f t="shared" si="19"/>
        <v/>
      </c>
      <c r="AB317" s="77" t="str">
        <f t="shared" si="20"/>
        <v/>
      </c>
      <c r="AC317" s="20" t="s">
        <v>326</v>
      </c>
      <c r="AD317" s="53">
        <v>823051.12910000002</v>
      </c>
      <c r="AE317" s="53">
        <v>1091456.541</v>
      </c>
      <c r="AF317" s="53">
        <v>-123.39279999999999</v>
      </c>
    </row>
    <row r="318" spans="4:32" x14ac:dyDescent="0.25">
      <c r="E318" s="6"/>
      <c r="F318" s="6"/>
      <c r="G318" s="7"/>
      <c r="N318" s="24"/>
      <c r="O318" s="43"/>
      <c r="P318" s="43"/>
      <c r="Q318" s="44"/>
      <c r="R318" s="27"/>
      <c r="S318" s="28"/>
      <c r="T318" s="28"/>
      <c r="U318" s="28"/>
      <c r="V318" s="28"/>
      <c r="W318" s="28"/>
      <c r="X318" s="42"/>
      <c r="Y318" s="76" t="str">
        <f t="shared" si="17"/>
        <v/>
      </c>
      <c r="Z318" s="77" t="str">
        <f t="shared" si="18"/>
        <v/>
      </c>
      <c r="AA318" s="77" t="str">
        <f t="shared" si="19"/>
        <v/>
      </c>
      <c r="AB318" s="77" t="str">
        <f t="shared" si="20"/>
        <v/>
      </c>
      <c r="AC318" s="20" t="s">
        <v>327</v>
      </c>
      <c r="AD318" s="53">
        <v>823051.17420000001</v>
      </c>
      <c r="AE318" s="53">
        <v>1091456.5603</v>
      </c>
      <c r="AF318" s="53">
        <v>-123.58880000000001</v>
      </c>
    </row>
    <row r="319" spans="4:32" x14ac:dyDescent="0.25">
      <c r="E319" s="6"/>
      <c r="F319" s="6"/>
      <c r="G319" s="7"/>
      <c r="N319" s="24"/>
      <c r="O319" s="43"/>
      <c r="P319" s="43"/>
      <c r="Q319" s="44"/>
      <c r="R319" s="27"/>
      <c r="S319" s="28"/>
      <c r="T319" s="28"/>
      <c r="U319" s="28"/>
      <c r="V319" s="28"/>
      <c r="W319" s="28"/>
      <c r="X319" s="42"/>
      <c r="Y319" s="76" t="str">
        <f t="shared" si="17"/>
        <v/>
      </c>
      <c r="Z319" s="77" t="str">
        <f t="shared" si="18"/>
        <v/>
      </c>
      <c r="AA319" s="77" t="str">
        <f t="shared" si="19"/>
        <v/>
      </c>
      <c r="AB319" s="77" t="str">
        <f t="shared" si="20"/>
        <v/>
      </c>
      <c r="AC319" s="20" t="s">
        <v>328</v>
      </c>
      <c r="AD319" s="53">
        <v>823051.26470000006</v>
      </c>
      <c r="AE319" s="53">
        <v>1091456.5983</v>
      </c>
      <c r="AF319" s="53">
        <v>-123.8194</v>
      </c>
    </row>
    <row r="320" spans="4:32" x14ac:dyDescent="0.25">
      <c r="E320" s="6"/>
      <c r="F320" s="6"/>
      <c r="G320" s="7"/>
      <c r="N320" s="24"/>
      <c r="O320" s="43"/>
      <c r="P320" s="43"/>
      <c r="Q320" s="44"/>
      <c r="R320" s="27"/>
      <c r="S320" s="28"/>
      <c r="T320" s="28"/>
      <c r="U320" s="28"/>
      <c r="V320" s="28"/>
      <c r="W320" s="28"/>
      <c r="X320" s="42"/>
      <c r="Y320" s="76" t="str">
        <f t="shared" si="17"/>
        <v/>
      </c>
      <c r="Z320" s="77" t="str">
        <f t="shared" si="18"/>
        <v/>
      </c>
      <c r="AA320" s="77" t="str">
        <f t="shared" si="19"/>
        <v/>
      </c>
      <c r="AB320" s="77" t="str">
        <f t="shared" si="20"/>
        <v/>
      </c>
      <c r="AC320" s="20" t="s">
        <v>329</v>
      </c>
      <c r="AD320" s="53">
        <v>823051.35759999999</v>
      </c>
      <c r="AE320" s="53">
        <v>1091456.6377000001</v>
      </c>
      <c r="AF320" s="53">
        <v>-124.0735</v>
      </c>
    </row>
    <row r="321" spans="5:32" x14ac:dyDescent="0.25">
      <c r="E321" s="6"/>
      <c r="F321" s="6"/>
      <c r="G321" s="7"/>
      <c r="N321" s="24"/>
      <c r="O321" s="43"/>
      <c r="P321" s="43"/>
      <c r="Q321" s="44"/>
      <c r="R321" s="27"/>
      <c r="S321" s="28"/>
      <c r="T321" s="28"/>
      <c r="U321" s="28"/>
      <c r="V321" s="28"/>
      <c r="W321" s="28"/>
      <c r="X321" s="42"/>
      <c r="Y321" s="76" t="str">
        <f t="shared" si="17"/>
        <v/>
      </c>
      <c r="Z321" s="77" t="str">
        <f t="shared" si="18"/>
        <v/>
      </c>
      <c r="AA321" s="77" t="str">
        <f t="shared" si="19"/>
        <v/>
      </c>
      <c r="AB321" s="77" t="str">
        <f t="shared" si="20"/>
        <v/>
      </c>
      <c r="AC321" s="20" t="s">
        <v>330</v>
      </c>
      <c r="AD321" s="53">
        <v>823051.46299999999</v>
      </c>
      <c r="AE321" s="53">
        <v>1091456.6832000001</v>
      </c>
      <c r="AF321" s="53">
        <v>-124.2546</v>
      </c>
    </row>
    <row r="322" spans="5:32" x14ac:dyDescent="0.25">
      <c r="E322" s="6"/>
      <c r="F322" s="6"/>
      <c r="G322" s="7"/>
      <c r="N322" s="24"/>
      <c r="O322" s="43"/>
      <c r="P322" s="43"/>
      <c r="Q322" s="44"/>
      <c r="R322" s="27"/>
      <c r="S322" s="28"/>
      <c r="T322" s="28"/>
      <c r="U322" s="28"/>
      <c r="V322" s="28"/>
      <c r="W322" s="28"/>
      <c r="X322" s="42"/>
      <c r="Y322" s="76" t="str">
        <f t="shared" si="17"/>
        <v/>
      </c>
      <c r="Z322" s="77" t="str">
        <f t="shared" si="18"/>
        <v/>
      </c>
      <c r="AA322" s="77" t="str">
        <f t="shared" si="19"/>
        <v/>
      </c>
      <c r="AB322" s="77" t="str">
        <f t="shared" si="20"/>
        <v/>
      </c>
      <c r="AC322" s="20" t="s">
        <v>331</v>
      </c>
      <c r="AD322" s="53">
        <v>823051.09340000001</v>
      </c>
      <c r="AE322" s="53">
        <v>1091456.5179999999</v>
      </c>
      <c r="AF322" s="53">
        <v>-124.2594</v>
      </c>
    </row>
    <row r="323" spans="5:32" x14ac:dyDescent="0.25">
      <c r="E323" s="6"/>
      <c r="F323" s="6"/>
      <c r="G323" s="7"/>
      <c r="N323" s="24"/>
      <c r="O323" s="43"/>
      <c r="P323" s="43"/>
      <c r="Q323" s="44"/>
      <c r="R323" s="27"/>
      <c r="S323" s="28"/>
      <c r="T323" s="28"/>
      <c r="U323" s="28"/>
      <c r="V323" s="28"/>
      <c r="W323" s="28"/>
      <c r="X323" s="42"/>
      <c r="Y323" s="76" t="str">
        <f t="shared" si="17"/>
        <v/>
      </c>
      <c r="Z323" s="77" t="str">
        <f t="shared" si="18"/>
        <v/>
      </c>
      <c r="AA323" s="77" t="str">
        <f t="shared" si="19"/>
        <v/>
      </c>
      <c r="AB323" s="77" t="str">
        <f t="shared" si="20"/>
        <v/>
      </c>
      <c r="AC323" s="20" t="s">
        <v>332</v>
      </c>
      <c r="AD323" s="53">
        <v>823050.96259999997</v>
      </c>
      <c r="AE323" s="53">
        <v>1091456.4620999999</v>
      </c>
      <c r="AF323" s="53">
        <v>-123.9021</v>
      </c>
    </row>
    <row r="324" spans="5:32" x14ac:dyDescent="0.25">
      <c r="E324" s="6"/>
      <c r="F324" s="6"/>
      <c r="G324" s="7"/>
      <c r="N324" s="24"/>
      <c r="O324" s="43"/>
      <c r="P324" s="43"/>
      <c r="Q324" s="44"/>
      <c r="R324" s="27"/>
      <c r="S324" s="28"/>
      <c r="T324" s="28"/>
      <c r="U324" s="28"/>
      <c r="V324" s="28"/>
      <c r="W324" s="28"/>
      <c r="X324" s="42"/>
      <c r="Y324" s="76" t="str">
        <f t="shared" ref="Y324:Y387" si="21">IF(ISBLANK(N324),"",N324)</f>
        <v/>
      </c>
      <c r="Z324" s="77" t="str">
        <f t="shared" ref="Z324:Z387" si="22">IF(ISBLANK(O324),"",O324-V324)</f>
        <v/>
      </c>
      <c r="AA324" s="77" t="str">
        <f t="shared" ref="AA324:AA387" si="23">IF(ISBLANK(P324),"",P324-W324)</f>
        <v/>
      </c>
      <c r="AB324" s="77" t="str">
        <f t="shared" ref="AB324:AB387" si="24">IF(ISBLANK(Q324),"",Q324-X324)</f>
        <v/>
      </c>
      <c r="AC324" s="20" t="s">
        <v>333</v>
      </c>
      <c r="AD324" s="53">
        <v>823050.83810000005</v>
      </c>
      <c r="AE324" s="53">
        <v>1091456.4088999999</v>
      </c>
      <c r="AF324" s="53">
        <v>-123.52670000000001</v>
      </c>
    </row>
    <row r="325" spans="5:32" x14ac:dyDescent="0.25">
      <c r="E325" s="6"/>
      <c r="F325" s="6"/>
      <c r="G325" s="7"/>
      <c r="N325" s="24"/>
      <c r="O325" s="43"/>
      <c r="P325" s="43"/>
      <c r="Q325" s="44"/>
      <c r="R325" s="27"/>
      <c r="S325" s="28"/>
      <c r="T325" s="28"/>
      <c r="U325" s="28"/>
      <c r="V325" s="28"/>
      <c r="W325" s="28"/>
      <c r="X325" s="42"/>
      <c r="Y325" s="76" t="str">
        <f t="shared" si="21"/>
        <v/>
      </c>
      <c r="Z325" s="77" t="str">
        <f t="shared" si="22"/>
        <v/>
      </c>
      <c r="AA325" s="77" t="str">
        <f t="shared" si="23"/>
        <v/>
      </c>
      <c r="AB325" s="77" t="str">
        <f t="shared" si="24"/>
        <v/>
      </c>
      <c r="AC325" s="20" t="s">
        <v>334</v>
      </c>
      <c r="AD325" s="53">
        <v>823050.8149</v>
      </c>
      <c r="AE325" s="53">
        <v>1091456.4076</v>
      </c>
      <c r="AF325" s="53">
        <v>-123.2338</v>
      </c>
    </row>
    <row r="326" spans="5:32" x14ac:dyDescent="0.25">
      <c r="E326" s="6"/>
      <c r="F326" s="6"/>
      <c r="G326" s="7"/>
      <c r="N326" s="24"/>
      <c r="O326" s="43"/>
      <c r="P326" s="43"/>
      <c r="Q326" s="44"/>
      <c r="R326" s="27"/>
      <c r="S326" s="28"/>
      <c r="T326" s="28"/>
      <c r="U326" s="28"/>
      <c r="V326" s="28"/>
      <c r="W326" s="28"/>
      <c r="X326" s="42"/>
      <c r="Y326" s="76" t="str">
        <f t="shared" si="21"/>
        <v/>
      </c>
      <c r="Z326" s="77" t="str">
        <f t="shared" si="22"/>
        <v/>
      </c>
      <c r="AA326" s="77" t="str">
        <f t="shared" si="23"/>
        <v/>
      </c>
      <c r="AB326" s="77" t="str">
        <f t="shared" si="24"/>
        <v/>
      </c>
      <c r="AC326" s="20" t="s">
        <v>335</v>
      </c>
      <c r="AD326" s="53">
        <v>823050.80460000003</v>
      </c>
      <c r="AE326" s="53">
        <v>1091456.4017</v>
      </c>
      <c r="AF326" s="53">
        <v>-122.8897</v>
      </c>
    </row>
    <row r="327" spans="5:32" x14ac:dyDescent="0.25">
      <c r="E327" s="6"/>
      <c r="F327" s="6"/>
      <c r="G327" s="7"/>
      <c r="N327" s="24"/>
      <c r="O327" s="43"/>
      <c r="P327" s="43"/>
      <c r="Q327" s="44"/>
      <c r="R327" s="27"/>
      <c r="S327" s="28"/>
      <c r="T327" s="28"/>
      <c r="U327" s="28"/>
      <c r="V327" s="28"/>
      <c r="W327" s="28"/>
      <c r="X327" s="42"/>
      <c r="Y327" s="76" t="str">
        <f t="shared" si="21"/>
        <v/>
      </c>
      <c r="Z327" s="77" t="str">
        <f t="shared" si="22"/>
        <v/>
      </c>
      <c r="AA327" s="77" t="str">
        <f t="shared" si="23"/>
        <v/>
      </c>
      <c r="AB327" s="77" t="str">
        <f t="shared" si="24"/>
        <v/>
      </c>
      <c r="AC327" s="20" t="s">
        <v>336</v>
      </c>
      <c r="AD327" s="53">
        <v>823050.7905</v>
      </c>
      <c r="AE327" s="53">
        <v>1091456.3814000001</v>
      </c>
      <c r="AF327" s="53">
        <v>-122.6092</v>
      </c>
    </row>
    <row r="328" spans="5:32" x14ac:dyDescent="0.25">
      <c r="E328" s="6"/>
      <c r="F328" s="6"/>
      <c r="G328" s="7"/>
      <c r="N328" s="24"/>
      <c r="O328" s="43"/>
      <c r="P328" s="43"/>
      <c r="Q328" s="44"/>
      <c r="R328" s="27"/>
      <c r="S328" s="28"/>
      <c r="T328" s="28"/>
      <c r="U328" s="28"/>
      <c r="V328" s="28"/>
      <c r="W328" s="28"/>
      <c r="X328" s="42"/>
      <c r="Y328" s="76" t="str">
        <f t="shared" si="21"/>
        <v/>
      </c>
      <c r="Z328" s="77" t="str">
        <f t="shared" si="22"/>
        <v/>
      </c>
      <c r="AA328" s="77" t="str">
        <f t="shared" si="23"/>
        <v/>
      </c>
      <c r="AB328" s="77" t="str">
        <f t="shared" si="24"/>
        <v/>
      </c>
      <c r="AC328" s="20" t="s">
        <v>337</v>
      </c>
      <c r="AD328" s="53">
        <v>823050.84519999998</v>
      </c>
      <c r="AE328" s="53">
        <v>1091456.4302999999</v>
      </c>
      <c r="AF328" s="53">
        <v>-122.3438</v>
      </c>
    </row>
    <row r="329" spans="5:32" x14ac:dyDescent="0.25">
      <c r="E329" s="6"/>
      <c r="F329" s="6"/>
      <c r="G329" s="7"/>
      <c r="N329" s="24"/>
      <c r="O329" s="43"/>
      <c r="P329" s="43"/>
      <c r="Q329" s="44"/>
      <c r="R329" s="27"/>
      <c r="S329" s="28"/>
      <c r="T329" s="28"/>
      <c r="U329" s="28"/>
      <c r="V329" s="28"/>
      <c r="W329" s="28"/>
      <c r="X329" s="42"/>
      <c r="Y329" s="76" t="str">
        <f t="shared" si="21"/>
        <v/>
      </c>
      <c r="Z329" s="77" t="str">
        <f t="shared" si="22"/>
        <v/>
      </c>
      <c r="AA329" s="77" t="str">
        <f t="shared" si="23"/>
        <v/>
      </c>
      <c r="AB329" s="77" t="str">
        <f t="shared" si="24"/>
        <v/>
      </c>
      <c r="AC329" s="20" t="s">
        <v>338</v>
      </c>
      <c r="AD329" s="53">
        <v>823050.89729999995</v>
      </c>
      <c r="AE329" s="53">
        <v>1091456.4597</v>
      </c>
      <c r="AF329" s="53">
        <v>-122.077</v>
      </c>
    </row>
    <row r="330" spans="5:32" x14ac:dyDescent="0.25">
      <c r="E330" s="6"/>
      <c r="F330" s="6"/>
      <c r="G330" s="7"/>
      <c r="N330" s="24"/>
      <c r="O330" s="43"/>
      <c r="P330" s="43"/>
      <c r="Q330" s="44"/>
      <c r="R330" s="27"/>
      <c r="S330" s="28"/>
      <c r="T330" s="28"/>
      <c r="U330" s="28"/>
      <c r="V330" s="28"/>
      <c r="W330" s="28"/>
      <c r="X330" s="42"/>
      <c r="Y330" s="76" t="str">
        <f t="shared" si="21"/>
        <v/>
      </c>
      <c r="Z330" s="77" t="str">
        <f t="shared" si="22"/>
        <v/>
      </c>
      <c r="AA330" s="77" t="str">
        <f t="shared" si="23"/>
        <v/>
      </c>
      <c r="AB330" s="77" t="str">
        <f t="shared" si="24"/>
        <v/>
      </c>
      <c r="AC330" s="20" t="s">
        <v>339</v>
      </c>
      <c r="AD330" s="53">
        <v>823050.93980000005</v>
      </c>
      <c r="AE330" s="53">
        <v>1091456.4808</v>
      </c>
      <c r="AF330" s="53">
        <v>-121.8664</v>
      </c>
    </row>
    <row r="331" spans="5:32" x14ac:dyDescent="0.25">
      <c r="E331" s="6"/>
      <c r="F331" s="6"/>
      <c r="G331" s="7"/>
      <c r="N331" s="24"/>
      <c r="O331" s="43"/>
      <c r="P331" s="43"/>
      <c r="Q331" s="44"/>
      <c r="R331" s="27"/>
      <c r="S331" s="28"/>
      <c r="T331" s="28"/>
      <c r="U331" s="28"/>
      <c r="V331" s="28"/>
      <c r="W331" s="28"/>
      <c r="X331" s="42"/>
      <c r="Y331" s="76" t="str">
        <f t="shared" si="21"/>
        <v/>
      </c>
      <c r="Z331" s="77" t="str">
        <f t="shared" si="22"/>
        <v/>
      </c>
      <c r="AA331" s="77" t="str">
        <f t="shared" si="23"/>
        <v/>
      </c>
      <c r="AB331" s="77" t="str">
        <f t="shared" si="24"/>
        <v/>
      </c>
      <c r="AC331" s="20" t="s">
        <v>340</v>
      </c>
      <c r="AD331" s="53">
        <v>823051.12509999995</v>
      </c>
      <c r="AE331" s="53">
        <v>1091456.5736</v>
      </c>
      <c r="AF331" s="53">
        <v>-121.53740000000001</v>
      </c>
    </row>
    <row r="332" spans="5:32" x14ac:dyDescent="0.25">
      <c r="E332" s="6"/>
      <c r="F332" s="6"/>
      <c r="G332" s="7"/>
      <c r="N332" s="24"/>
      <c r="O332" s="43"/>
      <c r="P332" s="43"/>
      <c r="Q332" s="44"/>
      <c r="R332" s="27"/>
      <c r="S332" s="28"/>
      <c r="T332" s="28"/>
      <c r="U332" s="28"/>
      <c r="V332" s="28"/>
      <c r="W332" s="28"/>
      <c r="X332" s="42"/>
      <c r="Y332" s="76" t="str">
        <f t="shared" si="21"/>
        <v/>
      </c>
      <c r="Z332" s="77" t="str">
        <f t="shared" si="22"/>
        <v/>
      </c>
      <c r="AA332" s="77" t="str">
        <f t="shared" si="23"/>
        <v/>
      </c>
      <c r="AB332" s="77" t="str">
        <f t="shared" si="24"/>
        <v/>
      </c>
      <c r="AC332" s="20" t="s">
        <v>341</v>
      </c>
      <c r="AD332" s="53">
        <v>823051.23620000004</v>
      </c>
      <c r="AE332" s="53">
        <v>1091456.6274999999</v>
      </c>
      <c r="AF332" s="53">
        <v>-121.19880000000001</v>
      </c>
    </row>
    <row r="333" spans="5:32" x14ac:dyDescent="0.25">
      <c r="E333" s="6"/>
      <c r="F333" s="6"/>
      <c r="G333" s="7"/>
      <c r="N333" s="24"/>
      <c r="O333" s="43"/>
      <c r="P333" s="43"/>
      <c r="Q333" s="44"/>
      <c r="R333" s="27"/>
      <c r="S333" s="28"/>
      <c r="T333" s="28"/>
      <c r="U333" s="28"/>
      <c r="V333" s="28"/>
      <c r="W333" s="28"/>
      <c r="X333" s="42"/>
      <c r="Y333" s="76" t="str">
        <f t="shared" si="21"/>
        <v/>
      </c>
      <c r="Z333" s="77" t="str">
        <f t="shared" si="22"/>
        <v/>
      </c>
      <c r="AA333" s="77" t="str">
        <f t="shared" si="23"/>
        <v/>
      </c>
      <c r="AB333" s="77" t="str">
        <f t="shared" si="24"/>
        <v/>
      </c>
      <c r="AC333" s="20" t="s">
        <v>342</v>
      </c>
      <c r="AD333" s="53">
        <v>823051.38040000002</v>
      </c>
      <c r="AE333" s="53">
        <v>1091456.6972000001</v>
      </c>
      <c r="AF333" s="53">
        <v>-121.0294</v>
      </c>
    </row>
    <row r="334" spans="5:32" x14ac:dyDescent="0.25">
      <c r="E334" s="6"/>
      <c r="F334" s="6"/>
      <c r="G334" s="7"/>
      <c r="N334" s="24"/>
      <c r="O334" s="43"/>
      <c r="P334" s="43"/>
      <c r="Q334" s="44"/>
      <c r="R334" s="27"/>
      <c r="S334" s="28"/>
      <c r="T334" s="28"/>
      <c r="U334" s="28"/>
      <c r="V334" s="28"/>
      <c r="W334" s="28"/>
      <c r="X334" s="42"/>
      <c r="Y334" s="76" t="str">
        <f t="shared" si="21"/>
        <v/>
      </c>
      <c r="Z334" s="77" t="str">
        <f t="shared" si="22"/>
        <v/>
      </c>
      <c r="AA334" s="77" t="str">
        <f t="shared" si="23"/>
        <v/>
      </c>
      <c r="AB334" s="77" t="str">
        <f t="shared" si="24"/>
        <v/>
      </c>
      <c r="AC334" s="20" t="s">
        <v>343</v>
      </c>
      <c r="AD334" s="53">
        <v>823051.48860000004</v>
      </c>
      <c r="AE334" s="53">
        <v>1091456.7492</v>
      </c>
      <c r="AF334" s="53">
        <v>-120.8883</v>
      </c>
    </row>
    <row r="335" spans="5:32" x14ac:dyDescent="0.25">
      <c r="E335" s="6"/>
      <c r="F335" s="6"/>
      <c r="G335" s="7"/>
      <c r="N335" s="24"/>
      <c r="O335" s="43"/>
      <c r="P335" s="43"/>
      <c r="Q335" s="44"/>
      <c r="R335" s="27"/>
      <c r="S335" s="28"/>
      <c r="T335" s="28"/>
      <c r="U335" s="28"/>
      <c r="V335" s="28"/>
      <c r="W335" s="28"/>
      <c r="X335" s="42"/>
      <c r="Y335" s="76" t="str">
        <f t="shared" si="21"/>
        <v/>
      </c>
      <c r="Z335" s="77" t="str">
        <f t="shared" si="22"/>
        <v/>
      </c>
      <c r="AA335" s="77" t="str">
        <f t="shared" si="23"/>
        <v/>
      </c>
      <c r="AB335" s="77" t="str">
        <f t="shared" si="24"/>
        <v/>
      </c>
      <c r="AC335" s="20" t="s">
        <v>344</v>
      </c>
      <c r="AD335" s="53">
        <v>823051.71979999996</v>
      </c>
      <c r="AE335" s="53">
        <v>1091456.8606</v>
      </c>
      <c r="AF335" s="53">
        <v>-120.62260000000001</v>
      </c>
    </row>
    <row r="336" spans="5:32" x14ac:dyDescent="0.25">
      <c r="E336" s="6"/>
      <c r="F336" s="6"/>
      <c r="G336" s="7"/>
      <c r="N336" s="24"/>
      <c r="O336" s="43"/>
      <c r="P336" s="43"/>
      <c r="Q336" s="44"/>
      <c r="R336" s="27"/>
      <c r="S336" s="28"/>
      <c r="T336" s="28"/>
      <c r="U336" s="28"/>
      <c r="V336" s="28"/>
      <c r="W336" s="28"/>
      <c r="X336" s="42"/>
      <c r="Y336" s="76" t="str">
        <f t="shared" si="21"/>
        <v/>
      </c>
      <c r="Z336" s="77" t="str">
        <f t="shared" si="22"/>
        <v/>
      </c>
      <c r="AA336" s="77" t="str">
        <f t="shared" si="23"/>
        <v/>
      </c>
      <c r="AB336" s="77" t="str">
        <f t="shared" si="24"/>
        <v/>
      </c>
      <c r="AC336" s="20" t="s">
        <v>345</v>
      </c>
      <c r="AD336" s="53">
        <v>823051.86609999998</v>
      </c>
      <c r="AE336" s="53">
        <v>1091456.9175</v>
      </c>
      <c r="AF336" s="53">
        <v>-120.4491</v>
      </c>
    </row>
    <row r="337" spans="5:32" x14ac:dyDescent="0.25">
      <c r="E337" s="6"/>
      <c r="F337" s="6"/>
      <c r="G337" s="7"/>
      <c r="N337" s="24"/>
      <c r="O337" s="43"/>
      <c r="P337" s="43"/>
      <c r="Q337" s="44"/>
      <c r="R337" s="27"/>
      <c r="S337" s="28"/>
      <c r="T337" s="28"/>
      <c r="U337" s="28"/>
      <c r="V337" s="28"/>
      <c r="W337" s="28"/>
      <c r="X337" s="42"/>
      <c r="Y337" s="76" t="str">
        <f t="shared" si="21"/>
        <v/>
      </c>
      <c r="Z337" s="77" t="str">
        <f t="shared" si="22"/>
        <v/>
      </c>
      <c r="AA337" s="77" t="str">
        <f t="shared" si="23"/>
        <v/>
      </c>
      <c r="AB337" s="77" t="str">
        <f t="shared" si="24"/>
        <v/>
      </c>
      <c r="AC337" s="20" t="s">
        <v>346</v>
      </c>
      <c r="AD337" s="53">
        <v>823052.03870000003</v>
      </c>
      <c r="AE337" s="53">
        <v>1091457.0123999999</v>
      </c>
      <c r="AF337" s="53">
        <v>-120.3595</v>
      </c>
    </row>
    <row r="338" spans="5:32" x14ac:dyDescent="0.25">
      <c r="E338" s="6"/>
      <c r="F338" s="6"/>
      <c r="G338" s="7"/>
      <c r="N338" s="24"/>
      <c r="O338" s="43"/>
      <c r="P338" s="43"/>
      <c r="Q338" s="44"/>
      <c r="R338" s="27"/>
      <c r="S338" s="28"/>
      <c r="T338" s="28"/>
      <c r="U338" s="28"/>
      <c r="V338" s="28"/>
      <c r="W338" s="28"/>
      <c r="X338" s="42"/>
      <c r="Y338" s="76" t="str">
        <f t="shared" si="21"/>
        <v/>
      </c>
      <c r="Z338" s="77" t="str">
        <f t="shared" si="22"/>
        <v/>
      </c>
      <c r="AA338" s="77" t="str">
        <f t="shared" si="23"/>
        <v/>
      </c>
      <c r="AB338" s="77" t="str">
        <f t="shared" si="24"/>
        <v/>
      </c>
      <c r="AC338" s="20" t="s">
        <v>347</v>
      </c>
      <c r="AD338" s="53">
        <v>823052.21329999994</v>
      </c>
      <c r="AE338" s="53">
        <v>1091457.0951</v>
      </c>
      <c r="AF338" s="53">
        <v>-120.22799999999999</v>
      </c>
    </row>
    <row r="339" spans="5:32" x14ac:dyDescent="0.25">
      <c r="E339" s="6"/>
      <c r="F339" s="6"/>
      <c r="G339" s="7"/>
      <c r="N339" s="24"/>
      <c r="O339" s="43"/>
      <c r="P339" s="43"/>
      <c r="Q339" s="44"/>
      <c r="R339" s="27"/>
      <c r="S339" s="28"/>
      <c r="T339" s="28"/>
      <c r="U339" s="28"/>
      <c r="V339" s="28"/>
      <c r="W339" s="28"/>
      <c r="X339" s="42"/>
      <c r="Y339" s="76" t="str">
        <f t="shared" si="21"/>
        <v/>
      </c>
      <c r="Z339" s="77" t="str">
        <f t="shared" si="22"/>
        <v/>
      </c>
      <c r="AA339" s="77" t="str">
        <f t="shared" si="23"/>
        <v/>
      </c>
      <c r="AB339" s="77" t="str">
        <f t="shared" si="24"/>
        <v/>
      </c>
      <c r="AC339" s="20" t="s">
        <v>348</v>
      </c>
      <c r="AD339" s="53">
        <v>823052.6679</v>
      </c>
      <c r="AE339" s="53">
        <v>1091457.3084</v>
      </c>
      <c r="AF339" s="53">
        <v>-120.0591</v>
      </c>
    </row>
    <row r="340" spans="5:32" x14ac:dyDescent="0.25">
      <c r="E340" s="6"/>
      <c r="F340" s="6"/>
      <c r="G340" s="7"/>
      <c r="N340" s="24"/>
      <c r="O340" s="43"/>
      <c r="P340" s="43"/>
      <c r="Q340" s="44"/>
      <c r="R340" s="27"/>
      <c r="S340" s="28"/>
      <c r="T340" s="28"/>
      <c r="U340" s="28"/>
      <c r="V340" s="28"/>
      <c r="W340" s="28"/>
      <c r="X340" s="42"/>
      <c r="Y340" s="76" t="str">
        <f t="shared" si="21"/>
        <v/>
      </c>
      <c r="Z340" s="77" t="str">
        <f t="shared" si="22"/>
        <v/>
      </c>
      <c r="AA340" s="77" t="str">
        <f t="shared" si="23"/>
        <v/>
      </c>
      <c r="AB340" s="77" t="str">
        <f t="shared" si="24"/>
        <v/>
      </c>
      <c r="AC340" s="20" t="s">
        <v>349</v>
      </c>
      <c r="AD340" s="53">
        <v>823052.81270000001</v>
      </c>
      <c r="AE340" s="53">
        <v>1091457.3766000001</v>
      </c>
      <c r="AF340" s="53">
        <v>-119.97709999999999</v>
      </c>
    </row>
    <row r="341" spans="5:32" x14ac:dyDescent="0.25">
      <c r="E341" s="6"/>
      <c r="F341" s="6"/>
      <c r="G341" s="7"/>
      <c r="N341" s="24"/>
      <c r="O341" s="43"/>
      <c r="P341" s="43"/>
      <c r="Q341" s="44"/>
      <c r="R341" s="27"/>
      <c r="S341" s="28"/>
      <c r="T341" s="28"/>
      <c r="U341" s="28"/>
      <c r="V341" s="28"/>
      <c r="W341" s="28"/>
      <c r="X341" s="42"/>
      <c r="Y341" s="76" t="str">
        <f t="shared" si="21"/>
        <v/>
      </c>
      <c r="Z341" s="77" t="str">
        <f t="shared" si="22"/>
        <v/>
      </c>
      <c r="AA341" s="77" t="str">
        <f t="shared" si="23"/>
        <v/>
      </c>
      <c r="AB341" s="77" t="str">
        <f t="shared" si="24"/>
        <v/>
      </c>
      <c r="AC341" s="20" t="s">
        <v>350</v>
      </c>
      <c r="AD341" s="53">
        <v>823052.99750000006</v>
      </c>
      <c r="AE341" s="53">
        <v>1091457.4586</v>
      </c>
      <c r="AF341" s="53">
        <v>-119.9303</v>
      </c>
    </row>
    <row r="342" spans="5:32" x14ac:dyDescent="0.25">
      <c r="E342" s="6"/>
      <c r="F342" s="6"/>
      <c r="G342" s="7"/>
      <c r="N342" s="24"/>
      <c r="O342" s="43"/>
      <c r="P342" s="43"/>
      <c r="Q342" s="44"/>
      <c r="R342" s="27"/>
      <c r="S342" s="28"/>
      <c r="T342" s="28"/>
      <c r="U342" s="28"/>
      <c r="V342" s="28"/>
      <c r="W342" s="28"/>
      <c r="X342" s="42"/>
      <c r="Y342" s="76" t="str">
        <f t="shared" si="21"/>
        <v/>
      </c>
      <c r="Z342" s="77" t="str">
        <f t="shared" si="22"/>
        <v/>
      </c>
      <c r="AA342" s="77" t="str">
        <f t="shared" si="23"/>
        <v/>
      </c>
      <c r="AB342" s="77" t="str">
        <f t="shared" si="24"/>
        <v/>
      </c>
      <c r="AC342" s="20" t="s">
        <v>351</v>
      </c>
      <c r="AD342" s="53">
        <v>823053.15469999996</v>
      </c>
      <c r="AE342" s="53">
        <v>1091457.5334000001</v>
      </c>
      <c r="AF342" s="53">
        <v>-119.9538</v>
      </c>
    </row>
    <row r="343" spans="5:32" x14ac:dyDescent="0.25">
      <c r="E343" s="6"/>
      <c r="F343" s="6"/>
      <c r="G343" s="7"/>
      <c r="N343" s="24"/>
      <c r="O343" s="43"/>
      <c r="P343" s="43"/>
      <c r="Q343" s="44"/>
      <c r="R343" s="27"/>
      <c r="S343" s="28"/>
      <c r="T343" s="28"/>
      <c r="U343" s="28"/>
      <c r="V343" s="28"/>
      <c r="W343" s="28"/>
      <c r="X343" s="42"/>
      <c r="Y343" s="76" t="str">
        <f t="shared" si="21"/>
        <v/>
      </c>
      <c r="Z343" s="77" t="str">
        <f t="shared" si="22"/>
        <v/>
      </c>
      <c r="AA343" s="77" t="str">
        <f t="shared" si="23"/>
        <v/>
      </c>
      <c r="AB343" s="77" t="str">
        <f t="shared" si="24"/>
        <v/>
      </c>
      <c r="AC343" s="20" t="s">
        <v>352</v>
      </c>
      <c r="AD343" s="53">
        <v>823053.58929999999</v>
      </c>
      <c r="AE343" s="53">
        <v>1091457.7342000001</v>
      </c>
      <c r="AF343" s="53">
        <v>-119.9452</v>
      </c>
    </row>
    <row r="344" spans="5:32" x14ac:dyDescent="0.25">
      <c r="E344" s="6"/>
      <c r="F344" s="6"/>
      <c r="G344" s="7"/>
      <c r="N344" s="24"/>
      <c r="O344" s="43"/>
      <c r="P344" s="43"/>
      <c r="Q344" s="44"/>
      <c r="R344" s="27"/>
      <c r="S344" s="28"/>
      <c r="T344" s="28"/>
      <c r="U344" s="28"/>
      <c r="V344" s="28"/>
      <c r="W344" s="28"/>
      <c r="X344" s="42"/>
      <c r="Y344" s="76" t="str">
        <f t="shared" si="21"/>
        <v/>
      </c>
      <c r="Z344" s="77" t="str">
        <f t="shared" si="22"/>
        <v/>
      </c>
      <c r="AA344" s="77" t="str">
        <f t="shared" si="23"/>
        <v/>
      </c>
      <c r="AB344" s="77" t="str">
        <f t="shared" si="24"/>
        <v/>
      </c>
      <c r="AC344" s="20" t="s">
        <v>353</v>
      </c>
      <c r="AD344" s="53">
        <v>823053.82339999999</v>
      </c>
      <c r="AE344" s="53">
        <v>1091457.8469</v>
      </c>
      <c r="AF344" s="53">
        <v>-119.958</v>
      </c>
    </row>
    <row r="345" spans="5:32" x14ac:dyDescent="0.25">
      <c r="E345" s="6"/>
      <c r="F345" s="6"/>
      <c r="G345" s="7"/>
      <c r="N345" s="24"/>
      <c r="O345" s="43"/>
      <c r="P345" s="43"/>
      <c r="Q345" s="44"/>
      <c r="R345" s="27"/>
      <c r="S345" s="28"/>
      <c r="T345" s="28"/>
      <c r="U345" s="28"/>
      <c r="V345" s="28"/>
      <c r="W345" s="28"/>
      <c r="X345" s="42"/>
      <c r="Y345" s="76" t="str">
        <f t="shared" si="21"/>
        <v/>
      </c>
      <c r="Z345" s="77" t="str">
        <f t="shared" si="22"/>
        <v/>
      </c>
      <c r="AA345" s="77" t="str">
        <f t="shared" si="23"/>
        <v/>
      </c>
      <c r="AB345" s="77" t="str">
        <f t="shared" si="24"/>
        <v/>
      </c>
      <c r="AC345" s="20" t="s">
        <v>354</v>
      </c>
      <c r="AD345" s="53">
        <v>823054.01560000004</v>
      </c>
      <c r="AE345" s="53">
        <v>1091457.9380000001</v>
      </c>
      <c r="AF345" s="53">
        <v>-119.983</v>
      </c>
    </row>
    <row r="346" spans="5:32" x14ac:dyDescent="0.25">
      <c r="E346" s="6"/>
      <c r="F346" s="6"/>
      <c r="G346" s="7"/>
      <c r="N346" s="24"/>
      <c r="O346" s="43"/>
      <c r="P346" s="43"/>
      <c r="Q346" s="44"/>
      <c r="R346" s="27"/>
      <c r="S346" s="28"/>
      <c r="T346" s="28"/>
      <c r="U346" s="28"/>
      <c r="V346" s="28"/>
      <c r="W346" s="28"/>
      <c r="X346" s="42"/>
      <c r="Y346" s="76" t="str">
        <f t="shared" si="21"/>
        <v/>
      </c>
      <c r="Z346" s="77" t="str">
        <f t="shared" si="22"/>
        <v/>
      </c>
      <c r="AA346" s="77" t="str">
        <f t="shared" si="23"/>
        <v/>
      </c>
      <c r="AB346" s="77" t="str">
        <f t="shared" si="24"/>
        <v/>
      </c>
      <c r="AC346" s="20" t="s">
        <v>355</v>
      </c>
      <c r="AD346" s="53">
        <v>823054.27229999995</v>
      </c>
      <c r="AE346" s="53">
        <v>1091458.0552000001</v>
      </c>
      <c r="AF346" s="53">
        <v>-120.08240000000001</v>
      </c>
    </row>
    <row r="347" spans="5:32" x14ac:dyDescent="0.25">
      <c r="E347" s="6"/>
      <c r="F347" s="6"/>
      <c r="G347" s="7"/>
      <c r="N347" s="24"/>
      <c r="O347" s="43"/>
      <c r="P347" s="43"/>
      <c r="Q347" s="44"/>
      <c r="R347" s="27"/>
      <c r="S347" s="28"/>
      <c r="T347" s="28"/>
      <c r="U347" s="28"/>
      <c r="V347" s="28"/>
      <c r="W347" s="28"/>
      <c r="X347" s="42"/>
      <c r="Y347" s="76" t="str">
        <f t="shared" si="21"/>
        <v/>
      </c>
      <c r="Z347" s="77" t="str">
        <f t="shared" si="22"/>
        <v/>
      </c>
      <c r="AA347" s="77" t="str">
        <f t="shared" si="23"/>
        <v/>
      </c>
      <c r="AB347" s="77" t="str">
        <f t="shared" si="24"/>
        <v/>
      </c>
      <c r="AC347" s="20" t="s">
        <v>356</v>
      </c>
      <c r="AD347" s="53">
        <v>823054.53040000005</v>
      </c>
      <c r="AE347" s="53">
        <v>1091458.1702000001</v>
      </c>
      <c r="AF347" s="53">
        <v>-120.19759999999999</v>
      </c>
    </row>
    <row r="348" spans="5:32" x14ac:dyDescent="0.25">
      <c r="E348" s="6"/>
      <c r="F348" s="6"/>
      <c r="G348" s="7"/>
      <c r="N348" s="24"/>
      <c r="O348" s="43"/>
      <c r="P348" s="43"/>
      <c r="Q348" s="44"/>
      <c r="R348" s="27"/>
      <c r="S348" s="28"/>
      <c r="T348" s="28"/>
      <c r="U348" s="28"/>
      <c r="V348" s="28"/>
      <c r="W348" s="28"/>
      <c r="X348" s="42"/>
      <c r="Y348" s="76" t="str">
        <f t="shared" si="21"/>
        <v/>
      </c>
      <c r="Z348" s="77" t="str">
        <f t="shared" si="22"/>
        <v/>
      </c>
      <c r="AA348" s="77" t="str">
        <f t="shared" si="23"/>
        <v/>
      </c>
      <c r="AB348" s="77" t="str">
        <f t="shared" si="24"/>
        <v/>
      </c>
      <c r="AC348" s="20" t="s">
        <v>357</v>
      </c>
      <c r="AD348" s="53">
        <v>823054.75349999999</v>
      </c>
      <c r="AE348" s="53">
        <v>1091458.2701999999</v>
      </c>
      <c r="AF348" s="53">
        <v>-120.3398</v>
      </c>
    </row>
    <row r="349" spans="5:32" x14ac:dyDescent="0.25">
      <c r="E349" s="6"/>
      <c r="F349" s="6"/>
      <c r="G349" s="7"/>
      <c r="N349" s="24"/>
      <c r="O349" s="43"/>
      <c r="P349" s="43"/>
      <c r="Q349" s="44"/>
      <c r="R349" s="27"/>
      <c r="S349" s="28"/>
      <c r="T349" s="28"/>
      <c r="U349" s="28"/>
      <c r="V349" s="28"/>
      <c r="W349" s="28"/>
      <c r="X349" s="42"/>
      <c r="Y349" s="76" t="str">
        <f t="shared" si="21"/>
        <v/>
      </c>
      <c r="Z349" s="77" t="str">
        <f t="shared" si="22"/>
        <v/>
      </c>
      <c r="AA349" s="77" t="str">
        <f t="shared" si="23"/>
        <v/>
      </c>
      <c r="AB349" s="77" t="str">
        <f t="shared" si="24"/>
        <v/>
      </c>
      <c r="AC349" s="20" t="s">
        <v>358</v>
      </c>
      <c r="AD349" s="53">
        <v>823054.95640000002</v>
      </c>
      <c r="AE349" s="53">
        <v>1091458.3632</v>
      </c>
      <c r="AF349" s="53">
        <v>-120.5569</v>
      </c>
    </row>
    <row r="350" spans="5:32" x14ac:dyDescent="0.25">
      <c r="E350" s="6"/>
      <c r="F350" s="6"/>
      <c r="G350" s="7"/>
      <c r="N350" s="24"/>
      <c r="O350" s="43"/>
      <c r="P350" s="43"/>
      <c r="Q350" s="44"/>
      <c r="R350" s="27"/>
      <c r="S350" s="28"/>
      <c r="T350" s="28"/>
      <c r="U350" s="28"/>
      <c r="V350" s="28"/>
      <c r="W350" s="28"/>
      <c r="X350" s="42"/>
      <c r="Y350" s="76" t="str">
        <f t="shared" si="21"/>
        <v/>
      </c>
      <c r="Z350" s="77" t="str">
        <f t="shared" si="22"/>
        <v/>
      </c>
      <c r="AA350" s="77" t="str">
        <f t="shared" si="23"/>
        <v/>
      </c>
      <c r="AB350" s="77" t="str">
        <f t="shared" si="24"/>
        <v/>
      </c>
      <c r="AC350" s="20" t="s">
        <v>359</v>
      </c>
      <c r="AD350" s="53">
        <v>823055.277</v>
      </c>
      <c r="AE350" s="53">
        <v>1091458.5057999999</v>
      </c>
      <c r="AF350" s="53">
        <v>-120.86969999999999</v>
      </c>
    </row>
    <row r="351" spans="5:32" x14ac:dyDescent="0.25">
      <c r="E351" s="6"/>
      <c r="F351" s="6"/>
      <c r="G351" s="7"/>
      <c r="N351" s="24"/>
      <c r="O351" s="43"/>
      <c r="P351" s="43"/>
      <c r="Q351" s="44"/>
      <c r="R351" s="27"/>
      <c r="S351" s="28"/>
      <c r="T351" s="28"/>
      <c r="U351" s="28"/>
      <c r="V351" s="28"/>
      <c r="W351" s="28"/>
      <c r="X351" s="42"/>
      <c r="Y351" s="76" t="str">
        <f t="shared" si="21"/>
        <v/>
      </c>
      <c r="Z351" s="77" t="str">
        <f t="shared" si="22"/>
        <v/>
      </c>
      <c r="AA351" s="77" t="str">
        <f t="shared" si="23"/>
        <v/>
      </c>
      <c r="AB351" s="77" t="str">
        <f t="shared" si="24"/>
        <v/>
      </c>
      <c r="AC351" s="20" t="s">
        <v>360</v>
      </c>
      <c r="AD351" s="53">
        <v>823055.42680000002</v>
      </c>
      <c r="AE351" s="53">
        <v>1091458.5726000001</v>
      </c>
      <c r="AF351" s="53">
        <v>-121.02589999999999</v>
      </c>
    </row>
    <row r="352" spans="5:32" x14ac:dyDescent="0.25">
      <c r="E352" s="6"/>
      <c r="F352" s="6"/>
      <c r="G352" s="7"/>
      <c r="N352" s="24"/>
      <c r="O352" s="43"/>
      <c r="P352" s="43"/>
      <c r="Q352" s="44"/>
      <c r="R352" s="27"/>
      <c r="S352" s="28"/>
      <c r="T352" s="28"/>
      <c r="U352" s="28"/>
      <c r="V352" s="28"/>
      <c r="W352" s="28"/>
      <c r="X352" s="42"/>
      <c r="Y352" s="76" t="str">
        <f t="shared" si="21"/>
        <v/>
      </c>
      <c r="Z352" s="77" t="str">
        <f t="shared" si="22"/>
        <v/>
      </c>
      <c r="AA352" s="77" t="str">
        <f t="shared" si="23"/>
        <v/>
      </c>
      <c r="AB352" s="77" t="str">
        <f t="shared" si="24"/>
        <v/>
      </c>
      <c r="AC352" s="20" t="s">
        <v>361</v>
      </c>
      <c r="AD352" s="53">
        <v>823055.58990000002</v>
      </c>
      <c r="AE352" s="53">
        <v>1091458.6444000001</v>
      </c>
      <c r="AF352" s="53">
        <v>-121.3218</v>
      </c>
    </row>
    <row r="353" spans="5:32" x14ac:dyDescent="0.25">
      <c r="E353" s="6"/>
      <c r="F353" s="6"/>
      <c r="G353" s="7"/>
      <c r="N353" s="24"/>
      <c r="O353" s="43"/>
      <c r="P353" s="43"/>
      <c r="Q353" s="44"/>
      <c r="R353" s="27"/>
      <c r="S353" s="28"/>
      <c r="T353" s="28"/>
      <c r="U353" s="28"/>
      <c r="V353" s="28"/>
      <c r="W353" s="28"/>
      <c r="X353" s="42"/>
      <c r="Y353" s="76" t="str">
        <f t="shared" si="21"/>
        <v/>
      </c>
      <c r="Z353" s="77" t="str">
        <f t="shared" si="22"/>
        <v/>
      </c>
      <c r="AA353" s="77" t="str">
        <f t="shared" si="23"/>
        <v/>
      </c>
      <c r="AB353" s="77" t="str">
        <f t="shared" si="24"/>
        <v/>
      </c>
      <c r="AC353" s="20" t="s">
        <v>362</v>
      </c>
      <c r="AD353" s="53">
        <v>823055.82050000003</v>
      </c>
      <c r="AE353" s="53">
        <v>1091458.7429</v>
      </c>
      <c r="AF353" s="53">
        <v>-121.7786</v>
      </c>
    </row>
    <row r="354" spans="5:32" x14ac:dyDescent="0.25">
      <c r="E354" s="6"/>
      <c r="F354" s="6"/>
      <c r="G354" s="7"/>
      <c r="N354" s="24"/>
      <c r="O354" s="43"/>
      <c r="P354" s="43"/>
      <c r="Q354" s="44"/>
      <c r="R354" s="27"/>
      <c r="S354" s="28"/>
      <c r="T354" s="28"/>
      <c r="U354" s="28"/>
      <c r="V354" s="28"/>
      <c r="W354" s="28"/>
      <c r="X354" s="42"/>
      <c r="Y354" s="76" t="str">
        <f t="shared" si="21"/>
        <v/>
      </c>
      <c r="Z354" s="77" t="str">
        <f t="shared" si="22"/>
        <v/>
      </c>
      <c r="AA354" s="77" t="str">
        <f t="shared" si="23"/>
        <v/>
      </c>
      <c r="AB354" s="77" t="str">
        <f t="shared" si="24"/>
        <v/>
      </c>
      <c r="AC354" s="20" t="s">
        <v>363</v>
      </c>
      <c r="AD354" s="53">
        <v>823055.89390000002</v>
      </c>
      <c r="AE354" s="53">
        <v>1091458.7722</v>
      </c>
      <c r="AF354" s="53">
        <v>-122.0607</v>
      </c>
    </row>
    <row r="355" spans="5:32" x14ac:dyDescent="0.25">
      <c r="E355" s="6"/>
      <c r="F355" s="6"/>
      <c r="G355" s="7"/>
      <c r="N355" s="24"/>
      <c r="O355" s="43"/>
      <c r="P355" s="43"/>
      <c r="Q355" s="44"/>
      <c r="R355" s="27"/>
      <c r="S355" s="28"/>
      <c r="T355" s="28"/>
      <c r="U355" s="28"/>
      <c r="V355" s="28"/>
      <c r="W355" s="28"/>
      <c r="X355" s="42"/>
      <c r="Y355" s="76" t="str">
        <f t="shared" si="21"/>
        <v/>
      </c>
      <c r="Z355" s="77" t="str">
        <f t="shared" si="22"/>
        <v/>
      </c>
      <c r="AA355" s="77" t="str">
        <f t="shared" si="23"/>
        <v/>
      </c>
      <c r="AB355" s="77" t="str">
        <f t="shared" si="24"/>
        <v/>
      </c>
      <c r="AC355" s="20" t="s">
        <v>364</v>
      </c>
      <c r="AD355" s="53">
        <v>823055.9669</v>
      </c>
      <c r="AE355" s="53">
        <v>1091458.8026000001</v>
      </c>
      <c r="AF355" s="53">
        <v>-122.28489999999999</v>
      </c>
    </row>
    <row r="356" spans="5:32" x14ac:dyDescent="0.25">
      <c r="E356" s="6"/>
      <c r="F356" s="6"/>
      <c r="G356" s="7"/>
      <c r="N356" s="24"/>
      <c r="O356" s="43"/>
      <c r="P356" s="43"/>
      <c r="Q356" s="44"/>
      <c r="R356" s="27"/>
      <c r="S356" s="28"/>
      <c r="T356" s="28"/>
      <c r="U356" s="28"/>
      <c r="V356" s="28"/>
      <c r="W356" s="28"/>
      <c r="X356" s="42"/>
      <c r="Y356" s="76" t="str">
        <f t="shared" si="21"/>
        <v/>
      </c>
      <c r="Z356" s="77" t="str">
        <f t="shared" si="22"/>
        <v/>
      </c>
      <c r="AA356" s="77" t="str">
        <f t="shared" si="23"/>
        <v/>
      </c>
      <c r="AB356" s="77" t="str">
        <f t="shared" si="24"/>
        <v/>
      </c>
      <c r="AC356" s="20" t="s">
        <v>365</v>
      </c>
      <c r="AD356" s="53">
        <v>823056.02989999996</v>
      </c>
      <c r="AE356" s="53">
        <v>1091458.8269</v>
      </c>
      <c r="AF356" s="53">
        <v>-122.5568</v>
      </c>
    </row>
    <row r="357" spans="5:32" x14ac:dyDescent="0.25">
      <c r="E357" s="6"/>
      <c r="F357" s="6"/>
      <c r="G357" s="7"/>
      <c r="N357" s="24"/>
      <c r="O357" s="43"/>
      <c r="P357" s="43"/>
      <c r="Q357" s="44"/>
      <c r="R357" s="27"/>
      <c r="S357" s="28"/>
      <c r="T357" s="28"/>
      <c r="U357" s="28"/>
      <c r="V357" s="28"/>
      <c r="W357" s="28"/>
      <c r="X357" s="42"/>
      <c r="Y357" s="76" t="str">
        <f t="shared" si="21"/>
        <v/>
      </c>
      <c r="Z357" s="77" t="str">
        <f t="shared" si="22"/>
        <v/>
      </c>
      <c r="AA357" s="77" t="str">
        <f t="shared" si="23"/>
        <v/>
      </c>
      <c r="AB357" s="77" t="str">
        <f t="shared" si="24"/>
        <v/>
      </c>
      <c r="AC357" s="20" t="s">
        <v>366</v>
      </c>
      <c r="AD357" s="53">
        <v>823056.04330000002</v>
      </c>
      <c r="AE357" s="53">
        <v>1091458.8282999999</v>
      </c>
      <c r="AF357" s="53">
        <v>-122.8802</v>
      </c>
    </row>
    <row r="358" spans="5:32" x14ac:dyDescent="0.25">
      <c r="E358" s="6"/>
      <c r="F358" s="6"/>
      <c r="G358" s="7"/>
      <c r="N358" s="24"/>
      <c r="O358" s="43"/>
      <c r="P358" s="43"/>
      <c r="Q358" s="44"/>
      <c r="R358" s="27"/>
      <c r="S358" s="28"/>
      <c r="T358" s="28"/>
      <c r="U358" s="28"/>
      <c r="V358" s="28"/>
      <c r="W358" s="28"/>
      <c r="X358" s="42"/>
      <c r="Y358" s="76" t="str">
        <f t="shared" si="21"/>
        <v/>
      </c>
      <c r="Z358" s="77" t="str">
        <f t="shared" si="22"/>
        <v/>
      </c>
      <c r="AA358" s="77" t="str">
        <f t="shared" si="23"/>
        <v/>
      </c>
      <c r="AB358" s="77" t="str">
        <f t="shared" si="24"/>
        <v/>
      </c>
      <c r="AC358" s="20" t="s">
        <v>367</v>
      </c>
      <c r="AD358" s="53">
        <v>823056.0148</v>
      </c>
      <c r="AE358" s="53">
        <v>1091458.8069</v>
      </c>
      <c r="AF358" s="53">
        <v>-123.2043</v>
      </c>
    </row>
    <row r="359" spans="5:32" x14ac:dyDescent="0.25">
      <c r="E359" s="6"/>
      <c r="F359" s="6"/>
      <c r="G359" s="7"/>
      <c r="N359" s="24"/>
      <c r="O359" s="43"/>
      <c r="P359" s="43"/>
      <c r="Q359" s="44"/>
      <c r="R359" s="27"/>
      <c r="S359" s="28"/>
      <c r="T359" s="28"/>
      <c r="U359" s="28"/>
      <c r="V359" s="28"/>
      <c r="W359" s="28"/>
      <c r="X359" s="42"/>
      <c r="Y359" s="76" t="str">
        <f t="shared" si="21"/>
        <v/>
      </c>
      <c r="Z359" s="77" t="str">
        <f t="shared" si="22"/>
        <v/>
      </c>
      <c r="AA359" s="77" t="str">
        <f t="shared" si="23"/>
        <v/>
      </c>
      <c r="AB359" s="77" t="str">
        <f t="shared" si="24"/>
        <v/>
      </c>
      <c r="AC359" s="20" t="s">
        <v>368</v>
      </c>
      <c r="AD359" s="53">
        <v>823056.01229999994</v>
      </c>
      <c r="AE359" s="53">
        <v>1091458.8064999999</v>
      </c>
      <c r="AF359" s="53">
        <v>-123.2839</v>
      </c>
    </row>
    <row r="360" spans="5:32" x14ac:dyDescent="0.25">
      <c r="E360" s="6"/>
      <c r="F360" s="6"/>
      <c r="G360" s="7"/>
      <c r="N360" s="24"/>
      <c r="O360" s="43"/>
      <c r="P360" s="43"/>
      <c r="Q360" s="44"/>
      <c r="R360" s="27"/>
      <c r="S360" s="28"/>
      <c r="T360" s="28"/>
      <c r="U360" s="28"/>
      <c r="V360" s="28"/>
      <c r="W360" s="28"/>
      <c r="X360" s="42"/>
      <c r="Y360" s="76" t="str">
        <f t="shared" si="21"/>
        <v/>
      </c>
      <c r="Z360" s="77" t="str">
        <f t="shared" si="22"/>
        <v/>
      </c>
      <c r="AA360" s="77" t="str">
        <f t="shared" si="23"/>
        <v/>
      </c>
      <c r="AB360" s="77" t="str">
        <f t="shared" si="24"/>
        <v/>
      </c>
      <c r="AC360" s="20" t="s">
        <v>369</v>
      </c>
      <c r="AD360" s="53">
        <v>823055.90639999998</v>
      </c>
      <c r="AE360" s="53">
        <v>1091458.7459</v>
      </c>
      <c r="AF360" s="53">
        <v>-123.7919</v>
      </c>
    </row>
    <row r="361" spans="5:32" x14ac:dyDescent="0.25">
      <c r="E361" s="6"/>
      <c r="F361" s="6"/>
      <c r="G361" s="7"/>
      <c r="N361" s="24"/>
      <c r="O361" s="43"/>
      <c r="P361" s="43"/>
      <c r="Q361" s="44"/>
      <c r="R361" s="27"/>
      <c r="S361" s="28"/>
      <c r="T361" s="28"/>
      <c r="U361" s="28"/>
      <c r="V361" s="28"/>
      <c r="W361" s="28"/>
      <c r="X361" s="42"/>
      <c r="Y361" s="76" t="str">
        <f t="shared" si="21"/>
        <v/>
      </c>
      <c r="Z361" s="77" t="str">
        <f t="shared" si="22"/>
        <v/>
      </c>
      <c r="AA361" s="77" t="str">
        <f t="shared" si="23"/>
        <v/>
      </c>
      <c r="AB361" s="77" t="str">
        <f t="shared" si="24"/>
        <v/>
      </c>
      <c r="AC361" s="20" t="s">
        <v>370</v>
      </c>
      <c r="AD361" s="53">
        <v>823055.81099999999</v>
      </c>
      <c r="AE361" s="53">
        <v>1091458.7024000001</v>
      </c>
      <c r="AF361" s="53">
        <v>-124.0506</v>
      </c>
    </row>
    <row r="362" spans="5:32" x14ac:dyDescent="0.25">
      <c r="E362" s="6"/>
      <c r="F362" s="6"/>
      <c r="G362" s="7"/>
      <c r="N362" s="24"/>
      <c r="O362" s="43"/>
      <c r="P362" s="43"/>
      <c r="Q362" s="44"/>
      <c r="R362" s="27"/>
      <c r="S362" s="28"/>
      <c r="T362" s="28"/>
      <c r="U362" s="28"/>
      <c r="V362" s="28"/>
      <c r="W362" s="28"/>
      <c r="X362" s="42"/>
      <c r="Y362" s="76" t="str">
        <f t="shared" si="21"/>
        <v/>
      </c>
      <c r="Z362" s="77" t="str">
        <f t="shared" si="22"/>
        <v/>
      </c>
      <c r="AA362" s="77" t="str">
        <f t="shared" si="23"/>
        <v/>
      </c>
      <c r="AB362" s="77" t="str">
        <f t="shared" si="24"/>
        <v/>
      </c>
      <c r="AC362" s="20" t="s">
        <v>371</v>
      </c>
      <c r="AD362" s="53">
        <v>823055.71580000001</v>
      </c>
      <c r="AE362" s="53">
        <v>1091458.655</v>
      </c>
      <c r="AF362" s="53">
        <v>-124.249</v>
      </c>
    </row>
    <row r="363" spans="5:32" x14ac:dyDescent="0.25">
      <c r="E363" s="6"/>
      <c r="F363" s="6"/>
      <c r="G363" s="7"/>
      <c r="N363" s="24"/>
      <c r="O363" s="43"/>
      <c r="P363" s="43"/>
      <c r="Q363" s="44"/>
      <c r="R363" s="27"/>
      <c r="S363" s="28"/>
      <c r="T363" s="28"/>
      <c r="U363" s="28"/>
      <c r="V363" s="28"/>
      <c r="W363" s="28"/>
      <c r="X363" s="42"/>
      <c r="Y363" s="76" t="str">
        <f t="shared" si="21"/>
        <v/>
      </c>
      <c r="Z363" s="77" t="str">
        <f t="shared" si="22"/>
        <v/>
      </c>
      <c r="AA363" s="77" t="str">
        <f t="shared" si="23"/>
        <v/>
      </c>
      <c r="AB363" s="77" t="str">
        <f t="shared" si="24"/>
        <v/>
      </c>
      <c r="AC363" s="20" t="s">
        <v>372</v>
      </c>
      <c r="AD363" s="53">
        <v>823053.63009999995</v>
      </c>
      <c r="AE363" s="53">
        <v>1091463.0137</v>
      </c>
      <c r="AF363" s="53">
        <v>-123.6062</v>
      </c>
    </row>
    <row r="364" spans="5:32" x14ac:dyDescent="0.25">
      <c r="E364" s="6"/>
      <c r="F364" s="6"/>
      <c r="G364" s="7"/>
      <c r="N364" s="24"/>
      <c r="O364" s="43"/>
      <c r="P364" s="43"/>
      <c r="Q364" s="44"/>
      <c r="R364" s="27"/>
      <c r="S364" s="28"/>
      <c r="T364" s="28"/>
      <c r="U364" s="28"/>
      <c r="V364" s="28"/>
      <c r="W364" s="28"/>
      <c r="X364" s="42"/>
      <c r="Y364" s="76" t="str">
        <f t="shared" si="21"/>
        <v/>
      </c>
      <c r="Z364" s="77" t="str">
        <f t="shared" si="22"/>
        <v/>
      </c>
      <c r="AA364" s="77" t="str">
        <f t="shared" si="23"/>
        <v/>
      </c>
      <c r="AB364" s="77" t="str">
        <f t="shared" si="24"/>
        <v/>
      </c>
      <c r="AC364" s="20" t="s">
        <v>373</v>
      </c>
      <c r="AD364" s="53">
        <v>823053.70220000006</v>
      </c>
      <c r="AE364" s="53">
        <v>1091463.0588</v>
      </c>
      <c r="AF364" s="53">
        <v>-123.2666</v>
      </c>
    </row>
    <row r="365" spans="5:32" x14ac:dyDescent="0.25">
      <c r="E365" s="6"/>
      <c r="F365" s="6"/>
      <c r="G365" s="7"/>
      <c r="N365" s="24"/>
      <c r="O365" s="43"/>
      <c r="P365" s="43"/>
      <c r="Q365" s="44"/>
      <c r="R365" s="27"/>
      <c r="S365" s="28"/>
      <c r="T365" s="28"/>
      <c r="U365" s="28"/>
      <c r="V365" s="28"/>
      <c r="W365" s="28"/>
      <c r="X365" s="42"/>
      <c r="Y365" s="76" t="str">
        <f t="shared" si="21"/>
        <v/>
      </c>
      <c r="Z365" s="77" t="str">
        <f t="shared" si="22"/>
        <v/>
      </c>
      <c r="AA365" s="77" t="str">
        <f t="shared" si="23"/>
        <v/>
      </c>
      <c r="AB365" s="77" t="str">
        <f t="shared" si="24"/>
        <v/>
      </c>
      <c r="AC365" s="20" t="s">
        <v>374</v>
      </c>
      <c r="AD365" s="53">
        <v>823053.71360000002</v>
      </c>
      <c r="AE365" s="53">
        <v>1091463.0685000001</v>
      </c>
      <c r="AF365" s="53">
        <v>-123.0258</v>
      </c>
    </row>
    <row r="366" spans="5:32" x14ac:dyDescent="0.25">
      <c r="E366" s="6"/>
      <c r="F366" s="6"/>
      <c r="G366" s="7"/>
      <c r="N366" s="24"/>
      <c r="O366" s="43"/>
      <c r="P366" s="43"/>
      <c r="Q366" s="44"/>
      <c r="R366" s="27"/>
      <c r="S366" s="28"/>
      <c r="T366" s="28"/>
      <c r="U366" s="28"/>
      <c r="V366" s="28"/>
      <c r="W366" s="28"/>
      <c r="X366" s="42"/>
      <c r="Y366" s="76" t="str">
        <f t="shared" si="21"/>
        <v/>
      </c>
      <c r="Z366" s="77" t="str">
        <f t="shared" si="22"/>
        <v/>
      </c>
      <c r="AA366" s="77" t="str">
        <f t="shared" si="23"/>
        <v/>
      </c>
      <c r="AB366" s="77" t="str">
        <f t="shared" si="24"/>
        <v/>
      </c>
      <c r="AC366" s="20" t="s">
        <v>375</v>
      </c>
      <c r="AD366" s="53">
        <v>823053.70259999996</v>
      </c>
      <c r="AE366" s="53">
        <v>1091463.0691</v>
      </c>
      <c r="AF366" s="53">
        <v>-122.65470000000001</v>
      </c>
    </row>
    <row r="367" spans="5:32" x14ac:dyDescent="0.25">
      <c r="E367" s="6"/>
      <c r="F367" s="6"/>
      <c r="G367" s="7"/>
      <c r="N367" s="24"/>
      <c r="O367" s="43"/>
      <c r="P367" s="43"/>
      <c r="Q367" s="44"/>
      <c r="R367" s="27"/>
      <c r="S367" s="28"/>
      <c r="T367" s="28"/>
      <c r="U367" s="28"/>
      <c r="V367" s="28"/>
      <c r="W367" s="28"/>
      <c r="X367" s="42"/>
      <c r="Y367" s="76" t="str">
        <f t="shared" si="21"/>
        <v/>
      </c>
      <c r="Z367" s="77" t="str">
        <f t="shared" si="22"/>
        <v/>
      </c>
      <c r="AA367" s="77" t="str">
        <f t="shared" si="23"/>
        <v/>
      </c>
      <c r="AB367" s="77" t="str">
        <f t="shared" si="24"/>
        <v/>
      </c>
      <c r="AC367" s="20" t="s">
        <v>376</v>
      </c>
      <c r="AD367" s="53">
        <v>823053.65449999995</v>
      </c>
      <c r="AE367" s="53">
        <v>1091463.0515999999</v>
      </c>
      <c r="AF367" s="53">
        <v>-122.3553</v>
      </c>
    </row>
    <row r="368" spans="5:32" x14ac:dyDescent="0.25">
      <c r="E368" s="6"/>
      <c r="F368" s="6"/>
      <c r="G368" s="7"/>
      <c r="N368" s="24"/>
      <c r="O368" s="43"/>
      <c r="P368" s="43"/>
      <c r="Q368" s="44"/>
      <c r="R368" s="27"/>
      <c r="S368" s="28"/>
      <c r="T368" s="28"/>
      <c r="U368" s="28"/>
      <c r="V368" s="28"/>
      <c r="W368" s="28"/>
      <c r="X368" s="42"/>
      <c r="Y368" s="76" t="str">
        <f t="shared" si="21"/>
        <v/>
      </c>
      <c r="Z368" s="77" t="str">
        <f t="shared" si="22"/>
        <v/>
      </c>
      <c r="AA368" s="77" t="str">
        <f t="shared" si="23"/>
        <v/>
      </c>
      <c r="AB368" s="77" t="str">
        <f t="shared" si="24"/>
        <v/>
      </c>
      <c r="AC368" s="20" t="s">
        <v>377</v>
      </c>
      <c r="AD368" s="53">
        <v>823053.56359999999</v>
      </c>
      <c r="AE368" s="53">
        <v>1091462.9613000001</v>
      </c>
      <c r="AF368" s="53">
        <v>-122.12949999999999</v>
      </c>
    </row>
    <row r="369" spans="5:32" x14ac:dyDescent="0.25">
      <c r="E369" s="6"/>
      <c r="F369" s="6"/>
      <c r="G369" s="7"/>
      <c r="N369" s="24"/>
      <c r="O369" s="43"/>
      <c r="P369" s="43"/>
      <c r="Q369" s="44"/>
      <c r="R369" s="27"/>
      <c r="S369" s="28"/>
      <c r="T369" s="28"/>
      <c r="U369" s="28"/>
      <c r="V369" s="28"/>
      <c r="W369" s="28"/>
      <c r="X369" s="42"/>
      <c r="Y369" s="76" t="str">
        <f t="shared" si="21"/>
        <v/>
      </c>
      <c r="Z369" s="77" t="str">
        <f t="shared" si="22"/>
        <v/>
      </c>
      <c r="AA369" s="77" t="str">
        <f t="shared" si="23"/>
        <v/>
      </c>
      <c r="AB369" s="77" t="str">
        <f t="shared" si="24"/>
        <v/>
      </c>
      <c r="AC369" s="20" t="s">
        <v>378</v>
      </c>
      <c r="AD369" s="53">
        <v>823053.48770000006</v>
      </c>
      <c r="AE369" s="53">
        <v>1091462.9815</v>
      </c>
      <c r="AF369" s="53">
        <v>-121.83669999999999</v>
      </c>
    </row>
    <row r="370" spans="5:32" x14ac:dyDescent="0.25">
      <c r="E370" s="6"/>
      <c r="F370" s="6"/>
      <c r="G370" s="7"/>
      <c r="N370" s="24"/>
      <c r="O370" s="43"/>
      <c r="P370" s="43"/>
      <c r="Q370" s="44"/>
      <c r="R370" s="27"/>
      <c r="S370" s="28"/>
      <c r="T370" s="28"/>
      <c r="U370" s="28"/>
      <c r="V370" s="28"/>
      <c r="W370" s="28"/>
      <c r="X370" s="42"/>
      <c r="Y370" s="76" t="str">
        <f t="shared" si="21"/>
        <v/>
      </c>
      <c r="Z370" s="77" t="str">
        <f t="shared" si="22"/>
        <v/>
      </c>
      <c r="AA370" s="77" t="str">
        <f t="shared" si="23"/>
        <v/>
      </c>
      <c r="AB370" s="77" t="str">
        <f t="shared" si="24"/>
        <v/>
      </c>
      <c r="AC370" s="20" t="s">
        <v>379</v>
      </c>
      <c r="AD370" s="53">
        <v>823053.35560000001</v>
      </c>
      <c r="AE370" s="53">
        <v>1091462.9154000001</v>
      </c>
      <c r="AF370" s="53">
        <v>-121.6015</v>
      </c>
    </row>
    <row r="371" spans="5:32" x14ac:dyDescent="0.25">
      <c r="E371" s="6"/>
      <c r="F371" s="6"/>
      <c r="G371" s="7"/>
      <c r="N371" s="24"/>
      <c r="O371" s="43"/>
      <c r="P371" s="43"/>
      <c r="Q371" s="44"/>
      <c r="R371" s="27"/>
      <c r="S371" s="28"/>
      <c r="T371" s="28"/>
      <c r="U371" s="28"/>
      <c r="V371" s="28"/>
      <c r="W371" s="28"/>
      <c r="X371" s="42"/>
      <c r="Y371" s="76" t="str">
        <f t="shared" si="21"/>
        <v/>
      </c>
      <c r="Z371" s="77" t="str">
        <f t="shared" si="22"/>
        <v/>
      </c>
      <c r="AA371" s="77" t="str">
        <f t="shared" si="23"/>
        <v/>
      </c>
      <c r="AB371" s="77" t="str">
        <f t="shared" si="24"/>
        <v/>
      </c>
      <c r="AC371" s="20" t="s">
        <v>380</v>
      </c>
      <c r="AD371" s="53">
        <v>823053.23179999995</v>
      </c>
      <c r="AE371" s="53">
        <v>1091462.8615000001</v>
      </c>
      <c r="AF371" s="53">
        <v>-121.39530000000001</v>
      </c>
    </row>
    <row r="372" spans="5:32" x14ac:dyDescent="0.25">
      <c r="E372" s="6"/>
      <c r="F372" s="6"/>
      <c r="G372" s="7"/>
      <c r="N372" s="24"/>
      <c r="O372" s="43"/>
      <c r="P372" s="43"/>
      <c r="Q372" s="44"/>
      <c r="R372" s="27"/>
      <c r="S372" s="28"/>
      <c r="T372" s="28"/>
      <c r="U372" s="28"/>
      <c r="V372" s="28"/>
      <c r="W372" s="28"/>
      <c r="X372" s="42"/>
      <c r="Y372" s="76" t="str">
        <f t="shared" si="21"/>
        <v/>
      </c>
      <c r="Z372" s="77" t="str">
        <f t="shared" si="22"/>
        <v/>
      </c>
      <c r="AA372" s="77" t="str">
        <f t="shared" si="23"/>
        <v/>
      </c>
      <c r="AB372" s="77" t="str">
        <f t="shared" si="24"/>
        <v/>
      </c>
      <c r="AC372" s="20" t="s">
        <v>381</v>
      </c>
      <c r="AD372" s="53">
        <v>823053.07940000005</v>
      </c>
      <c r="AE372" s="53">
        <v>1091462.7982000001</v>
      </c>
      <c r="AF372" s="53">
        <v>-121.19710000000001</v>
      </c>
    </row>
    <row r="373" spans="5:32" x14ac:dyDescent="0.25">
      <c r="E373" s="6"/>
      <c r="F373" s="6"/>
      <c r="G373" s="7"/>
      <c r="N373" s="24"/>
      <c r="O373" s="43"/>
      <c r="P373" s="43"/>
      <c r="Q373" s="44"/>
      <c r="R373" s="27"/>
      <c r="S373" s="28"/>
      <c r="T373" s="28"/>
      <c r="U373" s="28"/>
      <c r="V373" s="28"/>
      <c r="W373" s="28"/>
      <c r="X373" s="42"/>
      <c r="Y373" s="76" t="str">
        <f t="shared" si="21"/>
        <v/>
      </c>
      <c r="Z373" s="77" t="str">
        <f t="shared" si="22"/>
        <v/>
      </c>
      <c r="AA373" s="77" t="str">
        <f t="shared" si="23"/>
        <v/>
      </c>
      <c r="AB373" s="77" t="str">
        <f t="shared" si="24"/>
        <v/>
      </c>
      <c r="AC373" s="20" t="s">
        <v>382</v>
      </c>
      <c r="AD373" s="53">
        <v>823052.90709999995</v>
      </c>
      <c r="AE373" s="53">
        <v>1091462.7213000001</v>
      </c>
      <c r="AF373" s="53">
        <v>-121.01519999999999</v>
      </c>
    </row>
    <row r="374" spans="5:32" x14ac:dyDescent="0.25">
      <c r="E374" s="6"/>
      <c r="F374" s="6"/>
      <c r="G374" s="7"/>
      <c r="N374" s="24"/>
      <c r="O374" s="43"/>
      <c r="P374" s="43"/>
      <c r="Q374" s="44"/>
      <c r="R374" s="27"/>
      <c r="S374" s="28"/>
      <c r="T374" s="28"/>
      <c r="U374" s="28"/>
      <c r="V374" s="28"/>
      <c r="W374" s="28"/>
      <c r="X374" s="42"/>
      <c r="Y374" s="76" t="str">
        <f t="shared" si="21"/>
        <v/>
      </c>
      <c r="Z374" s="77" t="str">
        <f t="shared" si="22"/>
        <v/>
      </c>
      <c r="AA374" s="77" t="str">
        <f t="shared" si="23"/>
        <v/>
      </c>
      <c r="AB374" s="77" t="str">
        <f t="shared" si="24"/>
        <v/>
      </c>
      <c r="AC374" s="20" t="s">
        <v>383</v>
      </c>
      <c r="AD374" s="53">
        <v>823052.77300000004</v>
      </c>
      <c r="AE374" s="53">
        <v>1091462.6571</v>
      </c>
      <c r="AF374" s="53">
        <v>-120.86060000000001</v>
      </c>
    </row>
    <row r="375" spans="5:32" x14ac:dyDescent="0.25">
      <c r="E375" s="6"/>
      <c r="F375" s="6"/>
      <c r="G375" s="7"/>
      <c r="N375" s="24"/>
      <c r="O375" s="43"/>
      <c r="P375" s="43"/>
      <c r="Q375" s="44"/>
      <c r="R375" s="27"/>
      <c r="S375" s="28"/>
      <c r="T375" s="28"/>
      <c r="U375" s="28"/>
      <c r="V375" s="28"/>
      <c r="W375" s="28"/>
      <c r="X375" s="42"/>
      <c r="Y375" s="76" t="str">
        <f t="shared" si="21"/>
        <v/>
      </c>
      <c r="Z375" s="77" t="str">
        <f t="shared" si="22"/>
        <v/>
      </c>
      <c r="AA375" s="77" t="str">
        <f t="shared" si="23"/>
        <v/>
      </c>
      <c r="AB375" s="77" t="str">
        <f t="shared" si="24"/>
        <v/>
      </c>
      <c r="AC375" s="20" t="s">
        <v>384</v>
      </c>
      <c r="AD375" s="53">
        <v>823052.5514</v>
      </c>
      <c r="AE375" s="53">
        <v>1091462.5559</v>
      </c>
      <c r="AF375" s="53">
        <v>-120.7013</v>
      </c>
    </row>
    <row r="376" spans="5:32" x14ac:dyDescent="0.25">
      <c r="E376" s="6"/>
      <c r="F376" s="6"/>
      <c r="G376" s="7"/>
      <c r="N376" s="24"/>
      <c r="O376" s="43"/>
      <c r="P376" s="43"/>
      <c r="Q376" s="44"/>
      <c r="R376" s="27"/>
      <c r="S376" s="28"/>
      <c r="T376" s="28"/>
      <c r="U376" s="28"/>
      <c r="V376" s="28"/>
      <c r="W376" s="28"/>
      <c r="X376" s="42"/>
      <c r="Y376" s="76" t="str">
        <f t="shared" si="21"/>
        <v/>
      </c>
      <c r="Z376" s="77" t="str">
        <f t="shared" si="22"/>
        <v/>
      </c>
      <c r="AA376" s="77" t="str">
        <f t="shared" si="23"/>
        <v/>
      </c>
      <c r="AB376" s="77" t="str">
        <f t="shared" si="24"/>
        <v/>
      </c>
      <c r="AC376" s="20" t="s">
        <v>385</v>
      </c>
      <c r="AD376" s="53">
        <v>823052.34030000004</v>
      </c>
      <c r="AE376" s="53">
        <v>1091462.4575</v>
      </c>
      <c r="AF376" s="53">
        <v>-120.5904</v>
      </c>
    </row>
    <row r="377" spans="5:32" x14ac:dyDescent="0.25">
      <c r="E377" s="6"/>
      <c r="F377" s="6"/>
      <c r="G377" s="7"/>
      <c r="N377" s="24"/>
      <c r="O377" s="43"/>
      <c r="P377" s="43"/>
      <c r="Q377" s="44"/>
      <c r="R377" s="27"/>
      <c r="S377" s="28"/>
      <c r="T377" s="28"/>
      <c r="U377" s="28"/>
      <c r="V377" s="28"/>
      <c r="W377" s="28"/>
      <c r="X377" s="42"/>
      <c r="Y377" s="76" t="str">
        <f t="shared" si="21"/>
        <v/>
      </c>
      <c r="Z377" s="77" t="str">
        <f t="shared" si="22"/>
        <v/>
      </c>
      <c r="AA377" s="77" t="str">
        <f t="shared" si="23"/>
        <v/>
      </c>
      <c r="AB377" s="77" t="str">
        <f t="shared" si="24"/>
        <v/>
      </c>
      <c r="AC377" s="20" t="s">
        <v>386</v>
      </c>
      <c r="AD377" s="53">
        <v>823052.07369999995</v>
      </c>
      <c r="AE377" s="53">
        <v>1091462.3404000001</v>
      </c>
      <c r="AF377" s="53">
        <v>-120.47110000000001</v>
      </c>
    </row>
    <row r="378" spans="5:32" x14ac:dyDescent="0.25">
      <c r="E378" s="6"/>
      <c r="F378" s="6"/>
      <c r="G378" s="7"/>
      <c r="N378" s="24"/>
      <c r="O378" s="43"/>
      <c r="P378" s="43"/>
      <c r="Q378" s="44"/>
      <c r="R378" s="27"/>
      <c r="S378" s="28"/>
      <c r="T378" s="28"/>
      <c r="U378" s="28"/>
      <c r="V378" s="28"/>
      <c r="W378" s="28"/>
      <c r="X378" s="42"/>
      <c r="Y378" s="76" t="str">
        <f t="shared" si="21"/>
        <v/>
      </c>
      <c r="Z378" s="77" t="str">
        <f t="shared" si="22"/>
        <v/>
      </c>
      <c r="AA378" s="77" t="str">
        <f t="shared" si="23"/>
        <v/>
      </c>
      <c r="AB378" s="77" t="str">
        <f t="shared" si="24"/>
        <v/>
      </c>
      <c r="AC378" s="20" t="s">
        <v>387</v>
      </c>
      <c r="AD378" s="53">
        <v>823051.80779999995</v>
      </c>
      <c r="AE378" s="53">
        <v>1091462.2175</v>
      </c>
      <c r="AF378" s="53">
        <v>-120.3943</v>
      </c>
    </row>
    <row r="379" spans="5:32" x14ac:dyDescent="0.25">
      <c r="E379" s="6"/>
      <c r="F379" s="6"/>
      <c r="G379" s="7"/>
      <c r="N379" s="24"/>
      <c r="O379" s="43"/>
      <c r="P379" s="43"/>
      <c r="Q379" s="44"/>
      <c r="R379" s="27"/>
      <c r="S379" s="28"/>
      <c r="T379" s="28"/>
      <c r="U379" s="28"/>
      <c r="V379" s="28"/>
      <c r="W379" s="28"/>
      <c r="X379" s="42"/>
      <c r="Y379" s="76" t="str">
        <f t="shared" si="21"/>
        <v/>
      </c>
      <c r="Z379" s="77" t="str">
        <f t="shared" si="22"/>
        <v/>
      </c>
      <c r="AA379" s="77" t="str">
        <f t="shared" si="23"/>
        <v/>
      </c>
      <c r="AB379" s="77" t="str">
        <f t="shared" si="24"/>
        <v/>
      </c>
      <c r="AC379" s="20" t="s">
        <v>388</v>
      </c>
      <c r="AD379" s="53">
        <v>823051.50509999995</v>
      </c>
      <c r="AE379" s="53">
        <v>1091462.0774000001</v>
      </c>
      <c r="AF379" s="53">
        <v>-120.3396</v>
      </c>
    </row>
    <row r="380" spans="5:32" x14ac:dyDescent="0.25">
      <c r="E380" s="6"/>
      <c r="F380" s="6"/>
      <c r="G380" s="7"/>
      <c r="N380" s="24"/>
      <c r="O380" s="43"/>
      <c r="P380" s="43"/>
      <c r="Q380" s="44"/>
      <c r="R380" s="27"/>
      <c r="S380" s="28"/>
      <c r="T380" s="28"/>
      <c r="U380" s="28"/>
      <c r="V380" s="28"/>
      <c r="W380" s="28"/>
      <c r="X380" s="42"/>
      <c r="Y380" s="76" t="str">
        <f t="shared" si="21"/>
        <v/>
      </c>
      <c r="Z380" s="77" t="str">
        <f t="shared" si="22"/>
        <v/>
      </c>
      <c r="AA380" s="77" t="str">
        <f t="shared" si="23"/>
        <v/>
      </c>
      <c r="AB380" s="77" t="str">
        <f t="shared" si="24"/>
        <v/>
      </c>
      <c r="AC380" s="20" t="s">
        <v>389</v>
      </c>
      <c r="AD380" s="53">
        <v>823051.21620000002</v>
      </c>
      <c r="AE380" s="53">
        <v>1091461.9428999999</v>
      </c>
      <c r="AF380" s="53">
        <v>-120.3342</v>
      </c>
    </row>
    <row r="381" spans="5:32" x14ac:dyDescent="0.25">
      <c r="E381" s="6"/>
      <c r="F381" s="6"/>
      <c r="G381" s="7"/>
      <c r="N381" s="24"/>
      <c r="O381" s="43"/>
      <c r="P381" s="43"/>
      <c r="Q381" s="44"/>
      <c r="R381" s="27"/>
      <c r="S381" s="28"/>
      <c r="T381" s="28"/>
      <c r="U381" s="28"/>
      <c r="V381" s="28"/>
      <c r="W381" s="28"/>
      <c r="X381" s="42"/>
      <c r="Y381" s="76" t="str">
        <f t="shared" si="21"/>
        <v/>
      </c>
      <c r="Z381" s="77" t="str">
        <f t="shared" si="22"/>
        <v/>
      </c>
      <c r="AA381" s="77" t="str">
        <f t="shared" si="23"/>
        <v/>
      </c>
      <c r="AB381" s="77" t="str">
        <f t="shared" si="24"/>
        <v/>
      </c>
      <c r="AC381" s="20" t="s">
        <v>390</v>
      </c>
      <c r="AD381" s="53">
        <v>823050.9547</v>
      </c>
      <c r="AE381" s="53">
        <v>1091461.8174999999</v>
      </c>
      <c r="AF381" s="53">
        <v>-120.37179999999999</v>
      </c>
    </row>
    <row r="382" spans="5:32" x14ac:dyDescent="0.25">
      <c r="E382" s="6"/>
      <c r="F382" s="6"/>
      <c r="G382" s="7"/>
      <c r="N382" s="24"/>
      <c r="O382" s="43"/>
      <c r="P382" s="43"/>
      <c r="Q382" s="44"/>
      <c r="R382" s="27"/>
      <c r="S382" s="28"/>
      <c r="T382" s="28"/>
      <c r="U382" s="28"/>
      <c r="V382" s="28"/>
      <c r="W382" s="28"/>
      <c r="X382" s="42"/>
      <c r="Y382" s="76" t="str">
        <f t="shared" si="21"/>
        <v/>
      </c>
      <c r="Z382" s="77" t="str">
        <f t="shared" si="22"/>
        <v/>
      </c>
      <c r="AA382" s="77" t="str">
        <f t="shared" si="23"/>
        <v/>
      </c>
      <c r="AB382" s="77" t="str">
        <f t="shared" si="24"/>
        <v/>
      </c>
      <c r="AC382" s="20" t="s">
        <v>391</v>
      </c>
      <c r="AD382" s="53">
        <v>823050.66390000004</v>
      </c>
      <c r="AE382" s="53">
        <v>1091461.6825000001</v>
      </c>
      <c r="AF382" s="53">
        <v>-120.4389</v>
      </c>
    </row>
    <row r="383" spans="5:32" x14ac:dyDescent="0.25">
      <c r="E383" s="6"/>
      <c r="F383" s="6"/>
      <c r="G383" s="7"/>
      <c r="N383" s="24"/>
      <c r="O383" s="43"/>
      <c r="P383" s="43"/>
      <c r="Q383" s="44"/>
      <c r="R383" s="27"/>
      <c r="S383" s="28"/>
      <c r="T383" s="28"/>
      <c r="U383" s="28"/>
      <c r="V383" s="28"/>
      <c r="W383" s="28"/>
      <c r="X383" s="42"/>
      <c r="Y383" s="76" t="str">
        <f t="shared" si="21"/>
        <v/>
      </c>
      <c r="Z383" s="77" t="str">
        <f t="shared" si="22"/>
        <v/>
      </c>
      <c r="AA383" s="77" t="str">
        <f t="shared" si="23"/>
        <v/>
      </c>
      <c r="AB383" s="77" t="str">
        <f t="shared" si="24"/>
        <v/>
      </c>
      <c r="AC383" s="20" t="s">
        <v>392</v>
      </c>
      <c r="AD383" s="53">
        <v>823050.40740000003</v>
      </c>
      <c r="AE383" s="53">
        <v>1091461.5619999999</v>
      </c>
      <c r="AF383" s="53">
        <v>-120.56399999999999</v>
      </c>
    </row>
    <row r="384" spans="5:32" x14ac:dyDescent="0.25">
      <c r="E384" s="6"/>
      <c r="F384" s="6"/>
      <c r="G384" s="7"/>
      <c r="N384" s="24"/>
      <c r="O384" s="43"/>
      <c r="P384" s="43"/>
      <c r="Q384" s="44"/>
      <c r="R384" s="27"/>
      <c r="S384" s="28"/>
      <c r="T384" s="28"/>
      <c r="U384" s="28"/>
      <c r="V384" s="28"/>
      <c r="W384" s="28"/>
      <c r="X384" s="42"/>
      <c r="Y384" s="76" t="str">
        <f t="shared" si="21"/>
        <v/>
      </c>
      <c r="Z384" s="77" t="str">
        <f t="shared" si="22"/>
        <v/>
      </c>
      <c r="AA384" s="77" t="str">
        <f t="shared" si="23"/>
        <v/>
      </c>
      <c r="AB384" s="77" t="str">
        <f t="shared" si="24"/>
        <v/>
      </c>
      <c r="AC384" s="20" t="s">
        <v>393</v>
      </c>
      <c r="AD384" s="53">
        <v>823050.10609999998</v>
      </c>
      <c r="AE384" s="53">
        <v>1091461.4188000001</v>
      </c>
      <c r="AF384" s="53">
        <v>-120.7208</v>
      </c>
    </row>
    <row r="385" spans="5:32" x14ac:dyDescent="0.25">
      <c r="E385" s="6"/>
      <c r="F385" s="6"/>
      <c r="G385" s="7"/>
      <c r="N385" s="24"/>
      <c r="O385" s="43"/>
      <c r="P385" s="43"/>
      <c r="Q385" s="44"/>
      <c r="R385" s="27"/>
      <c r="S385" s="28"/>
      <c r="T385" s="28"/>
      <c r="U385" s="28"/>
      <c r="V385" s="28"/>
      <c r="W385" s="28"/>
      <c r="X385" s="42"/>
      <c r="Y385" s="76" t="str">
        <f t="shared" si="21"/>
        <v/>
      </c>
      <c r="Z385" s="77" t="str">
        <f t="shared" si="22"/>
        <v/>
      </c>
      <c r="AA385" s="77" t="str">
        <f t="shared" si="23"/>
        <v/>
      </c>
      <c r="AB385" s="77" t="str">
        <f t="shared" si="24"/>
        <v/>
      </c>
      <c r="AC385" s="20" t="s">
        <v>394</v>
      </c>
      <c r="AD385" s="53">
        <v>823049.85629999998</v>
      </c>
      <c r="AE385" s="53">
        <v>1091461.2745999999</v>
      </c>
      <c r="AF385" s="53">
        <v>-120.9718</v>
      </c>
    </row>
    <row r="386" spans="5:32" x14ac:dyDescent="0.25">
      <c r="E386" s="6"/>
      <c r="F386" s="6"/>
      <c r="G386" s="7"/>
      <c r="N386" s="24"/>
      <c r="O386" s="43"/>
      <c r="P386" s="43"/>
      <c r="Q386" s="44"/>
      <c r="R386" s="27"/>
      <c r="S386" s="28"/>
      <c r="T386" s="28"/>
      <c r="U386" s="28"/>
      <c r="V386" s="28"/>
      <c r="W386" s="28"/>
      <c r="X386" s="42"/>
      <c r="Y386" s="76" t="str">
        <f t="shared" si="21"/>
        <v/>
      </c>
      <c r="Z386" s="77" t="str">
        <f t="shared" si="22"/>
        <v/>
      </c>
      <c r="AA386" s="77" t="str">
        <f t="shared" si="23"/>
        <v/>
      </c>
      <c r="AB386" s="77" t="str">
        <f t="shared" si="24"/>
        <v/>
      </c>
      <c r="AC386" s="20" t="s">
        <v>395</v>
      </c>
      <c r="AD386" s="53">
        <v>823049.70129999996</v>
      </c>
      <c r="AE386" s="53">
        <v>1091461.2231999999</v>
      </c>
      <c r="AF386" s="53">
        <v>-121.1023</v>
      </c>
    </row>
    <row r="387" spans="5:32" x14ac:dyDescent="0.25">
      <c r="E387" s="6"/>
      <c r="F387" s="6"/>
      <c r="G387" s="7"/>
      <c r="N387" s="24"/>
      <c r="O387" s="43"/>
      <c r="P387" s="43"/>
      <c r="Q387" s="44"/>
      <c r="R387" s="27"/>
      <c r="S387" s="28"/>
      <c r="T387" s="28"/>
      <c r="U387" s="28"/>
      <c r="V387" s="28"/>
      <c r="W387" s="28"/>
      <c r="X387" s="42"/>
      <c r="Y387" s="76" t="str">
        <f t="shared" si="21"/>
        <v/>
      </c>
      <c r="Z387" s="77" t="str">
        <f t="shared" si="22"/>
        <v/>
      </c>
      <c r="AA387" s="77" t="str">
        <f t="shared" si="23"/>
        <v/>
      </c>
      <c r="AB387" s="77" t="str">
        <f t="shared" si="24"/>
        <v/>
      </c>
      <c r="AC387" s="20" t="s">
        <v>396</v>
      </c>
      <c r="AD387" s="53">
        <v>823049.56330000004</v>
      </c>
      <c r="AE387" s="53">
        <v>1091461.1657</v>
      </c>
      <c r="AF387" s="53">
        <v>-121.26139999999999</v>
      </c>
    </row>
    <row r="388" spans="5:32" x14ac:dyDescent="0.25">
      <c r="E388" s="6"/>
      <c r="F388" s="6"/>
      <c r="G388" s="7"/>
      <c r="N388" s="24"/>
      <c r="O388" s="43"/>
      <c r="P388" s="43"/>
      <c r="Q388" s="44"/>
      <c r="R388" s="27"/>
      <c r="S388" s="28"/>
      <c r="T388" s="28"/>
      <c r="U388" s="28"/>
      <c r="V388" s="28"/>
      <c r="W388" s="28"/>
      <c r="X388" s="42"/>
      <c r="Y388" s="76" t="str">
        <f t="shared" ref="Y388:Y451" si="25">IF(ISBLANK(N388),"",N388)</f>
        <v/>
      </c>
      <c r="Z388" s="77" t="str">
        <f t="shared" ref="Z388:Z451" si="26">IF(ISBLANK(O388),"",O388-V388)</f>
        <v/>
      </c>
      <c r="AA388" s="77" t="str">
        <f t="shared" ref="AA388:AA451" si="27">IF(ISBLANK(P388),"",P388-W388)</f>
        <v/>
      </c>
      <c r="AB388" s="77" t="str">
        <f t="shared" ref="AB388:AB451" si="28">IF(ISBLANK(Q388),"",Q388-X388)</f>
        <v/>
      </c>
      <c r="AC388" s="20" t="s">
        <v>397</v>
      </c>
      <c r="AD388" s="53">
        <v>823049.43420000002</v>
      </c>
      <c r="AE388" s="53">
        <v>1091461.1026999999</v>
      </c>
      <c r="AF388" s="53">
        <v>-121.4705</v>
      </c>
    </row>
    <row r="389" spans="5:32" x14ac:dyDescent="0.25">
      <c r="E389" s="6"/>
      <c r="F389" s="6"/>
      <c r="G389" s="7"/>
      <c r="N389" s="24"/>
      <c r="O389" s="43"/>
      <c r="P389" s="43"/>
      <c r="Q389" s="44"/>
      <c r="R389" s="27"/>
      <c r="S389" s="28"/>
      <c r="T389" s="28"/>
      <c r="U389" s="28"/>
      <c r="V389" s="28"/>
      <c r="W389" s="28"/>
      <c r="X389" s="42"/>
      <c r="Y389" s="76" t="str">
        <f t="shared" si="25"/>
        <v/>
      </c>
      <c r="Z389" s="77" t="str">
        <f t="shared" si="26"/>
        <v/>
      </c>
      <c r="AA389" s="77" t="str">
        <f t="shared" si="27"/>
        <v/>
      </c>
      <c r="AB389" s="77" t="str">
        <f t="shared" si="28"/>
        <v/>
      </c>
      <c r="AC389" s="20" t="s">
        <v>398</v>
      </c>
      <c r="AD389" s="53">
        <v>823049.33319999999</v>
      </c>
      <c r="AE389" s="53">
        <v>1091461.0533</v>
      </c>
      <c r="AF389" s="53">
        <v>-121.62309999999999</v>
      </c>
    </row>
    <row r="390" spans="5:32" x14ac:dyDescent="0.25">
      <c r="E390" s="6"/>
      <c r="F390" s="6"/>
      <c r="G390" s="7"/>
      <c r="Q390" s="21"/>
      <c r="Y390" s="76" t="str">
        <f t="shared" si="25"/>
        <v/>
      </c>
      <c r="Z390" s="77" t="str">
        <f t="shared" si="26"/>
        <v/>
      </c>
      <c r="AA390" s="77" t="str">
        <f t="shared" si="27"/>
        <v/>
      </c>
      <c r="AB390" s="77" t="str">
        <f t="shared" si="28"/>
        <v/>
      </c>
      <c r="AC390" s="20" t="s">
        <v>399</v>
      </c>
      <c r="AD390" s="53">
        <v>823049.22779999999</v>
      </c>
      <c r="AE390" s="53">
        <v>1091460.99</v>
      </c>
      <c r="AF390" s="53">
        <v>-121.8721</v>
      </c>
    </row>
    <row r="391" spans="5:32" x14ac:dyDescent="0.25">
      <c r="E391" s="6"/>
      <c r="F391" s="6"/>
      <c r="G391" s="7"/>
      <c r="Q391" s="21"/>
      <c r="Y391" s="76" t="str">
        <f t="shared" si="25"/>
        <v/>
      </c>
      <c r="Z391" s="77" t="str">
        <f t="shared" si="26"/>
        <v/>
      </c>
      <c r="AA391" s="77" t="str">
        <f t="shared" si="27"/>
        <v/>
      </c>
      <c r="AB391" s="77" t="str">
        <f t="shared" si="28"/>
        <v/>
      </c>
      <c r="AC391" s="20" t="s">
        <v>400</v>
      </c>
      <c r="AD391" s="53">
        <v>823049.16260000004</v>
      </c>
      <c r="AE391" s="53">
        <v>1091460.9642</v>
      </c>
      <c r="AF391" s="53">
        <v>-122.0703</v>
      </c>
    </row>
    <row r="392" spans="5:32" x14ac:dyDescent="0.25">
      <c r="E392" s="6"/>
      <c r="F392" s="6"/>
      <c r="G392" s="7"/>
      <c r="Q392" s="21"/>
      <c r="Y392" s="76" t="str">
        <f t="shared" si="25"/>
        <v/>
      </c>
      <c r="Z392" s="77" t="str">
        <f t="shared" si="26"/>
        <v/>
      </c>
      <c r="AA392" s="77" t="str">
        <f t="shared" si="27"/>
        <v/>
      </c>
      <c r="AB392" s="77" t="str">
        <f t="shared" si="28"/>
        <v/>
      </c>
      <c r="AC392" s="20" t="s">
        <v>401</v>
      </c>
      <c r="AD392" s="53">
        <v>823049.0612</v>
      </c>
      <c r="AE392" s="53">
        <v>1091460.9176</v>
      </c>
      <c r="AF392" s="53">
        <v>-122.4224</v>
      </c>
    </row>
    <row r="393" spans="5:32" x14ac:dyDescent="0.25">
      <c r="E393" s="6"/>
      <c r="F393" s="6"/>
      <c r="G393" s="7"/>
      <c r="Q393" s="21"/>
      <c r="Y393" s="76" t="str">
        <f t="shared" si="25"/>
        <v/>
      </c>
      <c r="Z393" s="77" t="str">
        <f t="shared" si="26"/>
        <v/>
      </c>
      <c r="AA393" s="77" t="str">
        <f t="shared" si="27"/>
        <v/>
      </c>
      <c r="AB393" s="77" t="str">
        <f t="shared" si="28"/>
        <v/>
      </c>
      <c r="AC393" s="20" t="s">
        <v>402</v>
      </c>
      <c r="AD393" s="53">
        <v>823049.02390000003</v>
      </c>
      <c r="AE393" s="53">
        <v>1091460.8944999999</v>
      </c>
      <c r="AF393" s="53">
        <v>-122.77500000000001</v>
      </c>
    </row>
    <row r="394" spans="5:32" x14ac:dyDescent="0.25">
      <c r="E394" s="6"/>
      <c r="F394" s="6"/>
      <c r="G394" s="7"/>
      <c r="Q394" s="21"/>
      <c r="Y394" s="76" t="str">
        <f t="shared" si="25"/>
        <v/>
      </c>
      <c r="Z394" s="77" t="str">
        <f t="shared" si="26"/>
        <v/>
      </c>
      <c r="AA394" s="77" t="str">
        <f t="shared" si="27"/>
        <v/>
      </c>
      <c r="AB394" s="77" t="str">
        <f t="shared" si="28"/>
        <v/>
      </c>
      <c r="AC394" s="20" t="s">
        <v>403</v>
      </c>
      <c r="AD394" s="53">
        <v>823049.02919999999</v>
      </c>
      <c r="AE394" s="53">
        <v>1091460.8936000001</v>
      </c>
      <c r="AF394" s="53">
        <v>-123.0574</v>
      </c>
    </row>
    <row r="395" spans="5:32" x14ac:dyDescent="0.25">
      <c r="E395" s="6"/>
      <c r="F395" s="6"/>
      <c r="G395" s="7"/>
      <c r="Q395" s="21"/>
      <c r="Y395" s="76" t="str">
        <f t="shared" si="25"/>
        <v/>
      </c>
      <c r="Z395" s="77" t="str">
        <f t="shared" si="26"/>
        <v/>
      </c>
      <c r="AA395" s="77" t="str">
        <f t="shared" si="27"/>
        <v/>
      </c>
      <c r="AB395" s="77" t="str">
        <f t="shared" si="28"/>
        <v/>
      </c>
      <c r="AC395" s="20" t="s">
        <v>404</v>
      </c>
      <c r="AD395" s="53">
        <v>823049.04940000002</v>
      </c>
      <c r="AE395" s="53">
        <v>1091460.9027</v>
      </c>
      <c r="AF395" s="53">
        <v>-123.34399999999999</v>
      </c>
    </row>
    <row r="396" spans="5:32" x14ac:dyDescent="0.25">
      <c r="E396" s="6"/>
      <c r="F396" s="6"/>
      <c r="G396" s="7"/>
      <c r="Q396" s="21"/>
      <c r="Y396" s="76" t="str">
        <f t="shared" si="25"/>
        <v/>
      </c>
      <c r="Z396" s="77" t="str">
        <f t="shared" si="26"/>
        <v/>
      </c>
      <c r="AA396" s="77" t="str">
        <f t="shared" si="27"/>
        <v/>
      </c>
      <c r="AB396" s="77" t="str">
        <f t="shared" si="28"/>
        <v/>
      </c>
      <c r="AC396" s="20" t="s">
        <v>405</v>
      </c>
      <c r="AD396" s="53">
        <v>823049.10820000002</v>
      </c>
      <c r="AE396" s="53">
        <v>1091460.9171</v>
      </c>
      <c r="AF396" s="53">
        <v>-123.5805</v>
      </c>
    </row>
    <row r="397" spans="5:32" x14ac:dyDescent="0.25">
      <c r="E397" s="6"/>
      <c r="F397" s="6"/>
      <c r="G397" s="7"/>
      <c r="Q397" s="21"/>
      <c r="Y397" s="76" t="str">
        <f t="shared" si="25"/>
        <v/>
      </c>
      <c r="Z397" s="77" t="str">
        <f t="shared" si="26"/>
        <v/>
      </c>
      <c r="AA397" s="77" t="str">
        <f t="shared" si="27"/>
        <v/>
      </c>
      <c r="AB397" s="77" t="str">
        <f t="shared" si="28"/>
        <v/>
      </c>
      <c r="AC397" s="20" t="s">
        <v>406</v>
      </c>
      <c r="AD397" s="53">
        <v>823049.15949999995</v>
      </c>
      <c r="AE397" s="53">
        <v>1091460.9464</v>
      </c>
      <c r="AF397" s="53">
        <v>-123.7585</v>
      </c>
    </row>
    <row r="398" spans="5:32" x14ac:dyDescent="0.25">
      <c r="E398" s="6"/>
      <c r="F398" s="6"/>
      <c r="G398" s="7"/>
      <c r="Q398" s="21"/>
      <c r="Y398" s="76" t="str">
        <f t="shared" si="25"/>
        <v/>
      </c>
      <c r="Z398" s="77" t="str">
        <f t="shared" si="26"/>
        <v/>
      </c>
      <c r="AA398" s="77" t="str">
        <f t="shared" si="27"/>
        <v/>
      </c>
      <c r="AB398" s="77" t="str">
        <f t="shared" si="28"/>
        <v/>
      </c>
      <c r="AC398" s="20" t="s">
        <v>407</v>
      </c>
      <c r="AD398" s="53">
        <v>823048.91429999995</v>
      </c>
      <c r="AE398" s="53">
        <v>1091460.8262</v>
      </c>
      <c r="AF398" s="53">
        <v>-123.95229999999999</v>
      </c>
    </row>
    <row r="399" spans="5:32" x14ac:dyDescent="0.25">
      <c r="E399" s="6"/>
      <c r="F399" s="6"/>
      <c r="G399" s="7"/>
      <c r="Q399" s="21"/>
      <c r="Y399" s="76" t="str">
        <f t="shared" si="25"/>
        <v/>
      </c>
      <c r="Z399" s="77" t="str">
        <f t="shared" si="26"/>
        <v/>
      </c>
      <c r="AA399" s="77" t="str">
        <f t="shared" si="27"/>
        <v/>
      </c>
      <c r="AB399" s="77" t="str">
        <f t="shared" si="28"/>
        <v/>
      </c>
      <c r="AC399" s="20" t="s">
        <v>408</v>
      </c>
      <c r="AD399" s="53">
        <v>823048.82350000006</v>
      </c>
      <c r="AE399" s="53">
        <v>1091460.7853000001</v>
      </c>
      <c r="AF399" s="53">
        <v>-123.6652</v>
      </c>
    </row>
    <row r="400" spans="5:32" x14ac:dyDescent="0.25">
      <c r="E400" s="6"/>
      <c r="F400" s="6"/>
      <c r="G400" s="7"/>
      <c r="Q400" s="21"/>
      <c r="Y400" s="31" t="str">
        <f t="shared" si="25"/>
        <v/>
      </c>
      <c r="Z400" s="32" t="str">
        <f t="shared" si="26"/>
        <v/>
      </c>
      <c r="AA400" s="32" t="str">
        <f t="shared" si="27"/>
        <v/>
      </c>
      <c r="AB400" s="45" t="str">
        <f t="shared" si="28"/>
        <v/>
      </c>
      <c r="AC400" s="20" t="s">
        <v>409</v>
      </c>
      <c r="AD400" s="53">
        <v>823048.78390000004</v>
      </c>
      <c r="AE400" s="53">
        <v>1091460.7790999999</v>
      </c>
      <c r="AF400" s="53">
        <v>-123.2944</v>
      </c>
    </row>
    <row r="401" spans="5:32" x14ac:dyDescent="0.25">
      <c r="E401" s="6"/>
      <c r="F401" s="6"/>
      <c r="G401" s="7"/>
      <c r="Q401" s="21"/>
      <c r="Y401" s="31" t="str">
        <f t="shared" si="25"/>
        <v/>
      </c>
      <c r="Z401" s="32" t="str">
        <f t="shared" si="26"/>
        <v/>
      </c>
      <c r="AA401" s="32" t="str">
        <f t="shared" si="27"/>
        <v/>
      </c>
      <c r="AB401" s="45" t="str">
        <f t="shared" si="28"/>
        <v/>
      </c>
      <c r="AC401" s="20" t="s">
        <v>410</v>
      </c>
      <c r="AD401" s="53">
        <v>823048.7561</v>
      </c>
      <c r="AE401" s="53">
        <v>1091460.7601000001</v>
      </c>
      <c r="AF401" s="53">
        <v>-123.1422</v>
      </c>
    </row>
    <row r="402" spans="5:32" x14ac:dyDescent="0.25">
      <c r="E402" s="6"/>
      <c r="F402" s="6"/>
      <c r="G402" s="7"/>
      <c r="Q402" s="21"/>
      <c r="Y402" s="31" t="str">
        <f t="shared" si="25"/>
        <v/>
      </c>
      <c r="Z402" s="32" t="str">
        <f t="shared" si="26"/>
        <v/>
      </c>
      <c r="AA402" s="32" t="str">
        <f t="shared" si="27"/>
        <v/>
      </c>
      <c r="AB402" s="45" t="str">
        <f t="shared" si="28"/>
        <v/>
      </c>
      <c r="AC402" s="20" t="s">
        <v>411</v>
      </c>
      <c r="AD402" s="53">
        <v>823048.76390000002</v>
      </c>
      <c r="AE402" s="53">
        <v>1091460.7716000001</v>
      </c>
      <c r="AF402" s="53">
        <v>-122.82129999999999</v>
      </c>
    </row>
    <row r="403" spans="5:32" x14ac:dyDescent="0.25">
      <c r="E403" s="6"/>
      <c r="F403" s="6"/>
      <c r="G403" s="7"/>
      <c r="Q403" s="21"/>
      <c r="Y403" s="31" t="str">
        <f t="shared" si="25"/>
        <v/>
      </c>
      <c r="Z403" s="32" t="str">
        <f t="shared" si="26"/>
        <v/>
      </c>
      <c r="AA403" s="32" t="str">
        <f t="shared" si="27"/>
        <v/>
      </c>
      <c r="AB403" s="45" t="str">
        <f t="shared" si="28"/>
        <v/>
      </c>
      <c r="AC403" s="20" t="s">
        <v>412</v>
      </c>
      <c r="AD403" s="53">
        <v>823048.76139999996</v>
      </c>
      <c r="AE403" s="53">
        <v>1091460.7716000001</v>
      </c>
      <c r="AF403" s="53">
        <v>-122.5341</v>
      </c>
    </row>
    <row r="404" spans="5:32" x14ac:dyDescent="0.25">
      <c r="E404" s="6"/>
      <c r="F404" s="6"/>
      <c r="G404" s="7"/>
      <c r="Q404" s="21"/>
      <c r="Y404" s="31" t="str">
        <f t="shared" si="25"/>
        <v/>
      </c>
      <c r="Z404" s="32" t="str">
        <f t="shared" si="26"/>
        <v/>
      </c>
      <c r="AA404" s="32" t="str">
        <f t="shared" si="27"/>
        <v/>
      </c>
      <c r="AB404" s="45" t="str">
        <f t="shared" si="28"/>
        <v/>
      </c>
      <c r="AC404" s="20" t="s">
        <v>413</v>
      </c>
      <c r="AD404" s="53">
        <v>823048.8345</v>
      </c>
      <c r="AE404" s="53">
        <v>1091460.8073</v>
      </c>
      <c r="AF404" s="53">
        <v>-122.2324</v>
      </c>
    </row>
    <row r="405" spans="5:32" x14ac:dyDescent="0.25">
      <c r="E405" s="6"/>
      <c r="F405" s="6"/>
      <c r="G405" s="7"/>
      <c r="Q405" s="21"/>
      <c r="Y405" s="31" t="str">
        <f t="shared" si="25"/>
        <v/>
      </c>
      <c r="Z405" s="32" t="str">
        <f t="shared" si="26"/>
        <v/>
      </c>
      <c r="AA405" s="32" t="str">
        <f t="shared" si="27"/>
        <v/>
      </c>
      <c r="AB405" s="45" t="str">
        <f t="shared" si="28"/>
        <v/>
      </c>
      <c r="AC405" s="20" t="s">
        <v>414</v>
      </c>
      <c r="AD405" s="53">
        <v>823048.8726</v>
      </c>
      <c r="AE405" s="53">
        <v>1091460.8292</v>
      </c>
      <c r="AF405" s="53">
        <v>-121.95099999999999</v>
      </c>
    </row>
    <row r="406" spans="5:32" x14ac:dyDescent="0.25">
      <c r="E406" s="6"/>
      <c r="F406" s="6"/>
      <c r="G406" s="7"/>
      <c r="Q406" s="21"/>
      <c r="Y406" s="31" t="str">
        <f t="shared" si="25"/>
        <v/>
      </c>
      <c r="Z406" s="32" t="str">
        <f t="shared" si="26"/>
        <v/>
      </c>
      <c r="AA406" s="32" t="str">
        <f t="shared" si="27"/>
        <v/>
      </c>
      <c r="AB406" s="45" t="str">
        <f t="shared" si="28"/>
        <v/>
      </c>
      <c r="AC406" s="20" t="s">
        <v>415</v>
      </c>
      <c r="AD406" s="53">
        <v>823048.98080000002</v>
      </c>
      <c r="AE406" s="53">
        <v>1091460.8811999999</v>
      </c>
      <c r="AF406" s="53">
        <v>-121.7676</v>
      </c>
    </row>
    <row r="407" spans="5:32" x14ac:dyDescent="0.25">
      <c r="E407" s="6"/>
      <c r="F407" s="6"/>
      <c r="G407" s="7"/>
      <c r="Q407" s="21"/>
      <c r="Y407" s="31" t="str">
        <f t="shared" si="25"/>
        <v/>
      </c>
      <c r="Z407" s="32" t="str">
        <f t="shared" si="26"/>
        <v/>
      </c>
      <c r="AA407" s="32" t="str">
        <f t="shared" si="27"/>
        <v/>
      </c>
      <c r="AB407" s="45" t="str">
        <f t="shared" si="28"/>
        <v/>
      </c>
      <c r="AC407" s="20" t="s">
        <v>416</v>
      </c>
      <c r="AD407" s="53">
        <v>823049.03130000003</v>
      </c>
      <c r="AE407" s="53">
        <v>1091460.9128</v>
      </c>
      <c r="AF407" s="53">
        <v>-121.5573</v>
      </c>
    </row>
    <row r="408" spans="5:32" x14ac:dyDescent="0.25">
      <c r="E408" s="6"/>
      <c r="F408" s="6"/>
      <c r="G408" s="7"/>
      <c r="Q408" s="21"/>
      <c r="Y408" s="31" t="str">
        <f t="shared" si="25"/>
        <v/>
      </c>
      <c r="Z408" s="32" t="str">
        <f t="shared" si="26"/>
        <v/>
      </c>
      <c r="AA408" s="32" t="str">
        <f t="shared" si="27"/>
        <v/>
      </c>
      <c r="AB408" s="45" t="str">
        <f t="shared" si="28"/>
        <v/>
      </c>
      <c r="AC408" s="20" t="s">
        <v>417</v>
      </c>
      <c r="AD408" s="53">
        <v>823049.22250000003</v>
      </c>
      <c r="AE408" s="53">
        <v>1091460.9987999999</v>
      </c>
      <c r="AF408" s="53">
        <v>-121.28830000000001</v>
      </c>
    </row>
    <row r="409" spans="5:32" x14ac:dyDescent="0.25">
      <c r="E409" s="6"/>
      <c r="F409" s="6"/>
      <c r="G409" s="7"/>
      <c r="Q409" s="21"/>
      <c r="Y409" s="31" t="str">
        <f t="shared" si="25"/>
        <v/>
      </c>
      <c r="Z409" s="32" t="str">
        <f t="shared" si="26"/>
        <v/>
      </c>
      <c r="AA409" s="32" t="str">
        <f t="shared" si="27"/>
        <v/>
      </c>
      <c r="AB409" s="45" t="str">
        <f t="shared" si="28"/>
        <v/>
      </c>
      <c r="AC409" s="20" t="s">
        <v>418</v>
      </c>
      <c r="AD409" s="53">
        <v>823049.37390000001</v>
      </c>
      <c r="AE409" s="53">
        <v>1091461.085</v>
      </c>
      <c r="AF409" s="53">
        <v>-121.08459999999999</v>
      </c>
    </row>
    <row r="410" spans="5:32" x14ac:dyDescent="0.25">
      <c r="E410" s="6"/>
      <c r="F410" s="6"/>
      <c r="G410" s="7"/>
      <c r="Q410" s="21"/>
      <c r="Y410" s="31" t="str">
        <f t="shared" si="25"/>
        <v/>
      </c>
      <c r="Z410" s="32" t="str">
        <f t="shared" si="26"/>
        <v/>
      </c>
      <c r="AA410" s="32" t="str">
        <f t="shared" si="27"/>
        <v/>
      </c>
      <c r="AB410" s="45" t="str">
        <f t="shared" si="28"/>
        <v/>
      </c>
      <c r="AC410" s="20" t="s">
        <v>419</v>
      </c>
      <c r="AD410" s="53">
        <v>823049.57960000006</v>
      </c>
      <c r="AE410" s="53">
        <v>1091461.1736999999</v>
      </c>
      <c r="AF410" s="53">
        <v>-120.7805</v>
      </c>
    </row>
    <row r="411" spans="5:32" x14ac:dyDescent="0.25">
      <c r="E411" s="6"/>
      <c r="F411" s="6"/>
      <c r="G411" s="7"/>
      <c r="Q411" s="21"/>
      <c r="Y411" s="31" t="str">
        <f t="shared" si="25"/>
        <v/>
      </c>
      <c r="Z411" s="32" t="str">
        <f t="shared" si="26"/>
        <v/>
      </c>
      <c r="AA411" s="32" t="str">
        <f t="shared" si="27"/>
        <v/>
      </c>
      <c r="AB411" s="45" t="str">
        <f t="shared" si="28"/>
        <v/>
      </c>
      <c r="AC411" s="20" t="s">
        <v>420</v>
      </c>
      <c r="AD411" s="53">
        <v>823049.85239999997</v>
      </c>
      <c r="AE411" s="53">
        <v>1091461.3152999999</v>
      </c>
      <c r="AF411" s="53">
        <v>-120.5458</v>
      </c>
    </row>
    <row r="412" spans="5:32" x14ac:dyDescent="0.25">
      <c r="E412" s="6"/>
      <c r="F412" s="6"/>
      <c r="G412" s="7"/>
      <c r="Q412" s="21"/>
      <c r="Y412" s="31" t="str">
        <f t="shared" si="25"/>
        <v/>
      </c>
      <c r="Z412" s="32" t="str">
        <f t="shared" si="26"/>
        <v/>
      </c>
      <c r="AA412" s="32" t="str">
        <f t="shared" si="27"/>
        <v/>
      </c>
      <c r="AB412" s="45" t="str">
        <f t="shared" si="28"/>
        <v/>
      </c>
      <c r="AC412" s="20" t="s">
        <v>421</v>
      </c>
      <c r="AD412" s="53">
        <v>823050.13359999994</v>
      </c>
      <c r="AE412" s="53">
        <v>1091461.4338</v>
      </c>
      <c r="AF412" s="53">
        <v>-120.4071</v>
      </c>
    </row>
    <row r="413" spans="5:32" x14ac:dyDescent="0.25">
      <c r="E413" s="6"/>
      <c r="F413" s="6"/>
      <c r="G413" s="7"/>
      <c r="Q413" s="21"/>
      <c r="Y413" s="31" t="str">
        <f t="shared" si="25"/>
        <v/>
      </c>
      <c r="Z413" s="32" t="str">
        <f t="shared" si="26"/>
        <v/>
      </c>
      <c r="AA413" s="32" t="str">
        <f t="shared" si="27"/>
        <v/>
      </c>
      <c r="AB413" s="45" t="str">
        <f t="shared" si="28"/>
        <v/>
      </c>
      <c r="AC413" s="20" t="s">
        <v>422</v>
      </c>
      <c r="AD413" s="53">
        <v>823050.62320000003</v>
      </c>
      <c r="AE413" s="53">
        <v>1091461.6632999999</v>
      </c>
      <c r="AF413" s="53">
        <v>-120.157</v>
      </c>
    </row>
    <row r="414" spans="5:32" x14ac:dyDescent="0.25">
      <c r="E414" s="6"/>
      <c r="F414" s="6"/>
      <c r="G414" s="7"/>
      <c r="Q414" s="21"/>
      <c r="Y414" s="31" t="str">
        <f t="shared" si="25"/>
        <v/>
      </c>
      <c r="Z414" s="32" t="str">
        <f t="shared" si="26"/>
        <v/>
      </c>
      <c r="AA414" s="32" t="str">
        <f t="shared" si="27"/>
        <v/>
      </c>
      <c r="AB414" s="45" t="str">
        <f t="shared" si="28"/>
        <v/>
      </c>
      <c r="AC414" s="20" t="s">
        <v>423</v>
      </c>
      <c r="AD414" s="53">
        <v>823050.96909999999</v>
      </c>
      <c r="AE414" s="53">
        <v>1091461.8307</v>
      </c>
      <c r="AF414" s="53">
        <v>-120.0339</v>
      </c>
    </row>
    <row r="415" spans="5:32" x14ac:dyDescent="0.25">
      <c r="E415" s="6"/>
      <c r="F415" s="6"/>
      <c r="G415" s="7"/>
      <c r="Q415" s="21"/>
      <c r="Y415" s="31" t="str">
        <f t="shared" si="25"/>
        <v/>
      </c>
      <c r="Z415" s="32" t="str">
        <f t="shared" si="26"/>
        <v/>
      </c>
      <c r="AA415" s="32" t="str">
        <f t="shared" si="27"/>
        <v/>
      </c>
      <c r="AB415" s="45" t="str">
        <f t="shared" si="28"/>
        <v/>
      </c>
      <c r="AC415" s="20" t="s">
        <v>424</v>
      </c>
      <c r="AD415" s="53">
        <v>823051.29749999999</v>
      </c>
      <c r="AE415" s="53">
        <v>1091461.9556</v>
      </c>
      <c r="AF415" s="53">
        <v>-120.066</v>
      </c>
    </row>
    <row r="416" spans="5:32" x14ac:dyDescent="0.25">
      <c r="E416" s="6"/>
      <c r="F416" s="6"/>
      <c r="G416" s="7"/>
      <c r="Q416" s="21"/>
      <c r="Y416" s="31" t="str">
        <f t="shared" si="25"/>
        <v/>
      </c>
      <c r="Z416" s="32" t="str">
        <f t="shared" si="26"/>
        <v/>
      </c>
      <c r="AA416" s="32" t="str">
        <f t="shared" si="27"/>
        <v/>
      </c>
      <c r="AB416" s="45" t="str">
        <f t="shared" si="28"/>
        <v/>
      </c>
      <c r="AC416" s="20" t="s">
        <v>425</v>
      </c>
      <c r="AD416" s="53">
        <v>823051.58589999995</v>
      </c>
      <c r="AE416" s="53">
        <v>1091462.1098</v>
      </c>
      <c r="AF416" s="53">
        <v>-120.02719999999999</v>
      </c>
    </row>
    <row r="417" spans="5:32" x14ac:dyDescent="0.25">
      <c r="E417" s="6"/>
      <c r="F417" s="6"/>
      <c r="G417" s="7"/>
      <c r="Q417" s="21"/>
      <c r="Y417" s="31" t="str">
        <f t="shared" si="25"/>
        <v/>
      </c>
      <c r="Z417" s="32" t="str">
        <f t="shared" si="26"/>
        <v/>
      </c>
      <c r="AA417" s="32" t="str">
        <f t="shared" si="27"/>
        <v/>
      </c>
      <c r="AB417" s="45" t="str">
        <f t="shared" si="28"/>
        <v/>
      </c>
      <c r="AC417" s="20" t="s">
        <v>426</v>
      </c>
      <c r="AD417" s="53">
        <v>823051.90769999998</v>
      </c>
      <c r="AE417" s="53">
        <v>1091462.2634000001</v>
      </c>
      <c r="AF417" s="53">
        <v>-120.0881</v>
      </c>
    </row>
    <row r="418" spans="5:32" x14ac:dyDescent="0.25">
      <c r="E418" s="6"/>
      <c r="F418" s="6"/>
      <c r="G418" s="7"/>
      <c r="Q418" s="21"/>
      <c r="Y418" s="31" t="str">
        <f t="shared" si="25"/>
        <v/>
      </c>
      <c r="Z418" s="32" t="str">
        <f t="shared" si="26"/>
        <v/>
      </c>
      <c r="AA418" s="32" t="str">
        <f t="shared" si="27"/>
        <v/>
      </c>
      <c r="AB418" s="45" t="str">
        <f t="shared" si="28"/>
        <v/>
      </c>
      <c r="AC418" s="20" t="s">
        <v>427</v>
      </c>
      <c r="AD418" s="53">
        <v>823052.08369999996</v>
      </c>
      <c r="AE418" s="53">
        <v>1091462.3489000001</v>
      </c>
      <c r="AF418" s="53">
        <v>-120.151</v>
      </c>
    </row>
    <row r="419" spans="5:32" x14ac:dyDescent="0.25">
      <c r="E419" s="6"/>
      <c r="F419" s="6"/>
      <c r="G419" s="7"/>
      <c r="Q419" s="21"/>
      <c r="Y419" s="31" t="str">
        <f t="shared" si="25"/>
        <v/>
      </c>
      <c r="Z419" s="32" t="str">
        <f t="shared" si="26"/>
        <v/>
      </c>
      <c r="AA419" s="32" t="str">
        <f t="shared" si="27"/>
        <v/>
      </c>
      <c r="AB419" s="45" t="str">
        <f t="shared" si="28"/>
        <v/>
      </c>
      <c r="AC419" s="20" t="s">
        <v>428</v>
      </c>
      <c r="AD419" s="53">
        <v>823052.48510000005</v>
      </c>
      <c r="AE419" s="53">
        <v>1091462.5286999999</v>
      </c>
      <c r="AF419" s="53">
        <v>-120.322</v>
      </c>
    </row>
    <row r="420" spans="5:32" x14ac:dyDescent="0.25">
      <c r="E420" s="6"/>
      <c r="F420" s="6"/>
      <c r="G420" s="7"/>
      <c r="Q420" s="21"/>
      <c r="Y420" s="31" t="str">
        <f t="shared" si="25"/>
        <v/>
      </c>
      <c r="Z420" s="32" t="str">
        <f t="shared" si="26"/>
        <v/>
      </c>
      <c r="AA420" s="32" t="str">
        <f t="shared" si="27"/>
        <v/>
      </c>
      <c r="AB420" s="45" t="str">
        <f t="shared" si="28"/>
        <v/>
      </c>
      <c r="AC420" s="20" t="s">
        <v>429</v>
      </c>
      <c r="AD420" s="53">
        <v>823052.71169999999</v>
      </c>
      <c r="AE420" s="53">
        <v>1091462.635</v>
      </c>
      <c r="AF420" s="53">
        <v>-120.44029999999999</v>
      </c>
    </row>
    <row r="421" spans="5:32" x14ac:dyDescent="0.25">
      <c r="E421" s="6"/>
      <c r="F421" s="6"/>
      <c r="G421" s="7"/>
      <c r="Q421" s="21"/>
      <c r="Y421" s="31" t="str">
        <f t="shared" si="25"/>
        <v/>
      </c>
      <c r="Z421" s="32" t="str">
        <f t="shared" si="26"/>
        <v/>
      </c>
      <c r="AA421" s="32" t="str">
        <f t="shared" si="27"/>
        <v/>
      </c>
      <c r="AB421" s="45" t="str">
        <f t="shared" si="28"/>
        <v/>
      </c>
      <c r="AC421" s="20" t="s">
        <v>430</v>
      </c>
      <c r="AD421" s="53">
        <v>823052.88230000006</v>
      </c>
      <c r="AE421" s="53">
        <v>1091462.7102999999</v>
      </c>
      <c r="AF421" s="53">
        <v>-120.55589999999999</v>
      </c>
    </row>
    <row r="422" spans="5:32" x14ac:dyDescent="0.25">
      <c r="E422" s="6"/>
      <c r="F422" s="6"/>
      <c r="G422" s="7"/>
      <c r="Q422" s="21"/>
      <c r="Y422" s="31" t="str">
        <f t="shared" si="25"/>
        <v/>
      </c>
      <c r="Z422" s="32" t="str">
        <f t="shared" si="26"/>
        <v/>
      </c>
      <c r="AA422" s="32" t="str">
        <f t="shared" si="27"/>
        <v/>
      </c>
      <c r="AB422" s="45" t="str">
        <f t="shared" si="28"/>
        <v/>
      </c>
      <c r="AC422" s="20" t="s">
        <v>431</v>
      </c>
      <c r="AD422" s="53">
        <v>823053.06940000004</v>
      </c>
      <c r="AE422" s="53">
        <v>1091462.7944</v>
      </c>
      <c r="AF422" s="53">
        <v>-120.7278</v>
      </c>
    </row>
    <row r="423" spans="5:32" x14ac:dyDescent="0.25">
      <c r="E423" s="6"/>
      <c r="F423" s="6"/>
      <c r="G423" s="7"/>
      <c r="Q423" s="21"/>
      <c r="Y423" s="31" t="str">
        <f t="shared" si="25"/>
        <v/>
      </c>
      <c r="Z423" s="32" t="str">
        <f t="shared" si="26"/>
        <v/>
      </c>
      <c r="AA423" s="32" t="str">
        <f t="shared" si="27"/>
        <v/>
      </c>
      <c r="AB423" s="45" t="str">
        <f t="shared" si="28"/>
        <v/>
      </c>
      <c r="AC423" s="20" t="s">
        <v>432</v>
      </c>
      <c r="AD423" s="53">
        <v>823053.21880000003</v>
      </c>
      <c r="AE423" s="53">
        <v>1091462.861</v>
      </c>
      <c r="AF423" s="53">
        <v>-120.8908</v>
      </c>
    </row>
    <row r="424" spans="5:32" x14ac:dyDescent="0.25">
      <c r="E424" s="6"/>
      <c r="F424" s="6"/>
      <c r="G424" s="7"/>
      <c r="Q424" s="21"/>
      <c r="Y424" s="31" t="str">
        <f t="shared" si="25"/>
        <v/>
      </c>
      <c r="Z424" s="32" t="str">
        <f t="shared" si="26"/>
        <v/>
      </c>
      <c r="AA424" s="32" t="str">
        <f t="shared" si="27"/>
        <v/>
      </c>
      <c r="AB424" s="45" t="str">
        <f t="shared" si="28"/>
        <v/>
      </c>
      <c r="AC424" s="20" t="s">
        <v>433</v>
      </c>
      <c r="AD424" s="53">
        <v>823053.3824</v>
      </c>
      <c r="AE424" s="53">
        <v>1091462.9353</v>
      </c>
      <c r="AF424" s="53">
        <v>-121.0534</v>
      </c>
    </row>
    <row r="425" spans="5:32" x14ac:dyDescent="0.25">
      <c r="E425" s="6"/>
      <c r="F425" s="6"/>
      <c r="G425" s="7"/>
      <c r="Q425" s="21"/>
      <c r="Y425" s="31" t="str">
        <f t="shared" si="25"/>
        <v/>
      </c>
      <c r="Z425" s="32" t="str">
        <f t="shared" si="26"/>
        <v/>
      </c>
      <c r="AA425" s="32" t="str">
        <f t="shared" si="27"/>
        <v/>
      </c>
      <c r="AB425" s="45" t="str">
        <f t="shared" si="28"/>
        <v/>
      </c>
      <c r="AC425" s="20" t="s">
        <v>434</v>
      </c>
      <c r="AD425" s="53">
        <v>823053.55070000002</v>
      </c>
      <c r="AE425" s="53">
        <v>1091463.0079000001</v>
      </c>
      <c r="AF425" s="53">
        <v>-121.2979</v>
      </c>
    </row>
    <row r="426" spans="5:32" x14ac:dyDescent="0.25">
      <c r="E426" s="6"/>
      <c r="F426" s="6"/>
      <c r="G426" s="7"/>
      <c r="Q426" s="21"/>
      <c r="Y426" s="31" t="str">
        <f t="shared" si="25"/>
        <v/>
      </c>
      <c r="Z426" s="32" t="str">
        <f t="shared" si="26"/>
        <v/>
      </c>
      <c r="AA426" s="32" t="str">
        <f t="shared" si="27"/>
        <v/>
      </c>
      <c r="AB426" s="45" t="str">
        <f t="shared" si="28"/>
        <v/>
      </c>
      <c r="AC426" s="20" t="s">
        <v>435</v>
      </c>
      <c r="AD426" s="53">
        <v>823053.75</v>
      </c>
      <c r="AE426" s="53">
        <v>1091463.0811999999</v>
      </c>
      <c r="AF426" s="53">
        <v>-121.6681</v>
      </c>
    </row>
    <row r="427" spans="5:32" x14ac:dyDescent="0.25">
      <c r="E427" s="6"/>
      <c r="F427" s="6"/>
      <c r="G427" s="7"/>
      <c r="Q427" s="21"/>
      <c r="Y427" s="31" t="str">
        <f t="shared" si="25"/>
        <v/>
      </c>
      <c r="Z427" s="32" t="str">
        <f t="shared" si="26"/>
        <v/>
      </c>
      <c r="AA427" s="32" t="str">
        <f t="shared" si="27"/>
        <v/>
      </c>
      <c r="AB427" s="45" t="str">
        <f t="shared" si="28"/>
        <v/>
      </c>
      <c r="AC427" s="20" t="s">
        <v>436</v>
      </c>
      <c r="AD427" s="53">
        <v>823053.848</v>
      </c>
      <c r="AE427" s="53">
        <v>1091463.1333000001</v>
      </c>
      <c r="AF427" s="53">
        <v>-121.8956</v>
      </c>
    </row>
    <row r="428" spans="5:32" x14ac:dyDescent="0.25">
      <c r="E428" s="6"/>
      <c r="F428" s="6"/>
      <c r="G428" s="7"/>
      <c r="Q428" s="21"/>
      <c r="Y428" s="31" t="str">
        <f t="shared" si="25"/>
        <v/>
      </c>
      <c r="Z428" s="32" t="str">
        <f t="shared" si="26"/>
        <v/>
      </c>
      <c r="AA428" s="32" t="str">
        <f t="shared" si="27"/>
        <v/>
      </c>
      <c r="AB428" s="45" t="str">
        <f t="shared" si="28"/>
        <v/>
      </c>
      <c r="AC428" s="20" t="s">
        <v>437</v>
      </c>
      <c r="AD428" s="53">
        <v>823053.92260000005</v>
      </c>
      <c r="AE428" s="53">
        <v>1091463.1710999999</v>
      </c>
      <c r="AF428" s="53">
        <v>-122.29510000000001</v>
      </c>
    </row>
    <row r="429" spans="5:32" x14ac:dyDescent="0.25">
      <c r="E429" s="6"/>
      <c r="F429" s="6"/>
      <c r="G429" s="7"/>
      <c r="Q429" s="21"/>
      <c r="Y429" s="31" t="str">
        <f t="shared" si="25"/>
        <v/>
      </c>
      <c r="Z429" s="32" t="str">
        <f t="shared" si="26"/>
        <v/>
      </c>
      <c r="AA429" s="32" t="str">
        <f t="shared" si="27"/>
        <v/>
      </c>
      <c r="AB429" s="45" t="str">
        <f t="shared" si="28"/>
        <v/>
      </c>
      <c r="AC429" s="20" t="s">
        <v>438</v>
      </c>
      <c r="AD429" s="53">
        <v>823053.98970000003</v>
      </c>
      <c r="AE429" s="53">
        <v>1091463.1958000001</v>
      </c>
      <c r="AF429" s="53">
        <v>-122.6858</v>
      </c>
    </row>
    <row r="430" spans="5:32" x14ac:dyDescent="0.25">
      <c r="E430" s="6"/>
      <c r="F430" s="6"/>
      <c r="G430" s="7"/>
      <c r="Q430" s="21"/>
      <c r="Y430" s="31" t="str">
        <f t="shared" si="25"/>
        <v/>
      </c>
      <c r="Z430" s="32" t="str">
        <f t="shared" si="26"/>
        <v/>
      </c>
      <c r="AA430" s="32" t="str">
        <f t="shared" si="27"/>
        <v/>
      </c>
      <c r="AB430" s="45" t="str">
        <f t="shared" si="28"/>
        <v/>
      </c>
      <c r="AC430" s="20" t="s">
        <v>439</v>
      </c>
      <c r="AD430" s="53">
        <v>823054.00320000004</v>
      </c>
      <c r="AE430" s="53">
        <v>1091463.1984000001</v>
      </c>
      <c r="AF430" s="53">
        <v>-123.0151</v>
      </c>
    </row>
    <row r="431" spans="5:32" x14ac:dyDescent="0.25">
      <c r="E431" s="6"/>
      <c r="F431" s="6"/>
      <c r="G431" s="7"/>
      <c r="Q431" s="21"/>
      <c r="Y431" s="31" t="str">
        <f t="shared" si="25"/>
        <v/>
      </c>
      <c r="Z431" s="32" t="str">
        <f t="shared" si="26"/>
        <v/>
      </c>
      <c r="AA431" s="32" t="str">
        <f t="shared" si="27"/>
        <v/>
      </c>
      <c r="AB431" s="45" t="str">
        <f t="shared" si="28"/>
        <v/>
      </c>
      <c r="AC431" s="20" t="s">
        <v>440</v>
      </c>
      <c r="AD431" s="53">
        <v>823053.99080000003</v>
      </c>
      <c r="AE431" s="53">
        <v>1091463.1869999999</v>
      </c>
      <c r="AF431" s="53">
        <v>-123.3755</v>
      </c>
    </row>
    <row r="432" spans="5:32" x14ac:dyDescent="0.25">
      <c r="E432" s="6"/>
      <c r="F432" s="6"/>
      <c r="G432" s="7"/>
      <c r="Q432" s="21"/>
      <c r="Y432" s="31" t="str">
        <f t="shared" si="25"/>
        <v/>
      </c>
      <c r="Z432" s="32" t="str">
        <f t="shared" si="26"/>
        <v/>
      </c>
      <c r="AA432" s="32" t="str">
        <f t="shared" si="27"/>
        <v/>
      </c>
      <c r="AB432" s="45" t="str">
        <f t="shared" si="28"/>
        <v/>
      </c>
      <c r="AC432" s="20" t="s">
        <v>441</v>
      </c>
      <c r="AD432" s="53">
        <v>823053.93220000004</v>
      </c>
      <c r="AE432" s="53">
        <v>1091463.1575</v>
      </c>
      <c r="AF432" s="53">
        <v>-123.708</v>
      </c>
    </row>
    <row r="433" spans="5:32" x14ac:dyDescent="0.25">
      <c r="E433" s="6"/>
      <c r="F433" s="6"/>
      <c r="G433" s="7"/>
      <c r="Q433" s="21"/>
      <c r="Y433" s="31" t="str">
        <f t="shared" si="25"/>
        <v/>
      </c>
      <c r="Z433" s="32" t="str">
        <f t="shared" si="26"/>
        <v/>
      </c>
      <c r="AA433" s="32" t="str">
        <f t="shared" si="27"/>
        <v/>
      </c>
      <c r="AB433" s="45" t="str">
        <f t="shared" si="28"/>
        <v/>
      </c>
      <c r="AC433" s="20" t="s">
        <v>442</v>
      </c>
      <c r="AD433" s="53">
        <v>823053.87320000003</v>
      </c>
      <c r="AE433" s="53">
        <v>1091463.1233999999</v>
      </c>
      <c r="AF433" s="53">
        <v>-123.9555</v>
      </c>
    </row>
    <row r="434" spans="5:32" x14ac:dyDescent="0.25">
      <c r="E434" s="6"/>
      <c r="F434" s="6"/>
      <c r="G434" s="7"/>
      <c r="Q434" s="21"/>
      <c r="Y434" s="31" t="str">
        <f t="shared" si="25"/>
        <v/>
      </c>
      <c r="Z434" s="32" t="str">
        <f t="shared" si="26"/>
        <v/>
      </c>
      <c r="AA434" s="32" t="str">
        <f t="shared" si="27"/>
        <v/>
      </c>
      <c r="AB434" s="45" t="str">
        <f t="shared" si="28"/>
        <v/>
      </c>
      <c r="AC434" s="20" t="s">
        <v>443</v>
      </c>
      <c r="AD434" s="53">
        <v>823057.57030000002</v>
      </c>
      <c r="AE434" s="53">
        <v>1091452.9417999999</v>
      </c>
      <c r="AF434" s="53">
        <v>-121.0124</v>
      </c>
    </row>
    <row r="435" spans="5:32" x14ac:dyDescent="0.25">
      <c r="E435" s="6"/>
      <c r="F435" s="6"/>
      <c r="G435" s="7"/>
      <c r="Q435" s="21"/>
      <c r="Y435" s="31" t="str">
        <f t="shared" si="25"/>
        <v/>
      </c>
      <c r="Z435" s="32" t="str">
        <f t="shared" si="26"/>
        <v/>
      </c>
      <c r="AA435" s="32" t="str">
        <f t="shared" si="27"/>
        <v/>
      </c>
      <c r="AB435" s="45" t="str">
        <f t="shared" si="28"/>
        <v/>
      </c>
      <c r="AC435" s="20" t="s">
        <v>444</v>
      </c>
      <c r="AD435" s="53">
        <v>823054.26370000001</v>
      </c>
      <c r="AE435" s="53">
        <v>1091451.3764</v>
      </c>
      <c r="AF435" s="53">
        <v>-121.0059</v>
      </c>
    </row>
    <row r="436" spans="5:32" x14ac:dyDescent="0.25">
      <c r="E436" s="6"/>
      <c r="F436" s="6"/>
      <c r="G436" s="7"/>
      <c r="Q436" s="21"/>
      <c r="Y436" s="31" t="str">
        <f t="shared" si="25"/>
        <v/>
      </c>
      <c r="Z436" s="32" t="str">
        <f t="shared" si="26"/>
        <v/>
      </c>
      <c r="AA436" s="32" t="str">
        <f t="shared" si="27"/>
        <v/>
      </c>
      <c r="AB436" s="45" t="str">
        <f t="shared" si="28"/>
        <v/>
      </c>
      <c r="AC436" s="20" t="s">
        <v>445</v>
      </c>
      <c r="AD436" s="53">
        <v>823041.88630000001</v>
      </c>
      <c r="AE436" s="53">
        <v>1091476.3902</v>
      </c>
      <c r="AF436" s="53">
        <v>-122.7812</v>
      </c>
    </row>
    <row r="437" spans="5:32" x14ac:dyDescent="0.25">
      <c r="E437" s="6"/>
      <c r="F437" s="6"/>
      <c r="G437" s="7"/>
      <c r="Q437" s="21"/>
      <c r="Y437" s="31" t="str">
        <f t="shared" si="25"/>
        <v/>
      </c>
      <c r="Z437" s="32" t="str">
        <f t="shared" si="26"/>
        <v/>
      </c>
      <c r="AA437" s="32" t="str">
        <f t="shared" si="27"/>
        <v/>
      </c>
      <c r="AB437" s="45" t="str">
        <f t="shared" si="28"/>
        <v/>
      </c>
      <c r="AC437" s="20" t="s">
        <v>446</v>
      </c>
      <c r="AD437" s="53">
        <v>823053.91449999996</v>
      </c>
      <c r="AE437" s="53">
        <v>1091462.2523000001</v>
      </c>
      <c r="AF437" s="53">
        <v>-123.79640000000001</v>
      </c>
    </row>
    <row r="438" spans="5:32" x14ac:dyDescent="0.25">
      <c r="E438" s="6"/>
      <c r="F438" s="6"/>
      <c r="G438" s="7"/>
      <c r="Q438" s="21"/>
      <c r="Y438" s="31" t="str">
        <f t="shared" si="25"/>
        <v/>
      </c>
      <c r="Z438" s="32" t="str">
        <f t="shared" si="26"/>
        <v/>
      </c>
      <c r="AA438" s="32" t="str">
        <f t="shared" si="27"/>
        <v/>
      </c>
      <c r="AB438" s="45" t="str">
        <f t="shared" si="28"/>
        <v/>
      </c>
      <c r="AC438" s="20" t="s">
        <v>447</v>
      </c>
      <c r="AD438" s="53">
        <v>823053.99399999995</v>
      </c>
      <c r="AE438" s="53">
        <v>1091462.2904000001</v>
      </c>
      <c r="AF438" s="53">
        <v>-123.50960000000001</v>
      </c>
    </row>
    <row r="439" spans="5:32" x14ac:dyDescent="0.25">
      <c r="E439" s="6"/>
      <c r="F439" s="6"/>
      <c r="G439" s="7"/>
      <c r="Q439" s="21"/>
      <c r="Y439" s="31" t="str">
        <f t="shared" si="25"/>
        <v/>
      </c>
      <c r="Z439" s="32" t="str">
        <f t="shared" si="26"/>
        <v/>
      </c>
      <c r="AA439" s="32" t="str">
        <f t="shared" si="27"/>
        <v/>
      </c>
      <c r="AB439" s="45" t="str">
        <f t="shared" si="28"/>
        <v/>
      </c>
      <c r="AC439" s="20" t="s">
        <v>448</v>
      </c>
      <c r="AD439" s="53">
        <v>823054.04449999996</v>
      </c>
      <c r="AE439" s="53">
        <v>1091462.3145000001</v>
      </c>
      <c r="AF439" s="53">
        <v>-123.2154</v>
      </c>
    </row>
    <row r="440" spans="5:32" x14ac:dyDescent="0.25">
      <c r="E440" s="6"/>
      <c r="F440" s="6"/>
      <c r="G440" s="7"/>
      <c r="Q440" s="21"/>
      <c r="Y440" s="31" t="str">
        <f t="shared" si="25"/>
        <v/>
      </c>
      <c r="Z440" s="32" t="str">
        <f t="shared" si="26"/>
        <v/>
      </c>
      <c r="AA440" s="32" t="str">
        <f t="shared" si="27"/>
        <v/>
      </c>
      <c r="AB440" s="45" t="str">
        <f t="shared" si="28"/>
        <v/>
      </c>
      <c r="AC440" s="20" t="s">
        <v>449</v>
      </c>
      <c r="AD440" s="53">
        <v>823054.04090000002</v>
      </c>
      <c r="AE440" s="53">
        <v>1091462.317</v>
      </c>
      <c r="AF440" s="53">
        <v>-122.98650000000001</v>
      </c>
    </row>
    <row r="441" spans="5:32" x14ac:dyDescent="0.25">
      <c r="E441" s="6"/>
      <c r="F441" s="6"/>
      <c r="G441" s="7"/>
      <c r="Q441" s="21"/>
      <c r="Y441" s="31" t="str">
        <f t="shared" si="25"/>
        <v/>
      </c>
      <c r="Z441" s="32" t="str">
        <f t="shared" si="26"/>
        <v/>
      </c>
      <c r="AA441" s="32" t="str">
        <f t="shared" si="27"/>
        <v/>
      </c>
      <c r="AB441" s="45" t="str">
        <f t="shared" si="28"/>
        <v/>
      </c>
      <c r="AC441" s="20" t="s">
        <v>450</v>
      </c>
      <c r="AD441" s="53">
        <v>823054.03390000004</v>
      </c>
      <c r="AE441" s="53">
        <v>1091462.3196</v>
      </c>
      <c r="AF441" s="53">
        <v>-122.7191</v>
      </c>
    </row>
    <row r="442" spans="5:32" x14ac:dyDescent="0.25">
      <c r="E442" s="6"/>
      <c r="F442" s="6"/>
      <c r="G442" s="7"/>
      <c r="Q442" s="21"/>
      <c r="Y442" s="31" t="str">
        <f t="shared" si="25"/>
        <v/>
      </c>
      <c r="Z442" s="32" t="str">
        <f t="shared" si="26"/>
        <v/>
      </c>
      <c r="AA442" s="32" t="str">
        <f t="shared" si="27"/>
        <v/>
      </c>
      <c r="AB442" s="45" t="str">
        <f t="shared" si="28"/>
        <v/>
      </c>
      <c r="AC442" s="20" t="s">
        <v>451</v>
      </c>
      <c r="AD442" s="53">
        <v>823054.02150000003</v>
      </c>
      <c r="AE442" s="53">
        <v>1091462.3229</v>
      </c>
      <c r="AF442" s="53">
        <v>-122.4961</v>
      </c>
    </row>
    <row r="443" spans="5:32" x14ac:dyDescent="0.25">
      <c r="E443" s="6"/>
      <c r="F443" s="6"/>
      <c r="G443" s="7"/>
      <c r="Q443" s="21"/>
      <c r="Y443" s="31" t="str">
        <f t="shared" si="25"/>
        <v/>
      </c>
      <c r="Z443" s="32" t="str">
        <f t="shared" si="26"/>
        <v/>
      </c>
      <c r="AA443" s="32" t="str">
        <f t="shared" si="27"/>
        <v/>
      </c>
      <c r="AB443" s="45" t="str">
        <f t="shared" si="28"/>
        <v/>
      </c>
      <c r="AC443" s="20" t="s">
        <v>452</v>
      </c>
      <c r="AD443" s="53">
        <v>823053.9743</v>
      </c>
      <c r="AE443" s="53">
        <v>1091462.2990999999</v>
      </c>
      <c r="AF443" s="53">
        <v>-122.22150000000001</v>
      </c>
    </row>
    <row r="444" spans="5:32" x14ac:dyDescent="0.25">
      <c r="E444" s="6"/>
      <c r="F444" s="6"/>
      <c r="G444" s="7"/>
      <c r="Q444" s="21"/>
      <c r="Y444" s="31" t="str">
        <f t="shared" si="25"/>
        <v/>
      </c>
      <c r="Z444" s="32" t="str">
        <f t="shared" si="26"/>
        <v/>
      </c>
      <c r="AA444" s="32" t="str">
        <f t="shared" si="27"/>
        <v/>
      </c>
      <c r="AB444" s="45" t="str">
        <f t="shared" si="28"/>
        <v/>
      </c>
      <c r="AC444" s="20" t="s">
        <v>453</v>
      </c>
      <c r="AD444" s="53">
        <v>823053.8848</v>
      </c>
      <c r="AE444" s="53">
        <v>1091462.2633</v>
      </c>
      <c r="AF444" s="53">
        <v>-121.9422</v>
      </c>
    </row>
    <row r="445" spans="5:32" x14ac:dyDescent="0.25">
      <c r="E445" s="6"/>
      <c r="F445" s="6"/>
      <c r="G445" s="7"/>
      <c r="Q445" s="21"/>
      <c r="Y445" s="31" t="str">
        <f t="shared" si="25"/>
        <v/>
      </c>
      <c r="Z445" s="32" t="str">
        <f t="shared" si="26"/>
        <v/>
      </c>
      <c r="AA445" s="32" t="str">
        <f t="shared" si="27"/>
        <v/>
      </c>
      <c r="AB445" s="45" t="str">
        <f t="shared" si="28"/>
        <v/>
      </c>
      <c r="AC445" s="20" t="s">
        <v>454</v>
      </c>
      <c r="AD445" s="53">
        <v>823053.77119999996</v>
      </c>
      <c r="AE445" s="53">
        <v>1091462.2084999999</v>
      </c>
      <c r="AF445" s="53">
        <v>-121.7043</v>
      </c>
    </row>
    <row r="446" spans="5:32" x14ac:dyDescent="0.25">
      <c r="E446" s="6"/>
      <c r="F446" s="6"/>
      <c r="G446" s="7"/>
      <c r="Q446" s="21"/>
      <c r="Y446" s="31" t="str">
        <f t="shared" si="25"/>
        <v/>
      </c>
      <c r="Z446" s="32" t="str">
        <f t="shared" si="26"/>
        <v/>
      </c>
      <c r="AA446" s="32" t="str">
        <f t="shared" si="27"/>
        <v/>
      </c>
      <c r="AB446" s="45" t="str">
        <f t="shared" si="28"/>
        <v/>
      </c>
      <c r="AC446" s="20" t="s">
        <v>455</v>
      </c>
      <c r="AD446" s="53">
        <v>823053.64280000003</v>
      </c>
      <c r="AE446" s="53">
        <v>1091462.1524</v>
      </c>
      <c r="AF446" s="53">
        <v>-121.4781</v>
      </c>
    </row>
    <row r="447" spans="5:32" x14ac:dyDescent="0.25">
      <c r="E447" s="6"/>
      <c r="F447" s="6"/>
      <c r="G447" s="7"/>
      <c r="Q447" s="21"/>
      <c r="Y447" s="31" t="str">
        <f t="shared" si="25"/>
        <v/>
      </c>
      <c r="Z447" s="32" t="str">
        <f t="shared" si="26"/>
        <v/>
      </c>
      <c r="AA447" s="32" t="str">
        <f t="shared" si="27"/>
        <v/>
      </c>
      <c r="AB447" s="45" t="str">
        <f t="shared" si="28"/>
        <v/>
      </c>
      <c r="AC447" s="20" t="s">
        <v>456</v>
      </c>
      <c r="AD447" s="53">
        <v>823053.54410000006</v>
      </c>
      <c r="AE447" s="53">
        <v>1091462.1089999999</v>
      </c>
      <c r="AF447" s="53">
        <v>-121.3172</v>
      </c>
    </row>
    <row r="448" spans="5:32" x14ac:dyDescent="0.25">
      <c r="E448" s="6"/>
      <c r="F448" s="6"/>
      <c r="G448" s="7"/>
      <c r="Q448" s="21"/>
      <c r="Y448" s="31" t="str">
        <f t="shared" si="25"/>
        <v/>
      </c>
      <c r="Z448" s="32" t="str">
        <f t="shared" si="26"/>
        <v/>
      </c>
      <c r="AA448" s="32" t="str">
        <f t="shared" si="27"/>
        <v/>
      </c>
      <c r="AB448" s="45" t="str">
        <f t="shared" si="28"/>
        <v/>
      </c>
      <c r="AC448" s="20" t="s">
        <v>457</v>
      </c>
      <c r="AD448" s="53">
        <v>823053.38600000006</v>
      </c>
      <c r="AE448" s="53">
        <v>1091462.0455</v>
      </c>
      <c r="AF448" s="53">
        <v>-121.14279999999999</v>
      </c>
    </row>
    <row r="449" spans="5:32" x14ac:dyDescent="0.25">
      <c r="E449" s="6"/>
      <c r="F449" s="6"/>
      <c r="G449" s="7"/>
      <c r="Q449" s="21"/>
      <c r="Y449" s="31" t="str">
        <f t="shared" si="25"/>
        <v/>
      </c>
      <c r="Z449" s="32" t="str">
        <f t="shared" si="26"/>
        <v/>
      </c>
      <c r="AA449" s="32" t="str">
        <f t="shared" si="27"/>
        <v/>
      </c>
      <c r="AB449" s="45" t="str">
        <f t="shared" si="28"/>
        <v/>
      </c>
      <c r="AC449" s="20" t="s">
        <v>458</v>
      </c>
      <c r="AD449" s="53">
        <v>823053.25820000004</v>
      </c>
      <c r="AE449" s="53">
        <v>1091462.0027999999</v>
      </c>
      <c r="AF449" s="53">
        <v>-121.0158</v>
      </c>
    </row>
    <row r="450" spans="5:32" x14ac:dyDescent="0.25">
      <c r="E450" s="6"/>
      <c r="F450" s="6"/>
      <c r="G450" s="7"/>
      <c r="Q450" s="21"/>
      <c r="Y450" s="31" t="str">
        <f t="shared" si="25"/>
        <v/>
      </c>
      <c r="Z450" s="32" t="str">
        <f t="shared" si="26"/>
        <v/>
      </c>
      <c r="AA450" s="32" t="str">
        <f t="shared" si="27"/>
        <v/>
      </c>
      <c r="AB450" s="45" t="str">
        <f t="shared" si="28"/>
        <v/>
      </c>
      <c r="AC450" s="20" t="s">
        <v>459</v>
      </c>
      <c r="AD450" s="53">
        <v>823053.1496</v>
      </c>
      <c r="AE450" s="53">
        <v>1091461.9325999999</v>
      </c>
      <c r="AF450" s="53">
        <v>-120.8828</v>
      </c>
    </row>
    <row r="451" spans="5:32" x14ac:dyDescent="0.25">
      <c r="E451" s="6"/>
      <c r="F451" s="6"/>
      <c r="G451" s="7"/>
      <c r="Q451" s="21"/>
      <c r="Y451" s="31" t="str">
        <f t="shared" si="25"/>
        <v/>
      </c>
      <c r="Z451" s="32" t="str">
        <f t="shared" si="26"/>
        <v/>
      </c>
      <c r="AA451" s="32" t="str">
        <f t="shared" si="27"/>
        <v/>
      </c>
      <c r="AB451" s="45" t="str">
        <f t="shared" si="28"/>
        <v/>
      </c>
      <c r="AC451" s="20" t="s">
        <v>460</v>
      </c>
      <c r="AD451" s="53">
        <v>823053.00249999994</v>
      </c>
      <c r="AE451" s="53">
        <v>1091461.8685999999</v>
      </c>
      <c r="AF451" s="53">
        <v>-120.7576</v>
      </c>
    </row>
    <row r="452" spans="5:32" x14ac:dyDescent="0.25">
      <c r="E452" s="6"/>
      <c r="F452" s="6"/>
      <c r="G452" s="7"/>
      <c r="Q452" s="21"/>
      <c r="Y452" s="31" t="str">
        <f t="shared" ref="Y452:Y512" si="29">IF(ISBLANK(N452),"",N452)</f>
        <v/>
      </c>
      <c r="Z452" s="32" t="str">
        <f t="shared" ref="Z452:Z512" si="30">IF(ISBLANK(O452),"",O452-V452)</f>
        <v/>
      </c>
      <c r="AA452" s="32" t="str">
        <f t="shared" ref="AA452:AA512" si="31">IF(ISBLANK(P452),"",P452-W452)</f>
        <v/>
      </c>
      <c r="AB452" s="45" t="str">
        <f t="shared" ref="AB452:AB512" si="32">IF(ISBLANK(Q452),"",Q452-X452)</f>
        <v/>
      </c>
      <c r="AC452" s="20" t="s">
        <v>461</v>
      </c>
      <c r="AD452" s="53">
        <v>823052.64820000005</v>
      </c>
      <c r="AE452" s="53">
        <v>1091461.9447999999</v>
      </c>
      <c r="AF452" s="53">
        <v>-120.8292</v>
      </c>
    </row>
    <row r="453" spans="5:32" x14ac:dyDescent="0.25">
      <c r="E453" s="6"/>
      <c r="F453" s="6"/>
      <c r="G453" s="7"/>
      <c r="Q453" s="21"/>
      <c r="Y453" s="31" t="str">
        <f t="shared" si="29"/>
        <v/>
      </c>
      <c r="Z453" s="32" t="str">
        <f t="shared" si="30"/>
        <v/>
      </c>
      <c r="AA453" s="32" t="str">
        <f t="shared" si="31"/>
        <v/>
      </c>
      <c r="AB453" s="45" t="str">
        <f t="shared" si="32"/>
        <v/>
      </c>
      <c r="AC453" s="20" t="s">
        <v>462</v>
      </c>
      <c r="AD453" s="53">
        <v>823052.6017</v>
      </c>
      <c r="AE453" s="53">
        <v>1091461.6825000001</v>
      </c>
      <c r="AF453" s="53">
        <v>-120.5299</v>
      </c>
    </row>
    <row r="454" spans="5:32" x14ac:dyDescent="0.25">
      <c r="E454" s="6"/>
      <c r="F454" s="6"/>
      <c r="G454" s="7"/>
      <c r="Q454" s="21"/>
      <c r="Y454" s="31" t="str">
        <f t="shared" si="29"/>
        <v/>
      </c>
      <c r="Z454" s="32" t="str">
        <f t="shared" si="30"/>
        <v/>
      </c>
      <c r="AA454" s="32" t="str">
        <f t="shared" si="31"/>
        <v/>
      </c>
      <c r="AB454" s="45" t="str">
        <f t="shared" si="32"/>
        <v/>
      </c>
      <c r="AC454" s="20" t="s">
        <v>463</v>
      </c>
      <c r="AD454" s="53">
        <v>823052.33880000003</v>
      </c>
      <c r="AE454" s="53">
        <v>1091461.5636</v>
      </c>
      <c r="AF454" s="53">
        <v>-120.42619999999999</v>
      </c>
    </row>
    <row r="455" spans="5:32" x14ac:dyDescent="0.25">
      <c r="E455" s="6"/>
      <c r="F455" s="6"/>
      <c r="G455" s="7"/>
      <c r="Q455" s="21"/>
      <c r="Y455" s="31" t="str">
        <f t="shared" si="29"/>
        <v/>
      </c>
      <c r="Z455" s="32" t="str">
        <f t="shared" si="30"/>
        <v/>
      </c>
      <c r="AA455" s="32" t="str">
        <f t="shared" si="31"/>
        <v/>
      </c>
      <c r="AB455" s="45" t="str">
        <f t="shared" si="32"/>
        <v/>
      </c>
      <c r="AC455" s="20" t="s">
        <v>464</v>
      </c>
      <c r="AD455" s="53">
        <v>823052.18550000002</v>
      </c>
      <c r="AE455" s="53">
        <v>1091461.4916999999</v>
      </c>
      <c r="AF455" s="53">
        <v>-120.387</v>
      </c>
    </row>
    <row r="456" spans="5:32" x14ac:dyDescent="0.25">
      <c r="E456" s="6"/>
      <c r="F456" s="6"/>
      <c r="G456" s="7"/>
      <c r="Q456" s="21"/>
      <c r="Y456" s="31" t="str">
        <f t="shared" si="29"/>
        <v/>
      </c>
      <c r="Z456" s="32" t="str">
        <f t="shared" si="30"/>
        <v/>
      </c>
      <c r="AA456" s="32" t="str">
        <f t="shared" si="31"/>
        <v/>
      </c>
      <c r="AB456" s="45" t="str">
        <f t="shared" si="32"/>
        <v/>
      </c>
    </row>
    <row r="457" spans="5:32" x14ac:dyDescent="0.25">
      <c r="E457" s="6"/>
      <c r="F457" s="6"/>
      <c r="G457" s="7"/>
      <c r="Q457" s="21"/>
      <c r="Y457" s="31" t="str">
        <f t="shared" si="29"/>
        <v/>
      </c>
      <c r="Z457" s="32" t="str">
        <f t="shared" si="30"/>
        <v/>
      </c>
      <c r="AA457" s="32" t="str">
        <f t="shared" si="31"/>
        <v/>
      </c>
      <c r="AB457" s="45" t="str">
        <f t="shared" si="32"/>
        <v/>
      </c>
    </row>
    <row r="458" spans="5:32" x14ac:dyDescent="0.25">
      <c r="E458" s="6"/>
      <c r="F458" s="6"/>
      <c r="G458" s="7"/>
      <c r="Q458" s="21"/>
      <c r="Y458" s="31" t="str">
        <f t="shared" si="29"/>
        <v/>
      </c>
      <c r="Z458" s="32" t="str">
        <f t="shared" si="30"/>
        <v/>
      </c>
      <c r="AA458" s="32" t="str">
        <f t="shared" si="31"/>
        <v/>
      </c>
      <c r="AB458" s="45" t="str">
        <f t="shared" si="32"/>
        <v/>
      </c>
    </row>
    <row r="459" spans="5:32" x14ac:dyDescent="0.25">
      <c r="E459" s="6"/>
      <c r="F459" s="6"/>
      <c r="G459" s="7"/>
      <c r="Q459" s="21"/>
      <c r="Y459" s="31" t="str">
        <f t="shared" si="29"/>
        <v/>
      </c>
      <c r="Z459" s="32" t="str">
        <f t="shared" si="30"/>
        <v/>
      </c>
      <c r="AA459" s="32" t="str">
        <f t="shared" si="31"/>
        <v/>
      </c>
      <c r="AB459" s="45" t="str">
        <f t="shared" si="32"/>
        <v/>
      </c>
    </row>
    <row r="460" spans="5:32" x14ac:dyDescent="0.25">
      <c r="E460" s="6"/>
      <c r="F460" s="6"/>
      <c r="G460" s="7"/>
      <c r="Q460" s="21"/>
      <c r="Y460" s="31" t="str">
        <f t="shared" si="29"/>
        <v/>
      </c>
      <c r="Z460" s="32" t="str">
        <f t="shared" si="30"/>
        <v/>
      </c>
      <c r="AA460" s="32" t="str">
        <f t="shared" si="31"/>
        <v/>
      </c>
      <c r="AB460" s="45" t="str">
        <f t="shared" si="32"/>
        <v/>
      </c>
    </row>
    <row r="461" spans="5:32" x14ac:dyDescent="0.25">
      <c r="E461" s="6"/>
      <c r="F461" s="6"/>
      <c r="G461" s="7"/>
      <c r="Q461" s="21"/>
      <c r="Y461" s="31" t="str">
        <f t="shared" si="29"/>
        <v/>
      </c>
      <c r="Z461" s="32" t="str">
        <f t="shared" si="30"/>
        <v/>
      </c>
      <c r="AA461" s="32" t="str">
        <f t="shared" si="31"/>
        <v/>
      </c>
      <c r="AB461" s="45" t="str">
        <f t="shared" si="32"/>
        <v/>
      </c>
    </row>
    <row r="462" spans="5:32" x14ac:dyDescent="0.25">
      <c r="E462" s="6"/>
      <c r="F462" s="6"/>
      <c r="G462" s="7"/>
      <c r="Q462" s="21"/>
      <c r="Y462" s="31" t="str">
        <f t="shared" si="29"/>
        <v/>
      </c>
      <c r="Z462" s="32" t="str">
        <f t="shared" si="30"/>
        <v/>
      </c>
      <c r="AA462" s="32" t="str">
        <f t="shared" si="31"/>
        <v/>
      </c>
      <c r="AB462" s="45" t="str">
        <f t="shared" si="32"/>
        <v/>
      </c>
    </row>
    <row r="463" spans="5:32" x14ac:dyDescent="0.25">
      <c r="E463" s="6"/>
      <c r="F463" s="6"/>
      <c r="G463" s="7"/>
      <c r="Q463" s="21"/>
      <c r="Y463" s="31" t="str">
        <f t="shared" si="29"/>
        <v/>
      </c>
      <c r="Z463" s="32" t="str">
        <f t="shared" si="30"/>
        <v/>
      </c>
      <c r="AA463" s="32" t="str">
        <f t="shared" si="31"/>
        <v/>
      </c>
      <c r="AB463" s="45" t="str">
        <f t="shared" si="32"/>
        <v/>
      </c>
    </row>
    <row r="464" spans="5:32" x14ac:dyDescent="0.25">
      <c r="E464" s="6"/>
      <c r="F464" s="6"/>
      <c r="G464" s="7"/>
      <c r="Q464" s="21"/>
      <c r="Y464" s="31" t="str">
        <f t="shared" si="29"/>
        <v/>
      </c>
      <c r="Z464" s="32" t="str">
        <f t="shared" si="30"/>
        <v/>
      </c>
      <c r="AA464" s="32" t="str">
        <f t="shared" si="31"/>
        <v/>
      </c>
      <c r="AB464" s="45" t="str">
        <f t="shared" si="32"/>
        <v/>
      </c>
    </row>
    <row r="465" spans="5:28" x14ac:dyDescent="0.25">
      <c r="E465" s="6"/>
      <c r="F465" s="6"/>
      <c r="G465" s="7"/>
      <c r="Q465" s="21"/>
      <c r="Y465" s="31" t="str">
        <f t="shared" si="29"/>
        <v/>
      </c>
      <c r="Z465" s="32" t="str">
        <f t="shared" si="30"/>
        <v/>
      </c>
      <c r="AA465" s="32" t="str">
        <f t="shared" si="31"/>
        <v/>
      </c>
      <c r="AB465" s="45" t="str">
        <f t="shared" si="32"/>
        <v/>
      </c>
    </row>
    <row r="466" spans="5:28" x14ac:dyDescent="0.25">
      <c r="E466" s="6"/>
      <c r="F466" s="6"/>
      <c r="G466" s="7"/>
      <c r="Q466" s="21"/>
      <c r="Y466" s="31" t="str">
        <f t="shared" si="29"/>
        <v/>
      </c>
      <c r="Z466" s="32" t="str">
        <f t="shared" si="30"/>
        <v/>
      </c>
      <c r="AA466" s="32" t="str">
        <f t="shared" si="31"/>
        <v/>
      </c>
      <c r="AB466" s="45" t="str">
        <f t="shared" si="32"/>
        <v/>
      </c>
    </row>
    <row r="467" spans="5:28" x14ac:dyDescent="0.25">
      <c r="E467" s="6"/>
      <c r="F467" s="6"/>
      <c r="G467" s="7"/>
      <c r="Q467" s="21"/>
      <c r="Y467" s="31" t="str">
        <f t="shared" si="29"/>
        <v/>
      </c>
      <c r="Z467" s="32" t="str">
        <f t="shared" si="30"/>
        <v/>
      </c>
      <c r="AA467" s="32" t="str">
        <f t="shared" si="31"/>
        <v/>
      </c>
      <c r="AB467" s="45" t="str">
        <f t="shared" si="32"/>
        <v/>
      </c>
    </row>
    <row r="468" spans="5:28" x14ac:dyDescent="0.25">
      <c r="E468" s="6"/>
      <c r="F468" s="6"/>
      <c r="G468" s="7"/>
      <c r="Q468" s="21"/>
      <c r="Y468" s="31" t="str">
        <f t="shared" si="29"/>
        <v/>
      </c>
      <c r="Z468" s="32" t="str">
        <f t="shared" si="30"/>
        <v/>
      </c>
      <c r="AA468" s="32" t="str">
        <f t="shared" si="31"/>
        <v/>
      </c>
      <c r="AB468" s="45" t="str">
        <f t="shared" si="32"/>
        <v/>
      </c>
    </row>
    <row r="469" spans="5:28" x14ac:dyDescent="0.25">
      <c r="E469" s="6"/>
      <c r="F469" s="6"/>
      <c r="G469" s="7"/>
      <c r="Q469" s="21"/>
      <c r="Y469" s="31" t="str">
        <f t="shared" si="29"/>
        <v/>
      </c>
      <c r="Z469" s="32" t="str">
        <f t="shared" si="30"/>
        <v/>
      </c>
      <c r="AA469" s="32" t="str">
        <f t="shared" si="31"/>
        <v/>
      </c>
      <c r="AB469" s="45" t="str">
        <f t="shared" si="32"/>
        <v/>
      </c>
    </row>
    <row r="470" spans="5:28" x14ac:dyDescent="0.25">
      <c r="E470" s="6"/>
      <c r="F470" s="6"/>
      <c r="G470" s="7"/>
      <c r="Q470" s="21"/>
      <c r="Y470" s="31" t="str">
        <f t="shared" si="29"/>
        <v/>
      </c>
      <c r="Z470" s="32" t="str">
        <f t="shared" si="30"/>
        <v/>
      </c>
      <c r="AA470" s="32" t="str">
        <f t="shared" si="31"/>
        <v/>
      </c>
      <c r="AB470" s="45" t="str">
        <f t="shared" si="32"/>
        <v/>
      </c>
    </row>
    <row r="471" spans="5:28" x14ac:dyDescent="0.25">
      <c r="E471" s="6"/>
      <c r="F471" s="6"/>
      <c r="G471" s="7"/>
      <c r="Q471" s="21"/>
      <c r="Y471" s="31" t="str">
        <f t="shared" si="29"/>
        <v/>
      </c>
      <c r="Z471" s="32" t="str">
        <f t="shared" si="30"/>
        <v/>
      </c>
      <c r="AA471" s="32" t="str">
        <f t="shared" si="31"/>
        <v/>
      </c>
      <c r="AB471" s="45" t="str">
        <f t="shared" si="32"/>
        <v/>
      </c>
    </row>
    <row r="472" spans="5:28" x14ac:dyDescent="0.25">
      <c r="E472" s="6"/>
      <c r="F472" s="6"/>
      <c r="G472" s="7"/>
      <c r="Q472" s="21"/>
      <c r="Y472" s="31" t="str">
        <f t="shared" si="29"/>
        <v/>
      </c>
      <c r="Z472" s="32" t="str">
        <f t="shared" si="30"/>
        <v/>
      </c>
      <c r="AA472" s="32" t="str">
        <f t="shared" si="31"/>
        <v/>
      </c>
      <c r="AB472" s="45" t="str">
        <f t="shared" si="32"/>
        <v/>
      </c>
    </row>
    <row r="473" spans="5:28" x14ac:dyDescent="0.25">
      <c r="E473" s="6"/>
      <c r="F473" s="6"/>
      <c r="G473" s="7"/>
      <c r="Q473" s="21"/>
      <c r="Y473" s="31" t="str">
        <f t="shared" si="29"/>
        <v/>
      </c>
      <c r="Z473" s="32" t="str">
        <f t="shared" si="30"/>
        <v/>
      </c>
      <c r="AA473" s="32" t="str">
        <f t="shared" si="31"/>
        <v/>
      </c>
      <c r="AB473" s="45" t="str">
        <f t="shared" si="32"/>
        <v/>
      </c>
    </row>
    <row r="474" spans="5:28" x14ac:dyDescent="0.25">
      <c r="E474" s="6"/>
      <c r="F474" s="6"/>
      <c r="G474" s="7"/>
      <c r="Q474" s="21"/>
      <c r="Y474" s="31" t="str">
        <f t="shared" si="29"/>
        <v/>
      </c>
      <c r="Z474" s="32" t="str">
        <f t="shared" si="30"/>
        <v/>
      </c>
      <c r="AA474" s="32" t="str">
        <f t="shared" si="31"/>
        <v/>
      </c>
      <c r="AB474" s="45" t="str">
        <f t="shared" si="32"/>
        <v/>
      </c>
    </row>
    <row r="475" spans="5:28" x14ac:dyDescent="0.25">
      <c r="E475" s="6"/>
      <c r="F475" s="6"/>
      <c r="G475" s="7"/>
      <c r="Q475" s="21"/>
      <c r="Y475" s="31" t="str">
        <f t="shared" si="29"/>
        <v/>
      </c>
      <c r="Z475" s="32" t="str">
        <f t="shared" si="30"/>
        <v/>
      </c>
      <c r="AA475" s="32" t="str">
        <f t="shared" si="31"/>
        <v/>
      </c>
      <c r="AB475" s="45" t="str">
        <f t="shared" si="32"/>
        <v/>
      </c>
    </row>
    <row r="476" spans="5:28" x14ac:dyDescent="0.25">
      <c r="E476" s="6"/>
      <c r="F476" s="6"/>
      <c r="G476" s="7"/>
      <c r="Q476" s="21"/>
      <c r="Y476" s="31" t="str">
        <f t="shared" si="29"/>
        <v/>
      </c>
      <c r="Z476" s="32" t="str">
        <f t="shared" si="30"/>
        <v/>
      </c>
      <c r="AA476" s="32" t="str">
        <f t="shared" si="31"/>
        <v/>
      </c>
      <c r="AB476" s="45" t="str">
        <f t="shared" si="32"/>
        <v/>
      </c>
    </row>
    <row r="477" spans="5:28" x14ac:dyDescent="0.25">
      <c r="E477" s="6"/>
      <c r="F477" s="6"/>
      <c r="G477" s="7"/>
      <c r="Q477" s="21"/>
      <c r="Y477" s="31" t="str">
        <f t="shared" si="29"/>
        <v/>
      </c>
      <c r="Z477" s="32" t="str">
        <f t="shared" si="30"/>
        <v/>
      </c>
      <c r="AA477" s="32" t="str">
        <f t="shared" si="31"/>
        <v/>
      </c>
      <c r="AB477" s="45" t="str">
        <f t="shared" si="32"/>
        <v/>
      </c>
    </row>
    <row r="478" spans="5:28" x14ac:dyDescent="0.25">
      <c r="E478" s="6"/>
      <c r="F478" s="6"/>
      <c r="G478" s="7"/>
      <c r="Q478" s="21"/>
      <c r="Y478" s="31" t="str">
        <f t="shared" si="29"/>
        <v/>
      </c>
      <c r="Z478" s="32" t="str">
        <f t="shared" si="30"/>
        <v/>
      </c>
      <c r="AA478" s="32" t="str">
        <f t="shared" si="31"/>
        <v/>
      </c>
      <c r="AB478" s="45" t="str">
        <f t="shared" si="32"/>
        <v/>
      </c>
    </row>
    <row r="479" spans="5:28" x14ac:dyDescent="0.25">
      <c r="E479" s="6"/>
      <c r="F479" s="6"/>
      <c r="G479" s="7"/>
      <c r="Q479" s="21"/>
      <c r="Y479" s="31" t="str">
        <f t="shared" si="29"/>
        <v/>
      </c>
      <c r="Z479" s="32" t="str">
        <f t="shared" si="30"/>
        <v/>
      </c>
      <c r="AA479" s="32" t="str">
        <f t="shared" si="31"/>
        <v/>
      </c>
      <c r="AB479" s="45" t="str">
        <f t="shared" si="32"/>
        <v/>
      </c>
    </row>
    <row r="480" spans="5:28" x14ac:dyDescent="0.25">
      <c r="E480" s="6"/>
      <c r="F480" s="6"/>
      <c r="G480" s="7"/>
      <c r="Q480" s="21"/>
      <c r="Y480" s="31" t="str">
        <f t="shared" si="29"/>
        <v/>
      </c>
      <c r="Z480" s="32" t="str">
        <f t="shared" si="30"/>
        <v/>
      </c>
      <c r="AA480" s="32" t="str">
        <f t="shared" si="31"/>
        <v/>
      </c>
      <c r="AB480" s="45" t="str">
        <f t="shared" si="32"/>
        <v/>
      </c>
    </row>
    <row r="481" spans="5:28" x14ac:dyDescent="0.25">
      <c r="E481" s="6"/>
      <c r="F481" s="6"/>
      <c r="G481" s="7"/>
      <c r="Q481" s="21"/>
      <c r="Y481" s="31" t="str">
        <f t="shared" si="29"/>
        <v/>
      </c>
      <c r="Z481" s="32" t="str">
        <f t="shared" si="30"/>
        <v/>
      </c>
      <c r="AA481" s="32" t="str">
        <f t="shared" si="31"/>
        <v/>
      </c>
      <c r="AB481" s="45" t="str">
        <f t="shared" si="32"/>
        <v/>
      </c>
    </row>
    <row r="482" spans="5:28" x14ac:dyDescent="0.25">
      <c r="E482" s="6"/>
      <c r="F482" s="6"/>
      <c r="G482" s="7"/>
      <c r="Q482" s="21"/>
      <c r="Y482" s="31" t="str">
        <f t="shared" si="29"/>
        <v/>
      </c>
      <c r="Z482" s="32" t="str">
        <f t="shared" si="30"/>
        <v/>
      </c>
      <c r="AA482" s="32" t="str">
        <f t="shared" si="31"/>
        <v/>
      </c>
      <c r="AB482" s="45" t="str">
        <f t="shared" si="32"/>
        <v/>
      </c>
    </row>
    <row r="483" spans="5:28" x14ac:dyDescent="0.25">
      <c r="E483" s="6"/>
      <c r="F483" s="6"/>
      <c r="G483" s="7"/>
      <c r="Q483" s="21"/>
      <c r="Y483" s="31" t="str">
        <f t="shared" si="29"/>
        <v/>
      </c>
      <c r="Z483" s="32" t="str">
        <f t="shared" si="30"/>
        <v/>
      </c>
      <c r="AA483" s="32" t="str">
        <f t="shared" si="31"/>
        <v/>
      </c>
      <c r="AB483" s="45" t="str">
        <f t="shared" si="32"/>
        <v/>
      </c>
    </row>
    <row r="484" spans="5:28" x14ac:dyDescent="0.25">
      <c r="E484" s="6"/>
      <c r="F484" s="6"/>
      <c r="G484" s="7"/>
      <c r="Q484" s="21"/>
      <c r="Y484" s="31" t="str">
        <f t="shared" si="29"/>
        <v/>
      </c>
      <c r="Z484" s="32" t="str">
        <f t="shared" si="30"/>
        <v/>
      </c>
      <c r="AA484" s="32" t="str">
        <f t="shared" si="31"/>
        <v/>
      </c>
      <c r="AB484" s="45" t="str">
        <f t="shared" si="32"/>
        <v/>
      </c>
    </row>
    <row r="485" spans="5:28" x14ac:dyDescent="0.25">
      <c r="E485" s="6"/>
      <c r="F485" s="6"/>
      <c r="G485" s="7"/>
      <c r="Q485" s="21"/>
      <c r="Y485" s="31" t="str">
        <f t="shared" si="29"/>
        <v/>
      </c>
      <c r="Z485" s="32" t="str">
        <f t="shared" si="30"/>
        <v/>
      </c>
      <c r="AA485" s="32" t="str">
        <f t="shared" si="31"/>
        <v/>
      </c>
      <c r="AB485" s="45" t="str">
        <f t="shared" si="32"/>
        <v/>
      </c>
    </row>
    <row r="486" spans="5:28" x14ac:dyDescent="0.25">
      <c r="E486" s="6"/>
      <c r="F486" s="6"/>
      <c r="G486" s="7"/>
      <c r="Q486" s="21"/>
      <c r="Y486" s="31" t="str">
        <f t="shared" si="29"/>
        <v/>
      </c>
      <c r="Z486" s="32" t="str">
        <f t="shared" si="30"/>
        <v/>
      </c>
      <c r="AA486" s="32" t="str">
        <f t="shared" si="31"/>
        <v/>
      </c>
      <c r="AB486" s="45" t="str">
        <f t="shared" si="32"/>
        <v/>
      </c>
    </row>
    <row r="487" spans="5:28" x14ac:dyDescent="0.25">
      <c r="E487" s="6"/>
      <c r="F487" s="6"/>
      <c r="G487" s="7"/>
      <c r="Q487" s="21"/>
      <c r="Y487" s="31" t="str">
        <f t="shared" si="29"/>
        <v/>
      </c>
      <c r="Z487" s="32" t="str">
        <f t="shared" si="30"/>
        <v/>
      </c>
      <c r="AA487" s="32" t="str">
        <f t="shared" si="31"/>
        <v/>
      </c>
      <c r="AB487" s="45" t="str">
        <f t="shared" si="32"/>
        <v/>
      </c>
    </row>
    <row r="488" spans="5:28" x14ac:dyDescent="0.25">
      <c r="E488" s="6"/>
      <c r="F488" s="6"/>
      <c r="G488" s="7"/>
      <c r="Q488" s="21"/>
      <c r="Y488" s="31" t="str">
        <f t="shared" si="29"/>
        <v/>
      </c>
      <c r="Z488" s="32" t="str">
        <f t="shared" si="30"/>
        <v/>
      </c>
      <c r="AA488" s="32" t="str">
        <f t="shared" si="31"/>
        <v/>
      </c>
      <c r="AB488" s="45" t="str">
        <f t="shared" si="32"/>
        <v/>
      </c>
    </row>
    <row r="489" spans="5:28" x14ac:dyDescent="0.25">
      <c r="E489" s="6"/>
      <c r="F489" s="6"/>
      <c r="G489" s="7"/>
      <c r="Q489" s="21"/>
      <c r="Y489" s="31" t="str">
        <f t="shared" si="29"/>
        <v/>
      </c>
      <c r="Z489" s="32" t="str">
        <f t="shared" si="30"/>
        <v/>
      </c>
      <c r="AA489" s="32" t="str">
        <f t="shared" si="31"/>
        <v/>
      </c>
      <c r="AB489" s="45" t="str">
        <f t="shared" si="32"/>
        <v/>
      </c>
    </row>
    <row r="490" spans="5:28" x14ac:dyDescent="0.25">
      <c r="E490" s="6"/>
      <c r="F490" s="6"/>
      <c r="G490" s="7"/>
      <c r="Q490" s="21"/>
      <c r="Y490" s="31" t="str">
        <f t="shared" si="29"/>
        <v/>
      </c>
      <c r="Z490" s="32" t="str">
        <f t="shared" si="30"/>
        <v/>
      </c>
      <c r="AA490" s="32" t="str">
        <f t="shared" si="31"/>
        <v/>
      </c>
      <c r="AB490" s="45" t="str">
        <f t="shared" si="32"/>
        <v/>
      </c>
    </row>
    <row r="491" spans="5:28" x14ac:dyDescent="0.25">
      <c r="E491" s="6"/>
      <c r="F491" s="6"/>
      <c r="G491" s="7"/>
      <c r="Q491" s="21"/>
      <c r="Y491" s="31" t="str">
        <f t="shared" si="29"/>
        <v/>
      </c>
      <c r="Z491" s="32" t="str">
        <f t="shared" si="30"/>
        <v/>
      </c>
      <c r="AA491" s="32" t="str">
        <f t="shared" si="31"/>
        <v/>
      </c>
      <c r="AB491" s="45" t="str">
        <f t="shared" si="32"/>
        <v/>
      </c>
    </row>
    <row r="492" spans="5:28" x14ac:dyDescent="0.25">
      <c r="E492" s="6"/>
      <c r="F492" s="6"/>
      <c r="G492" s="7"/>
      <c r="Q492" s="21"/>
      <c r="Y492" s="31" t="str">
        <f t="shared" si="29"/>
        <v/>
      </c>
      <c r="Z492" s="32" t="str">
        <f t="shared" si="30"/>
        <v/>
      </c>
      <c r="AA492" s="32" t="str">
        <f t="shared" si="31"/>
        <v/>
      </c>
      <c r="AB492" s="45" t="str">
        <f t="shared" si="32"/>
        <v/>
      </c>
    </row>
    <row r="493" spans="5:28" x14ac:dyDescent="0.25">
      <c r="E493" s="6"/>
      <c r="F493" s="6"/>
      <c r="G493" s="7"/>
      <c r="Q493" s="21"/>
      <c r="Y493" s="31" t="str">
        <f t="shared" si="29"/>
        <v/>
      </c>
      <c r="Z493" s="32" t="str">
        <f t="shared" si="30"/>
        <v/>
      </c>
      <c r="AA493" s="32" t="str">
        <f t="shared" si="31"/>
        <v/>
      </c>
      <c r="AB493" s="45" t="str">
        <f t="shared" si="32"/>
        <v/>
      </c>
    </row>
    <row r="494" spans="5:28" x14ac:dyDescent="0.25">
      <c r="E494" s="6"/>
      <c r="F494" s="6"/>
      <c r="G494" s="7"/>
      <c r="Q494" s="21"/>
      <c r="Y494" s="31" t="str">
        <f t="shared" si="29"/>
        <v/>
      </c>
      <c r="Z494" s="32" t="str">
        <f t="shared" si="30"/>
        <v/>
      </c>
      <c r="AA494" s="32" t="str">
        <f t="shared" si="31"/>
        <v/>
      </c>
      <c r="AB494" s="45" t="str">
        <f t="shared" si="32"/>
        <v/>
      </c>
    </row>
    <row r="495" spans="5:28" x14ac:dyDescent="0.25">
      <c r="E495" s="6"/>
      <c r="F495" s="6"/>
      <c r="G495" s="7"/>
      <c r="Q495" s="21"/>
      <c r="Y495" s="31" t="str">
        <f t="shared" si="29"/>
        <v/>
      </c>
      <c r="Z495" s="32" t="str">
        <f t="shared" si="30"/>
        <v/>
      </c>
      <c r="AA495" s="32" t="str">
        <f t="shared" si="31"/>
        <v/>
      </c>
      <c r="AB495" s="45" t="str">
        <f t="shared" si="32"/>
        <v/>
      </c>
    </row>
    <row r="496" spans="5:28" x14ac:dyDescent="0.25">
      <c r="E496" s="6"/>
      <c r="F496" s="6"/>
      <c r="G496" s="7"/>
      <c r="Q496" s="21"/>
      <c r="Y496" s="31" t="str">
        <f t="shared" si="29"/>
        <v/>
      </c>
      <c r="Z496" s="32" t="str">
        <f t="shared" si="30"/>
        <v/>
      </c>
      <c r="AA496" s="32" t="str">
        <f t="shared" si="31"/>
        <v/>
      </c>
      <c r="AB496" s="45" t="str">
        <f t="shared" si="32"/>
        <v/>
      </c>
    </row>
    <row r="497" spans="3:28" x14ac:dyDescent="0.25">
      <c r="E497" s="6"/>
      <c r="F497" s="6"/>
      <c r="G497" s="7"/>
      <c r="Q497" s="21"/>
      <c r="Y497" s="31" t="str">
        <f t="shared" si="29"/>
        <v/>
      </c>
      <c r="Z497" s="32" t="str">
        <f t="shared" si="30"/>
        <v/>
      </c>
      <c r="AA497" s="32" t="str">
        <f t="shared" si="31"/>
        <v/>
      </c>
      <c r="AB497" s="45" t="str">
        <f t="shared" si="32"/>
        <v/>
      </c>
    </row>
    <row r="498" spans="3:28" x14ac:dyDescent="0.25">
      <c r="E498" s="6"/>
      <c r="F498" s="6"/>
      <c r="G498" s="7"/>
      <c r="Q498" s="21"/>
      <c r="Y498" s="31" t="str">
        <f t="shared" si="29"/>
        <v/>
      </c>
      <c r="Z498" s="32" t="str">
        <f t="shared" si="30"/>
        <v/>
      </c>
      <c r="AA498" s="32" t="str">
        <f t="shared" si="31"/>
        <v/>
      </c>
      <c r="AB498" s="45" t="str">
        <f t="shared" si="32"/>
        <v/>
      </c>
    </row>
    <row r="499" spans="3:28" x14ac:dyDescent="0.25">
      <c r="E499" s="6"/>
      <c r="F499" s="6"/>
      <c r="G499" s="7"/>
      <c r="Q499" s="21"/>
      <c r="Y499" s="31" t="str">
        <f t="shared" si="29"/>
        <v/>
      </c>
      <c r="Z499" s="32" t="str">
        <f t="shared" si="30"/>
        <v/>
      </c>
      <c r="AA499" s="32" t="str">
        <f t="shared" si="31"/>
        <v/>
      </c>
      <c r="AB499" s="45" t="str">
        <f t="shared" si="32"/>
        <v/>
      </c>
    </row>
    <row r="500" spans="3:28" x14ac:dyDescent="0.25">
      <c r="E500" s="6"/>
      <c r="F500" s="6"/>
      <c r="G500" s="7"/>
      <c r="Q500" s="21"/>
      <c r="Y500" s="31" t="str">
        <f t="shared" si="29"/>
        <v/>
      </c>
      <c r="Z500" s="32" t="str">
        <f t="shared" si="30"/>
        <v/>
      </c>
      <c r="AA500" s="32" t="str">
        <f t="shared" si="31"/>
        <v/>
      </c>
      <c r="AB500" s="45" t="str">
        <f t="shared" si="32"/>
        <v/>
      </c>
    </row>
    <row r="501" spans="3:28" x14ac:dyDescent="0.25">
      <c r="E501" s="6"/>
      <c r="F501" s="6"/>
      <c r="G501" s="7"/>
      <c r="Q501" s="21"/>
      <c r="Y501" s="31" t="str">
        <f t="shared" si="29"/>
        <v/>
      </c>
      <c r="Z501" s="32" t="str">
        <f t="shared" si="30"/>
        <v/>
      </c>
      <c r="AA501" s="32" t="str">
        <f t="shared" si="31"/>
        <v/>
      </c>
      <c r="AB501" s="45" t="str">
        <f t="shared" si="32"/>
        <v/>
      </c>
    </row>
    <row r="502" spans="3:28" x14ac:dyDescent="0.25">
      <c r="E502" s="6"/>
      <c r="F502" s="6"/>
      <c r="G502" s="7"/>
      <c r="Q502" s="21"/>
      <c r="Y502" s="31" t="str">
        <f t="shared" si="29"/>
        <v/>
      </c>
      <c r="Z502" s="32" t="str">
        <f t="shared" si="30"/>
        <v/>
      </c>
      <c r="AA502" s="32" t="str">
        <f t="shared" si="31"/>
        <v/>
      </c>
      <c r="AB502" s="45" t="str">
        <f t="shared" si="32"/>
        <v/>
      </c>
    </row>
    <row r="503" spans="3:28" x14ac:dyDescent="0.25">
      <c r="E503" s="6"/>
      <c r="F503" s="6"/>
      <c r="G503" s="7"/>
      <c r="Q503" s="21"/>
      <c r="Y503" s="31" t="str">
        <f t="shared" si="29"/>
        <v/>
      </c>
      <c r="Z503" s="32" t="str">
        <f t="shared" si="30"/>
        <v/>
      </c>
      <c r="AA503" s="32" t="str">
        <f t="shared" si="31"/>
        <v/>
      </c>
      <c r="AB503" s="45" t="str">
        <f t="shared" si="32"/>
        <v/>
      </c>
    </row>
    <row r="504" spans="3:28" x14ac:dyDescent="0.25">
      <c r="E504" s="6"/>
      <c r="F504" s="6"/>
      <c r="G504" s="7"/>
      <c r="Q504" s="21"/>
      <c r="Y504" s="31" t="str">
        <f t="shared" si="29"/>
        <v/>
      </c>
      <c r="Z504" s="32" t="str">
        <f t="shared" si="30"/>
        <v/>
      </c>
      <c r="AA504" s="32" t="str">
        <f t="shared" si="31"/>
        <v/>
      </c>
      <c r="AB504" s="45" t="str">
        <f t="shared" si="32"/>
        <v/>
      </c>
    </row>
    <row r="505" spans="3:28" x14ac:dyDescent="0.25">
      <c r="E505" s="6"/>
      <c r="F505" s="6"/>
      <c r="G505" s="7"/>
      <c r="Q505" s="21"/>
      <c r="Y505" s="31" t="str">
        <f t="shared" si="29"/>
        <v/>
      </c>
      <c r="Z505" s="32" t="str">
        <f t="shared" si="30"/>
        <v/>
      </c>
      <c r="AA505" s="32" t="str">
        <f t="shared" si="31"/>
        <v/>
      </c>
      <c r="AB505" s="45" t="str">
        <f t="shared" si="32"/>
        <v/>
      </c>
    </row>
    <row r="506" spans="3:28" x14ac:dyDescent="0.25">
      <c r="E506" s="6"/>
      <c r="F506" s="6"/>
      <c r="G506" s="7"/>
      <c r="Q506" s="21"/>
      <c r="Y506" s="31" t="str">
        <f t="shared" si="29"/>
        <v/>
      </c>
      <c r="Z506" s="32" t="str">
        <f t="shared" si="30"/>
        <v/>
      </c>
      <c r="AA506" s="32" t="str">
        <f t="shared" si="31"/>
        <v/>
      </c>
      <c r="AB506" s="45" t="str">
        <f t="shared" si="32"/>
        <v/>
      </c>
    </row>
    <row r="507" spans="3:28" x14ac:dyDescent="0.25">
      <c r="E507" s="6"/>
      <c r="F507" s="6"/>
      <c r="G507" s="7"/>
      <c r="Q507" s="21"/>
      <c r="Y507" s="31" t="str">
        <f t="shared" si="29"/>
        <v/>
      </c>
      <c r="Z507" s="32" t="str">
        <f t="shared" si="30"/>
        <v/>
      </c>
      <c r="AA507" s="32" t="str">
        <f t="shared" si="31"/>
        <v/>
      </c>
      <c r="AB507" s="45" t="str">
        <f t="shared" si="32"/>
        <v/>
      </c>
    </row>
    <row r="508" spans="3:28" x14ac:dyDescent="0.25">
      <c r="E508" s="6"/>
      <c r="F508" s="6"/>
      <c r="G508" s="7"/>
      <c r="Q508" s="21"/>
      <c r="Y508" s="31" t="str">
        <f t="shared" si="29"/>
        <v/>
      </c>
      <c r="Z508" s="32" t="str">
        <f t="shared" si="30"/>
        <v/>
      </c>
      <c r="AA508" s="32" t="str">
        <f t="shared" si="31"/>
        <v/>
      </c>
      <c r="AB508" s="45" t="str">
        <f t="shared" si="32"/>
        <v/>
      </c>
    </row>
    <row r="509" spans="3:28" x14ac:dyDescent="0.25">
      <c r="E509" s="6"/>
      <c r="F509" s="6"/>
      <c r="G509" s="7"/>
      <c r="Q509" s="21"/>
      <c r="Y509" s="31" t="str">
        <f t="shared" si="29"/>
        <v/>
      </c>
      <c r="Z509" s="32" t="str">
        <f t="shared" si="30"/>
        <v/>
      </c>
      <c r="AA509" s="32" t="str">
        <f t="shared" si="31"/>
        <v/>
      </c>
      <c r="AB509" s="45" t="str">
        <f t="shared" si="32"/>
        <v/>
      </c>
    </row>
    <row r="510" spans="3:28" x14ac:dyDescent="0.25">
      <c r="E510" s="6"/>
      <c r="F510" s="6"/>
      <c r="G510" s="7"/>
      <c r="Y510" s="31" t="str">
        <f t="shared" si="29"/>
        <v/>
      </c>
      <c r="Z510" s="32" t="str">
        <f t="shared" si="30"/>
        <v/>
      </c>
      <c r="AA510" s="32" t="str">
        <f t="shared" si="31"/>
        <v/>
      </c>
      <c r="AB510" s="45" t="str">
        <f t="shared" si="32"/>
        <v/>
      </c>
    </row>
    <row r="511" spans="3:28" x14ac:dyDescent="0.25">
      <c r="E511" s="6"/>
      <c r="F511" s="6"/>
      <c r="G511" s="7"/>
      <c r="Y511" s="31" t="str">
        <f t="shared" si="29"/>
        <v/>
      </c>
      <c r="Z511" s="32" t="str">
        <f t="shared" si="30"/>
        <v/>
      </c>
      <c r="AA511" s="32" t="str">
        <f t="shared" si="31"/>
        <v/>
      </c>
      <c r="AB511" s="45" t="str">
        <f t="shared" si="32"/>
        <v/>
      </c>
    </row>
    <row r="512" spans="3:28" x14ac:dyDescent="0.25">
      <c r="C512" s="2">
        <f>Tableau33[[#This Row],[cible_nom2]]</f>
        <v>0</v>
      </c>
      <c r="E512" s="6"/>
      <c r="F512" s="6"/>
      <c r="G512" s="7"/>
      <c r="Y512" s="31" t="str">
        <f t="shared" si="29"/>
        <v/>
      </c>
      <c r="Z512" s="32" t="str">
        <f t="shared" si="30"/>
        <v/>
      </c>
      <c r="AA512" s="32" t="str">
        <f t="shared" si="31"/>
        <v/>
      </c>
      <c r="AB512" s="45" t="str">
        <f t="shared" si="32"/>
        <v/>
      </c>
    </row>
    <row r="513" spans="3:7" x14ac:dyDescent="0.25">
      <c r="C513" s="2">
        <f>Tableau33[[#This Row],[cible_nom2]]</f>
        <v>0</v>
      </c>
      <c r="E513" s="6"/>
      <c r="F513" s="6"/>
      <c r="G513" s="7"/>
    </row>
  </sheetData>
  <mergeCells count="6">
    <mergeCell ref="R1:X1"/>
    <mergeCell ref="Y1:AB1"/>
    <mergeCell ref="AC1:AF1"/>
    <mergeCell ref="N1:Q1"/>
    <mergeCell ref="A1:G1"/>
    <mergeCell ref="I1:L1"/>
  </mergeCells>
  <phoneticPr fontId="9" type="noConversion"/>
  <conditionalFormatting sqref="D3:G4 D56:G63 D69:G72">
    <cfRule type="expression" dxfId="23" priority="24">
      <formula>$I3=44522</formula>
    </cfRule>
  </conditionalFormatting>
  <conditionalFormatting sqref="D27:G27 D66:F66 D17:G19 D36:G38 D41:G42 D64:G65 D67:G67 D5:G14 D23:G25 D47:G55">
    <cfRule type="expression" dxfId="22" priority="23">
      <formula>$I5=44522</formula>
    </cfRule>
  </conditionalFormatting>
  <conditionalFormatting sqref="D26:G26">
    <cfRule type="expression" dxfId="21" priority="22">
      <formula>$I26=44522</formula>
    </cfRule>
  </conditionalFormatting>
  <conditionalFormatting sqref="D34:G34">
    <cfRule type="expression" dxfId="20" priority="21">
      <formula>$I34=44522</formula>
    </cfRule>
  </conditionalFormatting>
  <conditionalFormatting sqref="D35:G35">
    <cfRule type="expression" dxfId="19" priority="20">
      <formula>$I35=44522</formula>
    </cfRule>
  </conditionalFormatting>
  <conditionalFormatting sqref="D33:G33">
    <cfRule type="expression" dxfId="18" priority="19">
      <formula>$I33=44522</formula>
    </cfRule>
  </conditionalFormatting>
  <conditionalFormatting sqref="D32:G32">
    <cfRule type="expression" dxfId="17" priority="18">
      <formula>$I32=44522</formula>
    </cfRule>
  </conditionalFormatting>
  <conditionalFormatting sqref="D28:G29">
    <cfRule type="expression" dxfId="16" priority="17">
      <formula>$I28=44522</formula>
    </cfRule>
  </conditionalFormatting>
  <conditionalFormatting sqref="D31:G31">
    <cfRule type="expression" dxfId="15" priority="16">
      <formula>$I31=44522</formula>
    </cfRule>
  </conditionalFormatting>
  <conditionalFormatting sqref="D30:G30">
    <cfRule type="expression" dxfId="14" priority="15">
      <formula>$I30=44522</formula>
    </cfRule>
  </conditionalFormatting>
  <conditionalFormatting sqref="D68:G68">
    <cfRule type="expression" dxfId="13" priority="14">
      <formula>$I68=44522</formula>
    </cfRule>
  </conditionalFormatting>
  <conditionalFormatting sqref="D40:G40">
    <cfRule type="expression" dxfId="12" priority="13">
      <formula>$I40=44522</formula>
    </cfRule>
  </conditionalFormatting>
  <conditionalFormatting sqref="D39:G39">
    <cfRule type="expression" dxfId="11" priority="12">
      <formula>$I39=44522</formula>
    </cfRule>
  </conditionalFormatting>
  <conditionalFormatting sqref="D43:G43">
    <cfRule type="expression" dxfId="10" priority="11">
      <formula>$I43=44522</formula>
    </cfRule>
  </conditionalFormatting>
  <conditionalFormatting sqref="D46:G46">
    <cfRule type="expression" dxfId="9" priority="10">
      <formula>$I46=44522</formula>
    </cfRule>
  </conditionalFormatting>
  <conditionalFormatting sqref="D45:G45">
    <cfRule type="expression" dxfId="8" priority="9">
      <formula>$I45=44522</formula>
    </cfRule>
  </conditionalFormatting>
  <conditionalFormatting sqref="D44:G44">
    <cfRule type="expression" dxfId="7" priority="8">
      <formula>$I44=44522</formula>
    </cfRule>
  </conditionalFormatting>
  <conditionalFormatting sqref="D22:G22">
    <cfRule type="expression" dxfId="6" priority="7">
      <formula>$I22=44522</formula>
    </cfRule>
  </conditionalFormatting>
  <conditionalFormatting sqref="D21:G21">
    <cfRule type="expression" dxfId="5" priority="6">
      <formula>$I21=44522</formula>
    </cfRule>
  </conditionalFormatting>
  <conditionalFormatting sqref="D20:G20">
    <cfRule type="expression" dxfId="4" priority="5">
      <formula>$I20=44522</formula>
    </cfRule>
  </conditionalFormatting>
  <conditionalFormatting sqref="D15:G16">
    <cfRule type="expression" dxfId="3" priority="4">
      <formula>$I15=44522</formula>
    </cfRule>
  </conditionalFormatting>
  <conditionalFormatting sqref="G66">
    <cfRule type="expression" dxfId="2" priority="3">
      <formula>$I66=44522</formula>
    </cfRule>
  </conditionalFormatting>
  <conditionalFormatting sqref="Z3:AB399">
    <cfRule type="cellIs" dxfId="1" priority="1" operator="between">
      <formula>0.005</formula>
      <formula>1</formula>
    </cfRule>
    <cfRule type="cellIs" dxfId="0" priority="2" operator="between">
      <formula>-1</formula>
      <formula>-0.005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5.affecterMesures2">
                <anchor moveWithCells="1" sizeWithCells="1">
                  <from>
                    <xdr:col>12</xdr:col>
                    <xdr:colOff>85725</xdr:colOff>
                    <xdr:row>4</xdr:row>
                    <xdr:rowOff>66675</xdr:rowOff>
                  </from>
                  <to>
                    <xdr:col>12</xdr:col>
                    <xdr:colOff>657225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ANALYSE TRI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 boissard</cp:lastModifiedBy>
  <dcterms:created xsi:type="dcterms:W3CDTF">2015-06-05T18:19:34Z</dcterms:created>
  <dcterms:modified xsi:type="dcterms:W3CDTF">2024-03-22T11:48:54Z</dcterms:modified>
</cp:coreProperties>
</file>