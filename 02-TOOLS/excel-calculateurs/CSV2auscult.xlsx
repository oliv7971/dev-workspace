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data\temp\"/>
    </mc:Choice>
  </mc:AlternateContent>
  <xr:revisionPtr revIDLastSave="0" documentId="13_ncr:1_{63344528-66E5-4B12-8B3B-8973478753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3 cibles sur 5(4)" sheetId="4" r:id="rId1"/>
    <sheet name="5 cibles (3)" sheetId="3" r:id="rId2"/>
    <sheet name="8 cibles (2)" sheetId="2" r:id="rId3"/>
    <sheet name="7 cibles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4" l="1"/>
  <c r="H16" i="4"/>
  <c r="I16" i="4"/>
  <c r="J16" i="4"/>
  <c r="F16" i="4"/>
  <c r="G16" i="4"/>
  <c r="E16" i="4"/>
  <c r="C16" i="4"/>
  <c r="D16" i="4"/>
  <c r="B16" i="4"/>
  <c r="I12" i="4"/>
  <c r="J12" i="4"/>
  <c r="H12" i="4"/>
  <c r="F12" i="4"/>
  <c r="G12" i="4"/>
  <c r="E12" i="4"/>
  <c r="C12" i="4"/>
  <c r="D12" i="4"/>
  <c r="B12" i="4"/>
  <c r="E11" i="4"/>
  <c r="B11" i="4"/>
  <c r="G3" i="4"/>
  <c r="H3" i="4"/>
  <c r="G4" i="4"/>
  <c r="H4" i="4"/>
  <c r="G5" i="4"/>
  <c r="H5" i="4"/>
  <c r="F4" i="4"/>
  <c r="F5" i="4"/>
  <c r="F3" i="4"/>
  <c r="E5" i="4"/>
  <c r="B4" i="4"/>
  <c r="C4" i="4"/>
  <c r="D4" i="4"/>
  <c r="B5" i="4"/>
  <c r="H11" i="4" s="1"/>
  <c r="C5" i="4"/>
  <c r="D5" i="4"/>
  <c r="D3" i="4"/>
  <c r="E3" i="4"/>
  <c r="C3" i="4"/>
  <c r="B3" i="4"/>
  <c r="H7" i="3" l="1"/>
  <c r="G7" i="3"/>
  <c r="F7" i="3"/>
  <c r="E7" i="3"/>
  <c r="D7" i="3"/>
  <c r="C7" i="3"/>
  <c r="B7" i="3"/>
  <c r="H6" i="3"/>
  <c r="G6" i="3"/>
  <c r="F6" i="3"/>
  <c r="E6" i="3"/>
  <c r="D6" i="3"/>
  <c r="C6" i="3"/>
  <c r="B6" i="3"/>
  <c r="E4" i="4" l="1"/>
  <c r="P16" i="4" l="1"/>
  <c r="O16" i="4"/>
  <c r="N16" i="4"/>
  <c r="P12" i="4"/>
  <c r="O12" i="4"/>
  <c r="N12" i="4"/>
  <c r="N11" i="4"/>
  <c r="N15" i="4" s="1"/>
  <c r="P16" i="3" l="1"/>
  <c r="O16" i="3"/>
  <c r="N16" i="3"/>
  <c r="M16" i="3"/>
  <c r="L16" i="3"/>
  <c r="K16" i="3"/>
  <c r="P12" i="3"/>
  <c r="O12" i="3"/>
  <c r="N12" i="3"/>
  <c r="M12" i="3"/>
  <c r="L12" i="3"/>
  <c r="K12" i="3"/>
  <c r="N11" i="3"/>
  <c r="N15" i="3" s="1"/>
  <c r="K11" i="3"/>
  <c r="K15" i="3" s="1"/>
  <c r="B14" i="2"/>
  <c r="B18" i="2" s="1"/>
  <c r="X19" i="2"/>
  <c r="Y19" i="2"/>
  <c r="W19" i="2"/>
  <c r="X15" i="2"/>
  <c r="Y15" i="2"/>
  <c r="W15" i="2"/>
  <c r="W14" i="2"/>
  <c r="W18" i="2" s="1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T14" i="2"/>
  <c r="T18" i="2" s="1"/>
  <c r="Q14" i="2"/>
  <c r="Q18" i="2" s="1"/>
  <c r="N14" i="2"/>
  <c r="N18" i="2" s="1"/>
  <c r="K14" i="2"/>
  <c r="K18" i="2" s="1"/>
  <c r="H14" i="2"/>
  <c r="H18" i="2" s="1"/>
  <c r="E14" i="2"/>
  <c r="E18" i="2" s="1"/>
  <c r="U18" i="1"/>
  <c r="V18" i="1"/>
  <c r="T18" i="1"/>
  <c r="R18" i="1"/>
  <c r="S18" i="1"/>
  <c r="Q18" i="1"/>
  <c r="O18" i="1"/>
  <c r="P18" i="1"/>
  <c r="N18" i="1"/>
  <c r="L18" i="1"/>
  <c r="M18" i="1"/>
  <c r="K18" i="1"/>
  <c r="I18" i="1"/>
  <c r="J18" i="1"/>
  <c r="H18" i="1"/>
  <c r="F18" i="1"/>
  <c r="G18" i="1"/>
  <c r="E18" i="1"/>
  <c r="C18" i="1"/>
  <c r="D18" i="1"/>
  <c r="B18" i="1"/>
  <c r="E17" i="1"/>
  <c r="H17" i="1"/>
  <c r="K17" i="1"/>
  <c r="N17" i="1"/>
  <c r="Q17" i="1"/>
  <c r="T17" i="1"/>
  <c r="B17" i="1"/>
  <c r="U14" i="1"/>
  <c r="V14" i="1"/>
  <c r="T14" i="1"/>
  <c r="R14" i="1"/>
  <c r="S14" i="1"/>
  <c r="Q14" i="1"/>
  <c r="O14" i="1"/>
  <c r="P14" i="1"/>
  <c r="N14" i="1"/>
  <c r="L14" i="1"/>
  <c r="M14" i="1"/>
  <c r="K14" i="1"/>
  <c r="T13" i="1"/>
  <c r="Q13" i="1"/>
  <c r="N13" i="1"/>
  <c r="K13" i="1"/>
  <c r="H13" i="1"/>
  <c r="E13" i="1"/>
  <c r="I14" i="1"/>
  <c r="J14" i="1"/>
  <c r="H14" i="1"/>
  <c r="F14" i="1"/>
  <c r="G14" i="1"/>
  <c r="E14" i="1"/>
  <c r="C14" i="1"/>
  <c r="D14" i="1"/>
  <c r="B14" i="1"/>
  <c r="E15" i="4" l="1"/>
  <c r="B15" i="4"/>
  <c r="D4" i="3"/>
  <c r="F12" i="3" s="1"/>
  <c r="G4" i="3"/>
  <c r="F16" i="3" s="1"/>
  <c r="F4" i="3"/>
  <c r="E16" i="3" s="1"/>
  <c r="C4" i="3"/>
  <c r="E12" i="3" s="1"/>
  <c r="B3" i="3"/>
  <c r="B11" i="3" s="1"/>
  <c r="B15" i="3" s="1"/>
  <c r="B5" i="3"/>
  <c r="H11" i="3" s="1"/>
  <c r="H15" i="3" s="1"/>
  <c r="F3" i="3"/>
  <c r="B16" i="3" s="1"/>
  <c r="C3" i="3"/>
  <c r="B12" i="3" s="1"/>
  <c r="F5" i="3"/>
  <c r="H16" i="3" s="1"/>
  <c r="C5" i="3"/>
  <c r="H12" i="3" s="1"/>
  <c r="B4" i="3"/>
  <c r="E11" i="3" s="1"/>
  <c r="E15" i="3" s="1"/>
  <c r="G3" i="3"/>
  <c r="C16" i="3" s="1"/>
  <c r="D3" i="3"/>
  <c r="C12" i="3" s="1"/>
  <c r="G5" i="3"/>
  <c r="I16" i="3" s="1"/>
  <c r="D5" i="3"/>
  <c r="I12" i="3" s="1"/>
  <c r="E4" i="3"/>
  <c r="G12" i="3" s="1"/>
  <c r="H4" i="3"/>
  <c r="G16" i="3" s="1"/>
  <c r="H3" i="3"/>
  <c r="D16" i="3" s="1"/>
  <c r="E3" i="3"/>
  <c r="D12" i="3" s="1"/>
  <c r="H5" i="3"/>
  <c r="J16" i="3" s="1"/>
  <c r="E5" i="3"/>
  <c r="J12" i="3" s="1"/>
</calcChain>
</file>

<file path=xl/sharedStrings.xml><?xml version="1.0" encoding="utf-8"?>
<sst xmlns="http://schemas.openxmlformats.org/spreadsheetml/2006/main" count="74" uniqueCount="36">
  <si>
    <t>C1</t>
  </si>
  <si>
    <t>C2</t>
  </si>
  <si>
    <t>C3</t>
  </si>
  <si>
    <t>C4</t>
  </si>
  <si>
    <t>C5</t>
  </si>
  <si>
    <t>C6</t>
  </si>
  <si>
    <t>C7</t>
  </si>
  <si>
    <t>PT</t>
  </si>
  <si>
    <t>X</t>
  </si>
  <si>
    <t>Y</t>
  </si>
  <si>
    <t>Z</t>
  </si>
  <si>
    <t>PM</t>
  </si>
  <si>
    <t>H</t>
  </si>
  <si>
    <t>V</t>
  </si>
  <si>
    <t>XYZ</t>
  </si>
  <si>
    <t>n69a</t>
  </si>
  <si>
    <t>n71a</t>
  </si>
  <si>
    <t>n71d</t>
  </si>
  <si>
    <t>n71g</t>
  </si>
  <si>
    <t>n72a</t>
  </si>
  <si>
    <t>n73a</t>
  </si>
  <si>
    <t>n77a</t>
  </si>
  <si>
    <t>n79a</t>
  </si>
  <si>
    <t>NIV68</t>
  </si>
  <si>
    <t>NIV64</t>
  </si>
  <si>
    <t>NIV64G</t>
  </si>
  <si>
    <t>NIV60A</t>
  </si>
  <si>
    <t>NIV64A</t>
  </si>
  <si>
    <t>NIV68A</t>
  </si>
  <si>
    <t>IZr-059GVA-A</t>
  </si>
  <si>
    <t>IZr-056GVA-A</t>
  </si>
  <si>
    <t>IZr-056GVA-G</t>
  </si>
  <si>
    <t>IZr-052GVA-A</t>
  </si>
  <si>
    <t>IGCR-NIV1</t>
  </si>
  <si>
    <t>IGCR-NIV3</t>
  </si>
  <si>
    <t>IGCR-NIV2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</si>
</sst>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/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38D9-E3EF-4B5A-8FA7-F3CCA42A187C}">
  <dimension ref="A2:S16"/>
  <sheetViews>
    <sheetView tabSelected="1" zoomScale="85" zoomScaleNormal="85" workbookViewId="0">
      <selection activeCell="T13" sqref="T13"/>
    </sheetView>
  </sheetViews>
  <sheetFormatPr baseColWidth="10" defaultColWidth="9.140625" defaultRowHeight="15" x14ac:dyDescent="0.25"/>
  <cols>
    <col min="1" max="1" width="9.140625" style="3"/>
    <col min="2" max="16" width="12.42578125" style="3" customWidth="1"/>
    <col min="17" max="16384" width="9.140625" style="3"/>
  </cols>
  <sheetData>
    <row r="2" spans="1:19" x14ac:dyDescent="0.25"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19" ht="12.75" customHeight="1" x14ac:dyDescent="0.25">
      <c r="B3" s="2" t="str">
        <f>K3</f>
        <v>IGCR-NIV1</v>
      </c>
      <c r="C3" s="13">
        <f>L3</f>
        <v>823220.78209999995</v>
      </c>
      <c r="D3" s="13">
        <f t="shared" ref="D3:E3" si="0">M3</f>
        <v>1091502.3077</v>
      </c>
      <c r="E3" s="13">
        <f t="shared" si="0"/>
        <v>-125.5752</v>
      </c>
      <c r="F3" s="5">
        <f>Q3</f>
        <v>167.79917948277156</v>
      </c>
      <c r="G3" s="5">
        <f t="shared" ref="G3:H5" si="1">R3</f>
        <v>2.4428554816119488</v>
      </c>
      <c r="H3" s="5">
        <f t="shared" si="1"/>
        <v>-1.7103117948277173</v>
      </c>
      <c r="K3" s="1" t="s">
        <v>33</v>
      </c>
      <c r="L3" s="14">
        <v>823220.78209999995</v>
      </c>
      <c r="M3" s="14">
        <v>1091502.3077</v>
      </c>
      <c r="N3" s="14">
        <v>-125.5752</v>
      </c>
      <c r="O3" s="1"/>
      <c r="P3" s="1" t="s">
        <v>33</v>
      </c>
      <c r="Q3" s="14">
        <v>167.79917948277156</v>
      </c>
      <c r="R3" s="14">
        <v>2.4428554816119488</v>
      </c>
      <c r="S3" s="14">
        <v>-1.7103117948277173</v>
      </c>
    </row>
    <row r="4" spans="1:19" x14ac:dyDescent="0.25">
      <c r="B4" s="2" t="str">
        <f t="shared" ref="B4:B5" si="2">K4</f>
        <v>IGCR-NIV2</v>
      </c>
      <c r="C4" s="13">
        <f t="shared" ref="C4:C5" si="3">L4</f>
        <v>823219.77760000003</v>
      </c>
      <c r="D4" s="13">
        <f t="shared" ref="D4:D5" si="4">M4</f>
        <v>1091504.5115</v>
      </c>
      <c r="E4" s="2">
        <f t="shared" ref="C4:E5" si="5">N4</f>
        <v>-125.58969999999999</v>
      </c>
      <c r="F4" s="5">
        <f t="shared" ref="F4:F5" si="6">Q4</f>
        <v>167.82024961931066</v>
      </c>
      <c r="G4" s="5">
        <f t="shared" si="1"/>
        <v>2.1015119559117137E-2</v>
      </c>
      <c r="H4" s="5">
        <f t="shared" si="1"/>
        <v>-1.7250224961931053</v>
      </c>
      <c r="K4" s="1" t="s">
        <v>35</v>
      </c>
      <c r="L4" s="14">
        <v>823219.77760000003</v>
      </c>
      <c r="M4" s="14">
        <v>1091504.5115</v>
      </c>
      <c r="N4" s="14">
        <v>-125.58969999999999</v>
      </c>
      <c r="O4" s="1"/>
      <c r="P4" s="1" t="s">
        <v>35</v>
      </c>
      <c r="Q4" s="14">
        <v>167.82024961931066</v>
      </c>
      <c r="R4" s="14">
        <v>2.1015119559117137E-2</v>
      </c>
      <c r="S4" s="14">
        <v>-1.7250224961931053</v>
      </c>
    </row>
    <row r="5" spans="1:19" x14ac:dyDescent="0.25">
      <c r="B5" s="2" t="str">
        <f t="shared" si="2"/>
        <v>IGCR-NIV3</v>
      </c>
      <c r="C5" s="13">
        <f t="shared" si="3"/>
        <v>823218.56499999994</v>
      </c>
      <c r="D5" s="13">
        <f t="shared" si="4"/>
        <v>1091507.0888</v>
      </c>
      <c r="E5" s="2">
        <f t="shared" si="5"/>
        <v>-125.5865</v>
      </c>
      <c r="F5" s="5">
        <f t="shared" si="6"/>
        <v>167.81058090603565</v>
      </c>
      <c r="G5" s="5">
        <f t="shared" si="1"/>
        <v>-2.827279206211244</v>
      </c>
      <c r="H5" s="5">
        <f t="shared" si="1"/>
        <v>-1.7217258090603593</v>
      </c>
      <c r="K5" s="1" t="s">
        <v>34</v>
      </c>
      <c r="L5" s="14">
        <v>823218.56499999994</v>
      </c>
      <c r="M5" s="14">
        <v>1091507.0888</v>
      </c>
      <c r="N5" s="14">
        <v>-125.5865</v>
      </c>
      <c r="O5" s="1"/>
      <c r="P5" s="1" t="s">
        <v>34</v>
      </c>
      <c r="Q5" s="14">
        <v>167.81058090603565</v>
      </c>
      <c r="R5" s="14">
        <v>-2.827279206211244</v>
      </c>
      <c r="S5" s="14">
        <v>-1.7217258090603593</v>
      </c>
    </row>
    <row r="6" spans="1:19" x14ac:dyDescent="0.25">
      <c r="B6" s="2"/>
      <c r="C6" s="5"/>
      <c r="D6" s="5"/>
      <c r="E6" s="5"/>
      <c r="F6" s="5"/>
      <c r="G6" s="5"/>
      <c r="H6" s="5"/>
    </row>
    <row r="7" spans="1:19" x14ac:dyDescent="0.25">
      <c r="B7" s="2"/>
      <c r="C7" s="2"/>
      <c r="D7" s="2"/>
      <c r="E7" s="2"/>
      <c r="F7" s="5"/>
      <c r="G7" s="5"/>
      <c r="H7" s="5"/>
    </row>
    <row r="11" spans="1:19" x14ac:dyDescent="0.25">
      <c r="A11" s="4" t="s">
        <v>14</v>
      </c>
      <c r="B11" s="9" t="str">
        <f>B3</f>
        <v>IGCR-NIV1</v>
      </c>
      <c r="C11" s="9"/>
      <c r="D11" s="9"/>
      <c r="E11" s="9" t="str">
        <f>B4</f>
        <v>IGCR-NIV2</v>
      </c>
      <c r="F11" s="9"/>
      <c r="G11" s="9"/>
      <c r="H11" s="9" t="str">
        <f>B5</f>
        <v>IGCR-NIV3</v>
      </c>
      <c r="I11" s="9"/>
      <c r="J11" s="9"/>
      <c r="K11" s="9"/>
      <c r="L11" s="9"/>
      <c r="M11" s="9"/>
      <c r="N11" s="9">
        <f>B7</f>
        <v>0</v>
      </c>
      <c r="O11" s="9"/>
      <c r="P11" s="9"/>
    </row>
    <row r="12" spans="1:19" s="7" customFormat="1" x14ac:dyDescent="0.25">
      <c r="A12" s="6"/>
      <c r="B12" s="6">
        <f>C3</f>
        <v>823220.78209999995</v>
      </c>
      <c r="C12" s="6">
        <f t="shared" ref="C12:D12" si="7">D3</f>
        <v>1091502.3077</v>
      </c>
      <c r="D12" s="6">
        <f t="shared" si="7"/>
        <v>-125.5752</v>
      </c>
      <c r="E12" s="6">
        <f>C4</f>
        <v>823219.77760000003</v>
      </c>
      <c r="F12" s="6">
        <f t="shared" ref="F12:G12" si="8">D4</f>
        <v>1091504.5115</v>
      </c>
      <c r="G12" s="6">
        <f t="shared" si="8"/>
        <v>-125.58969999999999</v>
      </c>
      <c r="H12" s="6">
        <f>C5</f>
        <v>823218.56499999994</v>
      </c>
      <c r="I12" s="6">
        <f t="shared" ref="I12:J12" si="9">D5</f>
        <v>1091507.0888</v>
      </c>
      <c r="J12" s="6">
        <f t="shared" si="9"/>
        <v>-125.5865</v>
      </c>
      <c r="K12" s="6"/>
      <c r="L12" s="6"/>
      <c r="M12" s="6"/>
      <c r="N12" s="6">
        <f>C7</f>
        <v>0</v>
      </c>
      <c r="O12" s="6">
        <f>D7</f>
        <v>0</v>
      </c>
      <c r="P12" s="6">
        <f>E7</f>
        <v>0</v>
      </c>
    </row>
    <row r="15" spans="1:19" x14ac:dyDescent="0.25">
      <c r="A15" s="4" t="s">
        <v>11</v>
      </c>
      <c r="B15" s="9" t="str">
        <f>B11</f>
        <v>IGCR-NIV1</v>
      </c>
      <c r="C15" s="9"/>
      <c r="D15" s="9"/>
      <c r="E15" s="9" t="str">
        <f t="shared" ref="E15" si="10">E11</f>
        <v>IGCR-NIV2</v>
      </c>
      <c r="F15" s="9"/>
      <c r="G15" s="9"/>
      <c r="H15" s="9" t="str">
        <f>H11</f>
        <v>IGCR-NIV3</v>
      </c>
      <c r="I15" s="9"/>
      <c r="J15" s="9"/>
      <c r="K15" s="9"/>
      <c r="L15" s="9"/>
      <c r="M15" s="9"/>
      <c r="N15" s="9">
        <f t="shared" ref="N15" si="11">N11</f>
        <v>0</v>
      </c>
      <c r="O15" s="9"/>
      <c r="P15" s="9"/>
    </row>
    <row r="16" spans="1:19" s="7" customFormat="1" x14ac:dyDescent="0.25">
      <c r="A16" s="6"/>
      <c r="B16" s="6">
        <f>F3</f>
        <v>167.79917948277156</v>
      </c>
      <c r="C16" s="6">
        <f t="shared" ref="C16:D16" si="12">G3</f>
        <v>2.4428554816119488</v>
      </c>
      <c r="D16" s="6">
        <f t="shared" si="12"/>
        <v>-1.7103117948277173</v>
      </c>
      <c r="E16" s="6">
        <f>F4</f>
        <v>167.82024961931066</v>
      </c>
      <c r="F16" s="6">
        <f t="shared" ref="F16:G16" si="13">G4</f>
        <v>2.1015119559117137E-2</v>
      </c>
      <c r="G16" s="6">
        <f t="shared" si="13"/>
        <v>-1.7250224961931053</v>
      </c>
      <c r="H16" s="6" t="str">
        <f>B5</f>
        <v>IGCR-NIV3</v>
      </c>
      <c r="I16" s="6">
        <f t="shared" ref="I16:J16" si="14">G5</f>
        <v>-2.827279206211244</v>
      </c>
      <c r="J16" s="6">
        <f t="shared" si="14"/>
        <v>-1.7217258090603593</v>
      </c>
      <c r="K16" s="6"/>
      <c r="L16" s="6"/>
      <c r="M16" s="6"/>
      <c r="N16" s="6">
        <f>F7</f>
        <v>0</v>
      </c>
      <c r="O16" s="6">
        <f>G7</f>
        <v>0</v>
      </c>
      <c r="P16" s="6">
        <f>H7</f>
        <v>0</v>
      </c>
    </row>
  </sheetData>
  <sortState xmlns:xlrd2="http://schemas.microsoft.com/office/spreadsheetml/2017/richdata2" ref="K3:S5">
    <sortCondition ref="K3:K5"/>
  </sortState>
  <mergeCells count="10">
    <mergeCell ref="B11:D11"/>
    <mergeCell ref="E11:G11"/>
    <mergeCell ref="H11:J11"/>
    <mergeCell ref="K11:M11"/>
    <mergeCell ref="N11:P11"/>
    <mergeCell ref="B15:D15"/>
    <mergeCell ref="E15:G15"/>
    <mergeCell ref="H15:J15"/>
    <mergeCell ref="K15:M15"/>
    <mergeCell ref="N15:P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1398C-45A3-4A9E-8196-7AE9283B20DC}">
  <dimension ref="A2:S29"/>
  <sheetViews>
    <sheetView zoomScale="85" zoomScaleNormal="85" workbookViewId="0">
      <selection activeCell="Y16" sqref="Y16:Y17"/>
    </sheetView>
  </sheetViews>
  <sheetFormatPr baseColWidth="10" defaultColWidth="9.140625" defaultRowHeight="15" x14ac:dyDescent="0.25"/>
  <cols>
    <col min="1" max="1" width="9.140625" style="3"/>
    <col min="2" max="16" width="12.42578125" style="3" customWidth="1"/>
    <col min="17" max="16384" width="9.140625" style="3"/>
  </cols>
  <sheetData>
    <row r="2" spans="1:19" x14ac:dyDescent="0.25"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19" ht="12.75" customHeight="1" x14ac:dyDescent="0.25">
      <c r="B3" s="2" t="str">
        <f>K3</f>
        <v>IZr-052GVA-A</v>
      </c>
      <c r="C3" s="2">
        <f t="shared" ref="C3:D3" si="0">L3</f>
        <v>823222.19720000005</v>
      </c>
      <c r="D3" s="2">
        <f t="shared" si="0"/>
        <v>1091505.6684999999</v>
      </c>
      <c r="E3" s="2">
        <f>N3</f>
        <v>-125.5432</v>
      </c>
      <c r="F3" s="5">
        <f>Q3</f>
        <v>170.5021222371017</v>
      </c>
      <c r="G3" s="5">
        <f t="shared" ref="G3:H3" si="1">R3</f>
        <v>-4.9159775886210332E-3</v>
      </c>
      <c r="H3" s="5">
        <f t="shared" si="1"/>
        <v>-1.7053412223710183</v>
      </c>
      <c r="K3" s="11" t="s">
        <v>32</v>
      </c>
      <c r="L3" s="12">
        <v>823222.19720000005</v>
      </c>
      <c r="M3" s="12">
        <v>1091505.6684999999</v>
      </c>
      <c r="N3" s="12">
        <v>-125.5432</v>
      </c>
      <c r="O3"/>
      <c r="P3" t="s">
        <v>32</v>
      </c>
      <c r="Q3" s="8">
        <v>170.5021222371017</v>
      </c>
      <c r="R3" s="8">
        <v>-4.9159775886210332E-3</v>
      </c>
      <c r="S3" s="8">
        <v>-1.7053412223710183</v>
      </c>
    </row>
    <row r="4" spans="1:19" x14ac:dyDescent="0.25">
      <c r="B4" s="2" t="str">
        <f t="shared" ref="B4:B7" si="2">K4</f>
        <v>IZr-056GVA-A</v>
      </c>
      <c r="C4" s="2">
        <f t="shared" ref="C4:C7" si="3">L4</f>
        <v>823225.36769999994</v>
      </c>
      <c r="D4" s="2">
        <f t="shared" ref="D4:D7" si="4">M4</f>
        <v>1091507.1466000001</v>
      </c>
      <c r="E4" s="2">
        <f t="shared" ref="E4:E7" si="5">N4</f>
        <v>-125.5288</v>
      </c>
      <c r="F4" s="5">
        <f t="shared" ref="F4:F7" si="6">Q4</f>
        <v>174.00024311504919</v>
      </c>
      <c r="G4" s="5">
        <f t="shared" ref="G4:G7" si="7">R4</f>
        <v>-4.4880576633721759E-3</v>
      </c>
      <c r="H4" s="5">
        <f t="shared" ref="H4:H7" si="8">S4</f>
        <v>-1.7259224311504937</v>
      </c>
      <c r="K4" s="11" t="s">
        <v>30</v>
      </c>
      <c r="L4" s="12">
        <v>823225.36769999994</v>
      </c>
      <c r="M4" s="12">
        <v>1091507.1466000001</v>
      </c>
      <c r="N4" s="12">
        <v>-125.5288</v>
      </c>
      <c r="O4"/>
      <c r="P4" t="s">
        <v>30</v>
      </c>
      <c r="Q4" s="8">
        <v>174.00024311504919</v>
      </c>
      <c r="R4" s="8">
        <v>-4.4880576633721759E-3</v>
      </c>
      <c r="S4" s="8">
        <v>-1.7259224311504937</v>
      </c>
    </row>
    <row r="5" spans="1:19" x14ac:dyDescent="0.25">
      <c r="B5" s="2" t="str">
        <f t="shared" si="2"/>
        <v>IZr-056GVA-G</v>
      </c>
      <c r="C5" s="2">
        <f t="shared" si="3"/>
        <v>823224.96889999998</v>
      </c>
      <c r="D5" s="2">
        <f t="shared" si="4"/>
        <v>1091508.7239999999</v>
      </c>
      <c r="E5" s="2">
        <f t="shared" si="5"/>
        <v>-125.5145</v>
      </c>
      <c r="F5" s="5">
        <f t="shared" si="6"/>
        <v>174.30550512652454</v>
      </c>
      <c r="G5" s="5">
        <f t="shared" si="7"/>
        <v>-1.6026267574642499</v>
      </c>
      <c r="H5" s="5">
        <f t="shared" si="8"/>
        <v>-1.714675051265246</v>
      </c>
      <c r="K5" s="11" t="s">
        <v>31</v>
      </c>
      <c r="L5" s="12">
        <v>823224.96889999998</v>
      </c>
      <c r="M5" s="12">
        <v>1091508.7239999999</v>
      </c>
      <c r="N5" s="12">
        <v>-125.5145</v>
      </c>
      <c r="O5"/>
      <c r="P5" t="s">
        <v>31</v>
      </c>
      <c r="Q5" s="8">
        <v>174.30550512652454</v>
      </c>
      <c r="R5" s="8">
        <v>-1.6026267574642499</v>
      </c>
      <c r="S5" s="8">
        <v>-1.714675051265246</v>
      </c>
    </row>
    <row r="6" spans="1:19" x14ac:dyDescent="0.25">
      <c r="B6" s="2">
        <f t="shared" si="2"/>
        <v>0</v>
      </c>
      <c r="C6" s="2">
        <f t="shared" si="3"/>
        <v>0</v>
      </c>
      <c r="D6" s="2">
        <f t="shared" si="4"/>
        <v>0</v>
      </c>
      <c r="E6" s="2">
        <f t="shared" si="5"/>
        <v>0</v>
      </c>
      <c r="F6" s="5">
        <f t="shared" si="6"/>
        <v>0</v>
      </c>
      <c r="G6" s="5">
        <f t="shared" si="7"/>
        <v>0</v>
      </c>
      <c r="H6" s="5">
        <f t="shared" si="8"/>
        <v>0</v>
      </c>
      <c r="K6" s="11"/>
      <c r="L6" s="12"/>
      <c r="M6" s="12"/>
      <c r="N6" s="12"/>
      <c r="O6"/>
      <c r="P6"/>
      <c r="Q6" s="8"/>
      <c r="R6" s="8"/>
      <c r="S6" s="8"/>
    </row>
    <row r="7" spans="1:19" x14ac:dyDescent="0.25">
      <c r="B7" s="2" t="str">
        <f t="shared" ref="B7" si="9">K7</f>
        <v>IZr-059GVA-A</v>
      </c>
      <c r="C7" s="2">
        <f t="shared" ref="C7" si="10">L7</f>
        <v>823228.53599999996</v>
      </c>
      <c r="D7" s="2">
        <f t="shared" ref="D7" si="11">M7</f>
        <v>1091508.6244999999</v>
      </c>
      <c r="E7" s="2">
        <f t="shared" ref="E7" si="12">N7</f>
        <v>-125.5127</v>
      </c>
      <c r="F7" s="5">
        <f t="shared" ref="F7" si="13">Q7</f>
        <v>177.4962856200512</v>
      </c>
      <c r="G7" s="5">
        <f t="shared" ref="G7" si="14">R7</f>
        <v>-4.8087133710786514E-3</v>
      </c>
      <c r="H7" s="5">
        <f t="shared" ref="H7" si="15">S7</f>
        <v>-1.7447828562005157</v>
      </c>
      <c r="K7" s="11" t="s">
        <v>29</v>
      </c>
      <c r="L7" s="12">
        <v>823228.53599999996</v>
      </c>
      <c r="M7" s="12">
        <v>1091508.6244999999</v>
      </c>
      <c r="N7" s="12">
        <v>-125.5127</v>
      </c>
      <c r="O7"/>
      <c r="P7" t="s">
        <v>29</v>
      </c>
      <c r="Q7" s="8">
        <v>177.4962856200512</v>
      </c>
      <c r="R7" s="8">
        <v>-4.8087133710786514E-3</v>
      </c>
      <c r="S7" s="8">
        <v>-1.7447828562005157</v>
      </c>
    </row>
    <row r="8" spans="1:19" x14ac:dyDescent="0.25">
      <c r="K8"/>
      <c r="L8" s="8"/>
      <c r="M8" s="8"/>
      <c r="N8" s="8"/>
      <c r="O8"/>
      <c r="P8"/>
      <c r="Q8" s="8"/>
      <c r="R8" s="8"/>
      <c r="S8" s="8"/>
    </row>
    <row r="11" spans="1:19" x14ac:dyDescent="0.25">
      <c r="A11" s="4" t="s">
        <v>14</v>
      </c>
      <c r="B11" s="9" t="str">
        <f>B3</f>
        <v>IZr-052GVA-A</v>
      </c>
      <c r="C11" s="9"/>
      <c r="D11" s="9"/>
      <c r="E11" s="9" t="str">
        <f>B4</f>
        <v>IZr-056GVA-A</v>
      </c>
      <c r="F11" s="9"/>
      <c r="G11" s="9"/>
      <c r="H11" s="9" t="str">
        <f>B5</f>
        <v>IZr-056GVA-G</v>
      </c>
      <c r="I11" s="9"/>
      <c r="J11" s="9"/>
      <c r="K11" s="9">
        <f>B6</f>
        <v>0</v>
      </c>
      <c r="L11" s="9"/>
      <c r="M11" s="9"/>
      <c r="N11" s="9" t="str">
        <f>B7</f>
        <v>IZr-059GVA-A</v>
      </c>
      <c r="O11" s="9"/>
      <c r="P11" s="9"/>
    </row>
    <row r="12" spans="1:19" s="7" customFormat="1" x14ac:dyDescent="0.25">
      <c r="A12" s="6"/>
      <c r="B12" s="6">
        <f>C3</f>
        <v>823222.19720000005</v>
      </c>
      <c r="C12" s="6">
        <f>D3</f>
        <v>1091505.6684999999</v>
      </c>
      <c r="D12" s="6">
        <f>E3</f>
        <v>-125.5432</v>
      </c>
      <c r="E12" s="6">
        <f>C4</f>
        <v>823225.36769999994</v>
      </c>
      <c r="F12" s="6">
        <f>D4</f>
        <v>1091507.1466000001</v>
      </c>
      <c r="G12" s="6">
        <f>E4</f>
        <v>-125.5288</v>
      </c>
      <c r="H12" s="6">
        <f>C5</f>
        <v>823224.96889999998</v>
      </c>
      <c r="I12" s="6">
        <f>D5</f>
        <v>1091508.7239999999</v>
      </c>
      <c r="J12" s="6">
        <f>E5</f>
        <v>-125.5145</v>
      </c>
      <c r="K12" s="6">
        <f>C6</f>
        <v>0</v>
      </c>
      <c r="L12" s="6">
        <f>D6</f>
        <v>0</v>
      </c>
      <c r="M12" s="6">
        <f>E6</f>
        <v>0</v>
      </c>
      <c r="N12" s="6">
        <f>C7</f>
        <v>823228.53599999996</v>
      </c>
      <c r="O12" s="6">
        <f>D7</f>
        <v>1091508.6244999999</v>
      </c>
      <c r="P12" s="6">
        <f>E7</f>
        <v>-125.5127</v>
      </c>
    </row>
    <row r="15" spans="1:19" x14ac:dyDescent="0.25">
      <c r="A15" s="4" t="s">
        <v>11</v>
      </c>
      <c r="B15" s="9" t="str">
        <f>B11</f>
        <v>IZr-052GVA-A</v>
      </c>
      <c r="C15" s="9"/>
      <c r="D15" s="9"/>
      <c r="E15" s="9" t="str">
        <f t="shared" ref="E15" si="16">E11</f>
        <v>IZr-056GVA-A</v>
      </c>
      <c r="F15" s="9"/>
      <c r="G15" s="9"/>
      <c r="H15" s="9" t="str">
        <f t="shared" ref="H15" si="17">H11</f>
        <v>IZr-056GVA-G</v>
      </c>
      <c r="I15" s="9"/>
      <c r="J15" s="9"/>
      <c r="K15" s="9">
        <f t="shared" ref="K15" si="18">K11</f>
        <v>0</v>
      </c>
      <c r="L15" s="9"/>
      <c r="M15" s="9"/>
      <c r="N15" s="9" t="str">
        <f t="shared" ref="N15" si="19">N11</f>
        <v>IZr-059GVA-A</v>
      </c>
      <c r="O15" s="9"/>
      <c r="P15" s="9"/>
    </row>
    <row r="16" spans="1:19" s="7" customFormat="1" x14ac:dyDescent="0.25">
      <c r="A16" s="6"/>
      <c r="B16" s="6">
        <f>F3</f>
        <v>170.5021222371017</v>
      </c>
      <c r="C16" s="6">
        <f>G3</f>
        <v>-4.9159775886210332E-3</v>
      </c>
      <c r="D16" s="6">
        <f>H3</f>
        <v>-1.7053412223710183</v>
      </c>
      <c r="E16" s="6">
        <f>F4</f>
        <v>174.00024311504919</v>
      </c>
      <c r="F16" s="6">
        <f>G4</f>
        <v>-4.4880576633721759E-3</v>
      </c>
      <c r="G16" s="6">
        <f>H4</f>
        <v>-1.7259224311504937</v>
      </c>
      <c r="H16" s="6">
        <f>F5</f>
        <v>174.30550512652454</v>
      </c>
      <c r="I16" s="6">
        <f>G5</f>
        <v>-1.6026267574642499</v>
      </c>
      <c r="J16" s="6">
        <f>H5</f>
        <v>-1.714675051265246</v>
      </c>
      <c r="K16" s="6">
        <f>F6</f>
        <v>0</v>
      </c>
      <c r="L16" s="6">
        <f>G6</f>
        <v>0</v>
      </c>
      <c r="M16" s="6">
        <f>H6</f>
        <v>0</v>
      </c>
      <c r="N16" s="6">
        <f>F7</f>
        <v>177.4962856200512</v>
      </c>
      <c r="O16" s="6">
        <f>G7</f>
        <v>-4.8087133710786514E-3</v>
      </c>
      <c r="P16" s="6">
        <f>H7</f>
        <v>-1.7447828562005157</v>
      </c>
    </row>
    <row r="21" spans="11:19" x14ac:dyDescent="0.25">
      <c r="K21"/>
      <c r="L21" s="8"/>
      <c r="M21" s="8"/>
      <c r="N21" s="8"/>
      <c r="O21"/>
      <c r="P21"/>
      <c r="Q21" s="8"/>
      <c r="R21" s="8"/>
      <c r="S21" s="8"/>
    </row>
    <row r="22" spans="11:19" x14ac:dyDescent="0.25">
      <c r="K22"/>
      <c r="L22" s="8"/>
      <c r="M22" s="8"/>
      <c r="N22" s="8"/>
      <c r="O22"/>
      <c r="P22"/>
      <c r="Q22" s="8"/>
      <c r="R22" s="8"/>
      <c r="S22" s="8"/>
    </row>
    <row r="23" spans="11:19" x14ac:dyDescent="0.25">
      <c r="K23"/>
      <c r="L23" s="8"/>
      <c r="M23" s="8"/>
      <c r="N23" s="8"/>
      <c r="O23"/>
      <c r="P23"/>
      <c r="Q23" s="8"/>
      <c r="R23" s="8"/>
      <c r="S23" s="8"/>
    </row>
    <row r="25" spans="11:19" x14ac:dyDescent="0.25">
      <c r="K25" s="3" t="s">
        <v>26</v>
      </c>
      <c r="L25" s="3">
        <v>823229.44909999997</v>
      </c>
      <c r="M25" s="3">
        <v>1091509.0538000001</v>
      </c>
      <c r="N25" s="3">
        <v>-125.509</v>
      </c>
      <c r="P25" s="3" t="s">
        <v>26</v>
      </c>
      <c r="Q25" s="3">
        <v>178.50526539815505</v>
      </c>
      <c r="R25" s="3">
        <v>-7.9563398319078618E-3</v>
      </c>
      <c r="S25" s="3">
        <v>-1.7511726539815555</v>
      </c>
    </row>
    <row r="26" spans="11:19" x14ac:dyDescent="0.25">
      <c r="K26" s="3" t="s">
        <v>27</v>
      </c>
      <c r="L26" s="3">
        <v>823233.06949999998</v>
      </c>
      <c r="M26" s="3">
        <v>1091510.7415</v>
      </c>
      <c r="N26" s="3">
        <v>-125.4448</v>
      </c>
      <c r="P26" s="3" t="s">
        <v>24</v>
      </c>
      <c r="Q26" s="3">
        <v>182.49971493032314</v>
      </c>
      <c r="R26" s="3">
        <v>-7.3360937556376238E-3</v>
      </c>
      <c r="S26" s="3">
        <v>-1.7269171493032331</v>
      </c>
    </row>
    <row r="27" spans="11:19" x14ac:dyDescent="0.25">
      <c r="K27" s="3" t="s">
        <v>25</v>
      </c>
      <c r="L27" s="3">
        <v>823232.35049999994</v>
      </c>
      <c r="M27" s="3">
        <v>1091512.2690999999</v>
      </c>
      <c r="N27" s="3">
        <v>-125.4271</v>
      </c>
      <c r="P27" s="3" t="s">
        <v>25</v>
      </c>
      <c r="Q27" s="3">
        <v>182.49373415752166</v>
      </c>
      <c r="R27" s="3">
        <v>-1.695674623243336</v>
      </c>
      <c r="S27" s="3">
        <v>-1.7091573415752208</v>
      </c>
    </row>
    <row r="29" spans="11:19" x14ac:dyDescent="0.25">
      <c r="K29" s="3" t="s">
        <v>28</v>
      </c>
      <c r="L29" s="3">
        <v>823236.60389999999</v>
      </c>
      <c r="M29" s="3">
        <v>1091512.3872</v>
      </c>
      <c r="N29" s="3">
        <v>-125.4105</v>
      </c>
      <c r="P29" s="3" t="s">
        <v>23</v>
      </c>
      <c r="Q29" s="3">
        <v>186.3984719618731</v>
      </c>
      <c r="R29" s="3">
        <v>-4.9996545780982464E-3</v>
      </c>
      <c r="S29" s="3">
        <v>-1.7316047196187299</v>
      </c>
    </row>
  </sheetData>
  <sortState xmlns:xlrd2="http://schemas.microsoft.com/office/spreadsheetml/2017/richdata2" ref="K3:S6">
    <sortCondition ref="K3:K6"/>
  </sortState>
  <mergeCells count="10">
    <mergeCell ref="B15:D15"/>
    <mergeCell ref="E15:G15"/>
    <mergeCell ref="H15:J15"/>
    <mergeCell ref="K15:M15"/>
    <mergeCell ref="N15:P15"/>
    <mergeCell ref="B11:D11"/>
    <mergeCell ref="E11:G11"/>
    <mergeCell ref="H11:J11"/>
    <mergeCell ref="K11:M11"/>
    <mergeCell ref="N11:P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CECBC-48C0-4B08-AD56-6FB0EABA7A95}">
  <dimension ref="A2:Y19"/>
  <sheetViews>
    <sheetView zoomScale="85" zoomScaleNormal="85" workbookViewId="0">
      <selection activeCell="M34" sqref="M34"/>
    </sheetView>
  </sheetViews>
  <sheetFormatPr baseColWidth="10" defaultColWidth="9.140625" defaultRowHeight="15" x14ac:dyDescent="0.25"/>
  <cols>
    <col min="1" max="1" width="9.140625" style="3"/>
    <col min="2" max="25" width="12.42578125" style="3" customWidth="1"/>
    <col min="26" max="16384" width="9.140625" style="3"/>
  </cols>
  <sheetData>
    <row r="2" spans="1:25" x14ac:dyDescent="0.25"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25" ht="12.75" customHeight="1" x14ac:dyDescent="0.25">
      <c r="B3" s="2" t="s">
        <v>15</v>
      </c>
      <c r="C3" s="5">
        <v>823097.70739999996</v>
      </c>
      <c r="D3" s="5">
        <v>1091683.277</v>
      </c>
      <c r="E3" s="5">
        <v>-125.2713</v>
      </c>
      <c r="F3" s="5">
        <v>78.494190000000003</v>
      </c>
      <c r="G3" s="5">
        <v>2.3600000000000001E-3</v>
      </c>
      <c r="H3" s="5">
        <v>-1.7012418999999852</v>
      </c>
    </row>
    <row r="4" spans="1:25" x14ac:dyDescent="0.25">
      <c r="B4" s="2" t="s">
        <v>16</v>
      </c>
      <c r="C4" s="5">
        <v>823100.24650000001</v>
      </c>
      <c r="D4" s="5">
        <v>1091684.4653</v>
      </c>
      <c r="E4" s="5">
        <v>-125.2304</v>
      </c>
      <c r="F4" s="5">
        <v>81.29759</v>
      </c>
      <c r="G4" s="5">
        <v>-1.49E-3</v>
      </c>
      <c r="H4" s="5">
        <v>-1.6883758999999969</v>
      </c>
    </row>
    <row r="5" spans="1:25" x14ac:dyDescent="0.25">
      <c r="B5" s="2" t="s">
        <v>18</v>
      </c>
      <c r="C5" s="5">
        <v>823099.75879999995</v>
      </c>
      <c r="D5" s="5">
        <v>1091685.5057000001</v>
      </c>
      <c r="E5" s="5">
        <v>-125.2291</v>
      </c>
      <c r="F5" s="5">
        <v>81.295299999999997</v>
      </c>
      <c r="G5" s="5">
        <v>-1.15052</v>
      </c>
      <c r="H5" s="5">
        <v>-1.6870529999999917</v>
      </c>
    </row>
    <row r="6" spans="1:25" x14ac:dyDescent="0.25">
      <c r="B6" s="2" t="s">
        <v>17</v>
      </c>
      <c r="C6" s="5">
        <v>823100.7317</v>
      </c>
      <c r="D6" s="5">
        <v>1091683.422</v>
      </c>
      <c r="E6" s="5">
        <v>-125.23820000000001</v>
      </c>
      <c r="F6" s="5">
        <v>81.296400000000006</v>
      </c>
      <c r="G6" s="5">
        <v>1.1491199999999999</v>
      </c>
      <c r="H6" s="5">
        <v>-1.696163999999996</v>
      </c>
    </row>
    <row r="7" spans="1:25" x14ac:dyDescent="0.25">
      <c r="B7" s="2" t="s">
        <v>19</v>
      </c>
      <c r="C7" s="5">
        <v>823101.78810000001</v>
      </c>
      <c r="D7" s="5">
        <v>1091685.1828000001</v>
      </c>
      <c r="E7" s="5">
        <v>-125.2184</v>
      </c>
      <c r="F7" s="5">
        <v>82.997990000000001</v>
      </c>
      <c r="G7" s="5">
        <v>-2.3000000000000001E-4</v>
      </c>
      <c r="H7" s="5">
        <v>-1.6933798999999965</v>
      </c>
    </row>
    <row r="8" spans="1:25" x14ac:dyDescent="0.25">
      <c r="B8" s="2" t="s">
        <v>20</v>
      </c>
      <c r="C8" s="5">
        <v>823102.69090000005</v>
      </c>
      <c r="D8" s="5">
        <v>1091685.6022999999</v>
      </c>
      <c r="E8" s="5">
        <v>-125.21120000000001</v>
      </c>
      <c r="F8" s="5">
        <v>83.993489999999994</v>
      </c>
      <c r="G8" s="5">
        <v>1.1299999999999999E-3</v>
      </c>
      <c r="H8" s="5">
        <v>-1.6961349000000041</v>
      </c>
    </row>
    <row r="9" spans="1:25" x14ac:dyDescent="0.25">
      <c r="B9" s="2" t="s">
        <v>21</v>
      </c>
      <c r="C9" s="5">
        <v>823104.96680000005</v>
      </c>
      <c r="D9" s="5">
        <v>1091686.6610999999</v>
      </c>
      <c r="E9" s="5">
        <v>-125.1867</v>
      </c>
      <c r="F9" s="5">
        <v>86.503619999999998</v>
      </c>
      <c r="G9" s="5">
        <v>3.3999999999999998E-3</v>
      </c>
      <c r="H9" s="5">
        <v>-1.6967362000000037</v>
      </c>
    </row>
    <row r="10" spans="1:25" x14ac:dyDescent="0.25">
      <c r="B10" s="2" t="s">
        <v>22</v>
      </c>
      <c r="C10" s="5">
        <v>823107.23210000002</v>
      </c>
      <c r="D10" s="5">
        <v>1091687.7189</v>
      </c>
      <c r="E10" s="5">
        <v>-125.1545</v>
      </c>
      <c r="F10" s="5">
        <v>89.003730000000004</v>
      </c>
      <c r="G10" s="5">
        <v>2.1099999999999999E-3</v>
      </c>
      <c r="H10" s="5">
        <v>-1.6895372999999978</v>
      </c>
    </row>
    <row r="14" spans="1:25" x14ac:dyDescent="0.25">
      <c r="A14" s="4" t="s">
        <v>14</v>
      </c>
      <c r="B14" s="9" t="str">
        <f>B3</f>
        <v>n69a</v>
      </c>
      <c r="C14" s="9"/>
      <c r="D14" s="9"/>
      <c r="E14" s="9" t="str">
        <f>B4</f>
        <v>n71a</v>
      </c>
      <c r="F14" s="9"/>
      <c r="G14" s="9"/>
      <c r="H14" s="9" t="str">
        <f>B5</f>
        <v>n71g</v>
      </c>
      <c r="I14" s="9"/>
      <c r="J14" s="9"/>
      <c r="K14" s="9" t="str">
        <f>B6</f>
        <v>n71d</v>
      </c>
      <c r="L14" s="9"/>
      <c r="M14" s="9"/>
      <c r="N14" s="9" t="str">
        <f>B7</f>
        <v>n72a</v>
      </c>
      <c r="O14" s="9"/>
      <c r="P14" s="9"/>
      <c r="Q14" s="9" t="str">
        <f>B8</f>
        <v>n73a</v>
      </c>
      <c r="R14" s="9"/>
      <c r="S14" s="9"/>
      <c r="T14" s="9" t="str">
        <f>B9</f>
        <v>n77a</v>
      </c>
      <c r="U14" s="9"/>
      <c r="V14" s="9"/>
      <c r="W14" s="9" t="str">
        <f>B10</f>
        <v>n79a</v>
      </c>
      <c r="X14" s="9"/>
      <c r="Y14" s="9"/>
    </row>
    <row r="15" spans="1:25" s="7" customFormat="1" x14ac:dyDescent="0.25">
      <c r="A15" s="6"/>
      <c r="B15" s="6">
        <f>C3</f>
        <v>823097.70739999996</v>
      </c>
      <c r="C15" s="6">
        <f t="shared" ref="C15:D15" si="0">D3</f>
        <v>1091683.277</v>
      </c>
      <c r="D15" s="6">
        <f t="shared" si="0"/>
        <v>-125.2713</v>
      </c>
      <c r="E15" s="6">
        <f>C4</f>
        <v>823100.24650000001</v>
      </c>
      <c r="F15" s="6">
        <f t="shared" ref="F15:G15" si="1">D4</f>
        <v>1091684.4653</v>
      </c>
      <c r="G15" s="6">
        <f t="shared" si="1"/>
        <v>-125.2304</v>
      </c>
      <c r="H15" s="6">
        <f>C5</f>
        <v>823099.75879999995</v>
      </c>
      <c r="I15" s="6">
        <f t="shared" ref="I15:J15" si="2">D5</f>
        <v>1091685.5057000001</v>
      </c>
      <c r="J15" s="6">
        <f t="shared" si="2"/>
        <v>-125.2291</v>
      </c>
      <c r="K15" s="6">
        <f>C6</f>
        <v>823100.7317</v>
      </c>
      <c r="L15" s="6">
        <f t="shared" ref="L15:M15" si="3">D6</f>
        <v>1091683.422</v>
      </c>
      <c r="M15" s="6">
        <f t="shared" si="3"/>
        <v>-125.23820000000001</v>
      </c>
      <c r="N15" s="6">
        <f>C7</f>
        <v>823101.78810000001</v>
      </c>
      <c r="O15" s="6">
        <f t="shared" ref="O15:P15" si="4">D7</f>
        <v>1091685.1828000001</v>
      </c>
      <c r="P15" s="6">
        <f t="shared" si="4"/>
        <v>-125.2184</v>
      </c>
      <c r="Q15" s="6">
        <f>C8</f>
        <v>823102.69090000005</v>
      </c>
      <c r="R15" s="6">
        <f t="shared" ref="R15:S15" si="5">D8</f>
        <v>1091685.6022999999</v>
      </c>
      <c r="S15" s="6">
        <f t="shared" si="5"/>
        <v>-125.21120000000001</v>
      </c>
      <c r="T15" s="6">
        <f>C9</f>
        <v>823104.96680000005</v>
      </c>
      <c r="U15" s="6">
        <f t="shared" ref="U15:V15" si="6">D9</f>
        <v>1091686.6610999999</v>
      </c>
      <c r="V15" s="6">
        <f t="shared" si="6"/>
        <v>-125.1867</v>
      </c>
      <c r="W15" s="6">
        <f>C10</f>
        <v>823107.23210000002</v>
      </c>
      <c r="X15" s="6">
        <f t="shared" ref="X15:Y15" si="7">D10</f>
        <v>1091687.7189</v>
      </c>
      <c r="Y15" s="6">
        <f t="shared" si="7"/>
        <v>-125.1545</v>
      </c>
    </row>
    <row r="18" spans="1:25" x14ac:dyDescent="0.25">
      <c r="A18" s="4" t="s">
        <v>11</v>
      </c>
      <c r="B18" s="9" t="str">
        <f>B14</f>
        <v>n69a</v>
      </c>
      <c r="C18" s="9"/>
      <c r="D18" s="9"/>
      <c r="E18" s="9" t="str">
        <f t="shared" ref="E18" si="8">E14</f>
        <v>n71a</v>
      </c>
      <c r="F18" s="9"/>
      <c r="G18" s="9"/>
      <c r="H18" s="9" t="str">
        <f t="shared" ref="H18" si="9">H14</f>
        <v>n71g</v>
      </c>
      <c r="I18" s="9"/>
      <c r="J18" s="9"/>
      <c r="K18" s="9" t="str">
        <f t="shared" ref="K18" si="10">K14</f>
        <v>n71d</v>
      </c>
      <c r="L18" s="9"/>
      <c r="M18" s="9"/>
      <c r="N18" s="9" t="str">
        <f t="shared" ref="N18" si="11">N14</f>
        <v>n72a</v>
      </c>
      <c r="O18" s="9"/>
      <c r="P18" s="9"/>
      <c r="Q18" s="9" t="str">
        <f t="shared" ref="Q18" si="12">Q14</f>
        <v>n73a</v>
      </c>
      <c r="R18" s="9"/>
      <c r="S18" s="9"/>
      <c r="T18" s="9" t="str">
        <f t="shared" ref="T18:W18" si="13">T14</f>
        <v>n77a</v>
      </c>
      <c r="U18" s="9"/>
      <c r="V18" s="9"/>
      <c r="W18" s="9" t="str">
        <f t="shared" si="13"/>
        <v>n79a</v>
      </c>
      <c r="X18" s="9"/>
      <c r="Y18" s="9"/>
    </row>
    <row r="19" spans="1:25" s="7" customFormat="1" x14ac:dyDescent="0.25">
      <c r="A19" s="6"/>
      <c r="B19" s="6">
        <f>F3</f>
        <v>78.494190000000003</v>
      </c>
      <c r="C19" s="6">
        <f t="shared" ref="C19:D19" si="14">G3</f>
        <v>2.3600000000000001E-3</v>
      </c>
      <c r="D19" s="6">
        <f t="shared" si="14"/>
        <v>-1.7012418999999852</v>
      </c>
      <c r="E19" s="6">
        <f>F4</f>
        <v>81.29759</v>
      </c>
      <c r="F19" s="6">
        <f t="shared" ref="F19:G19" si="15">G4</f>
        <v>-1.49E-3</v>
      </c>
      <c r="G19" s="6">
        <f t="shared" si="15"/>
        <v>-1.6883758999999969</v>
      </c>
      <c r="H19" s="6">
        <f>F5</f>
        <v>81.295299999999997</v>
      </c>
      <c r="I19" s="6">
        <f t="shared" ref="I19:J19" si="16">G5</f>
        <v>-1.15052</v>
      </c>
      <c r="J19" s="6">
        <f t="shared" si="16"/>
        <v>-1.6870529999999917</v>
      </c>
      <c r="K19" s="6">
        <f>F6</f>
        <v>81.296400000000006</v>
      </c>
      <c r="L19" s="6">
        <f t="shared" ref="L19:M19" si="17">G6</f>
        <v>1.1491199999999999</v>
      </c>
      <c r="M19" s="6">
        <f t="shared" si="17"/>
        <v>-1.696163999999996</v>
      </c>
      <c r="N19" s="6">
        <f>F7</f>
        <v>82.997990000000001</v>
      </c>
      <c r="O19" s="6">
        <f t="shared" ref="O19:P19" si="18">G7</f>
        <v>-2.3000000000000001E-4</v>
      </c>
      <c r="P19" s="6">
        <f t="shared" si="18"/>
        <v>-1.6933798999999965</v>
      </c>
      <c r="Q19" s="6">
        <f>F8</f>
        <v>83.993489999999994</v>
      </c>
      <c r="R19" s="6">
        <f t="shared" ref="R19:S19" si="19">G8</f>
        <v>1.1299999999999999E-3</v>
      </c>
      <c r="S19" s="6">
        <f t="shared" si="19"/>
        <v>-1.6961349000000041</v>
      </c>
      <c r="T19" s="6">
        <f>F9</f>
        <v>86.503619999999998</v>
      </c>
      <c r="U19" s="6">
        <f t="shared" ref="U19:V19" si="20">G9</f>
        <v>3.3999999999999998E-3</v>
      </c>
      <c r="V19" s="6">
        <f t="shared" si="20"/>
        <v>-1.6967362000000037</v>
      </c>
      <c r="W19" s="6">
        <f>F10</f>
        <v>89.003730000000004</v>
      </c>
      <c r="X19" s="6">
        <f t="shared" ref="X19:Y19" si="21">G10</f>
        <v>2.1099999999999999E-3</v>
      </c>
      <c r="Y19" s="6">
        <f t="shared" si="21"/>
        <v>-1.6895372999999978</v>
      </c>
    </row>
  </sheetData>
  <sortState xmlns:xlrd2="http://schemas.microsoft.com/office/spreadsheetml/2017/richdata2" ref="B5:H6">
    <sortCondition descending="1" ref="B5:B6"/>
  </sortState>
  <mergeCells count="16">
    <mergeCell ref="W14:Y14"/>
    <mergeCell ref="W18:Y18"/>
    <mergeCell ref="T14:V14"/>
    <mergeCell ref="B18:D18"/>
    <mergeCell ref="E18:G18"/>
    <mergeCell ref="H18:J18"/>
    <mergeCell ref="K18:M18"/>
    <mergeCell ref="N18:P18"/>
    <mergeCell ref="Q18:S18"/>
    <mergeCell ref="T18:V18"/>
    <mergeCell ref="B14:D14"/>
    <mergeCell ref="E14:G14"/>
    <mergeCell ref="H14:J14"/>
    <mergeCell ref="K14:M14"/>
    <mergeCell ref="N14:P14"/>
    <mergeCell ref="Q14:S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18"/>
  <sheetViews>
    <sheetView workbookViewId="0">
      <selection activeCell="H34" sqref="H34"/>
    </sheetView>
  </sheetViews>
  <sheetFormatPr baseColWidth="10" defaultColWidth="9.140625" defaultRowHeight="15" x14ac:dyDescent="0.25"/>
  <cols>
    <col min="1" max="1" width="9.140625" style="3"/>
    <col min="2" max="8" width="11.28515625" style="3" customWidth="1"/>
    <col min="9" max="16384" width="9.140625" style="3"/>
  </cols>
  <sheetData>
    <row r="2" spans="1:22" x14ac:dyDescent="0.25"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22" ht="12.75" customHeight="1" x14ac:dyDescent="0.25">
      <c r="B3" s="2" t="s">
        <v>0</v>
      </c>
      <c r="C3" s="2"/>
      <c r="D3" s="2"/>
      <c r="E3" s="2"/>
      <c r="F3" s="2"/>
      <c r="G3" s="2"/>
      <c r="H3" s="2"/>
    </row>
    <row r="4" spans="1:22" x14ac:dyDescent="0.25">
      <c r="B4" s="2" t="s">
        <v>1</v>
      </c>
      <c r="C4" s="2"/>
      <c r="D4" s="2"/>
      <c r="E4" s="2"/>
      <c r="F4" s="2"/>
      <c r="G4" s="2"/>
      <c r="H4" s="2"/>
    </row>
    <row r="5" spans="1:22" x14ac:dyDescent="0.25">
      <c r="B5" s="2" t="s">
        <v>2</v>
      </c>
      <c r="C5" s="2"/>
      <c r="D5" s="2"/>
      <c r="E5" s="2"/>
      <c r="F5" s="2"/>
      <c r="G5" s="2"/>
      <c r="H5" s="2"/>
    </row>
    <row r="6" spans="1:22" x14ac:dyDescent="0.25">
      <c r="B6" s="2" t="s">
        <v>3</v>
      </c>
      <c r="C6" s="2"/>
      <c r="D6" s="2"/>
      <c r="E6" s="2"/>
      <c r="F6" s="2"/>
      <c r="G6" s="2"/>
      <c r="H6" s="2"/>
    </row>
    <row r="7" spans="1:22" x14ac:dyDescent="0.25">
      <c r="B7" s="2" t="s">
        <v>4</v>
      </c>
      <c r="C7" s="2"/>
      <c r="D7" s="2"/>
      <c r="E7" s="2"/>
      <c r="F7" s="2"/>
      <c r="G7" s="2"/>
      <c r="H7" s="2"/>
    </row>
    <row r="8" spans="1:22" x14ac:dyDescent="0.25">
      <c r="B8" s="2" t="s">
        <v>5</v>
      </c>
      <c r="C8" s="2"/>
      <c r="D8" s="2"/>
      <c r="E8" s="2"/>
      <c r="F8" s="2"/>
      <c r="G8" s="2"/>
      <c r="H8" s="2"/>
    </row>
    <row r="9" spans="1:22" x14ac:dyDescent="0.25">
      <c r="B9" s="2" t="s">
        <v>6</v>
      </c>
      <c r="C9" s="2"/>
      <c r="D9" s="2"/>
      <c r="E9" s="2"/>
      <c r="F9" s="2"/>
      <c r="G9" s="2"/>
      <c r="H9" s="2"/>
    </row>
    <row r="13" spans="1:22" x14ac:dyDescent="0.25">
      <c r="A13" s="3" t="s">
        <v>14</v>
      </c>
      <c r="B13" s="10" t="s">
        <v>0</v>
      </c>
      <c r="C13" s="10"/>
      <c r="D13" s="10"/>
      <c r="E13" s="10" t="str">
        <f>B4</f>
        <v>C2</v>
      </c>
      <c r="F13" s="10"/>
      <c r="G13" s="10"/>
      <c r="H13" s="10" t="str">
        <f>B5</f>
        <v>C3</v>
      </c>
      <c r="I13" s="10"/>
      <c r="J13" s="10"/>
      <c r="K13" s="10" t="str">
        <f>B6</f>
        <v>C4</v>
      </c>
      <c r="L13" s="10"/>
      <c r="M13" s="10"/>
      <c r="N13" s="10" t="str">
        <f>B7</f>
        <v>C5</v>
      </c>
      <c r="O13" s="10"/>
      <c r="P13" s="10"/>
      <c r="Q13" s="10" t="str">
        <f>B8</f>
        <v>C6</v>
      </c>
      <c r="R13" s="10"/>
      <c r="S13" s="10"/>
      <c r="T13" s="10" t="str">
        <f>B9</f>
        <v>C7</v>
      </c>
      <c r="U13" s="10"/>
      <c r="V13" s="10"/>
    </row>
    <row r="14" spans="1:22" x14ac:dyDescent="0.25">
      <c r="B14" s="3">
        <f>C3</f>
        <v>0</v>
      </c>
      <c r="C14" s="3">
        <f t="shared" ref="C14:D14" si="0">D3</f>
        <v>0</v>
      </c>
      <c r="D14" s="3">
        <f t="shared" si="0"/>
        <v>0</v>
      </c>
      <c r="E14" s="3">
        <f>C4</f>
        <v>0</v>
      </c>
      <c r="F14" s="3">
        <f t="shared" ref="F14:G14" si="1">D4</f>
        <v>0</v>
      </c>
      <c r="G14" s="3">
        <f t="shared" si="1"/>
        <v>0</v>
      </c>
      <c r="H14" s="3">
        <f>C5</f>
        <v>0</v>
      </c>
      <c r="I14" s="3">
        <f t="shared" ref="I14:J14" si="2">D5</f>
        <v>0</v>
      </c>
      <c r="J14" s="3">
        <f t="shared" si="2"/>
        <v>0</v>
      </c>
      <c r="K14" s="3">
        <f>C6</f>
        <v>0</v>
      </c>
      <c r="L14" s="3">
        <f t="shared" ref="L14:M14" si="3">D6</f>
        <v>0</v>
      </c>
      <c r="M14" s="3">
        <f t="shared" si="3"/>
        <v>0</v>
      </c>
      <c r="N14" s="3">
        <f>C7</f>
        <v>0</v>
      </c>
      <c r="O14" s="3">
        <f t="shared" ref="O14:P14" si="4">D7</f>
        <v>0</v>
      </c>
      <c r="P14" s="3">
        <f t="shared" si="4"/>
        <v>0</v>
      </c>
      <c r="Q14" s="3">
        <f>C8</f>
        <v>0</v>
      </c>
      <c r="R14" s="3">
        <f t="shared" ref="R14:S14" si="5">D8</f>
        <v>0</v>
      </c>
      <c r="S14" s="3">
        <f t="shared" si="5"/>
        <v>0</v>
      </c>
      <c r="T14" s="3">
        <f>C9</f>
        <v>0</v>
      </c>
      <c r="U14" s="3">
        <f t="shared" ref="U14:V14" si="6">D9</f>
        <v>0</v>
      </c>
      <c r="V14" s="3">
        <f t="shared" si="6"/>
        <v>0</v>
      </c>
    </row>
    <row r="17" spans="1:22" x14ac:dyDescent="0.25">
      <c r="A17" s="3" t="s">
        <v>11</v>
      </c>
      <c r="B17" s="10" t="str">
        <f>B13</f>
        <v>C1</v>
      </c>
      <c r="C17" s="10"/>
      <c r="D17" s="10"/>
      <c r="E17" s="10" t="str">
        <f t="shared" ref="E17" si="7">E13</f>
        <v>C2</v>
      </c>
      <c r="F17" s="10"/>
      <c r="G17" s="10"/>
      <c r="H17" s="10" t="str">
        <f t="shared" ref="H17" si="8">H13</f>
        <v>C3</v>
      </c>
      <c r="I17" s="10"/>
      <c r="J17" s="10"/>
      <c r="K17" s="10" t="str">
        <f t="shared" ref="K17" si="9">K13</f>
        <v>C4</v>
      </c>
      <c r="L17" s="10"/>
      <c r="M17" s="10"/>
      <c r="N17" s="10" t="str">
        <f t="shared" ref="N17" si="10">N13</f>
        <v>C5</v>
      </c>
      <c r="O17" s="10"/>
      <c r="P17" s="10"/>
      <c r="Q17" s="10" t="str">
        <f t="shared" ref="Q17" si="11">Q13</f>
        <v>C6</v>
      </c>
      <c r="R17" s="10"/>
      <c r="S17" s="10"/>
      <c r="T17" s="10" t="str">
        <f t="shared" ref="T17" si="12">T13</f>
        <v>C7</v>
      </c>
      <c r="U17" s="10"/>
      <c r="V17" s="10"/>
    </row>
    <row r="18" spans="1:22" x14ac:dyDescent="0.25">
      <c r="B18" s="3">
        <f>F3</f>
        <v>0</v>
      </c>
      <c r="C18" s="3">
        <f t="shared" ref="C18:D18" si="13">G3</f>
        <v>0</v>
      </c>
      <c r="D18" s="3">
        <f t="shared" si="13"/>
        <v>0</v>
      </c>
      <c r="E18" s="3">
        <f>F4</f>
        <v>0</v>
      </c>
      <c r="F18" s="3">
        <f t="shared" ref="F18:G18" si="14">G4</f>
        <v>0</v>
      </c>
      <c r="G18" s="3">
        <f t="shared" si="14"/>
        <v>0</v>
      </c>
      <c r="H18" s="3">
        <f>F5</f>
        <v>0</v>
      </c>
      <c r="I18" s="3">
        <f t="shared" ref="I18:J18" si="15">G5</f>
        <v>0</v>
      </c>
      <c r="J18" s="3">
        <f t="shared" si="15"/>
        <v>0</v>
      </c>
      <c r="K18" s="3">
        <f>F6</f>
        <v>0</v>
      </c>
      <c r="L18" s="3">
        <f t="shared" ref="L18:M18" si="16">G6</f>
        <v>0</v>
      </c>
      <c r="M18" s="3">
        <f t="shared" si="16"/>
        <v>0</v>
      </c>
      <c r="N18" s="3">
        <f>F7</f>
        <v>0</v>
      </c>
      <c r="O18" s="3">
        <f t="shared" ref="O18:P18" si="17">G7</f>
        <v>0</v>
      </c>
      <c r="P18" s="3">
        <f t="shared" si="17"/>
        <v>0</v>
      </c>
      <c r="Q18" s="3">
        <f>F8</f>
        <v>0</v>
      </c>
      <c r="R18" s="3">
        <f t="shared" ref="R18:S18" si="18">G8</f>
        <v>0</v>
      </c>
      <c r="S18" s="3">
        <f t="shared" si="18"/>
        <v>0</v>
      </c>
      <c r="T18" s="3">
        <f>F9</f>
        <v>0</v>
      </c>
      <c r="U18" s="3">
        <f t="shared" ref="U18:V18" si="19">G9</f>
        <v>0</v>
      </c>
      <c r="V18" s="3">
        <f t="shared" si="19"/>
        <v>0</v>
      </c>
    </row>
  </sheetData>
  <mergeCells count="14">
    <mergeCell ref="T13:V13"/>
    <mergeCell ref="B17:D17"/>
    <mergeCell ref="E17:G17"/>
    <mergeCell ref="H17:J17"/>
    <mergeCell ref="K17:M17"/>
    <mergeCell ref="N17:P17"/>
    <mergeCell ref="Q17:S17"/>
    <mergeCell ref="T17:V17"/>
    <mergeCell ref="B13:D13"/>
    <mergeCell ref="E13:G13"/>
    <mergeCell ref="H13:J13"/>
    <mergeCell ref="K13:M13"/>
    <mergeCell ref="N13:P13"/>
    <mergeCell ref="Q13:S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3 cibles sur 5(4)</vt:lpstr>
      <vt:lpstr>5 cibles (3)</vt:lpstr>
      <vt:lpstr>8 cibles (2)</vt:lpstr>
      <vt:lpstr>7 cibles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Precision7750</dc:creator>
  <cp:lastModifiedBy>olivier boissard</cp:lastModifiedBy>
  <dcterms:created xsi:type="dcterms:W3CDTF">2015-06-05T18:19:34Z</dcterms:created>
  <dcterms:modified xsi:type="dcterms:W3CDTF">2024-02-22T15:29:29Z</dcterms:modified>
</cp:coreProperties>
</file>