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ata\20-DEVELOPPEMENT\excel\"/>
    </mc:Choice>
  </mc:AlternateContent>
  <xr:revisionPtr revIDLastSave="0" documentId="13_ncr:1_{3B267106-CD02-4E12-A667-45F8E0EAED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G5" i="1" s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<sst xmlns="http://schemas.openxmlformats.org/spreadsheetml/2006/main" count="8" uniqueCount="8">
  <si>
    <t>Section</t>
  </si>
  <si>
    <t>Rayon interne (m)</t>
  </si>
  <si>
    <t>Rayon externe (m)</t>
  </si>
  <si>
    <t>Hauteur d'arrêt (m)</t>
  </si>
  <si>
    <t>Distance d'application (m)</t>
  </si>
  <si>
    <t>Volume calculé (m³)</t>
  </si>
  <si>
    <t>Section (m²)</t>
  </si>
  <si>
    <t>Volume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</si>
</sst>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15" zoomScaleNormal="115" workbookViewId="0">
      <selection activeCell="F16" sqref="F16"/>
    </sheetView>
  </sheetViews>
  <sheetFormatPr baseColWidth="10" defaultColWidth="9.140625" defaultRowHeight="15" x14ac:dyDescent="0.25"/>
  <cols>
    <col min="1" max="8" width="16.710937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2">
        <v>1</v>
      </c>
      <c r="B2" s="2">
        <v>3.85</v>
      </c>
      <c r="C2" s="2">
        <v>4</v>
      </c>
      <c r="D2" s="2">
        <v>-2.41</v>
      </c>
      <c r="E2" s="2">
        <v>1.5</v>
      </c>
      <c r="G2" s="2">
        <f>PI()*((B2^2)-(C2^2))</f>
        <v>-3.6992253496019765</v>
      </c>
      <c r="H2" s="2">
        <f>G2*E2</f>
        <v>-5.5488380244029649</v>
      </c>
    </row>
    <row r="3" spans="1:8" x14ac:dyDescent="0.25">
      <c r="A3" s="2">
        <v>2</v>
      </c>
      <c r="B3" s="2">
        <v>3.87</v>
      </c>
      <c r="C3" s="2">
        <v>4.0199999999999996</v>
      </c>
      <c r="D3" s="2">
        <v>-2.4</v>
      </c>
      <c r="E3" s="2">
        <v>1.8</v>
      </c>
      <c r="G3" s="2">
        <f>PI()*((B3^2)-(C3^2))</f>
        <v>-3.7180749055235047</v>
      </c>
      <c r="H3" s="2">
        <f>G3*E3</f>
        <v>-6.6925348299423089</v>
      </c>
    </row>
    <row r="4" spans="1:8" x14ac:dyDescent="0.25">
      <c r="A4" s="2">
        <v>3</v>
      </c>
      <c r="B4" s="2">
        <v>3.86</v>
      </c>
      <c r="C4" s="2">
        <v>4.01</v>
      </c>
      <c r="D4" s="2">
        <v>-2.42</v>
      </c>
      <c r="E4" s="2">
        <v>1.6</v>
      </c>
      <c r="G4" s="2">
        <f>PI()*((B4^2)-(C4^2))</f>
        <v>-3.7086501275627461</v>
      </c>
      <c r="H4" s="2">
        <f>G4*E4</f>
        <v>-5.9338402041003944</v>
      </c>
    </row>
    <row r="5" spans="1:8" x14ac:dyDescent="0.25">
      <c r="A5" s="2">
        <v>3</v>
      </c>
      <c r="B5" s="2">
        <v>3.86</v>
      </c>
      <c r="C5" s="2">
        <f>B5+0.56</f>
        <v>4.42</v>
      </c>
      <c r="D5" s="2">
        <v>-2.41</v>
      </c>
      <c r="E5" s="2">
        <v>1.6</v>
      </c>
      <c r="G5" s="2">
        <f>PI()*((B5^2)-(C5^2))</f>
        <v>-14.566936816165155</v>
      </c>
      <c r="H5" s="2">
        <f>G5*E5</f>
        <v>-23.307098905864251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boissard</cp:lastModifiedBy>
  <dcterms:created xsi:type="dcterms:W3CDTF">2025-03-25T10:09:27Z</dcterms:created>
  <dcterms:modified xsi:type="dcterms:W3CDTF">2025-03-25T15:34:32Z</dcterms:modified>
</cp:coreProperties>
</file>